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3.xml" ContentType="application/vnd.ms-excel.controlpropertie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5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comments14.xml" ContentType="application/vnd.openxmlformats-officedocument.spreadsheetml.comments+xml"/>
  <Override PartName="/xl/comments15.xml" ContentType="application/vnd.openxmlformats-officedocument.spreadsheetml.comments+xml"/>
  <Override PartName="/xl/comments16.xml" ContentType="application/vnd.openxmlformats-officedocument.spreadsheetml.comments+xml"/>
  <Override PartName="/xl/comments17.xml" ContentType="application/vnd.openxmlformats-officedocument.spreadsheetml.comments+xml"/>
  <Override PartName="/xl/comments18.xml" ContentType="application/vnd.openxmlformats-officedocument.spreadsheetml.comments+xml"/>
  <Override PartName="/xl/comments19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VSProject\pythonWorkspace\RealestateProject\"/>
    </mc:Choice>
  </mc:AlternateContent>
  <bookViews>
    <workbookView xWindow="-105" yWindow="-105" windowWidth="25815" windowHeight="15615" activeTab="1"/>
  </bookViews>
  <sheets>
    <sheet name="단지추출" sheetId="1" r:id="rId1"/>
    <sheet name="단지추출_가격표용" sheetId="2" r:id="rId2"/>
    <sheet name="동별가격표" sheetId="3" r:id="rId3"/>
    <sheet name="정보입력(KB)" sheetId="4" r:id="rId4"/>
    <sheet name="정보입력" sheetId="5" r:id="rId5"/>
    <sheet name="동서학동" sheetId="6" r:id="rId6"/>
    <sheet name="삼천동1가" sheetId="7" r:id="rId7"/>
    <sheet name="서서학동" sheetId="8" r:id="rId8"/>
    <sheet name="서신동" sheetId="9" r:id="rId9"/>
    <sheet name="서완산동2가" sheetId="10" r:id="rId10"/>
    <sheet name="중노송동" sheetId="11" r:id="rId11"/>
    <sheet name="중인동" sheetId="12" r:id="rId12"/>
    <sheet name="중화산동1가" sheetId="13" r:id="rId13"/>
    <sheet name="중화산동2가" sheetId="14" r:id="rId14"/>
    <sheet name="태평동" sheetId="15" r:id="rId15"/>
    <sheet name="평화동1가" sheetId="16" r:id="rId16"/>
    <sheet name="평화동2가" sheetId="17" r:id="rId17"/>
    <sheet name="효자동1가" sheetId="18" r:id="rId18"/>
    <sheet name="효자동2가" sheetId="19" r:id="rId19"/>
    <sheet name="효자동3가" sheetId="20" r:id="rId20"/>
    <sheet name="양식" sheetId="21" r:id="rId21"/>
  </sheets>
  <definedNames>
    <definedName name="_xlnm._FilterDatabase" localSheetId="1" hidden="1">단지추출_가격표용!$A$3:$U$331</definedName>
    <definedName name="_xlnm.Print_Area" localSheetId="0">단지추출!$A$1:$U$3</definedName>
    <definedName name="_xlnm.Print_Area" localSheetId="1">단지추출_가격표용!$A$1:$U$3</definedName>
    <definedName name="_xlnm.Print_Area" localSheetId="5">동서학동!$A$1:$U$6</definedName>
    <definedName name="_xlnm.Print_Area" localSheetId="6">삼천동1가!$A$1:$U$6</definedName>
    <definedName name="_xlnm.Print_Area" localSheetId="7">서서학동!$A$1:$U$6</definedName>
    <definedName name="_xlnm.Print_Area" localSheetId="8">서신동!$A$1:$U$6</definedName>
    <definedName name="_xlnm.Print_Area" localSheetId="9">서완산동2가!$A$1:$U$6</definedName>
    <definedName name="_xlnm.Print_Area" localSheetId="20">양식!$A$1:$U$6</definedName>
    <definedName name="_xlnm.Print_Area" localSheetId="10">중노송동!$A$1:$U$6</definedName>
    <definedName name="_xlnm.Print_Area" localSheetId="11">중인동!$A$1:$U$6</definedName>
    <definedName name="_xlnm.Print_Area" localSheetId="12">중화산동1가!$A$1:$U$6</definedName>
    <definedName name="_xlnm.Print_Area" localSheetId="13">중화산동2가!$A$1:$U$6</definedName>
    <definedName name="_xlnm.Print_Area" localSheetId="14">태평동!$A$1:$U$6</definedName>
    <definedName name="_xlnm.Print_Area" localSheetId="15">평화동1가!$A$1:$U$6</definedName>
    <definedName name="_xlnm.Print_Area" localSheetId="16">평화동2가!$A$1:$U$6</definedName>
    <definedName name="_xlnm.Print_Area" localSheetId="17">효자동1가!$A$1:$U$6</definedName>
    <definedName name="_xlnm.Print_Area" localSheetId="18">효자동2가!$A$1:$U$6</definedName>
    <definedName name="_xlnm.Print_Area" localSheetId="19">효자동3가!$A$1:$U$6</definedName>
    <definedName name="_xlnm.Print_Titles" localSheetId="0">단지추출!$1:$3</definedName>
    <definedName name="_xlnm.Print_Titles" localSheetId="1">단지추출_가격표용!$1:$3</definedName>
    <definedName name="_xlnm.Print_Titles" localSheetId="5">동서학동!$1:$3</definedName>
    <definedName name="_xlnm.Print_Titles" localSheetId="6">삼천동1가!$1:$3</definedName>
    <definedName name="_xlnm.Print_Titles" localSheetId="7">서서학동!$1:$3</definedName>
    <definedName name="_xlnm.Print_Titles" localSheetId="8">서신동!$1:$3</definedName>
    <definedName name="_xlnm.Print_Titles" localSheetId="9">서완산동2가!$1:$3</definedName>
    <definedName name="_xlnm.Print_Titles" localSheetId="20">양식!$1:$3</definedName>
    <definedName name="_xlnm.Print_Titles" localSheetId="10">중노송동!$1:$3</definedName>
    <definedName name="_xlnm.Print_Titles" localSheetId="11">중인동!$1:$3</definedName>
    <definedName name="_xlnm.Print_Titles" localSheetId="12">중화산동1가!$1:$3</definedName>
    <definedName name="_xlnm.Print_Titles" localSheetId="13">중화산동2가!$1:$3</definedName>
    <definedName name="_xlnm.Print_Titles" localSheetId="14">태평동!$1:$3</definedName>
    <definedName name="_xlnm.Print_Titles" localSheetId="15">평화동1가!$1:$3</definedName>
    <definedName name="_xlnm.Print_Titles" localSheetId="16">평화동2가!$1:$3</definedName>
    <definedName name="_xlnm.Print_Titles" localSheetId="17">효자동1가!$1:$3</definedName>
    <definedName name="_xlnm.Print_Titles" localSheetId="18">효자동2가!$1:$3</definedName>
    <definedName name="_xlnm.Print_Titles" localSheetId="19">효자동3가!$1:$3</definedName>
  </definedNames>
  <calcPr calcId="162913"/>
</workbook>
</file>

<file path=xl/calcChain.xml><?xml version="1.0" encoding="utf-8"?>
<calcChain xmlns="http://schemas.openxmlformats.org/spreadsheetml/2006/main">
  <c r="AU58" i="1" l="1"/>
  <c r="AP58" i="1"/>
  <c r="AN58" i="1"/>
  <c r="AI58" i="1"/>
  <c r="AT58" i="1" s="1"/>
  <c r="AH58" i="1"/>
  <c r="AF58" i="1"/>
  <c r="AE58" i="1"/>
  <c r="AB58" i="1"/>
  <c r="AA58" i="1"/>
  <c r="Z58" i="1"/>
  <c r="Y58" i="1"/>
  <c r="X58" i="1"/>
  <c r="W58" i="1"/>
  <c r="P58" i="1"/>
  <c r="O58" i="1"/>
  <c r="AD58" i="1" s="1"/>
  <c r="N58" i="1"/>
  <c r="M58" i="1"/>
  <c r="AR58" i="1" s="1"/>
  <c r="AU57" i="1"/>
  <c r="AR57" i="1"/>
  <c r="AQ57" i="1"/>
  <c r="AP57" i="1"/>
  <c r="AI57" i="1"/>
  <c r="AN57" i="1" s="1"/>
  <c r="AH57" i="1"/>
  <c r="AF57" i="1"/>
  <c r="AE57" i="1"/>
  <c r="AB57" i="1"/>
  <c r="AA57" i="1"/>
  <c r="Z57" i="1"/>
  <c r="Y57" i="1"/>
  <c r="X57" i="1"/>
  <c r="W57" i="1"/>
  <c r="P57" i="1"/>
  <c r="O57" i="1"/>
  <c r="AD57" i="1" s="1"/>
  <c r="N57" i="1"/>
  <c r="AO57" i="1" s="1"/>
  <c r="M57" i="1"/>
  <c r="AU56" i="1"/>
  <c r="AR56" i="1"/>
  <c r="AP56" i="1"/>
  <c r="AI56" i="1"/>
  <c r="AH56" i="1"/>
  <c r="AF56" i="1"/>
  <c r="AE56" i="1"/>
  <c r="AC56" i="1"/>
  <c r="AB56" i="1"/>
  <c r="AA56" i="1"/>
  <c r="Z56" i="1"/>
  <c r="Y56" i="1"/>
  <c r="X56" i="1"/>
  <c r="W56" i="1"/>
  <c r="P56" i="1"/>
  <c r="O56" i="1"/>
  <c r="AQ56" i="1" s="1"/>
  <c r="N56" i="1"/>
  <c r="AO56" i="1" s="1"/>
  <c r="M56" i="1"/>
  <c r="AU55" i="1"/>
  <c r="AT55" i="1"/>
  <c r="AR55" i="1"/>
  <c r="AP55" i="1"/>
  <c r="AN55" i="1"/>
  <c r="AJ55" i="1"/>
  <c r="AI55" i="1"/>
  <c r="AH55" i="1"/>
  <c r="AF55" i="1"/>
  <c r="AE55" i="1"/>
  <c r="AD55" i="1"/>
  <c r="AC55" i="1"/>
  <c r="AB55" i="1"/>
  <c r="AA55" i="1"/>
  <c r="Z55" i="1"/>
  <c r="Y55" i="1"/>
  <c r="X55" i="1"/>
  <c r="W55" i="1"/>
  <c r="P55" i="1"/>
  <c r="O55" i="1"/>
  <c r="AQ55" i="1" s="1"/>
  <c r="N55" i="1"/>
  <c r="AO55" i="1" s="1"/>
  <c r="AV55" i="1" s="1"/>
  <c r="M55" i="1"/>
  <c r="AU54" i="1"/>
  <c r="AT54" i="1"/>
  <c r="AP54" i="1"/>
  <c r="AN54" i="1"/>
  <c r="AJ54" i="1"/>
  <c r="AI54" i="1"/>
  <c r="AH54" i="1"/>
  <c r="AF54" i="1"/>
  <c r="AE54" i="1"/>
  <c r="AD54" i="1"/>
  <c r="AC54" i="1"/>
  <c r="AA54" i="1"/>
  <c r="Z54" i="1"/>
  <c r="Y54" i="1"/>
  <c r="X54" i="1"/>
  <c r="W54" i="1"/>
  <c r="P54" i="1"/>
  <c r="O54" i="1"/>
  <c r="AQ54" i="1" s="1"/>
  <c r="N54" i="1"/>
  <c r="AO54" i="1" s="1"/>
  <c r="AV54" i="1" s="1"/>
  <c r="M54" i="1"/>
  <c r="AR54" i="1" s="1"/>
  <c r="AU53" i="1"/>
  <c r="AP53" i="1"/>
  <c r="AO53" i="1"/>
  <c r="AI53" i="1"/>
  <c r="AN53" i="1" s="1"/>
  <c r="AH53" i="1"/>
  <c r="AF53" i="1"/>
  <c r="AE53" i="1"/>
  <c r="AD53" i="1"/>
  <c r="AA53" i="1"/>
  <c r="Z53" i="1"/>
  <c r="Y53" i="1"/>
  <c r="X53" i="1"/>
  <c r="W53" i="1"/>
  <c r="P53" i="1"/>
  <c r="O53" i="1"/>
  <c r="AQ53" i="1" s="1"/>
  <c r="N53" i="1"/>
  <c r="AC53" i="1" s="1"/>
  <c r="M53" i="1"/>
  <c r="AU52" i="1"/>
  <c r="AT52" i="1"/>
  <c r="AP52" i="1"/>
  <c r="AJ52" i="1"/>
  <c r="AI52" i="1"/>
  <c r="AN52" i="1" s="1"/>
  <c r="AH52" i="1"/>
  <c r="AF52" i="1"/>
  <c r="AE52" i="1"/>
  <c r="AA52" i="1"/>
  <c r="Z52" i="1"/>
  <c r="Y52" i="1"/>
  <c r="X52" i="1"/>
  <c r="W52" i="1"/>
  <c r="P52" i="1"/>
  <c r="O52" i="1"/>
  <c r="AD52" i="1" s="1"/>
  <c r="N52" i="1"/>
  <c r="M52" i="1"/>
  <c r="AR52" i="1" s="1"/>
  <c r="AU51" i="1"/>
  <c r="AR51" i="1"/>
  <c r="AP51" i="1"/>
  <c r="AN51" i="1"/>
  <c r="AI51" i="1"/>
  <c r="AT51" i="1" s="1"/>
  <c r="AH51" i="1"/>
  <c r="AF51" i="1"/>
  <c r="AE51" i="1"/>
  <c r="AB51" i="1"/>
  <c r="AA51" i="1"/>
  <c r="Z51" i="1"/>
  <c r="Y51" i="1"/>
  <c r="X51" i="1"/>
  <c r="W51" i="1"/>
  <c r="P51" i="1"/>
  <c r="O51" i="1"/>
  <c r="AD51" i="1" s="1"/>
  <c r="N51" i="1"/>
  <c r="AO51" i="1" s="1"/>
  <c r="AV51" i="1" s="1"/>
  <c r="M51" i="1"/>
  <c r="AU50" i="1"/>
  <c r="AR50" i="1"/>
  <c r="AP50" i="1"/>
  <c r="AO50" i="1"/>
  <c r="AI50" i="1"/>
  <c r="AH50" i="1"/>
  <c r="AF50" i="1"/>
  <c r="AE50" i="1"/>
  <c r="AC50" i="1"/>
  <c r="AB50" i="1"/>
  <c r="AA50" i="1"/>
  <c r="Z50" i="1"/>
  <c r="Y50" i="1"/>
  <c r="X50" i="1"/>
  <c r="W50" i="1"/>
  <c r="P50" i="1"/>
  <c r="O50" i="1"/>
  <c r="AQ50" i="1" s="1"/>
  <c r="N50" i="1"/>
  <c r="M50" i="1"/>
  <c r="AU49" i="1"/>
  <c r="AT49" i="1"/>
  <c r="AR49" i="1"/>
  <c r="AP49" i="1"/>
  <c r="AJ49" i="1"/>
  <c r="AI49" i="1"/>
  <c r="AN49" i="1" s="1"/>
  <c r="AH49" i="1"/>
  <c r="AF49" i="1"/>
  <c r="AE49" i="1"/>
  <c r="AD49" i="1"/>
  <c r="AC49" i="1"/>
  <c r="AB49" i="1"/>
  <c r="AA49" i="1"/>
  <c r="Z49" i="1"/>
  <c r="Y49" i="1"/>
  <c r="X49" i="1"/>
  <c r="W49" i="1"/>
  <c r="P49" i="1"/>
  <c r="O49" i="1"/>
  <c r="AQ49" i="1" s="1"/>
  <c r="N49" i="1"/>
  <c r="AO49" i="1" s="1"/>
  <c r="AV49" i="1" s="1"/>
  <c r="M49" i="1"/>
  <c r="AU48" i="1"/>
  <c r="AT48" i="1"/>
  <c r="AP48" i="1"/>
  <c r="AO48" i="1"/>
  <c r="AN48" i="1"/>
  <c r="AJ48" i="1"/>
  <c r="AI48" i="1"/>
  <c r="AH48" i="1"/>
  <c r="AF48" i="1"/>
  <c r="AE48" i="1"/>
  <c r="AD48" i="1"/>
  <c r="AC48" i="1"/>
  <c r="AA48" i="1"/>
  <c r="Z48" i="1"/>
  <c r="Y48" i="1"/>
  <c r="X48" i="1"/>
  <c r="W48" i="1"/>
  <c r="P48" i="1"/>
  <c r="O48" i="1"/>
  <c r="AQ48" i="1" s="1"/>
  <c r="N48" i="1"/>
  <c r="M48" i="1"/>
  <c r="AR48" i="1" s="1"/>
  <c r="AU47" i="1"/>
  <c r="AP47" i="1"/>
  <c r="AO47" i="1"/>
  <c r="AI47" i="1"/>
  <c r="AN47" i="1" s="1"/>
  <c r="AH47" i="1"/>
  <c r="AF47" i="1"/>
  <c r="AE47" i="1"/>
  <c r="AD47" i="1"/>
  <c r="AA47" i="1"/>
  <c r="Z47" i="1"/>
  <c r="Y47" i="1"/>
  <c r="X47" i="1"/>
  <c r="W47" i="1"/>
  <c r="P47" i="1"/>
  <c r="O47" i="1"/>
  <c r="AQ47" i="1" s="1"/>
  <c r="N47" i="1"/>
  <c r="AC47" i="1" s="1"/>
  <c r="M47" i="1"/>
  <c r="AU46" i="1"/>
  <c r="AT46" i="1"/>
  <c r="AP46" i="1"/>
  <c r="AJ46" i="1"/>
  <c r="AI46" i="1"/>
  <c r="AN46" i="1" s="1"/>
  <c r="AH46" i="1"/>
  <c r="AF46" i="1"/>
  <c r="AE46" i="1"/>
  <c r="AA46" i="1"/>
  <c r="Z46" i="1"/>
  <c r="Y46" i="1"/>
  <c r="X46" i="1"/>
  <c r="W46" i="1"/>
  <c r="P46" i="1"/>
  <c r="O46" i="1"/>
  <c r="AD46" i="1" s="1"/>
  <c r="N46" i="1"/>
  <c r="M46" i="1"/>
  <c r="AR46" i="1" s="1"/>
  <c r="AU45" i="1"/>
  <c r="AR45" i="1"/>
  <c r="AP45" i="1"/>
  <c r="AN45" i="1"/>
  <c r="AI45" i="1"/>
  <c r="AT45" i="1" s="1"/>
  <c r="AH45" i="1"/>
  <c r="AF45" i="1"/>
  <c r="AE45" i="1"/>
  <c r="AB45" i="1"/>
  <c r="AA45" i="1"/>
  <c r="Z45" i="1"/>
  <c r="Y45" i="1"/>
  <c r="X45" i="1"/>
  <c r="W45" i="1"/>
  <c r="P45" i="1"/>
  <c r="O45" i="1"/>
  <c r="AD45" i="1" s="1"/>
  <c r="N45" i="1"/>
  <c r="AO45" i="1" s="1"/>
  <c r="AV45" i="1" s="1"/>
  <c r="M45" i="1"/>
  <c r="AU44" i="1"/>
  <c r="AR44" i="1"/>
  <c r="AP44" i="1"/>
  <c r="AO44" i="1"/>
  <c r="AI44" i="1"/>
  <c r="AH44" i="1"/>
  <c r="AF44" i="1"/>
  <c r="AE44" i="1"/>
  <c r="AC44" i="1"/>
  <c r="AB44" i="1"/>
  <c r="AA44" i="1"/>
  <c r="Z44" i="1"/>
  <c r="Y44" i="1"/>
  <c r="X44" i="1"/>
  <c r="W44" i="1"/>
  <c r="P44" i="1"/>
  <c r="O44" i="1"/>
  <c r="AQ44" i="1" s="1"/>
  <c r="N44" i="1"/>
  <c r="M44" i="1"/>
  <c r="AU43" i="1"/>
  <c r="AT43" i="1"/>
  <c r="AR43" i="1"/>
  <c r="AP43" i="1"/>
  <c r="AJ43" i="1"/>
  <c r="AI43" i="1"/>
  <c r="AN43" i="1" s="1"/>
  <c r="AH43" i="1"/>
  <c r="AF43" i="1"/>
  <c r="AE43" i="1"/>
  <c r="AD43" i="1"/>
  <c r="AC43" i="1"/>
  <c r="AB43" i="1"/>
  <c r="AA43" i="1"/>
  <c r="Z43" i="1"/>
  <c r="Y43" i="1"/>
  <c r="X43" i="1"/>
  <c r="W43" i="1"/>
  <c r="P43" i="1"/>
  <c r="O43" i="1"/>
  <c r="AQ43" i="1" s="1"/>
  <c r="N43" i="1"/>
  <c r="AO43" i="1" s="1"/>
  <c r="AV43" i="1" s="1"/>
  <c r="M43" i="1"/>
  <c r="AU42" i="1"/>
  <c r="AT42" i="1"/>
  <c r="AP42" i="1"/>
  <c r="AO42" i="1"/>
  <c r="AN42" i="1"/>
  <c r="AJ42" i="1"/>
  <c r="AI42" i="1"/>
  <c r="AH42" i="1"/>
  <c r="AF42" i="1"/>
  <c r="AE42" i="1"/>
  <c r="AD42" i="1"/>
  <c r="AC42" i="1"/>
  <c r="AA42" i="1"/>
  <c r="Z42" i="1"/>
  <c r="Y42" i="1"/>
  <c r="X42" i="1"/>
  <c r="W42" i="1"/>
  <c r="P42" i="1"/>
  <c r="O42" i="1"/>
  <c r="AQ42" i="1" s="1"/>
  <c r="N42" i="1"/>
  <c r="M42" i="1"/>
  <c r="AR42" i="1" s="1"/>
  <c r="AU41" i="1"/>
  <c r="AP41" i="1"/>
  <c r="AO41" i="1"/>
  <c r="AI41" i="1"/>
  <c r="AN41" i="1" s="1"/>
  <c r="AH41" i="1"/>
  <c r="AF41" i="1"/>
  <c r="AE41" i="1"/>
  <c r="AD41" i="1"/>
  <c r="AA41" i="1"/>
  <c r="Z41" i="1"/>
  <c r="Y41" i="1"/>
  <c r="X41" i="1"/>
  <c r="W41" i="1"/>
  <c r="P41" i="1"/>
  <c r="O41" i="1"/>
  <c r="AQ41" i="1" s="1"/>
  <c r="N41" i="1"/>
  <c r="AC41" i="1" s="1"/>
  <c r="M41" i="1"/>
  <c r="AU40" i="1"/>
  <c r="AT40" i="1"/>
  <c r="AP40" i="1"/>
  <c r="AJ40" i="1"/>
  <c r="AI40" i="1"/>
  <c r="AN40" i="1" s="1"/>
  <c r="AH40" i="1"/>
  <c r="AF40" i="1"/>
  <c r="AE40" i="1"/>
  <c r="AA40" i="1"/>
  <c r="Z40" i="1"/>
  <c r="Y40" i="1"/>
  <c r="X40" i="1"/>
  <c r="W40" i="1"/>
  <c r="P40" i="1"/>
  <c r="O40" i="1"/>
  <c r="AD40" i="1" s="1"/>
  <c r="N40" i="1"/>
  <c r="M40" i="1"/>
  <c r="AR40" i="1" s="1"/>
  <c r="AU39" i="1"/>
  <c r="AR39" i="1"/>
  <c r="AP39" i="1"/>
  <c r="AN39" i="1"/>
  <c r="AI39" i="1"/>
  <c r="AT39" i="1" s="1"/>
  <c r="AH39" i="1"/>
  <c r="AF39" i="1"/>
  <c r="AE39" i="1"/>
  <c r="AB39" i="1"/>
  <c r="AA39" i="1"/>
  <c r="Z39" i="1"/>
  <c r="Y39" i="1"/>
  <c r="X39" i="1"/>
  <c r="W39" i="1"/>
  <c r="P39" i="1"/>
  <c r="O39" i="1"/>
  <c r="AD39" i="1" s="1"/>
  <c r="N39" i="1"/>
  <c r="AO39" i="1" s="1"/>
  <c r="AV39" i="1" s="1"/>
  <c r="M39" i="1"/>
  <c r="AU38" i="1"/>
  <c r="AR38" i="1"/>
  <c r="AP38" i="1"/>
  <c r="AO38" i="1"/>
  <c r="AI38" i="1"/>
  <c r="AH38" i="1"/>
  <c r="AF38" i="1"/>
  <c r="AE38" i="1"/>
  <c r="AC38" i="1"/>
  <c r="AB38" i="1"/>
  <c r="AA38" i="1"/>
  <c r="Z38" i="1"/>
  <c r="Y38" i="1"/>
  <c r="X38" i="1"/>
  <c r="W38" i="1"/>
  <c r="P38" i="1"/>
  <c r="O38" i="1"/>
  <c r="AQ38" i="1" s="1"/>
  <c r="N38" i="1"/>
  <c r="M38" i="1"/>
  <c r="AU37" i="1"/>
  <c r="AT37" i="1"/>
  <c r="AR37" i="1"/>
  <c r="AP37" i="1"/>
  <c r="AJ37" i="1"/>
  <c r="AI37" i="1"/>
  <c r="AN37" i="1" s="1"/>
  <c r="AH37" i="1"/>
  <c r="AF37" i="1"/>
  <c r="AE37" i="1"/>
  <c r="AD37" i="1"/>
  <c r="AC37" i="1"/>
  <c r="AB37" i="1"/>
  <c r="AA37" i="1"/>
  <c r="Z37" i="1"/>
  <c r="Y37" i="1"/>
  <c r="X37" i="1"/>
  <c r="W37" i="1"/>
  <c r="P37" i="1"/>
  <c r="O37" i="1"/>
  <c r="AQ37" i="1" s="1"/>
  <c r="N37" i="1"/>
  <c r="AO37" i="1" s="1"/>
  <c r="AV37" i="1" s="1"/>
  <c r="M37" i="1"/>
  <c r="AU36" i="1"/>
  <c r="AT36" i="1"/>
  <c r="AP36" i="1"/>
  <c r="AO36" i="1"/>
  <c r="AN36" i="1"/>
  <c r="AJ36" i="1"/>
  <c r="AI36" i="1"/>
  <c r="AH36" i="1"/>
  <c r="AF36" i="1"/>
  <c r="AE36" i="1"/>
  <c r="AD36" i="1"/>
  <c r="AC36" i="1"/>
  <c r="AA36" i="1"/>
  <c r="Z36" i="1"/>
  <c r="Y36" i="1"/>
  <c r="X36" i="1"/>
  <c r="W36" i="1"/>
  <c r="P36" i="1"/>
  <c r="O36" i="1"/>
  <c r="AQ36" i="1" s="1"/>
  <c r="N36" i="1"/>
  <c r="M36" i="1"/>
  <c r="AR36" i="1" s="1"/>
  <c r="AU35" i="1"/>
  <c r="AP35" i="1"/>
  <c r="AO35" i="1"/>
  <c r="AI35" i="1"/>
  <c r="AN35" i="1" s="1"/>
  <c r="AH35" i="1"/>
  <c r="AF35" i="1"/>
  <c r="AE35" i="1"/>
  <c r="AD35" i="1"/>
  <c r="AA35" i="1"/>
  <c r="Z35" i="1"/>
  <c r="Y35" i="1"/>
  <c r="X35" i="1"/>
  <c r="W35" i="1"/>
  <c r="P35" i="1"/>
  <c r="O35" i="1"/>
  <c r="AQ35" i="1" s="1"/>
  <c r="N35" i="1"/>
  <c r="AC35" i="1" s="1"/>
  <c r="M35" i="1"/>
  <c r="AU34" i="1"/>
  <c r="AT34" i="1"/>
  <c r="AP34" i="1"/>
  <c r="AN34" i="1"/>
  <c r="AJ34" i="1"/>
  <c r="AI34" i="1"/>
  <c r="AH34" i="1"/>
  <c r="AF34" i="1"/>
  <c r="AE34" i="1"/>
  <c r="AD34" i="1"/>
  <c r="AA34" i="1"/>
  <c r="Z34" i="1"/>
  <c r="Y34" i="1"/>
  <c r="X34" i="1"/>
  <c r="W34" i="1"/>
  <c r="P34" i="1"/>
  <c r="O34" i="1"/>
  <c r="AQ34" i="1" s="1"/>
  <c r="N34" i="1"/>
  <c r="M34" i="1"/>
  <c r="AR34" i="1" s="1"/>
  <c r="AU33" i="1"/>
  <c r="AP33" i="1"/>
  <c r="AN33" i="1"/>
  <c r="AI33" i="1"/>
  <c r="AT33" i="1" s="1"/>
  <c r="AH33" i="1"/>
  <c r="AF33" i="1"/>
  <c r="AE33" i="1"/>
  <c r="AA33" i="1"/>
  <c r="Z33" i="1"/>
  <c r="Y33" i="1"/>
  <c r="X33" i="1"/>
  <c r="W33" i="1"/>
  <c r="P33" i="1"/>
  <c r="O33" i="1"/>
  <c r="AD33" i="1" s="1"/>
  <c r="N33" i="1"/>
  <c r="AO33" i="1" s="1"/>
  <c r="M33" i="1"/>
  <c r="AR33" i="1" s="1"/>
  <c r="AU32" i="1"/>
  <c r="AR32" i="1"/>
  <c r="AP32" i="1"/>
  <c r="AO32" i="1"/>
  <c r="AI32" i="1"/>
  <c r="AH32" i="1"/>
  <c r="AF32" i="1"/>
  <c r="AE32" i="1"/>
  <c r="AB32" i="1"/>
  <c r="AA32" i="1"/>
  <c r="Z32" i="1"/>
  <c r="Y32" i="1"/>
  <c r="X32" i="1"/>
  <c r="W32" i="1"/>
  <c r="P32" i="1"/>
  <c r="O32" i="1"/>
  <c r="AQ32" i="1" s="1"/>
  <c r="N32" i="1"/>
  <c r="AC32" i="1" s="1"/>
  <c r="M32" i="1"/>
  <c r="AU31" i="1"/>
  <c r="AT31" i="1"/>
  <c r="AR31" i="1"/>
  <c r="AP31" i="1"/>
  <c r="AJ31" i="1"/>
  <c r="AI31" i="1"/>
  <c r="AN31" i="1" s="1"/>
  <c r="AH31" i="1"/>
  <c r="AF31" i="1"/>
  <c r="AE31" i="1"/>
  <c r="AC31" i="1"/>
  <c r="AB31" i="1"/>
  <c r="AA31" i="1"/>
  <c r="Z31" i="1"/>
  <c r="Y31" i="1"/>
  <c r="X31" i="1"/>
  <c r="W31" i="1"/>
  <c r="P31" i="1"/>
  <c r="O31" i="1"/>
  <c r="AQ31" i="1" s="1"/>
  <c r="N31" i="1"/>
  <c r="AO31" i="1" s="1"/>
  <c r="M31" i="1"/>
  <c r="AU30" i="1"/>
  <c r="AR30" i="1"/>
  <c r="AP30" i="1"/>
  <c r="AO30" i="1"/>
  <c r="AN30" i="1"/>
  <c r="AI30" i="1"/>
  <c r="AT30" i="1" s="1"/>
  <c r="AH30" i="1"/>
  <c r="AF30" i="1"/>
  <c r="AE30" i="1"/>
  <c r="AD30" i="1"/>
  <c r="AC30" i="1"/>
  <c r="AB30" i="1"/>
  <c r="AA30" i="1"/>
  <c r="Z30" i="1"/>
  <c r="Y30" i="1"/>
  <c r="X30" i="1"/>
  <c r="W30" i="1"/>
  <c r="P30" i="1"/>
  <c r="O30" i="1"/>
  <c r="AQ30" i="1" s="1"/>
  <c r="N30" i="1"/>
  <c r="M30" i="1"/>
  <c r="AU29" i="1"/>
  <c r="AP29" i="1"/>
  <c r="AO29" i="1"/>
  <c r="AI29" i="1"/>
  <c r="AN29" i="1" s="1"/>
  <c r="AH29" i="1"/>
  <c r="AF29" i="1"/>
  <c r="AE29" i="1"/>
  <c r="AD29" i="1"/>
  <c r="AC29" i="1"/>
  <c r="AA29" i="1"/>
  <c r="Z29" i="1"/>
  <c r="Y29" i="1"/>
  <c r="X29" i="1"/>
  <c r="W29" i="1"/>
  <c r="P29" i="1"/>
  <c r="O29" i="1"/>
  <c r="AQ29" i="1" s="1"/>
  <c r="N29" i="1"/>
  <c r="M29" i="1"/>
  <c r="AU28" i="1"/>
  <c r="AT28" i="1"/>
  <c r="AP28" i="1"/>
  <c r="AN28" i="1"/>
  <c r="AJ28" i="1"/>
  <c r="AI28" i="1"/>
  <c r="AH28" i="1"/>
  <c r="AF28" i="1"/>
  <c r="AE28" i="1"/>
  <c r="AD28" i="1"/>
  <c r="AA28" i="1"/>
  <c r="Z28" i="1"/>
  <c r="Y28" i="1"/>
  <c r="X28" i="1"/>
  <c r="W28" i="1"/>
  <c r="P28" i="1"/>
  <c r="O28" i="1"/>
  <c r="AQ28" i="1" s="1"/>
  <c r="N28" i="1"/>
  <c r="M28" i="1"/>
  <c r="AR28" i="1" s="1"/>
  <c r="AU27" i="1"/>
  <c r="AP27" i="1"/>
  <c r="AN27" i="1"/>
  <c r="AI27" i="1"/>
  <c r="AT27" i="1" s="1"/>
  <c r="AH27" i="1"/>
  <c r="AF27" i="1"/>
  <c r="AE27" i="1"/>
  <c r="AA27" i="1"/>
  <c r="Z27" i="1"/>
  <c r="Y27" i="1"/>
  <c r="X27" i="1"/>
  <c r="W27" i="1"/>
  <c r="P27" i="1"/>
  <c r="O27" i="1"/>
  <c r="AD27" i="1" s="1"/>
  <c r="N27" i="1"/>
  <c r="AO27" i="1" s="1"/>
  <c r="M27" i="1"/>
  <c r="AR27" i="1" s="1"/>
  <c r="AU26" i="1"/>
  <c r="AR26" i="1"/>
  <c r="AP26" i="1"/>
  <c r="AO26" i="1"/>
  <c r="AI26" i="1"/>
  <c r="AH26" i="1"/>
  <c r="AF26" i="1"/>
  <c r="AE26" i="1"/>
  <c r="AB26" i="1"/>
  <c r="AA26" i="1"/>
  <c r="Z26" i="1"/>
  <c r="Y26" i="1"/>
  <c r="X26" i="1"/>
  <c r="W26" i="1"/>
  <c r="P26" i="1"/>
  <c r="O26" i="1"/>
  <c r="AQ26" i="1" s="1"/>
  <c r="N26" i="1"/>
  <c r="AC26" i="1" s="1"/>
  <c r="M26" i="1"/>
  <c r="AU25" i="1"/>
  <c r="AT25" i="1"/>
  <c r="AR25" i="1"/>
  <c r="AP25" i="1"/>
  <c r="AJ25" i="1"/>
  <c r="AI25" i="1"/>
  <c r="AN25" i="1" s="1"/>
  <c r="AH25" i="1"/>
  <c r="AF25" i="1"/>
  <c r="AE25" i="1"/>
  <c r="AC25" i="1"/>
  <c r="AB25" i="1"/>
  <c r="AA25" i="1"/>
  <c r="Z25" i="1"/>
  <c r="Y25" i="1"/>
  <c r="X25" i="1"/>
  <c r="W25" i="1"/>
  <c r="P25" i="1"/>
  <c r="O25" i="1"/>
  <c r="AQ25" i="1" s="1"/>
  <c r="N25" i="1"/>
  <c r="AO25" i="1" s="1"/>
  <c r="M25" i="1"/>
  <c r="AU24" i="1"/>
  <c r="AR24" i="1"/>
  <c r="AP24" i="1"/>
  <c r="AO24" i="1"/>
  <c r="AN24" i="1"/>
  <c r="AI24" i="1"/>
  <c r="AT24" i="1" s="1"/>
  <c r="AH24" i="1"/>
  <c r="AF24" i="1"/>
  <c r="AE24" i="1"/>
  <c r="AD24" i="1"/>
  <c r="AC24" i="1"/>
  <c r="AB24" i="1"/>
  <c r="AA24" i="1"/>
  <c r="Z24" i="1"/>
  <c r="Y24" i="1"/>
  <c r="X24" i="1"/>
  <c r="W24" i="1"/>
  <c r="P24" i="1"/>
  <c r="O24" i="1"/>
  <c r="AQ24" i="1" s="1"/>
  <c r="N24" i="1"/>
  <c r="M24" i="1"/>
  <c r="AU23" i="1"/>
  <c r="AP23" i="1"/>
  <c r="AO23" i="1"/>
  <c r="AI23" i="1"/>
  <c r="AN23" i="1" s="1"/>
  <c r="AH23" i="1"/>
  <c r="AF23" i="1"/>
  <c r="AE23" i="1"/>
  <c r="AD23" i="1"/>
  <c r="AC23" i="1"/>
  <c r="AA23" i="1"/>
  <c r="Z23" i="1"/>
  <c r="Y23" i="1"/>
  <c r="X23" i="1"/>
  <c r="W23" i="1"/>
  <c r="P23" i="1"/>
  <c r="O23" i="1"/>
  <c r="AQ23" i="1" s="1"/>
  <c r="N23" i="1"/>
  <c r="M23" i="1"/>
  <c r="AU22" i="1"/>
  <c r="AT22" i="1"/>
  <c r="AP22" i="1"/>
  <c r="AN22" i="1"/>
  <c r="AJ22" i="1"/>
  <c r="AI22" i="1"/>
  <c r="AH22" i="1"/>
  <c r="AF22" i="1"/>
  <c r="AE22" i="1"/>
  <c r="AD22" i="1"/>
  <c r="AA22" i="1"/>
  <c r="Z22" i="1"/>
  <c r="Y22" i="1"/>
  <c r="X22" i="1"/>
  <c r="W22" i="1"/>
  <c r="P22" i="1"/>
  <c r="O22" i="1"/>
  <c r="AQ22" i="1" s="1"/>
  <c r="N22" i="1"/>
  <c r="M22" i="1"/>
  <c r="AR22" i="1" s="1"/>
  <c r="AU21" i="1"/>
  <c r="AP21" i="1"/>
  <c r="AN21" i="1"/>
  <c r="AI21" i="1"/>
  <c r="AT21" i="1" s="1"/>
  <c r="AH21" i="1"/>
  <c r="AF21" i="1"/>
  <c r="AE21" i="1"/>
  <c r="AA21" i="1"/>
  <c r="Z21" i="1"/>
  <c r="Y21" i="1"/>
  <c r="X21" i="1"/>
  <c r="W21" i="1"/>
  <c r="P21" i="1"/>
  <c r="O21" i="1"/>
  <c r="AD21" i="1" s="1"/>
  <c r="N21" i="1"/>
  <c r="AO21" i="1" s="1"/>
  <c r="M21" i="1"/>
  <c r="AR21" i="1" s="1"/>
  <c r="AU20" i="1"/>
  <c r="AR20" i="1"/>
  <c r="AP20" i="1"/>
  <c r="AI20" i="1"/>
  <c r="AH20" i="1"/>
  <c r="AF20" i="1"/>
  <c r="AE20" i="1"/>
  <c r="AC20" i="1"/>
  <c r="AB20" i="1"/>
  <c r="AA20" i="1"/>
  <c r="Z20" i="1"/>
  <c r="Y20" i="1"/>
  <c r="X20" i="1"/>
  <c r="W20" i="1"/>
  <c r="P20" i="1"/>
  <c r="O20" i="1"/>
  <c r="AQ20" i="1" s="1"/>
  <c r="N20" i="1"/>
  <c r="AO20" i="1" s="1"/>
  <c r="M20" i="1"/>
  <c r="AU19" i="1"/>
  <c r="AT19" i="1"/>
  <c r="AR19" i="1"/>
  <c r="AP19" i="1"/>
  <c r="AN19" i="1"/>
  <c r="AJ19" i="1"/>
  <c r="AI19" i="1"/>
  <c r="AH19" i="1"/>
  <c r="AF19" i="1"/>
  <c r="AE19" i="1"/>
  <c r="AD19" i="1"/>
  <c r="AC19" i="1"/>
  <c r="AB19" i="1"/>
  <c r="AA19" i="1"/>
  <c r="Z19" i="1"/>
  <c r="Y19" i="1"/>
  <c r="X19" i="1"/>
  <c r="W19" i="1"/>
  <c r="P19" i="1"/>
  <c r="O19" i="1"/>
  <c r="AQ19" i="1" s="1"/>
  <c r="N19" i="1"/>
  <c r="AO19" i="1" s="1"/>
  <c r="M19" i="1"/>
  <c r="AU18" i="1"/>
  <c r="AP18" i="1"/>
  <c r="AO18" i="1"/>
  <c r="AN18" i="1"/>
  <c r="AI18" i="1"/>
  <c r="AT18" i="1" s="1"/>
  <c r="AH18" i="1"/>
  <c r="AF18" i="1"/>
  <c r="AE18" i="1"/>
  <c r="AD18" i="1"/>
  <c r="AC18" i="1"/>
  <c r="AA18" i="1"/>
  <c r="Z18" i="1"/>
  <c r="Y18" i="1"/>
  <c r="X18" i="1"/>
  <c r="W18" i="1"/>
  <c r="P18" i="1"/>
  <c r="O18" i="1"/>
  <c r="AQ18" i="1" s="1"/>
  <c r="N18" i="1"/>
  <c r="M18" i="1"/>
  <c r="AR18" i="1" s="1"/>
  <c r="AU17" i="1"/>
  <c r="AP17" i="1"/>
  <c r="AO17" i="1"/>
  <c r="AI17" i="1"/>
  <c r="AN17" i="1" s="1"/>
  <c r="AH17" i="1"/>
  <c r="AF17" i="1"/>
  <c r="AE17" i="1"/>
  <c r="AD17" i="1"/>
  <c r="AA17" i="1"/>
  <c r="Z17" i="1"/>
  <c r="Y17" i="1"/>
  <c r="X17" i="1"/>
  <c r="W17" i="1"/>
  <c r="P17" i="1"/>
  <c r="O17" i="1"/>
  <c r="AQ17" i="1" s="1"/>
  <c r="N17" i="1"/>
  <c r="AC17" i="1" s="1"/>
  <c r="M17" i="1"/>
  <c r="AU16" i="1"/>
  <c r="AT16" i="1"/>
  <c r="AP16" i="1"/>
  <c r="AN16" i="1"/>
  <c r="AJ16" i="1"/>
  <c r="AI16" i="1"/>
  <c r="AH16" i="1"/>
  <c r="AF16" i="1"/>
  <c r="AE16" i="1"/>
  <c r="AA16" i="1"/>
  <c r="Z16" i="1"/>
  <c r="Y16" i="1"/>
  <c r="X16" i="1"/>
  <c r="W16" i="1"/>
  <c r="P16" i="1"/>
  <c r="O16" i="1"/>
  <c r="AD16" i="1" s="1"/>
  <c r="N16" i="1"/>
  <c r="M16" i="1"/>
  <c r="AR16" i="1" s="1"/>
  <c r="AU15" i="1"/>
  <c r="AR15" i="1"/>
  <c r="AQ15" i="1"/>
  <c r="AP15" i="1"/>
  <c r="AI15" i="1"/>
  <c r="AN15" i="1" s="1"/>
  <c r="AH15" i="1"/>
  <c r="AF15" i="1"/>
  <c r="AE15" i="1"/>
  <c r="AB15" i="1"/>
  <c r="AA15" i="1"/>
  <c r="Z15" i="1"/>
  <c r="Y15" i="1"/>
  <c r="X15" i="1"/>
  <c r="W15" i="1"/>
  <c r="P15" i="1"/>
  <c r="O15" i="1"/>
  <c r="AD15" i="1" s="1"/>
  <c r="N15" i="1"/>
  <c r="AO15" i="1" s="1"/>
  <c r="M15" i="1"/>
  <c r="AU14" i="1"/>
  <c r="AR14" i="1"/>
  <c r="AP14" i="1"/>
  <c r="AI14" i="1"/>
  <c r="AH14" i="1"/>
  <c r="AF14" i="1"/>
  <c r="AE14" i="1"/>
  <c r="AC14" i="1"/>
  <c r="AB14" i="1"/>
  <c r="AA14" i="1"/>
  <c r="Z14" i="1"/>
  <c r="Y14" i="1"/>
  <c r="X14" i="1"/>
  <c r="W14" i="1"/>
  <c r="P14" i="1"/>
  <c r="O14" i="1"/>
  <c r="AQ14" i="1" s="1"/>
  <c r="N14" i="1"/>
  <c r="AO14" i="1" s="1"/>
  <c r="M14" i="1"/>
  <c r="AU13" i="1"/>
  <c r="AT13" i="1"/>
  <c r="AR13" i="1"/>
  <c r="AP13" i="1"/>
  <c r="AN13" i="1"/>
  <c r="AJ13" i="1"/>
  <c r="AI13" i="1"/>
  <c r="AH13" i="1"/>
  <c r="AF13" i="1"/>
  <c r="AE13" i="1"/>
  <c r="AD13" i="1"/>
  <c r="AC13" i="1"/>
  <c r="AB13" i="1"/>
  <c r="AA13" i="1"/>
  <c r="Z13" i="1"/>
  <c r="Y13" i="1"/>
  <c r="X13" i="1"/>
  <c r="W13" i="1"/>
  <c r="P13" i="1"/>
  <c r="O13" i="1"/>
  <c r="AQ13" i="1" s="1"/>
  <c r="N13" i="1"/>
  <c r="AO13" i="1" s="1"/>
  <c r="AV13" i="1" s="1"/>
  <c r="M13" i="1"/>
  <c r="AU12" i="1"/>
  <c r="AP12" i="1"/>
  <c r="AO12" i="1"/>
  <c r="AN12" i="1"/>
  <c r="AI12" i="1"/>
  <c r="AT12" i="1" s="1"/>
  <c r="AH12" i="1"/>
  <c r="AF12" i="1"/>
  <c r="AE12" i="1"/>
  <c r="AC12" i="1"/>
  <c r="AA12" i="1"/>
  <c r="Z12" i="1"/>
  <c r="Y12" i="1"/>
  <c r="X12" i="1"/>
  <c r="W12" i="1"/>
  <c r="P12" i="1"/>
  <c r="O12" i="1"/>
  <c r="AQ12" i="1" s="1"/>
  <c r="N12" i="1"/>
  <c r="M12" i="1"/>
  <c r="AU11" i="1"/>
  <c r="AR11" i="1"/>
  <c r="AP11" i="1"/>
  <c r="AJ11" i="1"/>
  <c r="AI11" i="1"/>
  <c r="AT11" i="1" s="1"/>
  <c r="AH11" i="1"/>
  <c r="AF11" i="1"/>
  <c r="AE11" i="1"/>
  <c r="AD11" i="1"/>
  <c r="AA11" i="1"/>
  <c r="Z11" i="1"/>
  <c r="Y11" i="1"/>
  <c r="X11" i="1"/>
  <c r="W11" i="1"/>
  <c r="P11" i="1"/>
  <c r="O11" i="1"/>
  <c r="AQ11" i="1" s="1"/>
  <c r="N11" i="1"/>
  <c r="AC11" i="1" s="1"/>
  <c r="M11" i="1"/>
  <c r="AB11" i="1" s="1"/>
  <c r="AU10" i="1"/>
  <c r="AT10" i="1"/>
  <c r="AQ10" i="1"/>
  <c r="AP10" i="1"/>
  <c r="AN10" i="1"/>
  <c r="AJ10" i="1"/>
  <c r="AI10" i="1"/>
  <c r="AH10" i="1"/>
  <c r="AF10" i="1"/>
  <c r="AE10" i="1"/>
  <c r="AA10" i="1"/>
  <c r="Z10" i="1"/>
  <c r="Y10" i="1"/>
  <c r="X10" i="1"/>
  <c r="W10" i="1"/>
  <c r="P10" i="1"/>
  <c r="O10" i="1"/>
  <c r="AD10" i="1" s="1"/>
  <c r="N10" i="1"/>
  <c r="AC10" i="1" s="1"/>
  <c r="M10" i="1"/>
  <c r="AU9" i="1"/>
  <c r="AR9" i="1"/>
  <c r="AQ9" i="1"/>
  <c r="AP9" i="1"/>
  <c r="AO9" i="1"/>
  <c r="AN9" i="1"/>
  <c r="AI9" i="1"/>
  <c r="AH9" i="1"/>
  <c r="AF9" i="1"/>
  <c r="AE9" i="1"/>
  <c r="AD9" i="1"/>
  <c r="AB9" i="1"/>
  <c r="AA9" i="1"/>
  <c r="Z9" i="1"/>
  <c r="Y9" i="1"/>
  <c r="X9" i="1"/>
  <c r="W9" i="1"/>
  <c r="P9" i="1"/>
  <c r="O9" i="1"/>
  <c r="N9" i="1"/>
  <c r="AC9" i="1" s="1"/>
  <c r="M9" i="1"/>
  <c r="AU8" i="1"/>
  <c r="AQ8" i="1"/>
  <c r="AP8" i="1"/>
  <c r="AO8" i="1"/>
  <c r="AJ8" i="1"/>
  <c r="AI8" i="1"/>
  <c r="AN8" i="1" s="1"/>
  <c r="AH8" i="1"/>
  <c r="AF8" i="1"/>
  <c r="AE8" i="1"/>
  <c r="AD8" i="1"/>
  <c r="AC8" i="1"/>
  <c r="AB8" i="1"/>
  <c r="AA8" i="1"/>
  <c r="Z8" i="1"/>
  <c r="Y8" i="1"/>
  <c r="X8" i="1"/>
  <c r="W8" i="1"/>
  <c r="P8" i="1"/>
  <c r="O8" i="1"/>
  <c r="N8" i="1"/>
  <c r="M8" i="1"/>
  <c r="AR8" i="1" s="1"/>
  <c r="AU7" i="1"/>
  <c r="AT7" i="1"/>
  <c r="AP7" i="1"/>
  <c r="AO7" i="1"/>
  <c r="AN7" i="1"/>
  <c r="AJ7" i="1"/>
  <c r="AI7" i="1"/>
  <c r="AH7" i="1"/>
  <c r="AF7" i="1"/>
  <c r="AE7" i="1"/>
  <c r="AD7" i="1"/>
  <c r="AC7" i="1"/>
  <c r="AA7" i="1"/>
  <c r="Z7" i="1"/>
  <c r="Y7" i="1"/>
  <c r="X7" i="1"/>
  <c r="W7" i="1"/>
  <c r="P7" i="1"/>
  <c r="O7" i="1"/>
  <c r="AQ7" i="1" s="1"/>
  <c r="N7" i="1"/>
  <c r="M7" i="1"/>
  <c r="AR7" i="1" s="1"/>
  <c r="AU6" i="1"/>
  <c r="AP6" i="1"/>
  <c r="AN6" i="1"/>
  <c r="AI6" i="1"/>
  <c r="AT6" i="1" s="1"/>
  <c r="AH6" i="1"/>
  <c r="AF6" i="1"/>
  <c r="AE6" i="1"/>
  <c r="AD6" i="1"/>
  <c r="AA6" i="1"/>
  <c r="Z6" i="1"/>
  <c r="Y6" i="1"/>
  <c r="X6" i="1"/>
  <c r="W6" i="1"/>
  <c r="P6" i="1"/>
  <c r="O6" i="1"/>
  <c r="AQ6" i="1" s="1"/>
  <c r="N6" i="1"/>
  <c r="AC6" i="1" s="1"/>
  <c r="M6" i="1"/>
  <c r="AR6" i="1" s="1"/>
  <c r="AU5" i="1"/>
  <c r="AT5" i="1"/>
  <c r="AP5" i="1"/>
  <c r="AJ5" i="1"/>
  <c r="AI5" i="1"/>
  <c r="AN5" i="1" s="1"/>
  <c r="AH5" i="1"/>
  <c r="AF5" i="1"/>
  <c r="AE5" i="1"/>
  <c r="AA5" i="1"/>
  <c r="Z5" i="1"/>
  <c r="Y5" i="1"/>
  <c r="X5" i="1"/>
  <c r="W5" i="1"/>
  <c r="P5" i="1"/>
  <c r="O5" i="1"/>
  <c r="AD5" i="1" s="1"/>
  <c r="N5" i="1"/>
  <c r="AC5" i="1" s="1"/>
  <c r="M5" i="1"/>
  <c r="AR5" i="1" s="1"/>
  <c r="AU4" i="1"/>
  <c r="AR4" i="1"/>
  <c r="AP4" i="1"/>
  <c r="AI4" i="1"/>
  <c r="AN4" i="1" s="1"/>
  <c r="AH4" i="1"/>
  <c r="AF4" i="1"/>
  <c r="AE4" i="1"/>
  <c r="AB4" i="1"/>
  <c r="AA4" i="1"/>
  <c r="Z4" i="1"/>
  <c r="Y4" i="1"/>
  <c r="X4" i="1"/>
  <c r="W4" i="1"/>
  <c r="P4" i="1"/>
  <c r="O4" i="1"/>
  <c r="AD4" i="1" s="1"/>
  <c r="N4" i="1"/>
  <c r="AO4" i="1" s="1"/>
  <c r="M4" i="1"/>
  <c r="AP6" i="21"/>
  <c r="AI6" i="21"/>
  <c r="AH6" i="21"/>
  <c r="AF6" i="21"/>
  <c r="AE6" i="21"/>
  <c r="AB6" i="21"/>
  <c r="AA6" i="21"/>
  <c r="Z6" i="21"/>
  <c r="Y6" i="21"/>
  <c r="X6" i="21"/>
  <c r="W6" i="21"/>
  <c r="P6" i="21"/>
  <c r="O6" i="21"/>
  <c r="AD6" i="21" s="1"/>
  <c r="N6" i="21"/>
  <c r="AO6" i="21" s="1"/>
  <c r="AV6" i="21" s="1"/>
  <c r="M6" i="21"/>
  <c r="AI5" i="21"/>
  <c r="AH5" i="21"/>
  <c r="W5" i="21"/>
  <c r="AI4" i="21"/>
  <c r="AU3" i="21"/>
  <c r="AO3" i="21"/>
  <c r="AI3" i="21"/>
  <c r="AH3" i="21"/>
  <c r="AN2" i="21"/>
  <c r="AM2" i="21"/>
  <c r="AL2" i="21"/>
  <c r="AK2" i="21"/>
  <c r="AJ2" i="21"/>
  <c r="AA2" i="21"/>
  <c r="A2" i="21"/>
  <c r="AU1" i="21"/>
  <c r="AU6" i="21" s="1"/>
  <c r="AR1" i="21"/>
  <c r="AQ1" i="21"/>
  <c r="AQ3" i="21" s="1"/>
  <c r="AP1" i="21"/>
  <c r="AP3" i="21" s="1"/>
  <c r="AO1" i="21"/>
  <c r="AA1" i="21"/>
  <c r="A1" i="21"/>
  <c r="AJ1" i="21" s="1"/>
  <c r="AP49" i="20"/>
  <c r="AO49" i="20"/>
  <c r="AV49" i="20" s="1"/>
  <c r="AI49" i="20"/>
  <c r="AT49" i="20" s="1"/>
  <c r="AH49" i="20"/>
  <c r="AF49" i="20"/>
  <c r="AE49" i="20"/>
  <c r="AA49" i="20"/>
  <c r="Z49" i="20"/>
  <c r="Y49" i="20"/>
  <c r="X49" i="20"/>
  <c r="W49" i="20"/>
  <c r="P49" i="20"/>
  <c r="O49" i="20"/>
  <c r="N49" i="20"/>
  <c r="AC49" i="20" s="1"/>
  <c r="M49" i="20"/>
  <c r="AP48" i="20"/>
  <c r="AI48" i="20"/>
  <c r="AH48" i="20"/>
  <c r="AF48" i="20"/>
  <c r="AE48" i="20"/>
  <c r="AB48" i="20"/>
  <c r="AA48" i="20"/>
  <c r="Z48" i="20"/>
  <c r="Y48" i="20"/>
  <c r="X48" i="20"/>
  <c r="W48" i="20"/>
  <c r="P48" i="20"/>
  <c r="O48" i="20"/>
  <c r="AD48" i="20" s="1"/>
  <c r="N48" i="20"/>
  <c r="AO48" i="20" s="1"/>
  <c r="AV48" i="20" s="1"/>
  <c r="M48" i="20"/>
  <c r="AT47" i="20"/>
  <c r="AP47" i="20"/>
  <c r="AJ47" i="20"/>
  <c r="AI47" i="20"/>
  <c r="AN47" i="20" s="1"/>
  <c r="AH47" i="20"/>
  <c r="AF47" i="20"/>
  <c r="AE47" i="20"/>
  <c r="AC47" i="20"/>
  <c r="AB47" i="20"/>
  <c r="AA47" i="20"/>
  <c r="Z47" i="20"/>
  <c r="Y47" i="20"/>
  <c r="X47" i="20"/>
  <c r="W47" i="20"/>
  <c r="P47" i="20"/>
  <c r="O47" i="20"/>
  <c r="AD47" i="20" s="1"/>
  <c r="N47" i="20"/>
  <c r="AO47" i="20" s="1"/>
  <c r="AV47" i="20" s="1"/>
  <c r="M47" i="20"/>
  <c r="AU46" i="20"/>
  <c r="AN46" i="20"/>
  <c r="AI46" i="20"/>
  <c r="AT46" i="20" s="1"/>
  <c r="AH46" i="20"/>
  <c r="AF46" i="20"/>
  <c r="AE46" i="20"/>
  <c r="AD46" i="20"/>
  <c r="AC46" i="20"/>
  <c r="AB46" i="20"/>
  <c r="AA46" i="20"/>
  <c r="Z46" i="20"/>
  <c r="Y46" i="20"/>
  <c r="X46" i="20"/>
  <c r="W46" i="20"/>
  <c r="P46" i="20"/>
  <c r="O46" i="20"/>
  <c r="N46" i="20"/>
  <c r="AO46" i="20" s="1"/>
  <c r="M46" i="20"/>
  <c r="AT45" i="20"/>
  <c r="AO45" i="20"/>
  <c r="AI45" i="20"/>
  <c r="AH45" i="20"/>
  <c r="AF45" i="20"/>
  <c r="AE45" i="20"/>
  <c r="AD45" i="20"/>
  <c r="AC45" i="20"/>
  <c r="AA45" i="20"/>
  <c r="Z45" i="20"/>
  <c r="Y45" i="20"/>
  <c r="X45" i="20"/>
  <c r="W45" i="20"/>
  <c r="P45" i="20"/>
  <c r="O45" i="20"/>
  <c r="N45" i="20"/>
  <c r="M45" i="20"/>
  <c r="AT44" i="20"/>
  <c r="AI44" i="20"/>
  <c r="AH44" i="20"/>
  <c r="AF44" i="20"/>
  <c r="AE44" i="20"/>
  <c r="AD44" i="20"/>
  <c r="AA44" i="20"/>
  <c r="Z44" i="20"/>
  <c r="Y44" i="20"/>
  <c r="X44" i="20"/>
  <c r="W44" i="20"/>
  <c r="P44" i="20"/>
  <c r="O44" i="20"/>
  <c r="N44" i="20"/>
  <c r="M44" i="20"/>
  <c r="AP43" i="20"/>
  <c r="AO43" i="20"/>
  <c r="AV43" i="20" s="1"/>
  <c r="AI43" i="20"/>
  <c r="AT43" i="20" s="1"/>
  <c r="AH43" i="20"/>
  <c r="AF43" i="20"/>
  <c r="AE43" i="20"/>
  <c r="AA43" i="20"/>
  <c r="Z43" i="20"/>
  <c r="Y43" i="20"/>
  <c r="X43" i="20"/>
  <c r="W43" i="20"/>
  <c r="P43" i="20"/>
  <c r="O43" i="20"/>
  <c r="AD43" i="20" s="1"/>
  <c r="N43" i="20"/>
  <c r="AC43" i="20" s="1"/>
  <c r="M43" i="20"/>
  <c r="AI42" i="20"/>
  <c r="AH42" i="20"/>
  <c r="W42" i="20"/>
  <c r="AT41" i="20"/>
  <c r="AO41" i="20"/>
  <c r="AI41" i="20"/>
  <c r="AN41" i="20" s="1"/>
  <c r="AH41" i="20"/>
  <c r="AF41" i="20"/>
  <c r="AE41" i="20"/>
  <c r="AD41" i="20"/>
  <c r="AC41" i="20"/>
  <c r="AA41" i="20"/>
  <c r="Z41" i="20"/>
  <c r="Y41" i="20"/>
  <c r="X41" i="20"/>
  <c r="W41" i="20"/>
  <c r="P41" i="20"/>
  <c r="O41" i="20"/>
  <c r="N41" i="20"/>
  <c r="M41" i="20"/>
  <c r="AT40" i="20"/>
  <c r="AI40" i="20"/>
  <c r="AH40" i="20"/>
  <c r="AF40" i="20"/>
  <c r="AE40" i="20"/>
  <c r="AD40" i="20"/>
  <c r="AA40" i="20"/>
  <c r="Z40" i="20"/>
  <c r="Y40" i="20"/>
  <c r="X40" i="20"/>
  <c r="W40" i="20"/>
  <c r="P40" i="20"/>
  <c r="O40" i="20"/>
  <c r="AQ40" i="20" s="1"/>
  <c r="N40" i="20"/>
  <c r="M40" i="20"/>
  <c r="AI39" i="20"/>
  <c r="AH39" i="20"/>
  <c r="W39" i="20"/>
  <c r="AU38" i="20"/>
  <c r="AN38" i="20"/>
  <c r="AI38" i="20"/>
  <c r="AT38" i="20" s="1"/>
  <c r="AH38" i="20"/>
  <c r="AF38" i="20"/>
  <c r="AE38" i="20"/>
  <c r="AD38" i="20"/>
  <c r="AB38" i="20"/>
  <c r="AA38" i="20"/>
  <c r="Z38" i="20"/>
  <c r="Y38" i="20"/>
  <c r="X38" i="20"/>
  <c r="W38" i="20"/>
  <c r="P38" i="20"/>
  <c r="O38" i="20"/>
  <c r="N38" i="20"/>
  <c r="AC38" i="20" s="1"/>
  <c r="M38" i="20"/>
  <c r="AT37" i="20"/>
  <c r="AO37" i="20"/>
  <c r="AI37" i="20"/>
  <c r="AN37" i="20" s="1"/>
  <c r="AH37" i="20"/>
  <c r="AF37" i="20"/>
  <c r="AE37" i="20"/>
  <c r="AC37" i="20"/>
  <c r="AA37" i="20"/>
  <c r="Z37" i="20"/>
  <c r="Y37" i="20"/>
  <c r="X37" i="20"/>
  <c r="W37" i="20"/>
  <c r="P37" i="20"/>
  <c r="O37" i="20"/>
  <c r="AQ37" i="20" s="1"/>
  <c r="N37" i="20"/>
  <c r="M37" i="20"/>
  <c r="AI36" i="20"/>
  <c r="AH36" i="20"/>
  <c r="W36" i="20"/>
  <c r="AT35" i="20"/>
  <c r="AP35" i="20"/>
  <c r="AJ35" i="20"/>
  <c r="AI35" i="20"/>
  <c r="AH35" i="20"/>
  <c r="AF35" i="20"/>
  <c r="AE35" i="20"/>
  <c r="AC35" i="20"/>
  <c r="AA35" i="20"/>
  <c r="Z35" i="20"/>
  <c r="Y35" i="20"/>
  <c r="X35" i="20"/>
  <c r="W35" i="20"/>
  <c r="P35" i="20"/>
  <c r="O35" i="20"/>
  <c r="AD35" i="20" s="1"/>
  <c r="N35" i="20"/>
  <c r="AO35" i="20" s="1"/>
  <c r="AV35" i="20" s="1"/>
  <c r="M35" i="20"/>
  <c r="AR35" i="20" s="1"/>
  <c r="AU34" i="20"/>
  <c r="AN34" i="20"/>
  <c r="AI34" i="20"/>
  <c r="AT34" i="20" s="1"/>
  <c r="AH34" i="20"/>
  <c r="AF34" i="20"/>
  <c r="AE34" i="20"/>
  <c r="AD34" i="20"/>
  <c r="AB34" i="20"/>
  <c r="AA34" i="20"/>
  <c r="Z34" i="20"/>
  <c r="Y34" i="20"/>
  <c r="X34" i="20"/>
  <c r="W34" i="20"/>
  <c r="P34" i="20"/>
  <c r="O34" i="20"/>
  <c r="N34" i="20"/>
  <c r="AO34" i="20" s="1"/>
  <c r="M34" i="20"/>
  <c r="AI33" i="20"/>
  <c r="AH33" i="20"/>
  <c r="W33" i="20"/>
  <c r="AR32" i="20"/>
  <c r="AI32" i="20"/>
  <c r="AH32" i="20"/>
  <c r="AF32" i="20"/>
  <c r="AE32" i="20"/>
  <c r="AB32" i="20"/>
  <c r="AA32" i="20"/>
  <c r="Z32" i="20"/>
  <c r="Y32" i="20"/>
  <c r="X32" i="20"/>
  <c r="W32" i="20"/>
  <c r="P32" i="20"/>
  <c r="O32" i="20"/>
  <c r="AD32" i="20" s="1"/>
  <c r="N32" i="20"/>
  <c r="AO32" i="20" s="1"/>
  <c r="M32" i="20"/>
  <c r="AT31" i="20"/>
  <c r="AJ31" i="20"/>
  <c r="AI31" i="20"/>
  <c r="AN31" i="20" s="1"/>
  <c r="AH31" i="20"/>
  <c r="AF31" i="20"/>
  <c r="AE31" i="20"/>
  <c r="AC31" i="20"/>
  <c r="AA31" i="20"/>
  <c r="Z31" i="20"/>
  <c r="Y31" i="20"/>
  <c r="X31" i="20"/>
  <c r="W31" i="20"/>
  <c r="P31" i="20"/>
  <c r="O31" i="20"/>
  <c r="AD31" i="20" s="1"/>
  <c r="N31" i="20"/>
  <c r="AO31" i="20" s="1"/>
  <c r="M31" i="20"/>
  <c r="AR31" i="20" s="1"/>
  <c r="AI30" i="20"/>
  <c r="AH30" i="20"/>
  <c r="W30" i="20"/>
  <c r="AI29" i="20"/>
  <c r="AT29" i="20" s="1"/>
  <c r="AH29" i="20"/>
  <c r="AF29" i="20"/>
  <c r="AE29" i="20"/>
  <c r="AA29" i="20"/>
  <c r="Z29" i="20"/>
  <c r="Y29" i="20"/>
  <c r="X29" i="20"/>
  <c r="W29" i="20"/>
  <c r="P29" i="20"/>
  <c r="O29" i="20"/>
  <c r="N29" i="20"/>
  <c r="AC29" i="20" s="1"/>
  <c r="M29" i="20"/>
  <c r="AI28" i="20"/>
  <c r="AH28" i="20"/>
  <c r="AF28" i="20"/>
  <c r="AE28" i="20"/>
  <c r="AB28" i="20"/>
  <c r="AA28" i="20"/>
  <c r="Z28" i="20"/>
  <c r="Y28" i="20"/>
  <c r="X28" i="20"/>
  <c r="W28" i="20"/>
  <c r="P28" i="20"/>
  <c r="O28" i="20"/>
  <c r="AD28" i="20" s="1"/>
  <c r="N28" i="20"/>
  <c r="AO28" i="20" s="1"/>
  <c r="M28" i="20"/>
  <c r="AI27" i="20"/>
  <c r="AH27" i="20"/>
  <c r="W27" i="20"/>
  <c r="AT26" i="20"/>
  <c r="AI26" i="20"/>
  <c r="AH26" i="20"/>
  <c r="AF26" i="20"/>
  <c r="AE26" i="20"/>
  <c r="AD26" i="20"/>
  <c r="AA26" i="20"/>
  <c r="Z26" i="20"/>
  <c r="Y26" i="20"/>
  <c r="X26" i="20"/>
  <c r="W26" i="20"/>
  <c r="P26" i="20"/>
  <c r="O26" i="20"/>
  <c r="AQ26" i="20" s="1"/>
  <c r="N26" i="20"/>
  <c r="M26" i="20"/>
  <c r="AI25" i="20"/>
  <c r="AT25" i="20" s="1"/>
  <c r="AH25" i="20"/>
  <c r="AF25" i="20"/>
  <c r="AE25" i="20"/>
  <c r="AA25" i="20"/>
  <c r="Z25" i="20"/>
  <c r="Y25" i="20"/>
  <c r="X25" i="20"/>
  <c r="W25" i="20"/>
  <c r="P25" i="20"/>
  <c r="O25" i="20"/>
  <c r="N25" i="20"/>
  <c r="AC25" i="20" s="1"/>
  <c r="M25" i="20"/>
  <c r="AR24" i="20"/>
  <c r="AI24" i="20"/>
  <c r="AH24" i="20"/>
  <c r="AF24" i="20"/>
  <c r="AE24" i="20"/>
  <c r="AB24" i="20"/>
  <c r="AA24" i="20"/>
  <c r="Z24" i="20"/>
  <c r="Y24" i="20"/>
  <c r="X24" i="20"/>
  <c r="W24" i="20"/>
  <c r="P24" i="20"/>
  <c r="O24" i="20"/>
  <c r="AD24" i="20" s="1"/>
  <c r="N24" i="20"/>
  <c r="AO24" i="20" s="1"/>
  <c r="M24" i="20"/>
  <c r="AI23" i="20"/>
  <c r="AH23" i="20"/>
  <c r="W23" i="20"/>
  <c r="AT22" i="20"/>
  <c r="AI22" i="20"/>
  <c r="AH22" i="20"/>
  <c r="AF22" i="20"/>
  <c r="AE22" i="20"/>
  <c r="AD22" i="20"/>
  <c r="AA22" i="20"/>
  <c r="Z22" i="20"/>
  <c r="Y22" i="20"/>
  <c r="X22" i="20"/>
  <c r="W22" i="20"/>
  <c r="P22" i="20"/>
  <c r="O22" i="20"/>
  <c r="N22" i="20"/>
  <c r="M22" i="20"/>
  <c r="AI21" i="20"/>
  <c r="AT21" i="20" s="1"/>
  <c r="AH21" i="20"/>
  <c r="AF21" i="20"/>
  <c r="AE21" i="20"/>
  <c r="AA21" i="20"/>
  <c r="Z21" i="20"/>
  <c r="Y21" i="20"/>
  <c r="X21" i="20"/>
  <c r="W21" i="20"/>
  <c r="P21" i="20"/>
  <c r="O21" i="20"/>
  <c r="N21" i="20"/>
  <c r="AC21" i="20" s="1"/>
  <c r="M21" i="20"/>
  <c r="AR21" i="20" s="1"/>
  <c r="AI20" i="20"/>
  <c r="AH20" i="20"/>
  <c r="AF20" i="20"/>
  <c r="AE20" i="20"/>
  <c r="AB20" i="20"/>
  <c r="AA20" i="20"/>
  <c r="Z20" i="20"/>
  <c r="Y20" i="20"/>
  <c r="X20" i="20"/>
  <c r="W20" i="20"/>
  <c r="P20" i="20"/>
  <c r="O20" i="20"/>
  <c r="AD20" i="20" s="1"/>
  <c r="N20" i="20"/>
  <c r="AO20" i="20" s="1"/>
  <c r="M20" i="20"/>
  <c r="AI19" i="20"/>
  <c r="AH19" i="20"/>
  <c r="W19" i="20"/>
  <c r="AT18" i="20"/>
  <c r="AI18" i="20"/>
  <c r="AH18" i="20"/>
  <c r="AF18" i="20"/>
  <c r="AE18" i="20"/>
  <c r="AD18" i="20"/>
  <c r="AA18" i="20"/>
  <c r="Z18" i="20"/>
  <c r="Y18" i="20"/>
  <c r="X18" i="20"/>
  <c r="W18" i="20"/>
  <c r="P18" i="20"/>
  <c r="O18" i="20"/>
  <c r="AQ18" i="20" s="1"/>
  <c r="N18" i="20"/>
  <c r="M18" i="20"/>
  <c r="AR18" i="20" s="1"/>
  <c r="AI17" i="20"/>
  <c r="AH17" i="20"/>
  <c r="W17" i="20"/>
  <c r="AU16" i="20"/>
  <c r="AP16" i="20"/>
  <c r="AN16" i="20"/>
  <c r="AI16" i="20"/>
  <c r="AT16" i="20" s="1"/>
  <c r="AH16" i="20"/>
  <c r="AF16" i="20"/>
  <c r="AE16" i="20"/>
  <c r="AD16" i="20"/>
  <c r="AB16" i="20"/>
  <c r="AA16" i="20"/>
  <c r="Z16" i="20"/>
  <c r="Y16" i="20"/>
  <c r="X16" i="20"/>
  <c r="W16" i="20"/>
  <c r="P16" i="20"/>
  <c r="O16" i="20"/>
  <c r="N16" i="20"/>
  <c r="AO16" i="20" s="1"/>
  <c r="AV16" i="20" s="1"/>
  <c r="M16" i="20"/>
  <c r="AT15" i="20"/>
  <c r="AP15" i="20"/>
  <c r="AO15" i="20"/>
  <c r="AV15" i="20" s="1"/>
  <c r="AJ15" i="20"/>
  <c r="AI15" i="20"/>
  <c r="AN15" i="20" s="1"/>
  <c r="AH15" i="20"/>
  <c r="AF15" i="20"/>
  <c r="AE15" i="20"/>
  <c r="AC15" i="20"/>
  <c r="AA15" i="20"/>
  <c r="Z15" i="20"/>
  <c r="Y15" i="20"/>
  <c r="X15" i="20"/>
  <c r="W15" i="20"/>
  <c r="P15" i="20"/>
  <c r="O15" i="20"/>
  <c r="N15" i="20"/>
  <c r="M15" i="20"/>
  <c r="AT14" i="20"/>
  <c r="AP14" i="20"/>
  <c r="AN14" i="20"/>
  <c r="AI14" i="20"/>
  <c r="AH14" i="20"/>
  <c r="AF14" i="20"/>
  <c r="AE14" i="20"/>
  <c r="AD14" i="20"/>
  <c r="AB14" i="20"/>
  <c r="AA14" i="20"/>
  <c r="Z14" i="20"/>
  <c r="Y14" i="20"/>
  <c r="X14" i="20"/>
  <c r="W14" i="20"/>
  <c r="P14" i="20"/>
  <c r="O14" i="20"/>
  <c r="N14" i="20"/>
  <c r="M14" i="20"/>
  <c r="AI13" i="20"/>
  <c r="AH13" i="20"/>
  <c r="W13" i="20"/>
  <c r="AU12" i="20"/>
  <c r="AP12" i="20"/>
  <c r="AN12" i="20"/>
  <c r="AI12" i="20"/>
  <c r="AT12" i="20" s="1"/>
  <c r="AH12" i="20"/>
  <c r="AF12" i="20"/>
  <c r="AE12" i="20"/>
  <c r="AD12" i="20"/>
  <c r="AB12" i="20"/>
  <c r="AA12" i="20"/>
  <c r="Z12" i="20"/>
  <c r="Y12" i="20"/>
  <c r="X12" i="20"/>
  <c r="W12" i="20"/>
  <c r="P12" i="20"/>
  <c r="O12" i="20"/>
  <c r="AQ12" i="20" s="1"/>
  <c r="N12" i="20"/>
  <c r="AO12" i="20" s="1"/>
  <c r="AV12" i="20" s="1"/>
  <c r="M12" i="20"/>
  <c r="AT11" i="20"/>
  <c r="AP11" i="20"/>
  <c r="AO11" i="20"/>
  <c r="AV11" i="20" s="1"/>
  <c r="AJ11" i="20"/>
  <c r="AI11" i="20"/>
  <c r="AN11" i="20" s="1"/>
  <c r="AH11" i="20"/>
  <c r="AF11" i="20"/>
  <c r="AE11" i="20"/>
  <c r="AC11" i="20"/>
  <c r="AA11" i="20"/>
  <c r="Z11" i="20"/>
  <c r="Y11" i="20"/>
  <c r="X11" i="20"/>
  <c r="W11" i="20"/>
  <c r="P11" i="20"/>
  <c r="O11" i="20"/>
  <c r="AQ11" i="20" s="1"/>
  <c r="N11" i="20"/>
  <c r="M11" i="20"/>
  <c r="AU10" i="20"/>
  <c r="AT10" i="20"/>
  <c r="AP10" i="20"/>
  <c r="AN10" i="20"/>
  <c r="AJ10" i="20"/>
  <c r="AI10" i="20"/>
  <c r="AH10" i="20"/>
  <c r="AF10" i="20"/>
  <c r="AE10" i="20"/>
  <c r="AD10" i="20"/>
  <c r="AB10" i="20"/>
  <c r="AA10" i="20"/>
  <c r="Z10" i="20"/>
  <c r="Y10" i="20"/>
  <c r="X10" i="20"/>
  <c r="W10" i="20"/>
  <c r="P10" i="20"/>
  <c r="O10" i="20"/>
  <c r="N10" i="20"/>
  <c r="M10" i="20"/>
  <c r="AT9" i="20"/>
  <c r="AP9" i="20"/>
  <c r="AO9" i="20"/>
  <c r="AV9" i="20" s="1"/>
  <c r="AN9" i="20"/>
  <c r="AI9" i="20"/>
  <c r="AH9" i="20"/>
  <c r="AF9" i="20"/>
  <c r="AE9" i="20"/>
  <c r="AC9" i="20"/>
  <c r="AA9" i="20"/>
  <c r="Z9" i="20"/>
  <c r="Y9" i="20"/>
  <c r="X9" i="20"/>
  <c r="W9" i="20"/>
  <c r="P9" i="20"/>
  <c r="O9" i="20"/>
  <c r="AD9" i="20" s="1"/>
  <c r="N9" i="20"/>
  <c r="M9" i="20"/>
  <c r="AI8" i="20"/>
  <c r="AH8" i="20"/>
  <c r="W8" i="20"/>
  <c r="AT7" i="20"/>
  <c r="AO7" i="20"/>
  <c r="AJ7" i="20"/>
  <c r="AI7" i="20"/>
  <c r="AN7" i="20" s="1"/>
  <c r="AH7" i="20"/>
  <c r="AF7" i="20"/>
  <c r="AE7" i="20"/>
  <c r="AC7" i="20"/>
  <c r="AA7" i="20"/>
  <c r="Z7" i="20"/>
  <c r="Y7" i="20"/>
  <c r="X7" i="20"/>
  <c r="W7" i="20"/>
  <c r="P7" i="20"/>
  <c r="O7" i="20"/>
  <c r="N7" i="20"/>
  <c r="M7" i="20"/>
  <c r="AU6" i="20"/>
  <c r="AT6" i="20"/>
  <c r="AP6" i="20"/>
  <c r="AN6" i="20"/>
  <c r="AJ6" i="20"/>
  <c r="AI6" i="20"/>
  <c r="AH6" i="20"/>
  <c r="AF6" i="20"/>
  <c r="AE6" i="20"/>
  <c r="AD6" i="20"/>
  <c r="AB6" i="20"/>
  <c r="AA6" i="20"/>
  <c r="Z6" i="20"/>
  <c r="Y6" i="20"/>
  <c r="X6" i="20"/>
  <c r="W6" i="20"/>
  <c r="P6" i="20"/>
  <c r="O6" i="20"/>
  <c r="AQ6" i="20" s="1"/>
  <c r="N6" i="20"/>
  <c r="M6" i="20"/>
  <c r="AI5" i="20"/>
  <c r="AH5" i="20"/>
  <c r="W5" i="20"/>
  <c r="AI4" i="20"/>
  <c r="AU3" i="20"/>
  <c r="AO3" i="20"/>
  <c r="AI3" i="20"/>
  <c r="AH3" i="20"/>
  <c r="AN2" i="20"/>
  <c r="AN49" i="20" s="1"/>
  <c r="AM2" i="20"/>
  <c r="AL2" i="20"/>
  <c r="AK2" i="20"/>
  <c r="AJ2" i="20"/>
  <c r="AJ44" i="20" s="1"/>
  <c r="AH2" i="20"/>
  <c r="AA2" i="20"/>
  <c r="A2" i="20"/>
  <c r="AU1" i="20"/>
  <c r="AU49" i="20" s="1"/>
  <c r="AR1" i="20"/>
  <c r="AR14" i="20" s="1"/>
  <c r="AQ1" i="20"/>
  <c r="AQ3" i="20" s="1"/>
  <c r="AP1" i="20"/>
  <c r="AO1" i="20"/>
  <c r="AO38" i="20" s="1"/>
  <c r="AJ1" i="20"/>
  <c r="AH1" i="20"/>
  <c r="AA1" i="20"/>
  <c r="A1" i="20"/>
  <c r="AT76" i="19"/>
  <c r="AP76" i="19"/>
  <c r="AO76" i="19"/>
  <c r="AV76" i="19" s="1"/>
  <c r="AI76" i="19"/>
  <c r="AH76" i="19"/>
  <c r="AF76" i="19"/>
  <c r="AE76" i="19"/>
  <c r="AC76" i="19"/>
  <c r="AA76" i="19"/>
  <c r="Z76" i="19"/>
  <c r="Y76" i="19"/>
  <c r="X76" i="19"/>
  <c r="W76" i="19"/>
  <c r="P76" i="19"/>
  <c r="O76" i="19"/>
  <c r="N76" i="19"/>
  <c r="M76" i="19"/>
  <c r="AT75" i="19"/>
  <c r="AP75" i="19"/>
  <c r="AI75" i="19"/>
  <c r="AH75" i="19"/>
  <c r="AF75" i="19"/>
  <c r="AE75" i="19"/>
  <c r="AD75" i="19"/>
  <c r="AB75" i="19"/>
  <c r="AA75" i="19"/>
  <c r="Z75" i="19"/>
  <c r="Y75" i="19"/>
  <c r="X75" i="19"/>
  <c r="W75" i="19"/>
  <c r="P75" i="19"/>
  <c r="O75" i="19"/>
  <c r="N75" i="19"/>
  <c r="M75" i="19"/>
  <c r="AI74" i="19"/>
  <c r="AH74" i="19"/>
  <c r="W74" i="19"/>
  <c r="AI73" i="19"/>
  <c r="AH73" i="19"/>
  <c r="AF73" i="19"/>
  <c r="AE73" i="19"/>
  <c r="AD73" i="19"/>
  <c r="AB73" i="19"/>
  <c r="AA73" i="19"/>
  <c r="Z73" i="19"/>
  <c r="Y73" i="19"/>
  <c r="X73" i="19"/>
  <c r="W73" i="19"/>
  <c r="P73" i="19"/>
  <c r="O73" i="19"/>
  <c r="N73" i="19"/>
  <c r="M73" i="19"/>
  <c r="AT72" i="19"/>
  <c r="AI72" i="19"/>
  <c r="AH72" i="19"/>
  <c r="AF72" i="19"/>
  <c r="AE72" i="19"/>
  <c r="AC72" i="19"/>
  <c r="AA72" i="19"/>
  <c r="Z72" i="19"/>
  <c r="Y72" i="19"/>
  <c r="X72" i="19"/>
  <c r="W72" i="19"/>
  <c r="P72" i="19"/>
  <c r="O72" i="19"/>
  <c r="N72" i="19"/>
  <c r="M72" i="19"/>
  <c r="AI71" i="19"/>
  <c r="AH71" i="19"/>
  <c r="W71" i="19"/>
  <c r="AT70" i="19"/>
  <c r="AP70" i="19"/>
  <c r="AI70" i="19"/>
  <c r="AH70" i="19"/>
  <c r="AF70" i="19"/>
  <c r="AE70" i="19"/>
  <c r="AC70" i="19"/>
  <c r="AA70" i="19"/>
  <c r="Z70" i="19"/>
  <c r="Y70" i="19"/>
  <c r="X70" i="19"/>
  <c r="W70" i="19"/>
  <c r="P70" i="19"/>
  <c r="O70" i="19"/>
  <c r="AD70" i="19" s="1"/>
  <c r="N70" i="19"/>
  <c r="AO70" i="19" s="1"/>
  <c r="AV70" i="19" s="1"/>
  <c r="M70" i="19"/>
  <c r="AP69" i="19"/>
  <c r="AI69" i="19"/>
  <c r="AH69" i="19"/>
  <c r="AF69" i="19"/>
  <c r="AE69" i="19"/>
  <c r="AB69" i="19"/>
  <c r="AA69" i="19"/>
  <c r="Z69" i="19"/>
  <c r="Y69" i="19"/>
  <c r="X69" i="19"/>
  <c r="W69" i="19"/>
  <c r="P69" i="19"/>
  <c r="O69" i="19"/>
  <c r="AD69" i="19" s="1"/>
  <c r="N69" i="19"/>
  <c r="M69" i="19"/>
  <c r="AP68" i="19"/>
  <c r="AO68" i="19"/>
  <c r="AV68" i="19" s="1"/>
  <c r="AI68" i="19"/>
  <c r="AH68" i="19"/>
  <c r="AF68" i="19"/>
  <c r="AE68" i="19"/>
  <c r="AC68" i="19"/>
  <c r="AB68" i="19"/>
  <c r="AA68" i="19"/>
  <c r="Z68" i="19"/>
  <c r="Y68" i="19"/>
  <c r="X68" i="19"/>
  <c r="W68" i="19"/>
  <c r="P68" i="19"/>
  <c r="O68" i="19"/>
  <c r="AD68" i="19" s="1"/>
  <c r="N68" i="19"/>
  <c r="M68" i="19"/>
  <c r="AT67" i="19"/>
  <c r="AP67" i="19"/>
  <c r="AI67" i="19"/>
  <c r="AH67" i="19"/>
  <c r="AF67" i="19"/>
  <c r="AE67" i="19"/>
  <c r="AD67" i="19"/>
  <c r="AB67" i="19"/>
  <c r="AA67" i="19"/>
  <c r="Z67" i="19"/>
  <c r="Y67" i="19"/>
  <c r="X67" i="19"/>
  <c r="W67" i="19"/>
  <c r="P67" i="19"/>
  <c r="O67" i="19"/>
  <c r="N67" i="19"/>
  <c r="M67" i="19"/>
  <c r="AV66" i="19"/>
  <c r="AT66" i="19"/>
  <c r="AP66" i="19"/>
  <c r="AO66" i="19"/>
  <c r="AI66" i="19"/>
  <c r="AH66" i="19"/>
  <c r="AF66" i="19"/>
  <c r="AE66" i="19"/>
  <c r="AD66" i="19"/>
  <c r="AC66" i="19"/>
  <c r="AA66" i="19"/>
  <c r="Z66" i="19"/>
  <c r="Y66" i="19"/>
  <c r="X66" i="19"/>
  <c r="W66" i="19"/>
  <c r="P66" i="19"/>
  <c r="O66" i="19"/>
  <c r="N66" i="19"/>
  <c r="M66" i="19"/>
  <c r="AP65" i="19"/>
  <c r="AO65" i="19"/>
  <c r="AV65" i="19" s="1"/>
  <c r="AI65" i="19"/>
  <c r="AH65" i="19"/>
  <c r="AF65" i="19"/>
  <c r="AE65" i="19"/>
  <c r="AD65" i="19"/>
  <c r="AB65" i="19"/>
  <c r="AA65" i="19"/>
  <c r="Z65" i="19"/>
  <c r="Y65" i="19"/>
  <c r="X65" i="19"/>
  <c r="W65" i="19"/>
  <c r="P65" i="19"/>
  <c r="O65" i="19"/>
  <c r="N65" i="19"/>
  <c r="AC65" i="19" s="1"/>
  <c r="M65" i="19"/>
  <c r="AI64" i="19"/>
  <c r="AH64" i="19"/>
  <c r="W64" i="19"/>
  <c r="AP63" i="19"/>
  <c r="AN63" i="19"/>
  <c r="AI63" i="19"/>
  <c r="AJ63" i="19" s="1"/>
  <c r="AH63" i="19"/>
  <c r="AF63" i="19"/>
  <c r="AE63" i="19"/>
  <c r="AD63" i="19"/>
  <c r="AA63" i="19"/>
  <c r="Z63" i="19"/>
  <c r="Y63" i="19"/>
  <c r="X63" i="19"/>
  <c r="W63" i="19"/>
  <c r="P63" i="19"/>
  <c r="O63" i="19"/>
  <c r="N63" i="19"/>
  <c r="AO63" i="19" s="1"/>
  <c r="AV63" i="19" s="1"/>
  <c r="M63" i="19"/>
  <c r="AP62" i="19"/>
  <c r="AI62" i="19"/>
  <c r="AH62" i="19"/>
  <c r="AF62" i="19"/>
  <c r="AE62" i="19"/>
  <c r="AA62" i="19"/>
  <c r="Z62" i="19"/>
  <c r="Y62" i="19"/>
  <c r="X62" i="19"/>
  <c r="W62" i="19"/>
  <c r="P62" i="19"/>
  <c r="O62" i="19"/>
  <c r="N62" i="19"/>
  <c r="AC62" i="19" s="1"/>
  <c r="M62" i="19"/>
  <c r="AT61" i="19"/>
  <c r="AI61" i="19"/>
  <c r="AH61" i="19"/>
  <c r="AF61" i="19"/>
  <c r="AE61" i="19"/>
  <c r="AB61" i="19"/>
  <c r="AA61" i="19"/>
  <c r="Z61" i="19"/>
  <c r="Y61" i="19"/>
  <c r="X61" i="19"/>
  <c r="W61" i="19"/>
  <c r="P61" i="19"/>
  <c r="O61" i="19"/>
  <c r="AD61" i="19" s="1"/>
  <c r="N61" i="19"/>
  <c r="M61" i="19"/>
  <c r="AI60" i="19"/>
  <c r="AH60" i="19"/>
  <c r="AF60" i="19"/>
  <c r="AE60" i="19"/>
  <c r="AC60" i="19"/>
  <c r="AB60" i="19"/>
  <c r="AA60" i="19"/>
  <c r="Z60" i="19"/>
  <c r="Y60" i="19"/>
  <c r="X60" i="19"/>
  <c r="W60" i="19"/>
  <c r="P60" i="19"/>
  <c r="O60" i="19"/>
  <c r="AD60" i="19" s="1"/>
  <c r="N60" i="19"/>
  <c r="M60" i="19"/>
  <c r="AJ59" i="19"/>
  <c r="AI59" i="19"/>
  <c r="AH59" i="19"/>
  <c r="AF59" i="19"/>
  <c r="AE59" i="19"/>
  <c r="AD59" i="19"/>
  <c r="AC59" i="19"/>
  <c r="AB59" i="19"/>
  <c r="AA59" i="19"/>
  <c r="Z59" i="19"/>
  <c r="Y59" i="19"/>
  <c r="X59" i="19"/>
  <c r="W59" i="19"/>
  <c r="P59" i="19"/>
  <c r="O59" i="19"/>
  <c r="N59" i="19"/>
  <c r="M59" i="19"/>
  <c r="AT58" i="19"/>
  <c r="AI58" i="19"/>
  <c r="AH58" i="19"/>
  <c r="AF58" i="19"/>
  <c r="AE58" i="19"/>
  <c r="AD58" i="19"/>
  <c r="AC58" i="19"/>
  <c r="AA58" i="19"/>
  <c r="Z58" i="19"/>
  <c r="Y58" i="19"/>
  <c r="X58" i="19"/>
  <c r="W58" i="19"/>
  <c r="P58" i="19"/>
  <c r="O58" i="19"/>
  <c r="N58" i="19"/>
  <c r="M58" i="19"/>
  <c r="AI57" i="19"/>
  <c r="AH57" i="19"/>
  <c r="W57" i="19"/>
  <c r="AI56" i="19"/>
  <c r="AH56" i="19"/>
  <c r="AF56" i="19"/>
  <c r="AE56" i="19"/>
  <c r="AC56" i="19"/>
  <c r="AB56" i="19"/>
  <c r="AA56" i="19"/>
  <c r="Z56" i="19"/>
  <c r="Y56" i="19"/>
  <c r="X56" i="19"/>
  <c r="W56" i="19"/>
  <c r="P56" i="19"/>
  <c r="O56" i="19"/>
  <c r="N56" i="19"/>
  <c r="M56" i="19"/>
  <c r="AI55" i="19"/>
  <c r="AH55" i="19"/>
  <c r="AF55" i="19"/>
  <c r="AE55" i="19"/>
  <c r="AD55" i="19"/>
  <c r="AC55" i="19"/>
  <c r="AB55" i="19"/>
  <c r="AA55" i="19"/>
  <c r="Z55" i="19"/>
  <c r="Y55" i="19"/>
  <c r="X55" i="19"/>
  <c r="W55" i="19"/>
  <c r="P55" i="19"/>
  <c r="O55" i="19"/>
  <c r="AQ55" i="19" s="1"/>
  <c r="N55" i="19"/>
  <c r="M55" i="19"/>
  <c r="AT54" i="19"/>
  <c r="AJ54" i="19"/>
  <c r="AI54" i="19"/>
  <c r="AH54" i="19"/>
  <c r="AF54" i="19"/>
  <c r="AE54" i="19"/>
  <c r="AD54" i="19"/>
  <c r="AC54" i="19"/>
  <c r="AA54" i="19"/>
  <c r="Z54" i="19"/>
  <c r="Y54" i="19"/>
  <c r="X54" i="19"/>
  <c r="W54" i="19"/>
  <c r="P54" i="19"/>
  <c r="O54" i="19"/>
  <c r="N54" i="19"/>
  <c r="M54" i="19"/>
  <c r="AI53" i="19"/>
  <c r="AT53" i="19" s="1"/>
  <c r="AH53" i="19"/>
  <c r="AF53" i="19"/>
  <c r="AE53" i="19"/>
  <c r="AD53" i="19"/>
  <c r="AA53" i="19"/>
  <c r="Z53" i="19"/>
  <c r="Y53" i="19"/>
  <c r="X53" i="19"/>
  <c r="W53" i="19"/>
  <c r="P53" i="19"/>
  <c r="O53" i="19"/>
  <c r="N53" i="19"/>
  <c r="AC53" i="19" s="1"/>
  <c r="M53" i="19"/>
  <c r="AI52" i="19"/>
  <c r="AH52" i="19"/>
  <c r="W52" i="19"/>
  <c r="AT51" i="19"/>
  <c r="AI51" i="19"/>
  <c r="AH51" i="19"/>
  <c r="AF51" i="19"/>
  <c r="AE51" i="19"/>
  <c r="AD51" i="19"/>
  <c r="AC51" i="19"/>
  <c r="AB51" i="19"/>
  <c r="AA51" i="19"/>
  <c r="Z51" i="19"/>
  <c r="Y51" i="19"/>
  <c r="X51" i="19"/>
  <c r="W51" i="19"/>
  <c r="P51" i="19"/>
  <c r="O51" i="19"/>
  <c r="N51" i="19"/>
  <c r="M51" i="19"/>
  <c r="AT50" i="19"/>
  <c r="AJ50" i="19"/>
  <c r="AI50" i="19"/>
  <c r="AH50" i="19"/>
  <c r="AF50" i="19"/>
  <c r="AE50" i="19"/>
  <c r="AD50" i="19"/>
  <c r="AC50" i="19"/>
  <c r="AA50" i="19"/>
  <c r="Z50" i="19"/>
  <c r="Y50" i="19"/>
  <c r="X50" i="19"/>
  <c r="W50" i="19"/>
  <c r="P50" i="19"/>
  <c r="O50" i="19"/>
  <c r="N50" i="19"/>
  <c r="M50" i="19"/>
  <c r="AI49" i="19"/>
  <c r="AT49" i="19" s="1"/>
  <c r="AH49" i="19"/>
  <c r="AF49" i="19"/>
  <c r="AE49" i="19"/>
  <c r="AD49" i="19"/>
  <c r="AA49" i="19"/>
  <c r="Z49" i="19"/>
  <c r="Y49" i="19"/>
  <c r="X49" i="19"/>
  <c r="W49" i="19"/>
  <c r="P49" i="19"/>
  <c r="O49" i="19"/>
  <c r="N49" i="19"/>
  <c r="AC49" i="19" s="1"/>
  <c r="M49" i="19"/>
  <c r="AI48" i="19"/>
  <c r="AH48" i="19"/>
  <c r="AF48" i="19"/>
  <c r="AE48" i="19"/>
  <c r="AA48" i="19"/>
  <c r="Z48" i="19"/>
  <c r="Y48" i="19"/>
  <c r="X48" i="19"/>
  <c r="W48" i="19"/>
  <c r="P48" i="19"/>
  <c r="O48" i="19"/>
  <c r="N48" i="19"/>
  <c r="AC48" i="19" s="1"/>
  <c r="M48" i="19"/>
  <c r="AT47" i="19"/>
  <c r="AI47" i="19"/>
  <c r="AH47" i="19"/>
  <c r="AF47" i="19"/>
  <c r="AE47" i="19"/>
  <c r="AB47" i="19"/>
  <c r="AA47" i="19"/>
  <c r="Z47" i="19"/>
  <c r="Y47" i="19"/>
  <c r="X47" i="19"/>
  <c r="W47" i="19"/>
  <c r="P47" i="19"/>
  <c r="O47" i="19"/>
  <c r="AD47" i="19" s="1"/>
  <c r="N47" i="19"/>
  <c r="M47" i="19"/>
  <c r="AR46" i="19"/>
  <c r="AI46" i="19"/>
  <c r="AH46" i="19"/>
  <c r="AF46" i="19"/>
  <c r="AE46" i="19"/>
  <c r="AC46" i="19"/>
  <c r="AB46" i="19"/>
  <c r="AA46" i="19"/>
  <c r="Z46" i="19"/>
  <c r="Y46" i="19"/>
  <c r="X46" i="19"/>
  <c r="W46" i="19"/>
  <c r="P46" i="19"/>
  <c r="O46" i="19"/>
  <c r="AD46" i="19" s="1"/>
  <c r="N46" i="19"/>
  <c r="M46" i="19"/>
  <c r="AI45" i="19"/>
  <c r="AH45" i="19"/>
  <c r="W45" i="19"/>
  <c r="AP44" i="19"/>
  <c r="AI44" i="19"/>
  <c r="AH44" i="19"/>
  <c r="AF44" i="19"/>
  <c r="AE44" i="19"/>
  <c r="AA44" i="19"/>
  <c r="Z44" i="19"/>
  <c r="Y44" i="19"/>
  <c r="X44" i="19"/>
  <c r="W44" i="19"/>
  <c r="P44" i="19"/>
  <c r="O44" i="19"/>
  <c r="N44" i="19"/>
  <c r="AC44" i="19" s="1"/>
  <c r="M44" i="19"/>
  <c r="AT43" i="19"/>
  <c r="AI43" i="19"/>
  <c r="AH43" i="19"/>
  <c r="AF43" i="19"/>
  <c r="AE43" i="19"/>
  <c r="AB43" i="19"/>
  <c r="AA43" i="19"/>
  <c r="Z43" i="19"/>
  <c r="Y43" i="19"/>
  <c r="X43" i="19"/>
  <c r="W43" i="19"/>
  <c r="P43" i="19"/>
  <c r="O43" i="19"/>
  <c r="AD43" i="19" s="1"/>
  <c r="N43" i="19"/>
  <c r="M43" i="19"/>
  <c r="AR42" i="19"/>
  <c r="AQ42" i="19"/>
  <c r="AP42" i="19"/>
  <c r="AO42" i="19"/>
  <c r="AV42" i="19" s="1"/>
  <c r="AI42" i="19"/>
  <c r="AH42" i="19"/>
  <c r="AF42" i="19"/>
  <c r="AE42" i="19"/>
  <c r="AB42" i="19"/>
  <c r="AA42" i="19"/>
  <c r="Z42" i="19"/>
  <c r="Y42" i="19"/>
  <c r="X42" i="19"/>
  <c r="W42" i="19"/>
  <c r="P42" i="19"/>
  <c r="O42" i="19"/>
  <c r="AD42" i="19" s="1"/>
  <c r="N42" i="19"/>
  <c r="AC42" i="19" s="1"/>
  <c r="M42" i="19"/>
  <c r="AT41" i="19"/>
  <c r="AI41" i="19"/>
  <c r="AH41" i="19"/>
  <c r="AF41" i="19"/>
  <c r="AE41" i="19"/>
  <c r="AC41" i="19"/>
  <c r="AB41" i="19"/>
  <c r="AA41" i="19"/>
  <c r="Z41" i="19"/>
  <c r="Y41" i="19"/>
  <c r="X41" i="19"/>
  <c r="W41" i="19"/>
  <c r="P41" i="19"/>
  <c r="O41" i="19"/>
  <c r="AD41" i="19" s="1"/>
  <c r="N41" i="19"/>
  <c r="M41" i="19"/>
  <c r="AT40" i="19"/>
  <c r="AI40" i="19"/>
  <c r="AH40" i="19"/>
  <c r="AF40" i="19"/>
  <c r="AE40" i="19"/>
  <c r="AD40" i="19"/>
  <c r="AC40" i="19"/>
  <c r="AA40" i="19"/>
  <c r="Z40" i="19"/>
  <c r="Y40" i="19"/>
  <c r="X40" i="19"/>
  <c r="W40" i="19"/>
  <c r="P40" i="19"/>
  <c r="O40" i="19"/>
  <c r="N40" i="19"/>
  <c r="M40" i="19"/>
  <c r="AI39" i="19"/>
  <c r="AH39" i="19"/>
  <c r="W39" i="19"/>
  <c r="AI38" i="19"/>
  <c r="AH38" i="19"/>
  <c r="AF38" i="19"/>
  <c r="AE38" i="19"/>
  <c r="AB38" i="19"/>
  <c r="AA38" i="19"/>
  <c r="Z38" i="19"/>
  <c r="Y38" i="19"/>
  <c r="X38" i="19"/>
  <c r="W38" i="19"/>
  <c r="P38" i="19"/>
  <c r="O38" i="19"/>
  <c r="AD38" i="19" s="1"/>
  <c r="N38" i="19"/>
  <c r="AC38" i="19" s="1"/>
  <c r="M38" i="19"/>
  <c r="AI37" i="19"/>
  <c r="AT37" i="19" s="1"/>
  <c r="AH37" i="19"/>
  <c r="AF37" i="19"/>
  <c r="AE37" i="19"/>
  <c r="AC37" i="19"/>
  <c r="AB37" i="19"/>
  <c r="AA37" i="19"/>
  <c r="Z37" i="19"/>
  <c r="Y37" i="19"/>
  <c r="X37" i="19"/>
  <c r="W37" i="19"/>
  <c r="P37" i="19"/>
  <c r="O37" i="19"/>
  <c r="AD37" i="19" s="1"/>
  <c r="N37" i="19"/>
  <c r="M37" i="19"/>
  <c r="AT36" i="19"/>
  <c r="AI36" i="19"/>
  <c r="AH36" i="19"/>
  <c r="AF36" i="19"/>
  <c r="AE36" i="19"/>
  <c r="AD36" i="19"/>
  <c r="AC36" i="19"/>
  <c r="AB36" i="19"/>
  <c r="AA36" i="19"/>
  <c r="Z36" i="19"/>
  <c r="Y36" i="19"/>
  <c r="X36" i="19"/>
  <c r="W36" i="19"/>
  <c r="P36" i="19"/>
  <c r="O36" i="19"/>
  <c r="N36" i="19"/>
  <c r="M36" i="19"/>
  <c r="AI35" i="19"/>
  <c r="AT35" i="19" s="1"/>
  <c r="AH35" i="19"/>
  <c r="AF35" i="19"/>
  <c r="AE35" i="19"/>
  <c r="AD35" i="19"/>
  <c r="AC35" i="19"/>
  <c r="AA35" i="19"/>
  <c r="Z35" i="19"/>
  <c r="Y35" i="19"/>
  <c r="X35" i="19"/>
  <c r="W35" i="19"/>
  <c r="P35" i="19"/>
  <c r="O35" i="19"/>
  <c r="N35" i="19"/>
  <c r="M35" i="19"/>
  <c r="AI34" i="19"/>
  <c r="AH34" i="19"/>
  <c r="AF34" i="19"/>
  <c r="AE34" i="19"/>
  <c r="AA34" i="19"/>
  <c r="Z34" i="19"/>
  <c r="Y34" i="19"/>
  <c r="X34" i="19"/>
  <c r="W34" i="19"/>
  <c r="P34" i="19"/>
  <c r="O34" i="19"/>
  <c r="N34" i="19"/>
  <c r="AC34" i="19" s="1"/>
  <c r="M34" i="19"/>
  <c r="AB34" i="19" s="1"/>
  <c r="AT33" i="19"/>
  <c r="AI33" i="19"/>
  <c r="AH33" i="19"/>
  <c r="AF33" i="19"/>
  <c r="AE33" i="19"/>
  <c r="AA33" i="19"/>
  <c r="Z33" i="19"/>
  <c r="Y33" i="19"/>
  <c r="X33" i="19"/>
  <c r="W33" i="19"/>
  <c r="P33" i="19"/>
  <c r="O33" i="19"/>
  <c r="AD33" i="19" s="1"/>
  <c r="N33" i="19"/>
  <c r="AC33" i="19" s="1"/>
  <c r="M33" i="19"/>
  <c r="AI32" i="19"/>
  <c r="AN32" i="19" s="1"/>
  <c r="AH32" i="19"/>
  <c r="AF32" i="19"/>
  <c r="AE32" i="19"/>
  <c r="AB32" i="19"/>
  <c r="AA32" i="19"/>
  <c r="Z32" i="19"/>
  <c r="Y32" i="19"/>
  <c r="X32" i="19"/>
  <c r="W32" i="19"/>
  <c r="P32" i="19"/>
  <c r="O32" i="19"/>
  <c r="N32" i="19"/>
  <c r="AC32" i="19" s="1"/>
  <c r="M32" i="19"/>
  <c r="AI31" i="19"/>
  <c r="AH31" i="19"/>
  <c r="W31" i="19"/>
  <c r="AP30" i="19"/>
  <c r="AI30" i="19"/>
  <c r="AH30" i="19"/>
  <c r="AF30" i="19"/>
  <c r="AE30" i="19"/>
  <c r="AB30" i="19"/>
  <c r="AA30" i="19"/>
  <c r="Z30" i="19"/>
  <c r="Y30" i="19"/>
  <c r="X30" i="19"/>
  <c r="W30" i="19"/>
  <c r="P30" i="19"/>
  <c r="O30" i="19"/>
  <c r="N30" i="19"/>
  <c r="AC30" i="19" s="1"/>
  <c r="M30" i="19"/>
  <c r="AT29" i="19"/>
  <c r="AI29" i="19"/>
  <c r="AH29" i="19"/>
  <c r="AF29" i="19"/>
  <c r="AE29" i="19"/>
  <c r="AD29" i="19"/>
  <c r="AA29" i="19"/>
  <c r="Z29" i="19"/>
  <c r="Y29" i="19"/>
  <c r="X29" i="19"/>
  <c r="W29" i="19"/>
  <c r="P29" i="19"/>
  <c r="O29" i="19"/>
  <c r="N29" i="19"/>
  <c r="AC29" i="19" s="1"/>
  <c r="M29" i="19"/>
  <c r="AI28" i="19"/>
  <c r="AH28" i="19"/>
  <c r="AF28" i="19"/>
  <c r="AE28" i="19"/>
  <c r="AB28" i="19"/>
  <c r="AA28" i="19"/>
  <c r="Z28" i="19"/>
  <c r="Y28" i="19"/>
  <c r="X28" i="19"/>
  <c r="W28" i="19"/>
  <c r="P28" i="19"/>
  <c r="O28" i="19"/>
  <c r="N28" i="19"/>
  <c r="AC28" i="19" s="1"/>
  <c r="M28" i="19"/>
  <c r="AI27" i="19"/>
  <c r="AH27" i="19"/>
  <c r="W27" i="19"/>
  <c r="AP26" i="19"/>
  <c r="AI26" i="19"/>
  <c r="AH26" i="19"/>
  <c r="AF26" i="19"/>
  <c r="AE26" i="19"/>
  <c r="AB26" i="19"/>
  <c r="AA26" i="19"/>
  <c r="Z26" i="19"/>
  <c r="Y26" i="19"/>
  <c r="X26" i="19"/>
  <c r="W26" i="19"/>
  <c r="P26" i="19"/>
  <c r="O26" i="19"/>
  <c r="N26" i="19"/>
  <c r="M26" i="19"/>
  <c r="AT25" i="19"/>
  <c r="AP25" i="19"/>
  <c r="AI25" i="19"/>
  <c r="AH25" i="19"/>
  <c r="AF25" i="19"/>
  <c r="AE25" i="19"/>
  <c r="AD25" i="19"/>
  <c r="AA25" i="19"/>
  <c r="Z25" i="19"/>
  <c r="Y25" i="19"/>
  <c r="X25" i="19"/>
  <c r="W25" i="19"/>
  <c r="P25" i="19"/>
  <c r="O25" i="19"/>
  <c r="N25" i="19"/>
  <c r="AO25" i="19" s="1"/>
  <c r="AV25" i="19" s="1"/>
  <c r="M25" i="19"/>
  <c r="AV24" i="19"/>
  <c r="AP24" i="19"/>
  <c r="AO24" i="19"/>
  <c r="AI24" i="19"/>
  <c r="AH24" i="19"/>
  <c r="AF24" i="19"/>
  <c r="AE24" i="19"/>
  <c r="AB24" i="19"/>
  <c r="AA24" i="19"/>
  <c r="Z24" i="19"/>
  <c r="Y24" i="19"/>
  <c r="X24" i="19"/>
  <c r="W24" i="19"/>
  <c r="P24" i="19"/>
  <c r="O24" i="19"/>
  <c r="N24" i="19"/>
  <c r="AC24" i="19" s="1"/>
  <c r="M24" i="19"/>
  <c r="AP23" i="19"/>
  <c r="AI23" i="19"/>
  <c r="AH23" i="19"/>
  <c r="AF23" i="19"/>
  <c r="AE23" i="19"/>
  <c r="AA23" i="19"/>
  <c r="Z23" i="19"/>
  <c r="Y23" i="19"/>
  <c r="X23" i="19"/>
  <c r="W23" i="19"/>
  <c r="P23" i="19"/>
  <c r="O23" i="19"/>
  <c r="AD23" i="19" s="1"/>
  <c r="N23" i="19"/>
  <c r="M23" i="19"/>
  <c r="AB23" i="19" s="1"/>
  <c r="AP22" i="19"/>
  <c r="AI22" i="19"/>
  <c r="AT22" i="19" s="1"/>
  <c r="AH22" i="19"/>
  <c r="AF22" i="19"/>
  <c r="AE22" i="19"/>
  <c r="AD22" i="19"/>
  <c r="AA22" i="19"/>
  <c r="Z22" i="19"/>
  <c r="Y22" i="19"/>
  <c r="X22" i="19"/>
  <c r="W22" i="19"/>
  <c r="P22" i="19"/>
  <c r="O22" i="19"/>
  <c r="AQ22" i="19" s="1"/>
  <c r="N22" i="19"/>
  <c r="AO22" i="19" s="1"/>
  <c r="AV22" i="19" s="1"/>
  <c r="M22" i="19"/>
  <c r="AP21" i="19"/>
  <c r="AI21" i="19"/>
  <c r="AH21" i="19"/>
  <c r="AF21" i="19"/>
  <c r="AE21" i="19"/>
  <c r="AA21" i="19"/>
  <c r="Z21" i="19"/>
  <c r="Y21" i="19"/>
  <c r="X21" i="19"/>
  <c r="W21" i="19"/>
  <c r="P21" i="19"/>
  <c r="O21" i="19"/>
  <c r="N21" i="19"/>
  <c r="AC21" i="19" s="1"/>
  <c r="M21" i="19"/>
  <c r="AT20" i="19"/>
  <c r="AP20" i="19"/>
  <c r="AJ20" i="19"/>
  <c r="AI20" i="19"/>
  <c r="AN20" i="19" s="1"/>
  <c r="AH20" i="19"/>
  <c r="AF20" i="19"/>
  <c r="AE20" i="19"/>
  <c r="AB20" i="19"/>
  <c r="AA20" i="19"/>
  <c r="Z20" i="19"/>
  <c r="Y20" i="19"/>
  <c r="X20" i="19"/>
  <c r="W20" i="19"/>
  <c r="P20" i="19"/>
  <c r="O20" i="19"/>
  <c r="AD20" i="19" s="1"/>
  <c r="N20" i="19"/>
  <c r="M20" i="19"/>
  <c r="AI19" i="19"/>
  <c r="AH19" i="19"/>
  <c r="W19" i="19"/>
  <c r="AU18" i="19"/>
  <c r="AT18" i="19"/>
  <c r="AI18" i="19"/>
  <c r="AH18" i="19"/>
  <c r="AF18" i="19"/>
  <c r="AE18" i="19"/>
  <c r="AD18" i="19"/>
  <c r="AA18" i="19"/>
  <c r="Z18" i="19"/>
  <c r="Y18" i="19"/>
  <c r="X18" i="19"/>
  <c r="W18" i="19"/>
  <c r="P18" i="19"/>
  <c r="O18" i="19"/>
  <c r="N18" i="19"/>
  <c r="AC18" i="19" s="1"/>
  <c r="M18" i="19"/>
  <c r="AI17" i="19"/>
  <c r="AH17" i="19"/>
  <c r="AF17" i="19"/>
  <c r="AE17" i="19"/>
  <c r="AB17" i="19"/>
  <c r="AA17" i="19"/>
  <c r="Z17" i="19"/>
  <c r="Y17" i="19"/>
  <c r="X17" i="19"/>
  <c r="W17" i="19"/>
  <c r="P17" i="19"/>
  <c r="O17" i="19"/>
  <c r="N17" i="19"/>
  <c r="AC17" i="19" s="1"/>
  <c r="M17" i="19"/>
  <c r="AT16" i="19"/>
  <c r="AJ16" i="19"/>
  <c r="AI16" i="19"/>
  <c r="AH16" i="19"/>
  <c r="AF16" i="19"/>
  <c r="AE16" i="19"/>
  <c r="AC16" i="19"/>
  <c r="AB16" i="19"/>
  <c r="AA16" i="19"/>
  <c r="Z16" i="19"/>
  <c r="Y16" i="19"/>
  <c r="X16" i="19"/>
  <c r="W16" i="19"/>
  <c r="P16" i="19"/>
  <c r="O16" i="19"/>
  <c r="AD16" i="19" s="1"/>
  <c r="N16" i="19"/>
  <c r="M16" i="19"/>
  <c r="AI15" i="19"/>
  <c r="AH15" i="19"/>
  <c r="W15" i="19"/>
  <c r="AT14" i="19"/>
  <c r="AP14" i="19"/>
  <c r="AO14" i="19"/>
  <c r="AV14" i="19" s="1"/>
  <c r="AI14" i="19"/>
  <c r="AH14" i="19"/>
  <c r="AF14" i="19"/>
  <c r="AE14" i="19"/>
  <c r="AD14" i="19"/>
  <c r="AA14" i="19"/>
  <c r="Z14" i="19"/>
  <c r="Y14" i="19"/>
  <c r="X14" i="19"/>
  <c r="W14" i="19"/>
  <c r="P14" i="19"/>
  <c r="O14" i="19"/>
  <c r="N14" i="19"/>
  <c r="AC14" i="19" s="1"/>
  <c r="M14" i="19"/>
  <c r="AP13" i="19"/>
  <c r="AI13" i="19"/>
  <c r="AH13" i="19"/>
  <c r="AF13" i="19"/>
  <c r="AE13" i="19"/>
  <c r="AA13" i="19"/>
  <c r="Z13" i="19"/>
  <c r="Y13" i="19"/>
  <c r="X13" i="19"/>
  <c r="W13" i="19"/>
  <c r="P13" i="19"/>
  <c r="O13" i="19"/>
  <c r="N13" i="19"/>
  <c r="AC13" i="19" s="1"/>
  <c r="M13" i="19"/>
  <c r="AB13" i="19" s="1"/>
  <c r="AT12" i="19"/>
  <c r="AP12" i="19"/>
  <c r="AJ12" i="19"/>
  <c r="AI12" i="19"/>
  <c r="AH12" i="19"/>
  <c r="AF12" i="19"/>
  <c r="AE12" i="19"/>
  <c r="AB12" i="19"/>
  <c r="AA12" i="19"/>
  <c r="Z12" i="19"/>
  <c r="Y12" i="19"/>
  <c r="X12" i="19"/>
  <c r="W12" i="19"/>
  <c r="P12" i="19"/>
  <c r="O12" i="19"/>
  <c r="AD12" i="19" s="1"/>
  <c r="N12" i="19"/>
  <c r="AO12" i="19" s="1"/>
  <c r="AV12" i="19" s="1"/>
  <c r="M12" i="19"/>
  <c r="AP11" i="19"/>
  <c r="AN11" i="19"/>
  <c r="AI11" i="19"/>
  <c r="AH11" i="19"/>
  <c r="AF11" i="19"/>
  <c r="AE11" i="19"/>
  <c r="AC11" i="19"/>
  <c r="AB11" i="19"/>
  <c r="AA11" i="19"/>
  <c r="Z11" i="19"/>
  <c r="Y11" i="19"/>
  <c r="X11" i="19"/>
  <c r="W11" i="19"/>
  <c r="P11" i="19"/>
  <c r="O11" i="19"/>
  <c r="N11" i="19"/>
  <c r="AO11" i="19" s="1"/>
  <c r="AV11" i="19" s="1"/>
  <c r="M11" i="19"/>
  <c r="AI10" i="19"/>
  <c r="AH10" i="19"/>
  <c r="W10" i="19"/>
  <c r="AP9" i="19"/>
  <c r="AI9" i="19"/>
  <c r="AH9" i="19"/>
  <c r="AF9" i="19"/>
  <c r="AE9" i="19"/>
  <c r="AA9" i="19"/>
  <c r="Z9" i="19"/>
  <c r="Y9" i="19"/>
  <c r="X9" i="19"/>
  <c r="W9" i="19"/>
  <c r="P9" i="19"/>
  <c r="O9" i="19"/>
  <c r="N9" i="19"/>
  <c r="AC9" i="19" s="1"/>
  <c r="M9" i="19"/>
  <c r="AT8" i="19"/>
  <c r="AP8" i="19"/>
  <c r="AJ8" i="19"/>
  <c r="AI8" i="19"/>
  <c r="AN8" i="19" s="1"/>
  <c r="AH8" i="19"/>
  <c r="AF8" i="19"/>
  <c r="AE8" i="19"/>
  <c r="AB8" i="19"/>
  <c r="AA8" i="19"/>
  <c r="Z8" i="19"/>
  <c r="Y8" i="19"/>
  <c r="X8" i="19"/>
  <c r="W8" i="19"/>
  <c r="P8" i="19"/>
  <c r="O8" i="19"/>
  <c r="AD8" i="19" s="1"/>
  <c r="N8" i="19"/>
  <c r="AO8" i="19" s="1"/>
  <c r="AV8" i="19" s="1"/>
  <c r="M8" i="19"/>
  <c r="AI7" i="19"/>
  <c r="AH7" i="19"/>
  <c r="AF7" i="19"/>
  <c r="AE7" i="19"/>
  <c r="AD7" i="19"/>
  <c r="AC7" i="19"/>
  <c r="AB7" i="19"/>
  <c r="AA7" i="19"/>
  <c r="Z7" i="19"/>
  <c r="Y7" i="19"/>
  <c r="X7" i="19"/>
  <c r="W7" i="19"/>
  <c r="P7" i="19"/>
  <c r="O7" i="19"/>
  <c r="N7" i="19"/>
  <c r="M7" i="19"/>
  <c r="AT6" i="19"/>
  <c r="AI6" i="19"/>
  <c r="AH6" i="19"/>
  <c r="AF6" i="19"/>
  <c r="AE6" i="19"/>
  <c r="AD6" i="19"/>
  <c r="AC6" i="19"/>
  <c r="AA6" i="19"/>
  <c r="Z6" i="19"/>
  <c r="Y6" i="19"/>
  <c r="X6" i="19"/>
  <c r="W6" i="19"/>
  <c r="P6" i="19"/>
  <c r="O6" i="19"/>
  <c r="N6" i="19"/>
  <c r="M6" i="19"/>
  <c r="AB6" i="19" s="1"/>
  <c r="AI5" i="19"/>
  <c r="AH5" i="19"/>
  <c r="W5" i="19"/>
  <c r="AI4" i="19"/>
  <c r="AQ3" i="19"/>
  <c r="AP3" i="19"/>
  <c r="AI3" i="19"/>
  <c r="AH3" i="19"/>
  <c r="AN2" i="19"/>
  <c r="AM2" i="19"/>
  <c r="AL2" i="19"/>
  <c r="AK2" i="19"/>
  <c r="AJ2" i="19"/>
  <c r="AJ58" i="19" s="1"/>
  <c r="AA2" i="19"/>
  <c r="A2" i="19"/>
  <c r="AU1" i="19"/>
  <c r="AR1" i="19"/>
  <c r="AR69" i="19" s="1"/>
  <c r="AQ1" i="19"/>
  <c r="AQ68" i="19" s="1"/>
  <c r="AP1" i="19"/>
  <c r="AP29" i="19" s="1"/>
  <c r="AO1" i="19"/>
  <c r="AO18" i="19" s="1"/>
  <c r="AJ1" i="19"/>
  <c r="AH1" i="19"/>
  <c r="AH2" i="19" s="1"/>
  <c r="AA1" i="19"/>
  <c r="A1" i="19"/>
  <c r="AT103" i="18"/>
  <c r="AI103" i="18"/>
  <c r="AH103" i="18"/>
  <c r="AF103" i="18"/>
  <c r="AE103" i="18"/>
  <c r="AC103" i="18"/>
  <c r="AB103" i="18"/>
  <c r="AA103" i="18"/>
  <c r="Z103" i="18"/>
  <c r="Y103" i="18"/>
  <c r="X103" i="18"/>
  <c r="W103" i="18"/>
  <c r="P103" i="18"/>
  <c r="O103" i="18"/>
  <c r="AD103" i="18" s="1"/>
  <c r="N103" i="18"/>
  <c r="M103" i="18"/>
  <c r="AT102" i="18"/>
  <c r="AI102" i="18"/>
  <c r="AH102" i="18"/>
  <c r="AF102" i="18"/>
  <c r="AE102" i="18"/>
  <c r="AD102" i="18"/>
  <c r="AC102" i="18"/>
  <c r="AA102" i="18"/>
  <c r="Z102" i="18"/>
  <c r="Y102" i="18"/>
  <c r="X102" i="18"/>
  <c r="W102" i="18"/>
  <c r="P102" i="18"/>
  <c r="O102" i="18"/>
  <c r="N102" i="18"/>
  <c r="M102" i="18"/>
  <c r="AB102" i="18" s="1"/>
  <c r="AI101" i="18"/>
  <c r="AH101" i="18"/>
  <c r="W101" i="18"/>
  <c r="AP100" i="18"/>
  <c r="AI100" i="18"/>
  <c r="AH100" i="18"/>
  <c r="AF100" i="18"/>
  <c r="AE100" i="18"/>
  <c r="AA100" i="18"/>
  <c r="Z100" i="18"/>
  <c r="Y100" i="18"/>
  <c r="X100" i="18"/>
  <c r="W100" i="18"/>
  <c r="P100" i="18"/>
  <c r="O100" i="18"/>
  <c r="AD100" i="18" s="1"/>
  <c r="N100" i="18"/>
  <c r="AO100" i="18" s="1"/>
  <c r="AV100" i="18" s="1"/>
  <c r="M100" i="18"/>
  <c r="AB100" i="18" s="1"/>
  <c r="AI99" i="18"/>
  <c r="AH99" i="18"/>
  <c r="W99" i="18"/>
  <c r="AV98" i="18"/>
  <c r="AT98" i="18"/>
  <c r="AP98" i="18"/>
  <c r="AO98" i="18"/>
  <c r="AI98" i="18"/>
  <c r="AH98" i="18"/>
  <c r="AF98" i="18"/>
  <c r="AE98" i="18"/>
  <c r="AD98" i="18"/>
  <c r="AC98" i="18"/>
  <c r="AA98" i="18"/>
  <c r="Z98" i="18"/>
  <c r="Y98" i="18"/>
  <c r="X98" i="18"/>
  <c r="W98" i="18"/>
  <c r="P98" i="18"/>
  <c r="O98" i="18"/>
  <c r="N98" i="18"/>
  <c r="M98" i="18"/>
  <c r="AP97" i="18"/>
  <c r="AI97" i="18"/>
  <c r="AH97" i="18"/>
  <c r="AF97" i="18"/>
  <c r="AE97" i="18"/>
  <c r="AA97" i="18"/>
  <c r="Z97" i="18"/>
  <c r="Y97" i="18"/>
  <c r="X97" i="18"/>
  <c r="W97" i="18"/>
  <c r="P97" i="18"/>
  <c r="O97" i="18"/>
  <c r="AD97" i="18" s="1"/>
  <c r="N97" i="18"/>
  <c r="AC97" i="18" s="1"/>
  <c r="M97" i="18"/>
  <c r="AB97" i="18" s="1"/>
  <c r="AP96" i="18"/>
  <c r="AI96" i="18"/>
  <c r="AH96" i="18"/>
  <c r="AF96" i="18"/>
  <c r="AE96" i="18"/>
  <c r="AA96" i="18"/>
  <c r="Z96" i="18"/>
  <c r="Y96" i="18"/>
  <c r="X96" i="18"/>
  <c r="W96" i="18"/>
  <c r="P96" i="18"/>
  <c r="O96" i="18"/>
  <c r="AD96" i="18" s="1"/>
  <c r="N96" i="18"/>
  <c r="AO96" i="18" s="1"/>
  <c r="AV96" i="18" s="1"/>
  <c r="M96" i="18"/>
  <c r="AB96" i="18" s="1"/>
  <c r="AP95" i="18"/>
  <c r="AI95" i="18"/>
  <c r="AH95" i="18"/>
  <c r="AF95" i="18"/>
  <c r="AE95" i="18"/>
  <c r="AD95" i="18"/>
  <c r="AC95" i="18"/>
  <c r="AB95" i="18"/>
  <c r="AA95" i="18"/>
  <c r="Z95" i="18"/>
  <c r="Y95" i="18"/>
  <c r="X95" i="18"/>
  <c r="W95" i="18"/>
  <c r="P95" i="18"/>
  <c r="O95" i="18"/>
  <c r="N95" i="18"/>
  <c r="AO95" i="18" s="1"/>
  <c r="AV95" i="18" s="1"/>
  <c r="M95" i="18"/>
  <c r="AI94" i="18"/>
  <c r="AH94" i="18"/>
  <c r="W94" i="18"/>
  <c r="AI93" i="18"/>
  <c r="AT93" i="18" s="1"/>
  <c r="AH93" i="18"/>
  <c r="AF93" i="18"/>
  <c r="AE93" i="18"/>
  <c r="AA93" i="18"/>
  <c r="Z93" i="18"/>
  <c r="Y93" i="18"/>
  <c r="X93" i="18"/>
  <c r="W93" i="18"/>
  <c r="P93" i="18"/>
  <c r="O93" i="18"/>
  <c r="AD93" i="18" s="1"/>
  <c r="N93" i="18"/>
  <c r="AC93" i="18" s="1"/>
  <c r="M93" i="18"/>
  <c r="AI92" i="18"/>
  <c r="AH92" i="18"/>
  <c r="AF92" i="18"/>
  <c r="AE92" i="18"/>
  <c r="AB92" i="18"/>
  <c r="AA92" i="18"/>
  <c r="Z92" i="18"/>
  <c r="Y92" i="18"/>
  <c r="X92" i="18"/>
  <c r="W92" i="18"/>
  <c r="P92" i="18"/>
  <c r="O92" i="18"/>
  <c r="AD92" i="18" s="1"/>
  <c r="N92" i="18"/>
  <c r="M92" i="18"/>
  <c r="AT91" i="18"/>
  <c r="AP91" i="18"/>
  <c r="AI91" i="18"/>
  <c r="AH91" i="18"/>
  <c r="AF91" i="18"/>
  <c r="AE91" i="18"/>
  <c r="AC91" i="18"/>
  <c r="AB91" i="18"/>
  <c r="AA91" i="18"/>
  <c r="Z91" i="18"/>
  <c r="Y91" i="18"/>
  <c r="X91" i="18"/>
  <c r="W91" i="18"/>
  <c r="P91" i="18"/>
  <c r="O91" i="18"/>
  <c r="AD91" i="18" s="1"/>
  <c r="N91" i="18"/>
  <c r="AO91" i="18" s="1"/>
  <c r="AV91" i="18" s="1"/>
  <c r="M91" i="18"/>
  <c r="AI90" i="18"/>
  <c r="AH90" i="18"/>
  <c r="W90" i="18"/>
  <c r="AP89" i="18"/>
  <c r="AI89" i="18"/>
  <c r="AH89" i="18"/>
  <c r="AF89" i="18"/>
  <c r="AE89" i="18"/>
  <c r="AA89" i="18"/>
  <c r="Z89" i="18"/>
  <c r="Y89" i="18"/>
  <c r="X89" i="18"/>
  <c r="W89" i="18"/>
  <c r="P89" i="18"/>
  <c r="O89" i="18"/>
  <c r="AD89" i="18" s="1"/>
  <c r="N89" i="18"/>
  <c r="AC89" i="18" s="1"/>
  <c r="M89" i="18"/>
  <c r="AP88" i="18"/>
  <c r="AI88" i="18"/>
  <c r="AH88" i="18"/>
  <c r="AF88" i="18"/>
  <c r="AE88" i="18"/>
  <c r="AB88" i="18"/>
  <c r="AA88" i="18"/>
  <c r="Z88" i="18"/>
  <c r="Y88" i="18"/>
  <c r="X88" i="18"/>
  <c r="W88" i="18"/>
  <c r="P88" i="18"/>
  <c r="O88" i="18"/>
  <c r="AD88" i="18" s="1"/>
  <c r="N88" i="18"/>
  <c r="AO88" i="18" s="1"/>
  <c r="AV88" i="18" s="1"/>
  <c r="M88" i="18"/>
  <c r="AT87" i="18"/>
  <c r="AP87" i="18"/>
  <c r="AI87" i="18"/>
  <c r="AH87" i="18"/>
  <c r="AF87" i="18"/>
  <c r="AE87" i="18"/>
  <c r="AC87" i="18"/>
  <c r="AB87" i="18"/>
  <c r="AA87" i="18"/>
  <c r="Z87" i="18"/>
  <c r="Y87" i="18"/>
  <c r="X87" i="18"/>
  <c r="W87" i="18"/>
  <c r="P87" i="18"/>
  <c r="O87" i="18"/>
  <c r="AD87" i="18" s="1"/>
  <c r="N87" i="18"/>
  <c r="AO87" i="18" s="1"/>
  <c r="AV87" i="18" s="1"/>
  <c r="M87" i="18"/>
  <c r="AP86" i="18"/>
  <c r="AO86" i="18"/>
  <c r="AV86" i="18" s="1"/>
  <c r="AI86" i="18"/>
  <c r="AT86" i="18" s="1"/>
  <c r="AH86" i="18"/>
  <c r="AF86" i="18"/>
  <c r="AE86" i="18"/>
  <c r="AD86" i="18"/>
  <c r="AC86" i="18"/>
  <c r="AB86" i="18"/>
  <c r="AA86" i="18"/>
  <c r="Z86" i="18"/>
  <c r="Y86" i="18"/>
  <c r="X86" i="18"/>
  <c r="W86" i="18"/>
  <c r="P86" i="18"/>
  <c r="O86" i="18"/>
  <c r="N86" i="18"/>
  <c r="M86" i="18"/>
  <c r="AV85" i="18"/>
  <c r="AT85" i="18"/>
  <c r="AP85" i="18"/>
  <c r="AO85" i="18"/>
  <c r="AI85" i="18"/>
  <c r="AH85" i="18"/>
  <c r="AF85" i="18"/>
  <c r="AE85" i="18"/>
  <c r="AD85" i="18"/>
  <c r="AC85" i="18"/>
  <c r="AA85" i="18"/>
  <c r="Z85" i="18"/>
  <c r="Y85" i="18"/>
  <c r="X85" i="18"/>
  <c r="W85" i="18"/>
  <c r="P85" i="18"/>
  <c r="O85" i="18"/>
  <c r="N85" i="18"/>
  <c r="M85" i="18"/>
  <c r="AT84" i="18"/>
  <c r="AP84" i="18"/>
  <c r="AI84" i="18"/>
  <c r="AH84" i="18"/>
  <c r="AF84" i="18"/>
  <c r="AE84" i="18"/>
  <c r="AD84" i="18"/>
  <c r="AA84" i="18"/>
  <c r="Z84" i="18"/>
  <c r="Y84" i="18"/>
  <c r="X84" i="18"/>
  <c r="W84" i="18"/>
  <c r="P84" i="18"/>
  <c r="O84" i="18"/>
  <c r="N84" i="18"/>
  <c r="M84" i="18"/>
  <c r="AP83" i="18"/>
  <c r="AO83" i="18"/>
  <c r="AV83" i="18" s="1"/>
  <c r="AI83" i="18"/>
  <c r="AH83" i="18"/>
  <c r="AF83" i="18"/>
  <c r="AE83" i="18"/>
  <c r="AA83" i="18"/>
  <c r="Z83" i="18"/>
  <c r="Y83" i="18"/>
  <c r="X83" i="18"/>
  <c r="W83" i="18"/>
  <c r="P83" i="18"/>
  <c r="O83" i="18"/>
  <c r="AD83" i="18" s="1"/>
  <c r="N83" i="18"/>
  <c r="AC83" i="18" s="1"/>
  <c r="M83" i="18"/>
  <c r="AP82" i="18"/>
  <c r="AI82" i="18"/>
  <c r="AH82" i="18"/>
  <c r="AF82" i="18"/>
  <c r="AE82" i="18"/>
  <c r="AB82" i="18"/>
  <c r="AA82" i="18"/>
  <c r="Z82" i="18"/>
  <c r="Y82" i="18"/>
  <c r="X82" i="18"/>
  <c r="W82" i="18"/>
  <c r="P82" i="18"/>
  <c r="O82" i="18"/>
  <c r="AD82" i="18" s="1"/>
  <c r="N82" i="18"/>
  <c r="AO82" i="18" s="1"/>
  <c r="AV82" i="18" s="1"/>
  <c r="M82" i="18"/>
  <c r="AT81" i="18"/>
  <c r="AP81" i="18"/>
  <c r="AI81" i="18"/>
  <c r="AH81" i="18"/>
  <c r="AF81" i="18"/>
  <c r="AE81" i="18"/>
  <c r="AC81" i="18"/>
  <c r="AB81" i="18"/>
  <c r="AA81" i="18"/>
  <c r="Z81" i="18"/>
  <c r="Y81" i="18"/>
  <c r="X81" i="18"/>
  <c r="W81" i="18"/>
  <c r="P81" i="18"/>
  <c r="O81" i="18"/>
  <c r="AD81" i="18" s="1"/>
  <c r="N81" i="18"/>
  <c r="AO81" i="18" s="1"/>
  <c r="AV81" i="18" s="1"/>
  <c r="M81" i="18"/>
  <c r="AI80" i="18"/>
  <c r="AH80" i="18"/>
  <c r="W80" i="18"/>
  <c r="AP79" i="18"/>
  <c r="AI79" i="18"/>
  <c r="AH79" i="18"/>
  <c r="AF79" i="18"/>
  <c r="AE79" i="18"/>
  <c r="AA79" i="18"/>
  <c r="Z79" i="18"/>
  <c r="Y79" i="18"/>
  <c r="X79" i="18"/>
  <c r="W79" i="18"/>
  <c r="P79" i="18"/>
  <c r="O79" i="18"/>
  <c r="AD79" i="18" s="1"/>
  <c r="N79" i="18"/>
  <c r="AC79" i="18" s="1"/>
  <c r="M79" i="18"/>
  <c r="AP78" i="18"/>
  <c r="AI78" i="18"/>
  <c r="AH78" i="18"/>
  <c r="AF78" i="18"/>
  <c r="AE78" i="18"/>
  <c r="AB78" i="18"/>
  <c r="AA78" i="18"/>
  <c r="Z78" i="18"/>
  <c r="Y78" i="18"/>
  <c r="X78" i="18"/>
  <c r="W78" i="18"/>
  <c r="P78" i="18"/>
  <c r="O78" i="18"/>
  <c r="AD78" i="18" s="1"/>
  <c r="N78" i="18"/>
  <c r="AO78" i="18" s="1"/>
  <c r="AV78" i="18" s="1"/>
  <c r="M78" i="18"/>
  <c r="AT77" i="18"/>
  <c r="AP77" i="18"/>
  <c r="AI77" i="18"/>
  <c r="AH77" i="18"/>
  <c r="AF77" i="18"/>
  <c r="AE77" i="18"/>
  <c r="AC77" i="18"/>
  <c r="AB77" i="18"/>
  <c r="AA77" i="18"/>
  <c r="Z77" i="18"/>
  <c r="Y77" i="18"/>
  <c r="X77" i="18"/>
  <c r="W77" i="18"/>
  <c r="P77" i="18"/>
  <c r="O77" i="18"/>
  <c r="AD77" i="18" s="1"/>
  <c r="N77" i="18"/>
  <c r="AO77" i="18" s="1"/>
  <c r="AV77" i="18" s="1"/>
  <c r="M77" i="18"/>
  <c r="AP76" i="18"/>
  <c r="AO76" i="18"/>
  <c r="AV76" i="18" s="1"/>
  <c r="AI76" i="18"/>
  <c r="AT76" i="18" s="1"/>
  <c r="AH76" i="18"/>
  <c r="AF76" i="18"/>
  <c r="AE76" i="18"/>
  <c r="AD76" i="18"/>
  <c r="AC76" i="18"/>
  <c r="AB76" i="18"/>
  <c r="AA76" i="18"/>
  <c r="Z76" i="18"/>
  <c r="Y76" i="18"/>
  <c r="X76" i="18"/>
  <c r="W76" i="18"/>
  <c r="P76" i="18"/>
  <c r="O76" i="18"/>
  <c r="N76" i="18"/>
  <c r="M76" i="18"/>
  <c r="AT75" i="18"/>
  <c r="AP75" i="18"/>
  <c r="AO75" i="18"/>
  <c r="AV75" i="18" s="1"/>
  <c r="AI75" i="18"/>
  <c r="AH75" i="18"/>
  <c r="AF75" i="18"/>
  <c r="AE75" i="18"/>
  <c r="AD75" i="18"/>
  <c r="AC75" i="18"/>
  <c r="AA75" i="18"/>
  <c r="Z75" i="18"/>
  <c r="Y75" i="18"/>
  <c r="X75" i="18"/>
  <c r="W75" i="18"/>
  <c r="P75" i="18"/>
  <c r="O75" i="18"/>
  <c r="N75" i="18"/>
  <c r="M75" i="18"/>
  <c r="AI74" i="18"/>
  <c r="AH74" i="18"/>
  <c r="W74" i="18"/>
  <c r="AT73" i="18"/>
  <c r="AI73" i="18"/>
  <c r="AH73" i="18"/>
  <c r="AF73" i="18"/>
  <c r="AE73" i="18"/>
  <c r="AC73" i="18"/>
  <c r="AB73" i="18"/>
  <c r="AA73" i="18"/>
  <c r="Z73" i="18"/>
  <c r="Y73" i="18"/>
  <c r="X73" i="18"/>
  <c r="W73" i="18"/>
  <c r="P73" i="18"/>
  <c r="O73" i="18"/>
  <c r="AD73" i="18" s="1"/>
  <c r="N73" i="18"/>
  <c r="M73" i="18"/>
  <c r="AI72" i="18"/>
  <c r="AT72" i="18" s="1"/>
  <c r="AH72" i="18"/>
  <c r="AF72" i="18"/>
  <c r="AE72" i="18"/>
  <c r="AD72" i="18"/>
  <c r="AC72" i="18"/>
  <c r="AB72" i="18"/>
  <c r="AA72" i="18"/>
  <c r="Z72" i="18"/>
  <c r="Y72" i="18"/>
  <c r="X72" i="18"/>
  <c r="W72" i="18"/>
  <c r="P72" i="18"/>
  <c r="O72" i="18"/>
  <c r="N72" i="18"/>
  <c r="M72" i="18"/>
  <c r="AT71" i="18"/>
  <c r="AI71" i="18"/>
  <c r="AH71" i="18"/>
  <c r="AF71" i="18"/>
  <c r="AE71" i="18"/>
  <c r="AD71" i="18"/>
  <c r="AC71" i="18"/>
  <c r="AA71" i="18"/>
  <c r="Z71" i="18"/>
  <c r="Y71" i="18"/>
  <c r="X71" i="18"/>
  <c r="W71" i="18"/>
  <c r="P71" i="18"/>
  <c r="O71" i="18"/>
  <c r="N71" i="18"/>
  <c r="M71" i="18"/>
  <c r="AI70" i="18"/>
  <c r="AH70" i="18"/>
  <c r="W70" i="18"/>
  <c r="AT69" i="18"/>
  <c r="AP69" i="18"/>
  <c r="AI69" i="18"/>
  <c r="AH69" i="18"/>
  <c r="AF69" i="18"/>
  <c r="AE69" i="18"/>
  <c r="AC69" i="18"/>
  <c r="AB69" i="18"/>
  <c r="AA69" i="18"/>
  <c r="Z69" i="18"/>
  <c r="Y69" i="18"/>
  <c r="X69" i="18"/>
  <c r="W69" i="18"/>
  <c r="P69" i="18"/>
  <c r="O69" i="18"/>
  <c r="AD69" i="18" s="1"/>
  <c r="N69" i="18"/>
  <c r="AO69" i="18" s="1"/>
  <c r="AV69" i="18" s="1"/>
  <c r="M69" i="18"/>
  <c r="AI68" i="18"/>
  <c r="AH68" i="18"/>
  <c r="W68" i="18"/>
  <c r="AI67" i="18"/>
  <c r="AT67" i="18" s="1"/>
  <c r="AH67" i="18"/>
  <c r="AF67" i="18"/>
  <c r="AE67" i="18"/>
  <c r="AA67" i="18"/>
  <c r="Z67" i="18"/>
  <c r="Y67" i="18"/>
  <c r="X67" i="18"/>
  <c r="W67" i="18"/>
  <c r="P67" i="18"/>
  <c r="O67" i="18"/>
  <c r="AD67" i="18" s="1"/>
  <c r="N67" i="18"/>
  <c r="AC67" i="18" s="1"/>
  <c r="M67" i="18"/>
  <c r="AI66" i="18"/>
  <c r="AH66" i="18"/>
  <c r="AF66" i="18"/>
  <c r="AE66" i="18"/>
  <c r="AB66" i="18"/>
  <c r="AA66" i="18"/>
  <c r="Z66" i="18"/>
  <c r="Y66" i="18"/>
  <c r="X66" i="18"/>
  <c r="W66" i="18"/>
  <c r="P66" i="18"/>
  <c r="O66" i="18"/>
  <c r="AD66" i="18" s="1"/>
  <c r="N66" i="18"/>
  <c r="M66" i="18"/>
  <c r="AI65" i="18"/>
  <c r="AH65" i="18"/>
  <c r="W65" i="18"/>
  <c r="AT64" i="18"/>
  <c r="AP64" i="18"/>
  <c r="AI64" i="18"/>
  <c r="AH64" i="18"/>
  <c r="AF64" i="18"/>
  <c r="AE64" i="18"/>
  <c r="AD64" i="18"/>
  <c r="AA64" i="18"/>
  <c r="Z64" i="18"/>
  <c r="Y64" i="18"/>
  <c r="X64" i="18"/>
  <c r="W64" i="18"/>
  <c r="P64" i="18"/>
  <c r="O64" i="18"/>
  <c r="N64" i="18"/>
  <c r="M64" i="18"/>
  <c r="AI63" i="18"/>
  <c r="AH63" i="18"/>
  <c r="W63" i="18"/>
  <c r="AP62" i="18"/>
  <c r="AO62" i="18"/>
  <c r="AV62" i="18" s="1"/>
  <c r="AI62" i="18"/>
  <c r="AT62" i="18" s="1"/>
  <c r="AH62" i="18"/>
  <c r="AF62" i="18"/>
  <c r="AE62" i="18"/>
  <c r="AD62" i="18"/>
  <c r="AC62" i="18"/>
  <c r="AB62" i="18"/>
  <c r="AA62" i="18"/>
  <c r="Z62" i="18"/>
  <c r="Y62" i="18"/>
  <c r="X62" i="18"/>
  <c r="W62" i="18"/>
  <c r="P62" i="18"/>
  <c r="O62" i="18"/>
  <c r="N62" i="18"/>
  <c r="M62" i="18"/>
  <c r="AT61" i="18"/>
  <c r="AP61" i="18"/>
  <c r="AO61" i="18"/>
  <c r="AV61" i="18" s="1"/>
  <c r="AI61" i="18"/>
  <c r="AH61" i="18"/>
  <c r="AF61" i="18"/>
  <c r="AE61" i="18"/>
  <c r="AD61" i="18"/>
  <c r="AC61" i="18"/>
  <c r="AA61" i="18"/>
  <c r="Z61" i="18"/>
  <c r="Y61" i="18"/>
  <c r="X61" i="18"/>
  <c r="W61" i="18"/>
  <c r="P61" i="18"/>
  <c r="O61" i="18"/>
  <c r="N61" i="18"/>
  <c r="M61" i="18"/>
  <c r="AI60" i="18"/>
  <c r="AH60" i="18"/>
  <c r="W60" i="18"/>
  <c r="AT59" i="18"/>
  <c r="AI59" i="18"/>
  <c r="AH59" i="18"/>
  <c r="AF59" i="18"/>
  <c r="AE59" i="18"/>
  <c r="AC59" i="18"/>
  <c r="AB59" i="18"/>
  <c r="AA59" i="18"/>
  <c r="Z59" i="18"/>
  <c r="Y59" i="18"/>
  <c r="X59" i="18"/>
  <c r="W59" i="18"/>
  <c r="P59" i="18"/>
  <c r="O59" i="18"/>
  <c r="AD59" i="18" s="1"/>
  <c r="N59" i="18"/>
  <c r="M59" i="18"/>
  <c r="AT58" i="18"/>
  <c r="AI58" i="18"/>
  <c r="AN58" i="18" s="1"/>
  <c r="AH58" i="18"/>
  <c r="AF58" i="18"/>
  <c r="AE58" i="18"/>
  <c r="AC58" i="18"/>
  <c r="AB58" i="18"/>
  <c r="AA58" i="18"/>
  <c r="Z58" i="18"/>
  <c r="Y58" i="18"/>
  <c r="X58" i="18"/>
  <c r="W58" i="18"/>
  <c r="P58" i="18"/>
  <c r="O58" i="18"/>
  <c r="N58" i="18"/>
  <c r="M58" i="18"/>
  <c r="AI57" i="18"/>
  <c r="AH57" i="18"/>
  <c r="W57" i="18"/>
  <c r="AP56" i="18"/>
  <c r="AI56" i="18"/>
  <c r="AH56" i="18"/>
  <c r="AF56" i="18"/>
  <c r="AE56" i="18"/>
  <c r="AB56" i="18"/>
  <c r="AA56" i="18"/>
  <c r="Z56" i="18"/>
  <c r="Y56" i="18"/>
  <c r="X56" i="18"/>
  <c r="W56" i="18"/>
  <c r="P56" i="18"/>
  <c r="O56" i="18"/>
  <c r="AD56" i="18" s="1"/>
  <c r="N56" i="18"/>
  <c r="AO56" i="18" s="1"/>
  <c r="AV56" i="18" s="1"/>
  <c r="M56" i="18"/>
  <c r="AI55" i="18"/>
  <c r="AH55" i="18"/>
  <c r="W55" i="18"/>
  <c r="AT54" i="18"/>
  <c r="AI54" i="18"/>
  <c r="AH54" i="18"/>
  <c r="AF54" i="18"/>
  <c r="AE54" i="18"/>
  <c r="AD54" i="18"/>
  <c r="AC54" i="18"/>
  <c r="AA54" i="18"/>
  <c r="Z54" i="18"/>
  <c r="Y54" i="18"/>
  <c r="X54" i="18"/>
  <c r="W54" i="18"/>
  <c r="P54" i="18"/>
  <c r="O54" i="18"/>
  <c r="N54" i="18"/>
  <c r="M54" i="18"/>
  <c r="AP53" i="18"/>
  <c r="AI53" i="18"/>
  <c r="AH53" i="18"/>
  <c r="AF53" i="18"/>
  <c r="AE53" i="18"/>
  <c r="AB53" i="18"/>
  <c r="AA53" i="18"/>
  <c r="Z53" i="18"/>
  <c r="Y53" i="18"/>
  <c r="X53" i="18"/>
  <c r="W53" i="18"/>
  <c r="P53" i="18"/>
  <c r="O53" i="18"/>
  <c r="AQ53" i="18" s="1"/>
  <c r="N53" i="18"/>
  <c r="AC53" i="18" s="1"/>
  <c r="M53" i="18"/>
  <c r="AI52" i="18"/>
  <c r="AH52" i="18"/>
  <c r="AF52" i="18"/>
  <c r="AE52" i="18"/>
  <c r="AA52" i="18"/>
  <c r="Z52" i="18"/>
  <c r="Y52" i="18"/>
  <c r="X52" i="18"/>
  <c r="W52" i="18"/>
  <c r="P52" i="18"/>
  <c r="O52" i="18"/>
  <c r="AD52" i="18" s="1"/>
  <c r="N52" i="18"/>
  <c r="AO52" i="18" s="1"/>
  <c r="M52" i="18"/>
  <c r="AB52" i="18" s="1"/>
  <c r="AI51" i="18"/>
  <c r="AH51" i="18"/>
  <c r="W51" i="18"/>
  <c r="AT50" i="18"/>
  <c r="AP50" i="18"/>
  <c r="AI50" i="18"/>
  <c r="AH50" i="18"/>
  <c r="AF50" i="18"/>
  <c r="AE50" i="18"/>
  <c r="AA50" i="18"/>
  <c r="Z50" i="18"/>
  <c r="Y50" i="18"/>
  <c r="X50" i="18"/>
  <c r="W50" i="18"/>
  <c r="P50" i="18"/>
  <c r="O50" i="18"/>
  <c r="AD50" i="18" s="1"/>
  <c r="N50" i="18"/>
  <c r="AC50" i="18" s="1"/>
  <c r="M50" i="18"/>
  <c r="AP49" i="18"/>
  <c r="AI49" i="18"/>
  <c r="AH49" i="18"/>
  <c r="AF49" i="18"/>
  <c r="AE49" i="18"/>
  <c r="AD49" i="18"/>
  <c r="AA49" i="18"/>
  <c r="Z49" i="18"/>
  <c r="Y49" i="18"/>
  <c r="X49" i="18"/>
  <c r="W49" i="18"/>
  <c r="P49" i="18"/>
  <c r="O49" i="18"/>
  <c r="N49" i="18"/>
  <c r="AC49" i="18" s="1"/>
  <c r="M49" i="18"/>
  <c r="AB49" i="18" s="1"/>
  <c r="AI48" i="18"/>
  <c r="AH48" i="18"/>
  <c r="AF48" i="18"/>
  <c r="AE48" i="18"/>
  <c r="AC48" i="18"/>
  <c r="AB48" i="18"/>
  <c r="AA48" i="18"/>
  <c r="Z48" i="18"/>
  <c r="Y48" i="18"/>
  <c r="X48" i="18"/>
  <c r="W48" i="18"/>
  <c r="P48" i="18"/>
  <c r="O48" i="18"/>
  <c r="AD48" i="18" s="1"/>
  <c r="N48" i="18"/>
  <c r="M48" i="18"/>
  <c r="AI47" i="18"/>
  <c r="AH47" i="18"/>
  <c r="W47" i="18"/>
  <c r="AT46" i="18"/>
  <c r="AI46" i="18"/>
  <c r="AH46" i="18"/>
  <c r="AF46" i="18"/>
  <c r="AE46" i="18"/>
  <c r="AD46" i="18"/>
  <c r="AA46" i="18"/>
  <c r="Z46" i="18"/>
  <c r="Y46" i="18"/>
  <c r="X46" i="18"/>
  <c r="W46" i="18"/>
  <c r="P46" i="18"/>
  <c r="O46" i="18"/>
  <c r="N46" i="18"/>
  <c r="AC46" i="18" s="1"/>
  <c r="M46" i="18"/>
  <c r="AI45" i="18"/>
  <c r="AH45" i="18"/>
  <c r="AF45" i="18"/>
  <c r="AE45" i="18"/>
  <c r="AD45" i="18"/>
  <c r="AB45" i="18"/>
  <c r="AA45" i="18"/>
  <c r="Z45" i="18"/>
  <c r="Y45" i="18"/>
  <c r="X45" i="18"/>
  <c r="W45" i="18"/>
  <c r="P45" i="18"/>
  <c r="O45" i="18"/>
  <c r="N45" i="18"/>
  <c r="AC45" i="18" s="1"/>
  <c r="M45" i="18"/>
  <c r="AI44" i="18"/>
  <c r="AH44" i="18"/>
  <c r="AF44" i="18"/>
  <c r="AE44" i="18"/>
  <c r="AD44" i="18"/>
  <c r="AC44" i="18"/>
  <c r="AB44" i="18"/>
  <c r="AA44" i="18"/>
  <c r="Z44" i="18"/>
  <c r="Y44" i="18"/>
  <c r="X44" i="18"/>
  <c r="W44" i="18"/>
  <c r="P44" i="18"/>
  <c r="O44" i="18"/>
  <c r="N44" i="18"/>
  <c r="M44" i="18"/>
  <c r="AT43" i="18"/>
  <c r="AI43" i="18"/>
  <c r="AH43" i="18"/>
  <c r="AF43" i="18"/>
  <c r="AE43" i="18"/>
  <c r="AC43" i="18"/>
  <c r="AA43" i="18"/>
  <c r="Z43" i="18"/>
  <c r="Y43" i="18"/>
  <c r="X43" i="18"/>
  <c r="W43" i="18"/>
  <c r="P43" i="18"/>
  <c r="O43" i="18"/>
  <c r="AD43" i="18" s="1"/>
  <c r="N43" i="18"/>
  <c r="M43" i="18"/>
  <c r="AP42" i="18"/>
  <c r="AI42" i="18"/>
  <c r="AT42" i="18" s="1"/>
  <c r="AH42" i="18"/>
  <c r="AF42" i="18"/>
  <c r="AE42" i="18"/>
  <c r="AD42" i="18"/>
  <c r="AA42" i="18"/>
  <c r="Z42" i="18"/>
  <c r="Y42" i="18"/>
  <c r="X42" i="18"/>
  <c r="W42" i="18"/>
  <c r="P42" i="18"/>
  <c r="O42" i="18"/>
  <c r="N42" i="18"/>
  <c r="AO42" i="18" s="1"/>
  <c r="AV42" i="18" s="1"/>
  <c r="M42" i="18"/>
  <c r="AI41" i="18"/>
  <c r="AH41" i="18"/>
  <c r="W41" i="18"/>
  <c r="AI40" i="18"/>
  <c r="AN40" i="18" s="1"/>
  <c r="AH40" i="18"/>
  <c r="AF40" i="18"/>
  <c r="AE40" i="18"/>
  <c r="AD40" i="18"/>
  <c r="AB40" i="18"/>
  <c r="AA40" i="18"/>
  <c r="Z40" i="18"/>
  <c r="Y40" i="18"/>
  <c r="X40" i="18"/>
  <c r="W40" i="18"/>
  <c r="P40" i="18"/>
  <c r="O40" i="18"/>
  <c r="N40" i="18"/>
  <c r="AC40" i="18" s="1"/>
  <c r="M40" i="18"/>
  <c r="AT39" i="18"/>
  <c r="AI39" i="18"/>
  <c r="AH39" i="18"/>
  <c r="AF39" i="18"/>
  <c r="AE39" i="18"/>
  <c r="AC39" i="18"/>
  <c r="AA39" i="18"/>
  <c r="Z39" i="18"/>
  <c r="Y39" i="18"/>
  <c r="X39" i="18"/>
  <c r="W39" i="18"/>
  <c r="P39" i="18"/>
  <c r="O39" i="18"/>
  <c r="AD39" i="18" s="1"/>
  <c r="N39" i="18"/>
  <c r="M39" i="18"/>
  <c r="AI38" i="18"/>
  <c r="AH38" i="18"/>
  <c r="W38" i="18"/>
  <c r="AT37" i="18"/>
  <c r="AP37" i="18"/>
  <c r="AI37" i="18"/>
  <c r="AN37" i="18" s="1"/>
  <c r="AH37" i="18"/>
  <c r="AF37" i="18"/>
  <c r="AE37" i="18"/>
  <c r="AC37" i="18"/>
  <c r="AA37" i="18"/>
  <c r="Z37" i="18"/>
  <c r="Y37" i="18"/>
  <c r="X37" i="18"/>
  <c r="W37" i="18"/>
  <c r="P37" i="18"/>
  <c r="O37" i="18"/>
  <c r="AQ37" i="18" s="1"/>
  <c r="N37" i="18"/>
  <c r="AO37" i="18" s="1"/>
  <c r="AV37" i="18" s="1"/>
  <c r="M37" i="18"/>
  <c r="AI36" i="18"/>
  <c r="AH36" i="18"/>
  <c r="AF36" i="18"/>
  <c r="AE36" i="18"/>
  <c r="AD36" i="18"/>
  <c r="AB36" i="18"/>
  <c r="AA36" i="18"/>
  <c r="Z36" i="18"/>
  <c r="Y36" i="18"/>
  <c r="X36" i="18"/>
  <c r="W36" i="18"/>
  <c r="P36" i="18"/>
  <c r="O36" i="18"/>
  <c r="N36" i="18"/>
  <c r="AC36" i="18" s="1"/>
  <c r="M36" i="18"/>
  <c r="AI35" i="18"/>
  <c r="AH35" i="18"/>
  <c r="W35" i="18"/>
  <c r="AI34" i="18"/>
  <c r="AH34" i="18"/>
  <c r="AF34" i="18"/>
  <c r="AE34" i="18"/>
  <c r="AD34" i="18"/>
  <c r="AB34" i="18"/>
  <c r="AA34" i="18"/>
  <c r="Z34" i="18"/>
  <c r="Y34" i="18"/>
  <c r="X34" i="18"/>
  <c r="W34" i="18"/>
  <c r="P34" i="18"/>
  <c r="O34" i="18"/>
  <c r="N34" i="18"/>
  <c r="M34" i="18"/>
  <c r="AT33" i="18"/>
  <c r="AI33" i="18"/>
  <c r="AH33" i="18"/>
  <c r="AF33" i="18"/>
  <c r="AE33" i="18"/>
  <c r="AC33" i="18"/>
  <c r="AA33" i="18"/>
  <c r="Z33" i="18"/>
  <c r="Y33" i="18"/>
  <c r="X33" i="18"/>
  <c r="W33" i="18"/>
  <c r="P33" i="18"/>
  <c r="O33" i="18"/>
  <c r="AD33" i="18" s="1"/>
  <c r="N33" i="18"/>
  <c r="M33" i="18"/>
  <c r="AP32" i="18"/>
  <c r="AI32" i="18"/>
  <c r="AH32" i="18"/>
  <c r="AF32" i="18"/>
  <c r="AE32" i="18"/>
  <c r="AD32" i="18"/>
  <c r="AB32" i="18"/>
  <c r="AA32" i="18"/>
  <c r="Z32" i="18"/>
  <c r="Y32" i="18"/>
  <c r="X32" i="18"/>
  <c r="W32" i="18"/>
  <c r="P32" i="18"/>
  <c r="O32" i="18"/>
  <c r="N32" i="18"/>
  <c r="AC32" i="18" s="1"/>
  <c r="M32" i="18"/>
  <c r="AT31" i="18"/>
  <c r="AJ31" i="18"/>
  <c r="AI31" i="18"/>
  <c r="AH31" i="18"/>
  <c r="AF31" i="18"/>
  <c r="AE31" i="18"/>
  <c r="AC31" i="18"/>
  <c r="AA31" i="18"/>
  <c r="Z31" i="18"/>
  <c r="Y31" i="18"/>
  <c r="X31" i="18"/>
  <c r="W31" i="18"/>
  <c r="P31" i="18"/>
  <c r="O31" i="18"/>
  <c r="AD31" i="18" s="1"/>
  <c r="N31" i="18"/>
  <c r="M31" i="18"/>
  <c r="AI30" i="18"/>
  <c r="AH30" i="18"/>
  <c r="W30" i="18"/>
  <c r="AT29" i="18"/>
  <c r="AP29" i="18"/>
  <c r="AI29" i="18"/>
  <c r="AN29" i="18" s="1"/>
  <c r="AH29" i="18"/>
  <c r="AF29" i="18"/>
  <c r="AE29" i="18"/>
  <c r="AC29" i="18"/>
  <c r="AA29" i="18"/>
  <c r="Z29" i="18"/>
  <c r="Y29" i="18"/>
  <c r="X29" i="18"/>
  <c r="W29" i="18"/>
  <c r="P29" i="18"/>
  <c r="O29" i="18"/>
  <c r="AD29" i="18" s="1"/>
  <c r="N29" i="18"/>
  <c r="AO29" i="18" s="1"/>
  <c r="AV29" i="18" s="1"/>
  <c r="M29" i="18"/>
  <c r="AU28" i="18"/>
  <c r="AP28" i="18"/>
  <c r="AI28" i="18"/>
  <c r="AH28" i="18"/>
  <c r="AF28" i="18"/>
  <c r="AE28" i="18"/>
  <c r="AD28" i="18"/>
  <c r="AB28" i="18"/>
  <c r="AA28" i="18"/>
  <c r="Z28" i="18"/>
  <c r="Y28" i="18"/>
  <c r="X28" i="18"/>
  <c r="W28" i="18"/>
  <c r="P28" i="18"/>
  <c r="O28" i="18"/>
  <c r="N28" i="18"/>
  <c r="AC28" i="18" s="1"/>
  <c r="M28" i="18"/>
  <c r="AT27" i="18"/>
  <c r="AP27" i="18"/>
  <c r="AO27" i="18"/>
  <c r="AV27" i="18" s="1"/>
  <c r="AJ27" i="18"/>
  <c r="AI27" i="18"/>
  <c r="AN27" i="18" s="1"/>
  <c r="AH27" i="18"/>
  <c r="AF27" i="18"/>
  <c r="AE27" i="18"/>
  <c r="AC27" i="18"/>
  <c r="AA27" i="18"/>
  <c r="Z27" i="18"/>
  <c r="Y27" i="18"/>
  <c r="X27" i="18"/>
  <c r="W27" i="18"/>
  <c r="P27" i="18"/>
  <c r="O27" i="18"/>
  <c r="AD27" i="18" s="1"/>
  <c r="N27" i="18"/>
  <c r="M27" i="18"/>
  <c r="AU26" i="18"/>
  <c r="AT26" i="18"/>
  <c r="AP26" i="18"/>
  <c r="AN26" i="18"/>
  <c r="AI26" i="18"/>
  <c r="AH26" i="18"/>
  <c r="AF26" i="18"/>
  <c r="AE26" i="18"/>
  <c r="AD26" i="18"/>
  <c r="AB26" i="18"/>
  <c r="AA26" i="18"/>
  <c r="Z26" i="18"/>
  <c r="Y26" i="18"/>
  <c r="X26" i="18"/>
  <c r="W26" i="18"/>
  <c r="P26" i="18"/>
  <c r="O26" i="18"/>
  <c r="N26" i="18"/>
  <c r="M26" i="18"/>
  <c r="AT25" i="18"/>
  <c r="AQ25" i="18"/>
  <c r="AP25" i="18"/>
  <c r="AO25" i="18"/>
  <c r="AV25" i="18" s="1"/>
  <c r="AI25" i="18"/>
  <c r="AH25" i="18"/>
  <c r="AF25" i="18"/>
  <c r="AE25" i="18"/>
  <c r="AC25" i="18"/>
  <c r="AA25" i="18"/>
  <c r="Z25" i="18"/>
  <c r="Y25" i="18"/>
  <c r="X25" i="18"/>
  <c r="W25" i="18"/>
  <c r="P25" i="18"/>
  <c r="O25" i="18"/>
  <c r="AD25" i="18" s="1"/>
  <c r="N25" i="18"/>
  <c r="M25" i="18"/>
  <c r="AP24" i="18"/>
  <c r="AI24" i="18"/>
  <c r="AH24" i="18"/>
  <c r="AF24" i="18"/>
  <c r="AE24" i="18"/>
  <c r="AD24" i="18"/>
  <c r="AB24" i="18"/>
  <c r="AA24" i="18"/>
  <c r="Z24" i="18"/>
  <c r="Y24" i="18"/>
  <c r="X24" i="18"/>
  <c r="W24" i="18"/>
  <c r="P24" i="18"/>
  <c r="O24" i="18"/>
  <c r="AQ24" i="18" s="1"/>
  <c r="N24" i="18"/>
  <c r="M24" i="18"/>
  <c r="AT23" i="18"/>
  <c r="AP23" i="18"/>
  <c r="AJ23" i="18"/>
  <c r="AI23" i="18"/>
  <c r="AH23" i="18"/>
  <c r="AF23" i="18"/>
  <c r="AE23" i="18"/>
  <c r="AC23" i="18"/>
  <c r="AA23" i="18"/>
  <c r="Z23" i="18"/>
  <c r="Y23" i="18"/>
  <c r="X23" i="18"/>
  <c r="W23" i="18"/>
  <c r="P23" i="18"/>
  <c r="O23" i="18"/>
  <c r="AD23" i="18" s="1"/>
  <c r="N23" i="18"/>
  <c r="AO23" i="18" s="1"/>
  <c r="AV23" i="18" s="1"/>
  <c r="M23" i="18"/>
  <c r="AU22" i="18"/>
  <c r="AP22" i="18"/>
  <c r="AN22" i="18"/>
  <c r="AI22" i="18"/>
  <c r="AH22" i="18"/>
  <c r="AF22" i="18"/>
  <c r="AE22" i="18"/>
  <c r="AD22" i="18"/>
  <c r="AB22" i="18"/>
  <c r="AA22" i="18"/>
  <c r="Z22" i="18"/>
  <c r="Y22" i="18"/>
  <c r="X22" i="18"/>
  <c r="W22" i="18"/>
  <c r="P22" i="18"/>
  <c r="O22" i="18"/>
  <c r="AQ22" i="18" s="1"/>
  <c r="N22" i="18"/>
  <c r="AC22" i="18" s="1"/>
  <c r="M22" i="18"/>
  <c r="AT21" i="18"/>
  <c r="AP21" i="18"/>
  <c r="AO21" i="18"/>
  <c r="AV21" i="18" s="1"/>
  <c r="AJ21" i="18"/>
  <c r="AI21" i="18"/>
  <c r="AH21" i="18"/>
  <c r="AF21" i="18"/>
  <c r="AE21" i="18"/>
  <c r="AC21" i="18"/>
  <c r="AA21" i="18"/>
  <c r="Z21" i="18"/>
  <c r="Y21" i="18"/>
  <c r="X21" i="18"/>
  <c r="W21" i="18"/>
  <c r="P21" i="18"/>
  <c r="O21" i="18"/>
  <c r="AD21" i="18" s="1"/>
  <c r="N21" i="18"/>
  <c r="M21" i="18"/>
  <c r="AU20" i="18"/>
  <c r="AP20" i="18"/>
  <c r="AI20" i="18"/>
  <c r="AT20" i="18" s="1"/>
  <c r="AH20" i="18"/>
  <c r="AF20" i="18"/>
  <c r="AE20" i="18"/>
  <c r="AD20" i="18"/>
  <c r="AB20" i="18"/>
  <c r="AA20" i="18"/>
  <c r="Z20" i="18"/>
  <c r="Y20" i="18"/>
  <c r="X20" i="18"/>
  <c r="W20" i="18"/>
  <c r="P20" i="18"/>
  <c r="O20" i="18"/>
  <c r="N20" i="18"/>
  <c r="M20" i="18"/>
  <c r="AV19" i="18"/>
  <c r="AT19" i="18"/>
  <c r="AP19" i="18"/>
  <c r="AO19" i="18"/>
  <c r="AI19" i="18"/>
  <c r="AH19" i="18"/>
  <c r="AF19" i="18"/>
  <c r="AE19" i="18"/>
  <c r="AC19" i="18"/>
  <c r="AA19" i="18"/>
  <c r="Z19" i="18"/>
  <c r="Y19" i="18"/>
  <c r="X19" i="18"/>
  <c r="W19" i="18"/>
  <c r="P19" i="18"/>
  <c r="O19" i="18"/>
  <c r="AD19" i="18" s="1"/>
  <c r="N19" i="18"/>
  <c r="M19" i="18"/>
  <c r="AI18" i="18"/>
  <c r="AH18" i="18"/>
  <c r="W18" i="18"/>
  <c r="AT17" i="18"/>
  <c r="AO17" i="18"/>
  <c r="AJ17" i="18"/>
  <c r="AI17" i="18"/>
  <c r="AH17" i="18"/>
  <c r="AF17" i="18"/>
  <c r="AE17" i="18"/>
  <c r="AC17" i="18"/>
  <c r="AA17" i="18"/>
  <c r="Z17" i="18"/>
  <c r="Y17" i="18"/>
  <c r="X17" i="18"/>
  <c r="W17" i="18"/>
  <c r="P17" i="18"/>
  <c r="O17" i="18"/>
  <c r="AD17" i="18" s="1"/>
  <c r="N17" i="18"/>
  <c r="M17" i="18"/>
  <c r="AU16" i="18"/>
  <c r="AN16" i="18"/>
  <c r="AI16" i="18"/>
  <c r="AT16" i="18" s="1"/>
  <c r="AH16" i="18"/>
  <c r="AF16" i="18"/>
  <c r="AE16" i="18"/>
  <c r="AD16" i="18"/>
  <c r="AB16" i="18"/>
  <c r="AA16" i="18"/>
  <c r="Z16" i="18"/>
  <c r="Y16" i="18"/>
  <c r="X16" i="18"/>
  <c r="W16" i="18"/>
  <c r="P16" i="18"/>
  <c r="O16" i="18"/>
  <c r="AQ16" i="18" s="1"/>
  <c r="N16" i="18"/>
  <c r="M16" i="18"/>
  <c r="AT15" i="18"/>
  <c r="AO15" i="18"/>
  <c r="AI15" i="18"/>
  <c r="AH15" i="18"/>
  <c r="AF15" i="18"/>
  <c r="AE15" i="18"/>
  <c r="AC15" i="18"/>
  <c r="AA15" i="18"/>
  <c r="Z15" i="18"/>
  <c r="Y15" i="18"/>
  <c r="X15" i="18"/>
  <c r="W15" i="18"/>
  <c r="P15" i="18"/>
  <c r="O15" i="18"/>
  <c r="AD15" i="18" s="1"/>
  <c r="N15" i="18"/>
  <c r="M15" i="18"/>
  <c r="AI14" i="18"/>
  <c r="AH14" i="18"/>
  <c r="W14" i="18"/>
  <c r="AT13" i="18"/>
  <c r="AJ13" i="18"/>
  <c r="AI13" i="18"/>
  <c r="AH13" i="18"/>
  <c r="AF13" i="18"/>
  <c r="AE13" i="18"/>
  <c r="AC13" i="18"/>
  <c r="AA13" i="18"/>
  <c r="Z13" i="18"/>
  <c r="Y13" i="18"/>
  <c r="X13" i="18"/>
  <c r="W13" i="18"/>
  <c r="P13" i="18"/>
  <c r="O13" i="18"/>
  <c r="AD13" i="18" s="1"/>
  <c r="N13" i="18"/>
  <c r="M13" i="18"/>
  <c r="AU12" i="18"/>
  <c r="AP12" i="18"/>
  <c r="AI12" i="18"/>
  <c r="AT12" i="18" s="1"/>
  <c r="AH12" i="18"/>
  <c r="AF12" i="18"/>
  <c r="AE12" i="18"/>
  <c r="AD12" i="18"/>
  <c r="AB12" i="18"/>
  <c r="AA12" i="18"/>
  <c r="Z12" i="18"/>
  <c r="Y12" i="18"/>
  <c r="X12" i="18"/>
  <c r="W12" i="18"/>
  <c r="P12" i="18"/>
  <c r="O12" i="18"/>
  <c r="N12" i="18"/>
  <c r="M12" i="18"/>
  <c r="AT11" i="18"/>
  <c r="AJ11" i="18"/>
  <c r="AI11" i="18"/>
  <c r="AH11" i="18"/>
  <c r="AF11" i="18"/>
  <c r="AE11" i="18"/>
  <c r="AC11" i="18"/>
  <c r="AA11" i="18"/>
  <c r="Z11" i="18"/>
  <c r="Y11" i="18"/>
  <c r="X11" i="18"/>
  <c r="W11" i="18"/>
  <c r="P11" i="18"/>
  <c r="O11" i="18"/>
  <c r="AD11" i="18" s="1"/>
  <c r="N11" i="18"/>
  <c r="M11" i="18"/>
  <c r="AI10" i="18"/>
  <c r="AH10" i="18"/>
  <c r="W10" i="18"/>
  <c r="AV9" i="18"/>
  <c r="AT9" i="18"/>
  <c r="AP9" i="18"/>
  <c r="AO9" i="18"/>
  <c r="AJ9" i="18"/>
  <c r="AI9" i="18"/>
  <c r="AH9" i="18"/>
  <c r="AF9" i="18"/>
  <c r="AE9" i="18"/>
  <c r="AC9" i="18"/>
  <c r="AA9" i="18"/>
  <c r="Z9" i="18"/>
  <c r="Y9" i="18"/>
  <c r="X9" i="18"/>
  <c r="W9" i="18"/>
  <c r="P9" i="18"/>
  <c r="O9" i="18"/>
  <c r="AD9" i="18" s="1"/>
  <c r="N9" i="18"/>
  <c r="M9" i="18"/>
  <c r="AU8" i="18"/>
  <c r="AI8" i="18"/>
  <c r="AN8" i="18" s="1"/>
  <c r="AH8" i="18"/>
  <c r="AF8" i="18"/>
  <c r="AE8" i="18"/>
  <c r="AD8" i="18"/>
  <c r="AB8" i="18"/>
  <c r="AA8" i="18"/>
  <c r="Z8" i="18"/>
  <c r="Y8" i="18"/>
  <c r="X8" i="18"/>
  <c r="W8" i="18"/>
  <c r="P8" i="18"/>
  <c r="O8" i="18"/>
  <c r="AQ8" i="18" s="1"/>
  <c r="N8" i="18"/>
  <c r="M8" i="18"/>
  <c r="AU7" i="18"/>
  <c r="AT7" i="18"/>
  <c r="AO7" i="18"/>
  <c r="AJ7" i="18"/>
  <c r="AI7" i="18"/>
  <c r="AH7" i="18"/>
  <c r="AF7" i="18"/>
  <c r="AE7" i="18"/>
  <c r="AC7" i="18"/>
  <c r="AA7" i="18"/>
  <c r="Z7" i="18"/>
  <c r="Y7" i="18"/>
  <c r="X7" i="18"/>
  <c r="W7" i="18"/>
  <c r="P7" i="18"/>
  <c r="O7" i="18"/>
  <c r="AD7" i="18" s="1"/>
  <c r="N7" i="18"/>
  <c r="M7" i="18"/>
  <c r="AU6" i="18"/>
  <c r="AP6" i="18"/>
  <c r="AN6" i="18"/>
  <c r="AI6" i="18"/>
  <c r="AH6" i="18"/>
  <c r="AF6" i="18"/>
  <c r="AE6" i="18"/>
  <c r="AD6" i="18"/>
  <c r="AB6" i="18"/>
  <c r="AA6" i="18"/>
  <c r="Z6" i="18"/>
  <c r="Y6" i="18"/>
  <c r="X6" i="18"/>
  <c r="W6" i="18"/>
  <c r="P6" i="18"/>
  <c r="O6" i="18"/>
  <c r="AQ6" i="18" s="1"/>
  <c r="N6" i="18"/>
  <c r="M6" i="18"/>
  <c r="AI5" i="18"/>
  <c r="AH5" i="18"/>
  <c r="W5" i="18"/>
  <c r="AI4" i="18"/>
  <c r="AU3" i="18"/>
  <c r="AO3" i="18"/>
  <c r="AI3" i="18"/>
  <c r="AH3" i="18"/>
  <c r="AN2" i="18"/>
  <c r="AM2" i="18"/>
  <c r="AL2" i="18"/>
  <c r="AK2" i="18"/>
  <c r="AJ2" i="18"/>
  <c r="AJ91" i="18" s="1"/>
  <c r="AA2" i="18"/>
  <c r="A2" i="18"/>
  <c r="AU1" i="18"/>
  <c r="AR1" i="18"/>
  <c r="AR8" i="18" s="1"/>
  <c r="AQ1" i="18"/>
  <c r="AQ96" i="18" s="1"/>
  <c r="AP1" i="18"/>
  <c r="AP8" i="18" s="1"/>
  <c r="AO1" i="18"/>
  <c r="AO11" i="18" s="1"/>
  <c r="AJ1" i="18"/>
  <c r="AA1" i="18"/>
  <c r="A1" i="18"/>
  <c r="AH1" i="18" s="1"/>
  <c r="AH2" i="18" s="1"/>
  <c r="AT85" i="17"/>
  <c r="AI85" i="17"/>
  <c r="AH85" i="17"/>
  <c r="AF85" i="17"/>
  <c r="AE85" i="17"/>
  <c r="AD85" i="17"/>
  <c r="AC85" i="17"/>
  <c r="AA85" i="17"/>
  <c r="Z85" i="17"/>
  <c r="Y85" i="17"/>
  <c r="X85" i="17"/>
  <c r="W85" i="17"/>
  <c r="P85" i="17"/>
  <c r="O85" i="17"/>
  <c r="N85" i="17"/>
  <c r="AO85" i="17" s="1"/>
  <c r="M85" i="17"/>
  <c r="AI84" i="17"/>
  <c r="AH84" i="17"/>
  <c r="W84" i="17"/>
  <c r="AI83" i="17"/>
  <c r="AH83" i="17"/>
  <c r="AF83" i="17"/>
  <c r="AE83" i="17"/>
  <c r="AB83" i="17"/>
  <c r="AA83" i="17"/>
  <c r="Z83" i="17"/>
  <c r="Y83" i="17"/>
  <c r="X83" i="17"/>
  <c r="W83" i="17"/>
  <c r="P83" i="17"/>
  <c r="O83" i="17"/>
  <c r="N83" i="17"/>
  <c r="M83" i="17"/>
  <c r="AI82" i="17"/>
  <c r="AH82" i="17"/>
  <c r="W82" i="17"/>
  <c r="AI81" i="17"/>
  <c r="AT81" i="17" s="1"/>
  <c r="AH81" i="17"/>
  <c r="AF81" i="17"/>
  <c r="AE81" i="17"/>
  <c r="AD81" i="17"/>
  <c r="AA81" i="17"/>
  <c r="Z81" i="17"/>
  <c r="Y81" i="17"/>
  <c r="X81" i="17"/>
  <c r="W81" i="17"/>
  <c r="P81" i="17"/>
  <c r="O81" i="17"/>
  <c r="N81" i="17"/>
  <c r="AC81" i="17" s="1"/>
  <c r="M81" i="17"/>
  <c r="AT80" i="17"/>
  <c r="AI80" i="17"/>
  <c r="AH80" i="17"/>
  <c r="AF80" i="17"/>
  <c r="AE80" i="17"/>
  <c r="AA80" i="17"/>
  <c r="Z80" i="17"/>
  <c r="Y80" i="17"/>
  <c r="X80" i="17"/>
  <c r="W80" i="17"/>
  <c r="P80" i="17"/>
  <c r="O80" i="17"/>
  <c r="N80" i="17"/>
  <c r="AC80" i="17" s="1"/>
  <c r="M80" i="17"/>
  <c r="AP79" i="17"/>
  <c r="AI79" i="17"/>
  <c r="AH79" i="17"/>
  <c r="AF79" i="17"/>
  <c r="AE79" i="17"/>
  <c r="AB79" i="17"/>
  <c r="AA79" i="17"/>
  <c r="Z79" i="17"/>
  <c r="Y79" i="17"/>
  <c r="X79" i="17"/>
  <c r="W79" i="17"/>
  <c r="P79" i="17"/>
  <c r="O79" i="17"/>
  <c r="N79" i="17"/>
  <c r="AO79" i="17" s="1"/>
  <c r="AV79" i="17" s="1"/>
  <c r="M79" i="17"/>
  <c r="AI78" i="17"/>
  <c r="AH78" i="17"/>
  <c r="W78" i="17"/>
  <c r="AI77" i="17"/>
  <c r="AT77" i="17" s="1"/>
  <c r="AH77" i="17"/>
  <c r="AF77" i="17"/>
  <c r="AE77" i="17"/>
  <c r="AD77" i="17"/>
  <c r="AA77" i="17"/>
  <c r="Z77" i="17"/>
  <c r="Y77" i="17"/>
  <c r="X77" i="17"/>
  <c r="W77" i="17"/>
  <c r="P77" i="17"/>
  <c r="O77" i="17"/>
  <c r="N77" i="17"/>
  <c r="AC77" i="17" s="1"/>
  <c r="M77" i="17"/>
  <c r="AI76" i="17"/>
  <c r="AH76" i="17"/>
  <c r="AF76" i="17"/>
  <c r="AE76" i="17"/>
  <c r="AA76" i="17"/>
  <c r="Z76" i="17"/>
  <c r="Y76" i="17"/>
  <c r="X76" i="17"/>
  <c r="W76" i="17"/>
  <c r="P76" i="17"/>
  <c r="O76" i="17"/>
  <c r="AQ76" i="17" s="1"/>
  <c r="N76" i="17"/>
  <c r="AC76" i="17" s="1"/>
  <c r="M76" i="17"/>
  <c r="AP75" i="17"/>
  <c r="AI75" i="17"/>
  <c r="AN75" i="17" s="1"/>
  <c r="AH75" i="17"/>
  <c r="AF75" i="17"/>
  <c r="AE75" i="17"/>
  <c r="AB75" i="17"/>
  <c r="AA75" i="17"/>
  <c r="Z75" i="17"/>
  <c r="Y75" i="17"/>
  <c r="X75" i="17"/>
  <c r="W75" i="17"/>
  <c r="P75" i="17"/>
  <c r="O75" i="17"/>
  <c r="N75" i="17"/>
  <c r="AO75" i="17" s="1"/>
  <c r="AV75" i="17" s="1"/>
  <c r="M75" i="17"/>
  <c r="AI74" i="17"/>
  <c r="AT74" i="17" s="1"/>
  <c r="AH74" i="17"/>
  <c r="AF74" i="17"/>
  <c r="AE74" i="17"/>
  <c r="AC74" i="17"/>
  <c r="AB74" i="17"/>
  <c r="AA74" i="17"/>
  <c r="Z74" i="17"/>
  <c r="Y74" i="17"/>
  <c r="X74" i="17"/>
  <c r="W74" i="17"/>
  <c r="P74" i="17"/>
  <c r="O74" i="17"/>
  <c r="AQ74" i="17" s="1"/>
  <c r="N74" i="17"/>
  <c r="M74" i="17"/>
  <c r="AI73" i="17"/>
  <c r="AH73" i="17"/>
  <c r="AF73" i="17"/>
  <c r="AE73" i="17"/>
  <c r="AD73" i="17"/>
  <c r="AC73" i="17"/>
  <c r="AB73" i="17"/>
  <c r="AA73" i="17"/>
  <c r="Z73" i="17"/>
  <c r="Y73" i="17"/>
  <c r="X73" i="17"/>
  <c r="W73" i="17"/>
  <c r="P73" i="17"/>
  <c r="O73" i="17"/>
  <c r="N73" i="17"/>
  <c r="M73" i="17"/>
  <c r="AI72" i="17"/>
  <c r="AH72" i="17"/>
  <c r="W72" i="17"/>
  <c r="AP71" i="17"/>
  <c r="AI71" i="17"/>
  <c r="AH71" i="17"/>
  <c r="AF71" i="17"/>
  <c r="AE71" i="17"/>
  <c r="AB71" i="17"/>
  <c r="AA71" i="17"/>
  <c r="Z71" i="17"/>
  <c r="Y71" i="17"/>
  <c r="X71" i="17"/>
  <c r="W71" i="17"/>
  <c r="P71" i="17"/>
  <c r="O71" i="17"/>
  <c r="N71" i="17"/>
  <c r="AO71" i="17" s="1"/>
  <c r="AV71" i="17" s="1"/>
  <c r="M71" i="17"/>
  <c r="AI70" i="17"/>
  <c r="AH70" i="17"/>
  <c r="W70" i="17"/>
  <c r="AI69" i="17"/>
  <c r="AT69" i="17" s="1"/>
  <c r="AH69" i="17"/>
  <c r="AF69" i="17"/>
  <c r="AE69" i="17"/>
  <c r="AD69" i="17"/>
  <c r="AA69" i="17"/>
  <c r="Z69" i="17"/>
  <c r="Y69" i="17"/>
  <c r="X69" i="17"/>
  <c r="W69" i="17"/>
  <c r="P69" i="17"/>
  <c r="O69" i="17"/>
  <c r="N69" i="17"/>
  <c r="AC69" i="17" s="1"/>
  <c r="M69" i="17"/>
  <c r="AI68" i="17"/>
  <c r="AH68" i="17"/>
  <c r="AF68" i="17"/>
  <c r="AE68" i="17"/>
  <c r="AA68" i="17"/>
  <c r="Z68" i="17"/>
  <c r="Y68" i="17"/>
  <c r="X68" i="17"/>
  <c r="W68" i="17"/>
  <c r="P68" i="17"/>
  <c r="O68" i="17"/>
  <c r="N68" i="17"/>
  <c r="AC68" i="17" s="1"/>
  <c r="M68" i="17"/>
  <c r="AI67" i="17"/>
  <c r="AN67" i="17" s="1"/>
  <c r="AH67" i="17"/>
  <c r="AF67" i="17"/>
  <c r="AE67" i="17"/>
  <c r="AB67" i="17"/>
  <c r="AA67" i="17"/>
  <c r="Z67" i="17"/>
  <c r="Y67" i="17"/>
  <c r="X67" i="17"/>
  <c r="W67" i="17"/>
  <c r="P67" i="17"/>
  <c r="O67" i="17"/>
  <c r="N67" i="17"/>
  <c r="M67" i="17"/>
  <c r="AI66" i="17"/>
  <c r="AH66" i="17"/>
  <c r="W66" i="17"/>
  <c r="AU65" i="17"/>
  <c r="AN65" i="17"/>
  <c r="AI65" i="17"/>
  <c r="AT65" i="17" s="1"/>
  <c r="AH65" i="17"/>
  <c r="AF65" i="17"/>
  <c r="AE65" i="17"/>
  <c r="AD65" i="17"/>
  <c r="AA65" i="17"/>
  <c r="Z65" i="17"/>
  <c r="Y65" i="17"/>
  <c r="X65" i="17"/>
  <c r="W65" i="17"/>
  <c r="P65" i="17"/>
  <c r="O65" i="17"/>
  <c r="N65" i="17"/>
  <c r="AC65" i="17" s="1"/>
  <c r="M65" i="17"/>
  <c r="AP64" i="17"/>
  <c r="AO64" i="17"/>
  <c r="AV64" i="17" s="1"/>
  <c r="AI64" i="17"/>
  <c r="AN64" i="17" s="1"/>
  <c r="AH64" i="17"/>
  <c r="AF64" i="17"/>
  <c r="AE64" i="17"/>
  <c r="AA64" i="17"/>
  <c r="Z64" i="17"/>
  <c r="Y64" i="17"/>
  <c r="X64" i="17"/>
  <c r="W64" i="17"/>
  <c r="P64" i="17"/>
  <c r="O64" i="17"/>
  <c r="N64" i="17"/>
  <c r="AC64" i="17" s="1"/>
  <c r="M64" i="17"/>
  <c r="AI63" i="17"/>
  <c r="AH63" i="17"/>
  <c r="AF63" i="17"/>
  <c r="AE63" i="17"/>
  <c r="AB63" i="17"/>
  <c r="AA63" i="17"/>
  <c r="Z63" i="17"/>
  <c r="Y63" i="17"/>
  <c r="X63" i="17"/>
  <c r="W63" i="17"/>
  <c r="P63" i="17"/>
  <c r="O63" i="17"/>
  <c r="AQ63" i="17" s="1"/>
  <c r="N63" i="17"/>
  <c r="M63" i="17"/>
  <c r="AP62" i="17"/>
  <c r="AI62" i="17"/>
  <c r="AT62" i="17" s="1"/>
  <c r="AH62" i="17"/>
  <c r="AF62" i="17"/>
  <c r="AE62" i="17"/>
  <c r="AC62" i="17"/>
  <c r="AB62" i="17"/>
  <c r="AA62" i="17"/>
  <c r="Z62" i="17"/>
  <c r="Y62" i="17"/>
  <c r="X62" i="17"/>
  <c r="W62" i="17"/>
  <c r="P62" i="17"/>
  <c r="O62" i="17"/>
  <c r="N62" i="17"/>
  <c r="AO62" i="17" s="1"/>
  <c r="AV62" i="17" s="1"/>
  <c r="M62" i="17"/>
  <c r="AP61" i="17"/>
  <c r="AI61" i="17"/>
  <c r="AH61" i="17"/>
  <c r="AF61" i="17"/>
  <c r="AE61" i="17"/>
  <c r="AD61" i="17"/>
  <c r="AC61" i="17"/>
  <c r="AB61" i="17"/>
  <c r="AA61" i="17"/>
  <c r="Z61" i="17"/>
  <c r="Y61" i="17"/>
  <c r="X61" i="17"/>
  <c r="W61" i="17"/>
  <c r="P61" i="17"/>
  <c r="O61" i="17"/>
  <c r="N61" i="17"/>
  <c r="AO61" i="17" s="1"/>
  <c r="AV61" i="17" s="1"/>
  <c r="M61" i="17"/>
  <c r="AT60" i="17"/>
  <c r="AI60" i="17"/>
  <c r="AH60" i="17"/>
  <c r="AF60" i="17"/>
  <c r="AE60" i="17"/>
  <c r="AD60" i="17"/>
  <c r="AC60" i="17"/>
  <c r="AA60" i="17"/>
  <c r="Z60" i="17"/>
  <c r="Y60" i="17"/>
  <c r="X60" i="17"/>
  <c r="W60" i="17"/>
  <c r="P60" i="17"/>
  <c r="O60" i="17"/>
  <c r="N60" i="17"/>
  <c r="M60" i="17"/>
  <c r="AI59" i="17"/>
  <c r="AH59" i="17"/>
  <c r="W59" i="17"/>
  <c r="AP58" i="17"/>
  <c r="AI58" i="17"/>
  <c r="AT58" i="17" s="1"/>
  <c r="AH58" i="17"/>
  <c r="AF58" i="17"/>
  <c r="AE58" i="17"/>
  <c r="AC58" i="17"/>
  <c r="AB58" i="17"/>
  <c r="AA58" i="17"/>
  <c r="Z58" i="17"/>
  <c r="Y58" i="17"/>
  <c r="X58" i="17"/>
  <c r="W58" i="17"/>
  <c r="P58" i="17"/>
  <c r="O58" i="17"/>
  <c r="AD58" i="17" s="1"/>
  <c r="N58" i="17"/>
  <c r="AO58" i="17" s="1"/>
  <c r="AV58" i="17" s="1"/>
  <c r="M58" i="17"/>
  <c r="AP57" i="17"/>
  <c r="AI57" i="17"/>
  <c r="AH57" i="17"/>
  <c r="AF57" i="17"/>
  <c r="AE57" i="17"/>
  <c r="AD57" i="17"/>
  <c r="AC57" i="17"/>
  <c r="AB57" i="17"/>
  <c r="AA57" i="17"/>
  <c r="Z57" i="17"/>
  <c r="Y57" i="17"/>
  <c r="X57" i="17"/>
  <c r="W57" i="17"/>
  <c r="P57" i="17"/>
  <c r="O57" i="17"/>
  <c r="N57" i="17"/>
  <c r="AO57" i="17" s="1"/>
  <c r="AV57" i="17" s="1"/>
  <c r="M57" i="17"/>
  <c r="AT56" i="17"/>
  <c r="AP56" i="17"/>
  <c r="AO56" i="17"/>
  <c r="AV56" i="17" s="1"/>
  <c r="AJ56" i="17"/>
  <c r="AI56" i="17"/>
  <c r="AH56" i="17"/>
  <c r="AF56" i="17"/>
  <c r="AE56" i="17"/>
  <c r="AD56" i="17"/>
  <c r="AC56" i="17"/>
  <c r="AA56" i="17"/>
  <c r="Z56" i="17"/>
  <c r="Y56" i="17"/>
  <c r="X56" i="17"/>
  <c r="W56" i="17"/>
  <c r="P56" i="17"/>
  <c r="O56" i="17"/>
  <c r="N56" i="17"/>
  <c r="M56" i="17"/>
  <c r="AU55" i="17"/>
  <c r="AP55" i="17"/>
  <c r="AO55" i="17"/>
  <c r="AV55" i="17" s="1"/>
  <c r="AI55" i="17"/>
  <c r="AT55" i="17" s="1"/>
  <c r="AH55" i="17"/>
  <c r="AF55" i="17"/>
  <c r="AE55" i="17"/>
  <c r="AD55" i="17"/>
  <c r="AA55" i="17"/>
  <c r="Z55" i="17"/>
  <c r="Y55" i="17"/>
  <c r="X55" i="17"/>
  <c r="W55" i="17"/>
  <c r="P55" i="17"/>
  <c r="O55" i="17"/>
  <c r="N55" i="17"/>
  <c r="AC55" i="17" s="1"/>
  <c r="M55" i="17"/>
  <c r="AT54" i="17"/>
  <c r="AP54" i="17"/>
  <c r="AO54" i="17"/>
  <c r="AV54" i="17" s="1"/>
  <c r="AI54" i="17"/>
  <c r="AH54" i="17"/>
  <c r="AF54" i="17"/>
  <c r="AE54" i="17"/>
  <c r="AA54" i="17"/>
  <c r="Z54" i="17"/>
  <c r="Y54" i="17"/>
  <c r="X54" i="17"/>
  <c r="W54" i="17"/>
  <c r="P54" i="17"/>
  <c r="O54" i="17"/>
  <c r="AQ54" i="17" s="1"/>
  <c r="N54" i="17"/>
  <c r="AC54" i="17" s="1"/>
  <c r="M54" i="17"/>
  <c r="AI53" i="17"/>
  <c r="AH53" i="17"/>
  <c r="W53" i="17"/>
  <c r="AT52" i="17"/>
  <c r="AJ52" i="17"/>
  <c r="AI52" i="17"/>
  <c r="AH52" i="17"/>
  <c r="AF52" i="17"/>
  <c r="AE52" i="17"/>
  <c r="AD52" i="17"/>
  <c r="AC52" i="17"/>
  <c r="AA52" i="17"/>
  <c r="Z52" i="17"/>
  <c r="Y52" i="17"/>
  <c r="X52" i="17"/>
  <c r="W52" i="17"/>
  <c r="P52" i="17"/>
  <c r="O52" i="17"/>
  <c r="N52" i="17"/>
  <c r="M52" i="17"/>
  <c r="AU51" i="17"/>
  <c r="AI51" i="17"/>
  <c r="AT51" i="17" s="1"/>
  <c r="AH51" i="17"/>
  <c r="AF51" i="17"/>
  <c r="AE51" i="17"/>
  <c r="AD51" i="17"/>
  <c r="AA51" i="17"/>
  <c r="Z51" i="17"/>
  <c r="Y51" i="17"/>
  <c r="X51" i="17"/>
  <c r="W51" i="17"/>
  <c r="P51" i="17"/>
  <c r="O51" i="17"/>
  <c r="N51" i="17"/>
  <c r="AC51" i="17" s="1"/>
  <c r="M51" i="17"/>
  <c r="AI50" i="17"/>
  <c r="AH50" i="17"/>
  <c r="W50" i="17"/>
  <c r="AI49" i="17"/>
  <c r="AH49" i="17"/>
  <c r="AF49" i="17"/>
  <c r="AE49" i="17"/>
  <c r="AD49" i="17"/>
  <c r="AC49" i="17"/>
  <c r="AB49" i="17"/>
  <c r="AA49" i="17"/>
  <c r="Z49" i="17"/>
  <c r="Y49" i="17"/>
  <c r="X49" i="17"/>
  <c r="W49" i="17"/>
  <c r="P49" i="17"/>
  <c r="O49" i="17"/>
  <c r="N49" i="17"/>
  <c r="M49" i="17"/>
  <c r="AT48" i="17"/>
  <c r="AP48" i="17"/>
  <c r="AO48" i="17"/>
  <c r="AV48" i="17" s="1"/>
  <c r="AI48" i="17"/>
  <c r="AH48" i="17"/>
  <c r="AF48" i="17"/>
  <c r="AE48" i="17"/>
  <c r="AD48" i="17"/>
  <c r="AC48" i="17"/>
  <c r="AA48" i="17"/>
  <c r="Z48" i="17"/>
  <c r="Y48" i="17"/>
  <c r="X48" i="17"/>
  <c r="W48" i="17"/>
  <c r="P48" i="17"/>
  <c r="O48" i="17"/>
  <c r="N48" i="17"/>
  <c r="M48" i="17"/>
  <c r="AU47" i="17"/>
  <c r="AI47" i="17"/>
  <c r="AT47" i="17" s="1"/>
  <c r="AH47" i="17"/>
  <c r="AF47" i="17"/>
  <c r="AE47" i="17"/>
  <c r="AD47" i="17"/>
  <c r="AA47" i="17"/>
  <c r="Z47" i="17"/>
  <c r="Y47" i="17"/>
  <c r="X47" i="17"/>
  <c r="W47" i="17"/>
  <c r="P47" i="17"/>
  <c r="O47" i="17"/>
  <c r="N47" i="17"/>
  <c r="AC47" i="17" s="1"/>
  <c r="M47" i="17"/>
  <c r="AI46" i="17"/>
  <c r="AH46" i="17"/>
  <c r="W46" i="17"/>
  <c r="AI45" i="17"/>
  <c r="AH45" i="17"/>
  <c r="AF45" i="17"/>
  <c r="AE45" i="17"/>
  <c r="AD45" i="17"/>
  <c r="AC45" i="17"/>
  <c r="AB45" i="17"/>
  <c r="AA45" i="17"/>
  <c r="Z45" i="17"/>
  <c r="Y45" i="17"/>
  <c r="X45" i="17"/>
  <c r="W45" i="17"/>
  <c r="P45" i="17"/>
  <c r="O45" i="17"/>
  <c r="N45" i="17"/>
  <c r="M45" i="17"/>
  <c r="AT44" i="17"/>
  <c r="AJ44" i="17"/>
  <c r="AI44" i="17"/>
  <c r="AH44" i="17"/>
  <c r="AF44" i="17"/>
  <c r="AE44" i="17"/>
  <c r="AD44" i="17"/>
  <c r="AC44" i="17"/>
  <c r="AA44" i="17"/>
  <c r="Z44" i="17"/>
  <c r="Y44" i="17"/>
  <c r="X44" i="17"/>
  <c r="W44" i="17"/>
  <c r="P44" i="17"/>
  <c r="O44" i="17"/>
  <c r="N44" i="17"/>
  <c r="M44" i="17"/>
  <c r="AU43" i="17"/>
  <c r="AP43" i="17"/>
  <c r="AO43" i="17"/>
  <c r="AV43" i="17" s="1"/>
  <c r="AI43" i="17"/>
  <c r="AT43" i="17" s="1"/>
  <c r="AH43" i="17"/>
  <c r="AF43" i="17"/>
  <c r="AE43" i="17"/>
  <c r="AD43" i="17"/>
  <c r="AA43" i="17"/>
  <c r="Z43" i="17"/>
  <c r="Y43" i="17"/>
  <c r="X43" i="17"/>
  <c r="W43" i="17"/>
  <c r="P43" i="17"/>
  <c r="O43" i="17"/>
  <c r="N43" i="17"/>
  <c r="AC43" i="17" s="1"/>
  <c r="M43" i="17"/>
  <c r="AI42" i="17"/>
  <c r="AH42" i="17"/>
  <c r="AF42" i="17"/>
  <c r="AE42" i="17"/>
  <c r="AA42" i="17"/>
  <c r="Z42" i="17"/>
  <c r="Y42" i="17"/>
  <c r="X42" i="17"/>
  <c r="W42" i="17"/>
  <c r="P42" i="17"/>
  <c r="O42" i="17"/>
  <c r="N42" i="17"/>
  <c r="AC42" i="17" s="1"/>
  <c r="M42" i="17"/>
  <c r="AI41" i="17"/>
  <c r="AH41" i="17"/>
  <c r="W41" i="17"/>
  <c r="AT40" i="17"/>
  <c r="AP40" i="17"/>
  <c r="AJ40" i="17"/>
  <c r="AI40" i="17"/>
  <c r="AH40" i="17"/>
  <c r="AF40" i="17"/>
  <c r="AE40" i="17"/>
  <c r="AD40" i="17"/>
  <c r="AC40" i="17"/>
  <c r="AA40" i="17"/>
  <c r="Z40" i="17"/>
  <c r="Y40" i="17"/>
  <c r="X40" i="17"/>
  <c r="W40" i="17"/>
  <c r="P40" i="17"/>
  <c r="O40" i="17"/>
  <c r="N40" i="17"/>
  <c r="AO40" i="17" s="1"/>
  <c r="AV40" i="17" s="1"/>
  <c r="M40" i="17"/>
  <c r="AU39" i="17"/>
  <c r="AP39" i="17"/>
  <c r="AO39" i="17"/>
  <c r="AV39" i="17" s="1"/>
  <c r="AI39" i="17"/>
  <c r="AT39" i="17" s="1"/>
  <c r="AH39" i="17"/>
  <c r="AF39" i="17"/>
  <c r="AE39" i="17"/>
  <c r="AD39" i="17"/>
  <c r="AA39" i="17"/>
  <c r="Z39" i="17"/>
  <c r="Y39" i="17"/>
  <c r="X39" i="17"/>
  <c r="W39" i="17"/>
  <c r="P39" i="17"/>
  <c r="O39" i="17"/>
  <c r="N39" i="17"/>
  <c r="AC39" i="17" s="1"/>
  <c r="M39" i="17"/>
  <c r="AV38" i="17"/>
  <c r="AP38" i="17"/>
  <c r="AO38" i="17"/>
  <c r="AI38" i="17"/>
  <c r="AH38" i="17"/>
  <c r="AF38" i="17"/>
  <c r="AE38" i="17"/>
  <c r="AA38" i="17"/>
  <c r="Z38" i="17"/>
  <c r="Y38" i="17"/>
  <c r="X38" i="17"/>
  <c r="W38" i="17"/>
  <c r="P38" i="17"/>
  <c r="O38" i="17"/>
  <c r="N38" i="17"/>
  <c r="AC38" i="17" s="1"/>
  <c r="M38" i="17"/>
  <c r="AI37" i="17"/>
  <c r="AH37" i="17"/>
  <c r="AF37" i="17"/>
  <c r="AE37" i="17"/>
  <c r="AB37" i="17"/>
  <c r="AA37" i="17"/>
  <c r="Z37" i="17"/>
  <c r="Y37" i="17"/>
  <c r="X37" i="17"/>
  <c r="W37" i="17"/>
  <c r="P37" i="17"/>
  <c r="O37" i="17"/>
  <c r="N37" i="17"/>
  <c r="M37" i="17"/>
  <c r="AI36" i="17"/>
  <c r="AH36" i="17"/>
  <c r="W36" i="17"/>
  <c r="AU35" i="17"/>
  <c r="AI35" i="17"/>
  <c r="AT35" i="17" s="1"/>
  <c r="AH35" i="17"/>
  <c r="AF35" i="17"/>
  <c r="AE35" i="17"/>
  <c r="AD35" i="17"/>
  <c r="AA35" i="17"/>
  <c r="Z35" i="17"/>
  <c r="Y35" i="17"/>
  <c r="X35" i="17"/>
  <c r="W35" i="17"/>
  <c r="P35" i="17"/>
  <c r="O35" i="17"/>
  <c r="N35" i="17"/>
  <c r="AC35" i="17" s="1"/>
  <c r="M35" i="17"/>
  <c r="AI34" i="17"/>
  <c r="AH34" i="17"/>
  <c r="AF34" i="17"/>
  <c r="AE34" i="17"/>
  <c r="AA34" i="17"/>
  <c r="Z34" i="17"/>
  <c r="Y34" i="17"/>
  <c r="X34" i="17"/>
  <c r="W34" i="17"/>
  <c r="P34" i="17"/>
  <c r="O34" i="17"/>
  <c r="AQ34" i="17" s="1"/>
  <c r="N34" i="17"/>
  <c r="AC34" i="17" s="1"/>
  <c r="M34" i="17"/>
  <c r="AI33" i="17"/>
  <c r="AH33" i="17"/>
  <c r="W33" i="17"/>
  <c r="AT32" i="17"/>
  <c r="AP32" i="17"/>
  <c r="AI32" i="17"/>
  <c r="AH32" i="17"/>
  <c r="AF32" i="17"/>
  <c r="AE32" i="17"/>
  <c r="AD32" i="17"/>
  <c r="AC32" i="17"/>
  <c r="AA32" i="17"/>
  <c r="Z32" i="17"/>
  <c r="Y32" i="17"/>
  <c r="X32" i="17"/>
  <c r="W32" i="17"/>
  <c r="P32" i="17"/>
  <c r="O32" i="17"/>
  <c r="N32" i="17"/>
  <c r="AO32" i="17" s="1"/>
  <c r="AV32" i="17" s="1"/>
  <c r="M32" i="17"/>
  <c r="AU31" i="17"/>
  <c r="AP31" i="17"/>
  <c r="AO31" i="17"/>
  <c r="AV31" i="17" s="1"/>
  <c r="AI31" i="17"/>
  <c r="AT31" i="17" s="1"/>
  <c r="AH31" i="17"/>
  <c r="AF31" i="17"/>
  <c r="AE31" i="17"/>
  <c r="AD31" i="17"/>
  <c r="AA31" i="17"/>
  <c r="Z31" i="17"/>
  <c r="Y31" i="17"/>
  <c r="X31" i="17"/>
  <c r="W31" i="17"/>
  <c r="P31" i="17"/>
  <c r="O31" i="17"/>
  <c r="N31" i="17"/>
  <c r="AC31" i="17" s="1"/>
  <c r="M31" i="17"/>
  <c r="AI30" i="17"/>
  <c r="AH30" i="17"/>
  <c r="AF30" i="17"/>
  <c r="AE30" i="17"/>
  <c r="AA30" i="17"/>
  <c r="Z30" i="17"/>
  <c r="Y30" i="17"/>
  <c r="X30" i="17"/>
  <c r="W30" i="17"/>
  <c r="P30" i="17"/>
  <c r="O30" i="17"/>
  <c r="N30" i="17"/>
  <c r="AC30" i="17" s="1"/>
  <c r="M30" i="17"/>
  <c r="AT29" i="17"/>
  <c r="AP29" i="17"/>
  <c r="AI29" i="17"/>
  <c r="AH29" i="17"/>
  <c r="AF29" i="17"/>
  <c r="AE29" i="17"/>
  <c r="AB29" i="17"/>
  <c r="AA29" i="17"/>
  <c r="Z29" i="17"/>
  <c r="Y29" i="17"/>
  <c r="X29" i="17"/>
  <c r="W29" i="17"/>
  <c r="P29" i="17"/>
  <c r="O29" i="17"/>
  <c r="AQ29" i="17" s="1"/>
  <c r="N29" i="17"/>
  <c r="M29" i="17"/>
  <c r="AI28" i="17"/>
  <c r="AH28" i="17"/>
  <c r="W28" i="17"/>
  <c r="AU27" i="17"/>
  <c r="AP27" i="17"/>
  <c r="AO27" i="17"/>
  <c r="AV27" i="17" s="1"/>
  <c r="AI27" i="17"/>
  <c r="AT27" i="17" s="1"/>
  <c r="AH27" i="17"/>
  <c r="AF27" i="17"/>
  <c r="AE27" i="17"/>
  <c r="AD27" i="17"/>
  <c r="AA27" i="17"/>
  <c r="Z27" i="17"/>
  <c r="Y27" i="17"/>
  <c r="X27" i="17"/>
  <c r="W27" i="17"/>
  <c r="P27" i="17"/>
  <c r="O27" i="17"/>
  <c r="N27" i="17"/>
  <c r="AC27" i="17" s="1"/>
  <c r="M27" i="17"/>
  <c r="AV26" i="17"/>
  <c r="AP26" i="17"/>
  <c r="AO26" i="17"/>
  <c r="AI26" i="17"/>
  <c r="AH26" i="17"/>
  <c r="AF26" i="17"/>
  <c r="AE26" i="17"/>
  <c r="AA26" i="17"/>
  <c r="Z26" i="17"/>
  <c r="Y26" i="17"/>
  <c r="X26" i="17"/>
  <c r="W26" i="17"/>
  <c r="P26" i="17"/>
  <c r="O26" i="17"/>
  <c r="AQ26" i="17" s="1"/>
  <c r="N26" i="17"/>
  <c r="AC26" i="17" s="1"/>
  <c r="M26" i="17"/>
  <c r="AP25" i="17"/>
  <c r="AI25" i="17"/>
  <c r="AH25" i="17"/>
  <c r="AF25" i="17"/>
  <c r="AE25" i="17"/>
  <c r="AB25" i="17"/>
  <c r="AA25" i="17"/>
  <c r="Z25" i="17"/>
  <c r="Y25" i="17"/>
  <c r="X25" i="17"/>
  <c r="W25" i="17"/>
  <c r="P25" i="17"/>
  <c r="O25" i="17"/>
  <c r="N25" i="17"/>
  <c r="M25" i="17"/>
  <c r="AI24" i="17"/>
  <c r="AH24" i="17"/>
  <c r="W24" i="17"/>
  <c r="AU23" i="17"/>
  <c r="AI23" i="17"/>
  <c r="AT23" i="17" s="1"/>
  <c r="AH23" i="17"/>
  <c r="AF23" i="17"/>
  <c r="AE23" i="17"/>
  <c r="AD23" i="17"/>
  <c r="AA23" i="17"/>
  <c r="Z23" i="17"/>
  <c r="Y23" i="17"/>
  <c r="X23" i="17"/>
  <c r="W23" i="17"/>
  <c r="P23" i="17"/>
  <c r="O23" i="17"/>
  <c r="N23" i="17"/>
  <c r="AC23" i="17" s="1"/>
  <c r="M23" i="17"/>
  <c r="AR23" i="17" s="1"/>
  <c r="AV22" i="17"/>
  <c r="AP22" i="17"/>
  <c r="AO22" i="17"/>
  <c r="AI22" i="17"/>
  <c r="AH22" i="17"/>
  <c r="AF22" i="17"/>
  <c r="AE22" i="17"/>
  <c r="AA22" i="17"/>
  <c r="Z22" i="17"/>
  <c r="Y22" i="17"/>
  <c r="X22" i="17"/>
  <c r="W22" i="17"/>
  <c r="P22" i="17"/>
  <c r="O22" i="17"/>
  <c r="N22" i="17"/>
  <c r="AC22" i="17" s="1"/>
  <c r="M22" i="17"/>
  <c r="AI21" i="17"/>
  <c r="AH21" i="17"/>
  <c r="W21" i="17"/>
  <c r="AU20" i="17"/>
  <c r="AT20" i="17"/>
  <c r="AP20" i="17"/>
  <c r="AN20" i="17"/>
  <c r="AJ20" i="17"/>
  <c r="AI20" i="17"/>
  <c r="AH20" i="17"/>
  <c r="AF20" i="17"/>
  <c r="AE20" i="17"/>
  <c r="AD20" i="17"/>
  <c r="AC20" i="17"/>
  <c r="AA20" i="17"/>
  <c r="Z20" i="17"/>
  <c r="Y20" i="17"/>
  <c r="X20" i="17"/>
  <c r="W20" i="17"/>
  <c r="P20" i="17"/>
  <c r="O20" i="17"/>
  <c r="AQ20" i="17" s="1"/>
  <c r="N20" i="17"/>
  <c r="AO20" i="17" s="1"/>
  <c r="AV20" i="17" s="1"/>
  <c r="M20" i="17"/>
  <c r="AU19" i="17"/>
  <c r="AI19" i="17"/>
  <c r="AT19" i="17" s="1"/>
  <c r="AH19" i="17"/>
  <c r="AF19" i="17"/>
  <c r="AE19" i="17"/>
  <c r="AD19" i="17"/>
  <c r="AA19" i="17"/>
  <c r="Z19" i="17"/>
  <c r="Y19" i="17"/>
  <c r="X19" i="17"/>
  <c r="W19" i="17"/>
  <c r="P19" i="17"/>
  <c r="O19" i="17"/>
  <c r="N19" i="17"/>
  <c r="AC19" i="17" s="1"/>
  <c r="M19" i="17"/>
  <c r="AI18" i="17"/>
  <c r="AH18" i="17"/>
  <c r="AF18" i="17"/>
  <c r="AE18" i="17"/>
  <c r="AA18" i="17"/>
  <c r="Z18" i="17"/>
  <c r="Y18" i="17"/>
  <c r="X18" i="17"/>
  <c r="W18" i="17"/>
  <c r="P18" i="17"/>
  <c r="O18" i="17"/>
  <c r="N18" i="17"/>
  <c r="AC18" i="17" s="1"/>
  <c r="M18" i="17"/>
  <c r="AI17" i="17"/>
  <c r="AH17" i="17"/>
  <c r="W17" i="17"/>
  <c r="AU16" i="17"/>
  <c r="AT16" i="17"/>
  <c r="AI16" i="17"/>
  <c r="AH16" i="17"/>
  <c r="AF16" i="17"/>
  <c r="AE16" i="17"/>
  <c r="AD16" i="17"/>
  <c r="AC16" i="17"/>
  <c r="AA16" i="17"/>
  <c r="Z16" i="17"/>
  <c r="Y16" i="17"/>
  <c r="X16" i="17"/>
  <c r="W16" i="17"/>
  <c r="P16" i="17"/>
  <c r="O16" i="17"/>
  <c r="AQ16" i="17" s="1"/>
  <c r="N16" i="17"/>
  <c r="M16" i="17"/>
  <c r="AU15" i="17"/>
  <c r="AT15" i="17"/>
  <c r="AN15" i="17"/>
  <c r="AI15" i="17"/>
  <c r="AH15" i="17"/>
  <c r="AF15" i="17"/>
  <c r="AE15" i="17"/>
  <c r="AD15" i="17"/>
  <c r="AA15" i="17"/>
  <c r="Z15" i="17"/>
  <c r="Y15" i="17"/>
  <c r="X15" i="17"/>
  <c r="W15" i="17"/>
  <c r="P15" i="17"/>
  <c r="O15" i="17"/>
  <c r="N15" i="17"/>
  <c r="AC15" i="17" s="1"/>
  <c r="M15" i="17"/>
  <c r="AI14" i="17"/>
  <c r="AH14" i="17"/>
  <c r="W14" i="17"/>
  <c r="AU13" i="17"/>
  <c r="AP13" i="17"/>
  <c r="AO13" i="17"/>
  <c r="AV13" i="17" s="1"/>
  <c r="AJ13" i="17"/>
  <c r="AI13" i="17"/>
  <c r="AT13" i="17" s="1"/>
  <c r="AH13" i="17"/>
  <c r="AF13" i="17"/>
  <c r="AE13" i="17"/>
  <c r="AD13" i="17"/>
  <c r="AC13" i="17"/>
  <c r="AB13" i="17"/>
  <c r="AA13" i="17"/>
  <c r="Z13" i="17"/>
  <c r="Y13" i="17"/>
  <c r="X13" i="17"/>
  <c r="W13" i="17"/>
  <c r="P13" i="17"/>
  <c r="O13" i="17"/>
  <c r="N13" i="17"/>
  <c r="M13" i="17"/>
  <c r="AU12" i="17"/>
  <c r="AT12" i="17"/>
  <c r="AI12" i="17"/>
  <c r="AH12" i="17"/>
  <c r="AF12" i="17"/>
  <c r="AE12" i="17"/>
  <c r="AD12" i="17"/>
  <c r="AA12" i="17"/>
  <c r="Z12" i="17"/>
  <c r="Y12" i="17"/>
  <c r="X12" i="17"/>
  <c r="W12" i="17"/>
  <c r="P12" i="17"/>
  <c r="O12" i="17"/>
  <c r="N12" i="17"/>
  <c r="AO12" i="17" s="1"/>
  <c r="M12" i="17"/>
  <c r="AU11" i="17"/>
  <c r="AN11" i="17"/>
  <c r="AI11" i="17"/>
  <c r="AT11" i="17" s="1"/>
  <c r="AH11" i="17"/>
  <c r="AF11" i="17"/>
  <c r="AE11" i="17"/>
  <c r="AA11" i="17"/>
  <c r="Z11" i="17"/>
  <c r="Y11" i="17"/>
  <c r="X11" i="17"/>
  <c r="W11" i="17"/>
  <c r="P11" i="17"/>
  <c r="O11" i="17"/>
  <c r="AD11" i="17" s="1"/>
  <c r="N11" i="17"/>
  <c r="AC11" i="17" s="1"/>
  <c r="M11" i="17"/>
  <c r="AI10" i="17"/>
  <c r="AH10" i="17"/>
  <c r="AF10" i="17"/>
  <c r="AE10" i="17"/>
  <c r="AB10" i="17"/>
  <c r="AA10" i="17"/>
  <c r="Z10" i="17"/>
  <c r="Y10" i="17"/>
  <c r="X10" i="17"/>
  <c r="W10" i="17"/>
  <c r="P10" i="17"/>
  <c r="O10" i="17"/>
  <c r="AD10" i="17" s="1"/>
  <c r="N10" i="17"/>
  <c r="AC10" i="17" s="1"/>
  <c r="M10" i="17"/>
  <c r="AI9" i="17"/>
  <c r="AH9" i="17"/>
  <c r="W9" i="17"/>
  <c r="AU8" i="17"/>
  <c r="AT8" i="17"/>
  <c r="AP8" i="17"/>
  <c r="AN8" i="17"/>
  <c r="AJ8" i="17"/>
  <c r="AI8" i="17"/>
  <c r="AH8" i="17"/>
  <c r="AF8" i="17"/>
  <c r="AE8" i="17"/>
  <c r="AD8" i="17"/>
  <c r="AC8" i="17"/>
  <c r="AA8" i="17"/>
  <c r="Z8" i="17"/>
  <c r="Y8" i="17"/>
  <c r="X8" i="17"/>
  <c r="W8" i="17"/>
  <c r="P8" i="17"/>
  <c r="O8" i="17"/>
  <c r="N8" i="17"/>
  <c r="M8" i="17"/>
  <c r="AU7" i="17"/>
  <c r="AP7" i="17"/>
  <c r="AN7" i="17"/>
  <c r="AI7" i="17"/>
  <c r="AT7" i="17" s="1"/>
  <c r="AH7" i="17"/>
  <c r="AF7" i="17"/>
  <c r="AE7" i="17"/>
  <c r="AA7" i="17"/>
  <c r="Z7" i="17"/>
  <c r="Y7" i="17"/>
  <c r="X7" i="17"/>
  <c r="W7" i="17"/>
  <c r="P7" i="17"/>
  <c r="O7" i="17"/>
  <c r="N7" i="17"/>
  <c r="AC7" i="17" s="1"/>
  <c r="M7" i="17"/>
  <c r="AI6" i="17"/>
  <c r="AH6" i="17"/>
  <c r="AF6" i="17"/>
  <c r="AE6" i="17"/>
  <c r="AB6" i="17"/>
  <c r="AA6" i="17"/>
  <c r="Z6" i="17"/>
  <c r="Y6" i="17"/>
  <c r="X6" i="17"/>
  <c r="W6" i="17"/>
  <c r="P6" i="17"/>
  <c r="O6" i="17"/>
  <c r="AD6" i="17" s="1"/>
  <c r="N6" i="17"/>
  <c r="AC6" i="17" s="1"/>
  <c r="M6" i="17"/>
  <c r="AI5" i="17"/>
  <c r="AH5" i="17"/>
  <c r="W5" i="17"/>
  <c r="AI4" i="17"/>
  <c r="AU3" i="17"/>
  <c r="AI3" i="17"/>
  <c r="AH3" i="17"/>
  <c r="AN2" i="17"/>
  <c r="AN55" i="17" s="1"/>
  <c r="AM2" i="17"/>
  <c r="AL2" i="17"/>
  <c r="AK2" i="17"/>
  <c r="AJ2" i="17"/>
  <c r="AA2" i="17"/>
  <c r="A2" i="17"/>
  <c r="AU1" i="17"/>
  <c r="AU73" i="17" s="1"/>
  <c r="AR1" i="17"/>
  <c r="AR13" i="17" s="1"/>
  <c r="AQ1" i="17"/>
  <c r="AQ3" i="17" s="1"/>
  <c r="AP1" i="17"/>
  <c r="AP18" i="17" s="1"/>
  <c r="AO1" i="17"/>
  <c r="AO68" i="17" s="1"/>
  <c r="AA1" i="17"/>
  <c r="A1" i="17"/>
  <c r="AP43" i="16"/>
  <c r="AO43" i="16"/>
  <c r="AV43" i="16" s="1"/>
  <c r="AI43" i="16"/>
  <c r="AT43" i="16" s="1"/>
  <c r="AH43" i="16"/>
  <c r="AF43" i="16"/>
  <c r="AE43" i="16"/>
  <c r="AD43" i="16"/>
  <c r="AA43" i="16"/>
  <c r="Z43" i="16"/>
  <c r="Y43" i="16"/>
  <c r="X43" i="16"/>
  <c r="W43" i="16"/>
  <c r="P43" i="16"/>
  <c r="O43" i="16"/>
  <c r="N43" i="16"/>
  <c r="AC43" i="16" s="1"/>
  <c r="M43" i="16"/>
  <c r="AV42" i="16"/>
  <c r="AP42" i="16"/>
  <c r="AO42" i="16"/>
  <c r="AI42" i="16"/>
  <c r="AH42" i="16"/>
  <c r="AF42" i="16"/>
  <c r="AE42" i="16"/>
  <c r="AA42" i="16"/>
  <c r="Z42" i="16"/>
  <c r="Y42" i="16"/>
  <c r="X42" i="16"/>
  <c r="W42" i="16"/>
  <c r="P42" i="16"/>
  <c r="O42" i="16"/>
  <c r="AD42" i="16" s="1"/>
  <c r="N42" i="16"/>
  <c r="AC42" i="16" s="1"/>
  <c r="M42" i="16"/>
  <c r="AP41" i="16"/>
  <c r="AI41" i="16"/>
  <c r="AH41" i="16"/>
  <c r="AF41" i="16"/>
  <c r="AE41" i="16"/>
  <c r="AB41" i="16"/>
  <c r="AA41" i="16"/>
  <c r="Z41" i="16"/>
  <c r="Y41" i="16"/>
  <c r="X41" i="16"/>
  <c r="W41" i="16"/>
  <c r="P41" i="16"/>
  <c r="O41" i="16"/>
  <c r="N41" i="16"/>
  <c r="AO41" i="16" s="1"/>
  <c r="AV41" i="16" s="1"/>
  <c r="M41" i="16"/>
  <c r="AP40" i="16"/>
  <c r="AI40" i="16"/>
  <c r="AH40" i="16"/>
  <c r="AF40" i="16"/>
  <c r="AE40" i="16"/>
  <c r="AD40" i="16"/>
  <c r="AC40" i="16"/>
  <c r="AB40" i="16"/>
  <c r="AA40" i="16"/>
  <c r="Z40" i="16"/>
  <c r="Y40" i="16"/>
  <c r="X40" i="16"/>
  <c r="W40" i="16"/>
  <c r="P40" i="16"/>
  <c r="O40" i="16"/>
  <c r="N40" i="16"/>
  <c r="AO40" i="16" s="1"/>
  <c r="AV40" i="16" s="1"/>
  <c r="M40" i="16"/>
  <c r="AV39" i="16"/>
  <c r="AP39" i="16"/>
  <c r="AO39" i="16"/>
  <c r="AN39" i="16"/>
  <c r="AI39" i="16"/>
  <c r="AH39" i="16"/>
  <c r="AF39" i="16"/>
  <c r="AE39" i="16"/>
  <c r="AD39" i="16"/>
  <c r="AC39" i="16"/>
  <c r="AA39" i="16"/>
  <c r="Z39" i="16"/>
  <c r="Y39" i="16"/>
  <c r="X39" i="16"/>
  <c r="W39" i="16"/>
  <c r="P39" i="16"/>
  <c r="O39" i="16"/>
  <c r="N39" i="16"/>
  <c r="M39" i="16"/>
  <c r="AB39" i="16" s="1"/>
  <c r="AT38" i="16"/>
  <c r="AP38" i="16"/>
  <c r="AO38" i="16"/>
  <c r="AV38" i="16" s="1"/>
  <c r="AI38" i="16"/>
  <c r="AH38" i="16"/>
  <c r="AF38" i="16"/>
  <c r="AE38" i="16"/>
  <c r="AD38" i="16"/>
  <c r="AC38" i="16"/>
  <c r="AA38" i="16"/>
  <c r="Z38" i="16"/>
  <c r="Y38" i="16"/>
  <c r="X38" i="16"/>
  <c r="W38" i="16"/>
  <c r="P38" i="16"/>
  <c r="O38" i="16"/>
  <c r="N38" i="16"/>
  <c r="M38" i="16"/>
  <c r="AP37" i="16"/>
  <c r="AN37" i="16"/>
  <c r="AI37" i="16"/>
  <c r="AH37" i="16"/>
  <c r="AF37" i="16"/>
  <c r="AE37" i="16"/>
  <c r="AB37" i="16"/>
  <c r="AA37" i="16"/>
  <c r="Z37" i="16"/>
  <c r="Y37" i="16"/>
  <c r="X37" i="16"/>
  <c r="W37" i="16"/>
  <c r="P37" i="16"/>
  <c r="O37" i="16"/>
  <c r="N37" i="16"/>
  <c r="AC37" i="16" s="1"/>
  <c r="M37" i="16"/>
  <c r="AT36" i="16"/>
  <c r="AP36" i="16"/>
  <c r="AO36" i="16"/>
  <c r="AV36" i="16" s="1"/>
  <c r="AI36" i="16"/>
  <c r="AN36" i="16" s="1"/>
  <c r="AH36" i="16"/>
  <c r="AF36" i="16"/>
  <c r="AE36" i="16"/>
  <c r="AC36" i="16"/>
  <c r="AB36" i="16"/>
  <c r="AA36" i="16"/>
  <c r="Z36" i="16"/>
  <c r="Y36" i="16"/>
  <c r="X36" i="16"/>
  <c r="W36" i="16"/>
  <c r="P36" i="16"/>
  <c r="O36" i="16"/>
  <c r="N36" i="16"/>
  <c r="M36" i="16"/>
  <c r="AI35" i="16"/>
  <c r="AH35" i="16"/>
  <c r="W35" i="16"/>
  <c r="AT34" i="16"/>
  <c r="AP34" i="16"/>
  <c r="AO34" i="16"/>
  <c r="AV34" i="16" s="1"/>
  <c r="AI34" i="16"/>
  <c r="AH34" i="16"/>
  <c r="AF34" i="16"/>
  <c r="AE34" i="16"/>
  <c r="AA34" i="16"/>
  <c r="Z34" i="16"/>
  <c r="Y34" i="16"/>
  <c r="X34" i="16"/>
  <c r="W34" i="16"/>
  <c r="P34" i="16"/>
  <c r="O34" i="16"/>
  <c r="AD34" i="16" s="1"/>
  <c r="N34" i="16"/>
  <c r="AC34" i="16" s="1"/>
  <c r="M34" i="16"/>
  <c r="AP33" i="16"/>
  <c r="AI33" i="16"/>
  <c r="AH33" i="16"/>
  <c r="AF33" i="16"/>
  <c r="AE33" i="16"/>
  <c r="AB33" i="16"/>
  <c r="AA33" i="16"/>
  <c r="Z33" i="16"/>
  <c r="Y33" i="16"/>
  <c r="X33" i="16"/>
  <c r="W33" i="16"/>
  <c r="P33" i="16"/>
  <c r="O33" i="16"/>
  <c r="N33" i="16"/>
  <c r="AO33" i="16" s="1"/>
  <c r="AV33" i="16" s="1"/>
  <c r="M33" i="16"/>
  <c r="AT32" i="16"/>
  <c r="AP32" i="16"/>
  <c r="AO32" i="16"/>
  <c r="AV32" i="16" s="1"/>
  <c r="AI32" i="16"/>
  <c r="AN32" i="16" s="1"/>
  <c r="AH32" i="16"/>
  <c r="AF32" i="16"/>
  <c r="AE32" i="16"/>
  <c r="AC32" i="16"/>
  <c r="AB32" i="16"/>
  <c r="AA32" i="16"/>
  <c r="Z32" i="16"/>
  <c r="Y32" i="16"/>
  <c r="X32" i="16"/>
  <c r="W32" i="16"/>
  <c r="P32" i="16"/>
  <c r="O32" i="16"/>
  <c r="N32" i="16"/>
  <c r="M32" i="16"/>
  <c r="AN31" i="16"/>
  <c r="AI31" i="16"/>
  <c r="AT31" i="16" s="1"/>
  <c r="AH31" i="16"/>
  <c r="AF31" i="16"/>
  <c r="AE31" i="16"/>
  <c r="AD31" i="16"/>
  <c r="AC31" i="16"/>
  <c r="AB31" i="16"/>
  <c r="AA31" i="16"/>
  <c r="Z31" i="16"/>
  <c r="Y31" i="16"/>
  <c r="X31" i="16"/>
  <c r="W31" i="16"/>
  <c r="P31" i="16"/>
  <c r="O31" i="16"/>
  <c r="N31" i="16"/>
  <c r="AO31" i="16" s="1"/>
  <c r="M31" i="16"/>
  <c r="AI30" i="16"/>
  <c r="AH30" i="16"/>
  <c r="W30" i="16"/>
  <c r="AP29" i="16"/>
  <c r="AI29" i="16"/>
  <c r="AH29" i="16"/>
  <c r="AF29" i="16"/>
  <c r="AE29" i="16"/>
  <c r="AB29" i="16"/>
  <c r="AA29" i="16"/>
  <c r="Z29" i="16"/>
  <c r="Y29" i="16"/>
  <c r="X29" i="16"/>
  <c r="W29" i="16"/>
  <c r="P29" i="16"/>
  <c r="O29" i="16"/>
  <c r="N29" i="16"/>
  <c r="AO29" i="16" s="1"/>
  <c r="AV29" i="16" s="1"/>
  <c r="M29" i="16"/>
  <c r="AT28" i="16"/>
  <c r="AI28" i="16"/>
  <c r="AN28" i="16" s="1"/>
  <c r="AH28" i="16"/>
  <c r="AF28" i="16"/>
  <c r="AE28" i="16"/>
  <c r="AC28" i="16"/>
  <c r="AB28" i="16"/>
  <c r="AA28" i="16"/>
  <c r="Z28" i="16"/>
  <c r="Y28" i="16"/>
  <c r="X28" i="16"/>
  <c r="W28" i="16"/>
  <c r="P28" i="16"/>
  <c r="O28" i="16"/>
  <c r="N28" i="16"/>
  <c r="M28" i="16"/>
  <c r="AP27" i="16"/>
  <c r="AN27" i="16"/>
  <c r="AI27" i="16"/>
  <c r="AT27" i="16" s="1"/>
  <c r="AH27" i="16"/>
  <c r="AF27" i="16"/>
  <c r="AE27" i="16"/>
  <c r="AD27" i="16"/>
  <c r="AC27" i="16"/>
  <c r="AB27" i="16"/>
  <c r="AA27" i="16"/>
  <c r="Z27" i="16"/>
  <c r="Y27" i="16"/>
  <c r="X27" i="16"/>
  <c r="W27" i="16"/>
  <c r="P27" i="16"/>
  <c r="O27" i="16"/>
  <c r="N27" i="16"/>
  <c r="AO27" i="16" s="1"/>
  <c r="AV27" i="16" s="1"/>
  <c r="M27" i="16"/>
  <c r="AT26" i="16"/>
  <c r="AO26" i="16"/>
  <c r="AN26" i="16"/>
  <c r="AI26" i="16"/>
  <c r="AH26" i="16"/>
  <c r="AF26" i="16"/>
  <c r="AE26" i="16"/>
  <c r="AD26" i="16"/>
  <c r="AC26" i="16"/>
  <c r="AA26" i="16"/>
  <c r="Z26" i="16"/>
  <c r="Y26" i="16"/>
  <c r="X26" i="16"/>
  <c r="W26" i="16"/>
  <c r="P26" i="16"/>
  <c r="O26" i="16"/>
  <c r="N26" i="16"/>
  <c r="M26" i="16"/>
  <c r="AN25" i="16"/>
  <c r="AI25" i="16"/>
  <c r="AT25" i="16" s="1"/>
  <c r="AH25" i="16"/>
  <c r="AF25" i="16"/>
  <c r="AE25" i="16"/>
  <c r="AD25" i="16"/>
  <c r="AA25" i="16"/>
  <c r="Z25" i="16"/>
  <c r="Y25" i="16"/>
  <c r="X25" i="16"/>
  <c r="W25" i="16"/>
  <c r="P25" i="16"/>
  <c r="O25" i="16"/>
  <c r="N25" i="16"/>
  <c r="M25" i="16"/>
  <c r="AI24" i="16"/>
  <c r="AH24" i="16"/>
  <c r="W24" i="16"/>
  <c r="AN23" i="16"/>
  <c r="AI23" i="16"/>
  <c r="AT23" i="16" s="1"/>
  <c r="AH23" i="16"/>
  <c r="AF23" i="16"/>
  <c r="AE23" i="16"/>
  <c r="AD23" i="16"/>
  <c r="AC23" i="16"/>
  <c r="AB23" i="16"/>
  <c r="AA23" i="16"/>
  <c r="Z23" i="16"/>
  <c r="Y23" i="16"/>
  <c r="X23" i="16"/>
  <c r="W23" i="16"/>
  <c r="P23" i="16"/>
  <c r="O23" i="16"/>
  <c r="N23" i="16"/>
  <c r="AO23" i="16" s="1"/>
  <c r="M23" i="16"/>
  <c r="AT22" i="16"/>
  <c r="AO22" i="16"/>
  <c r="AN22" i="16"/>
  <c r="AI22" i="16"/>
  <c r="AH22" i="16"/>
  <c r="AF22" i="16"/>
  <c r="AE22" i="16"/>
  <c r="AD22" i="16"/>
  <c r="AC22" i="16"/>
  <c r="AA22" i="16"/>
  <c r="Z22" i="16"/>
  <c r="Y22" i="16"/>
  <c r="X22" i="16"/>
  <c r="W22" i="16"/>
  <c r="P22" i="16"/>
  <c r="O22" i="16"/>
  <c r="N22" i="16"/>
  <c r="M22" i="16"/>
  <c r="AP21" i="16"/>
  <c r="AN21" i="16"/>
  <c r="AI21" i="16"/>
  <c r="AT21" i="16" s="1"/>
  <c r="AH21" i="16"/>
  <c r="AF21" i="16"/>
  <c r="AE21" i="16"/>
  <c r="AD21" i="16"/>
  <c r="AA21" i="16"/>
  <c r="Z21" i="16"/>
  <c r="Y21" i="16"/>
  <c r="X21" i="16"/>
  <c r="W21" i="16"/>
  <c r="P21" i="16"/>
  <c r="O21" i="16"/>
  <c r="N21" i="16"/>
  <c r="M21" i="16"/>
  <c r="AT20" i="16"/>
  <c r="AO20" i="16"/>
  <c r="AI20" i="16"/>
  <c r="AH20" i="16"/>
  <c r="AF20" i="16"/>
  <c r="AE20" i="16"/>
  <c r="AA20" i="16"/>
  <c r="Z20" i="16"/>
  <c r="Y20" i="16"/>
  <c r="X20" i="16"/>
  <c r="W20" i="16"/>
  <c r="P20" i="16"/>
  <c r="O20" i="16"/>
  <c r="AD20" i="16" s="1"/>
  <c r="N20" i="16"/>
  <c r="AC20" i="16" s="1"/>
  <c r="M20" i="16"/>
  <c r="AP19" i="16"/>
  <c r="AI19" i="16"/>
  <c r="AH19" i="16"/>
  <c r="AF19" i="16"/>
  <c r="AE19" i="16"/>
  <c r="AB19" i="16"/>
  <c r="AA19" i="16"/>
  <c r="Z19" i="16"/>
  <c r="Y19" i="16"/>
  <c r="X19" i="16"/>
  <c r="W19" i="16"/>
  <c r="P19" i="16"/>
  <c r="O19" i="16"/>
  <c r="N19" i="16"/>
  <c r="AO19" i="16" s="1"/>
  <c r="AV19" i="16" s="1"/>
  <c r="M19" i="16"/>
  <c r="AT18" i="16"/>
  <c r="AP18" i="16"/>
  <c r="AO18" i="16"/>
  <c r="AV18" i="16" s="1"/>
  <c r="AI18" i="16"/>
  <c r="AN18" i="16" s="1"/>
  <c r="AH18" i="16"/>
  <c r="AF18" i="16"/>
  <c r="AE18" i="16"/>
  <c r="AC18" i="16"/>
  <c r="AB18" i="16"/>
  <c r="AA18" i="16"/>
  <c r="Z18" i="16"/>
  <c r="Y18" i="16"/>
  <c r="X18" i="16"/>
  <c r="W18" i="16"/>
  <c r="P18" i="16"/>
  <c r="O18" i="16"/>
  <c r="N18" i="16"/>
  <c r="M18" i="16"/>
  <c r="AN17" i="16"/>
  <c r="AI17" i="16"/>
  <c r="AT17" i="16" s="1"/>
  <c r="AH17" i="16"/>
  <c r="AF17" i="16"/>
  <c r="AE17" i="16"/>
  <c r="AD17" i="16"/>
  <c r="AC17" i="16"/>
  <c r="AB17" i="16"/>
  <c r="AA17" i="16"/>
  <c r="Z17" i="16"/>
  <c r="Y17" i="16"/>
  <c r="X17" i="16"/>
  <c r="W17" i="16"/>
  <c r="P17" i="16"/>
  <c r="O17" i="16"/>
  <c r="N17" i="16"/>
  <c r="AO17" i="16" s="1"/>
  <c r="M17" i="16"/>
  <c r="AT16" i="16"/>
  <c r="AO16" i="16"/>
  <c r="AN16" i="16"/>
  <c r="AI16" i="16"/>
  <c r="AH16" i="16"/>
  <c r="AF16" i="16"/>
  <c r="AE16" i="16"/>
  <c r="AD16" i="16"/>
  <c r="AC16" i="16"/>
  <c r="AA16" i="16"/>
  <c r="Z16" i="16"/>
  <c r="Y16" i="16"/>
  <c r="X16" i="16"/>
  <c r="W16" i="16"/>
  <c r="P16" i="16"/>
  <c r="O16" i="16"/>
  <c r="N16" i="16"/>
  <c r="M16" i="16"/>
  <c r="AI15" i="16"/>
  <c r="AH15" i="16"/>
  <c r="W15" i="16"/>
  <c r="AT14" i="16"/>
  <c r="AJ14" i="16"/>
  <c r="AI14" i="16"/>
  <c r="AN14" i="16" s="1"/>
  <c r="AH14" i="16"/>
  <c r="AF14" i="16"/>
  <c r="AE14" i="16"/>
  <c r="AC14" i="16"/>
  <c r="AB14" i="16"/>
  <c r="AA14" i="16"/>
  <c r="Z14" i="16"/>
  <c r="Y14" i="16"/>
  <c r="X14" i="16"/>
  <c r="W14" i="16"/>
  <c r="P14" i="16"/>
  <c r="O14" i="16"/>
  <c r="N14" i="16"/>
  <c r="M14" i="16"/>
  <c r="AN13" i="16"/>
  <c r="AI13" i="16"/>
  <c r="AT13" i="16" s="1"/>
  <c r="AH13" i="16"/>
  <c r="AF13" i="16"/>
  <c r="AE13" i="16"/>
  <c r="AD13" i="16"/>
  <c r="AC13" i="16"/>
  <c r="AB13" i="16"/>
  <c r="AA13" i="16"/>
  <c r="Z13" i="16"/>
  <c r="Y13" i="16"/>
  <c r="X13" i="16"/>
  <c r="W13" i="16"/>
  <c r="P13" i="16"/>
  <c r="O13" i="16"/>
  <c r="N13" i="16"/>
  <c r="AO13" i="16" s="1"/>
  <c r="M13" i="16"/>
  <c r="AI12" i="16"/>
  <c r="AH12" i="16"/>
  <c r="W12" i="16"/>
  <c r="AI11" i="16"/>
  <c r="AH11" i="16"/>
  <c r="AF11" i="16"/>
  <c r="AE11" i="16"/>
  <c r="AB11" i="16"/>
  <c r="AA11" i="16"/>
  <c r="Z11" i="16"/>
  <c r="Y11" i="16"/>
  <c r="X11" i="16"/>
  <c r="W11" i="16"/>
  <c r="P11" i="16"/>
  <c r="O11" i="16"/>
  <c r="N11" i="16"/>
  <c r="AO11" i="16" s="1"/>
  <c r="M11" i="16"/>
  <c r="AT10" i="16"/>
  <c r="AI10" i="16"/>
  <c r="AN10" i="16" s="1"/>
  <c r="AH10" i="16"/>
  <c r="AF10" i="16"/>
  <c r="AE10" i="16"/>
  <c r="AC10" i="16"/>
  <c r="AB10" i="16"/>
  <c r="AA10" i="16"/>
  <c r="Z10" i="16"/>
  <c r="Y10" i="16"/>
  <c r="X10" i="16"/>
  <c r="W10" i="16"/>
  <c r="P10" i="16"/>
  <c r="O10" i="16"/>
  <c r="N10" i="16"/>
  <c r="M10" i="16"/>
  <c r="AI9" i="16"/>
  <c r="AH9" i="16"/>
  <c r="W9" i="16"/>
  <c r="AT8" i="16"/>
  <c r="AO8" i="16"/>
  <c r="AI8" i="16"/>
  <c r="AH8" i="16"/>
  <c r="AF8" i="16"/>
  <c r="AE8" i="16"/>
  <c r="AA8" i="16"/>
  <c r="Z8" i="16"/>
  <c r="Y8" i="16"/>
  <c r="X8" i="16"/>
  <c r="W8" i="16"/>
  <c r="P8" i="16"/>
  <c r="O8" i="16"/>
  <c r="AD8" i="16" s="1"/>
  <c r="N8" i="16"/>
  <c r="AC8" i="16" s="1"/>
  <c r="M8" i="16"/>
  <c r="AI7" i="16"/>
  <c r="AH7" i="16"/>
  <c r="AF7" i="16"/>
  <c r="AE7" i="16"/>
  <c r="AB7" i="16"/>
  <c r="AA7" i="16"/>
  <c r="Z7" i="16"/>
  <c r="Y7" i="16"/>
  <c r="X7" i="16"/>
  <c r="W7" i="16"/>
  <c r="P7" i="16"/>
  <c r="O7" i="16"/>
  <c r="AQ7" i="16" s="1"/>
  <c r="N7" i="16"/>
  <c r="M7" i="16"/>
  <c r="AT6" i="16"/>
  <c r="AI6" i="16"/>
  <c r="AN6" i="16" s="1"/>
  <c r="AH6" i="16"/>
  <c r="AF6" i="16"/>
  <c r="AE6" i="16"/>
  <c r="AC6" i="16"/>
  <c r="AB6" i="16"/>
  <c r="AA6" i="16"/>
  <c r="Z6" i="16"/>
  <c r="Y6" i="16"/>
  <c r="X6" i="16"/>
  <c r="W6" i="16"/>
  <c r="P6" i="16"/>
  <c r="O6" i="16"/>
  <c r="AD6" i="16" s="1"/>
  <c r="N6" i="16"/>
  <c r="M6" i="16"/>
  <c r="AI5" i="16"/>
  <c r="AH5" i="16"/>
  <c r="W5" i="16"/>
  <c r="AI4" i="16"/>
  <c r="AO3" i="16"/>
  <c r="AI3" i="16"/>
  <c r="AH3" i="16"/>
  <c r="AN2" i="16"/>
  <c r="AN38" i="16" s="1"/>
  <c r="AM2" i="16"/>
  <c r="AL2" i="16"/>
  <c r="AK2" i="16"/>
  <c r="AJ2" i="16"/>
  <c r="AA2" i="16"/>
  <c r="A2" i="16"/>
  <c r="AU1" i="16"/>
  <c r="AU23" i="16" s="1"/>
  <c r="AR1" i="16"/>
  <c r="AR36" i="16" s="1"/>
  <c r="AQ1" i="16"/>
  <c r="AQ43" i="16" s="1"/>
  <c r="AP1" i="16"/>
  <c r="AP28" i="16" s="1"/>
  <c r="AO1" i="16"/>
  <c r="AO28" i="16" s="1"/>
  <c r="AH1" i="16"/>
  <c r="AH2" i="16" s="1"/>
  <c r="AA1" i="16"/>
  <c r="A1" i="16"/>
  <c r="AJ1" i="16" s="1"/>
  <c r="AP19" i="15"/>
  <c r="AI19" i="15"/>
  <c r="AH19" i="15"/>
  <c r="AF19" i="15"/>
  <c r="AE19" i="15"/>
  <c r="AB19" i="15"/>
  <c r="AA19" i="15"/>
  <c r="Z19" i="15"/>
  <c r="Y19" i="15"/>
  <c r="X19" i="15"/>
  <c r="W19" i="15"/>
  <c r="P19" i="15"/>
  <c r="O19" i="15"/>
  <c r="N19" i="15"/>
  <c r="M19" i="15"/>
  <c r="AT18" i="15"/>
  <c r="AJ18" i="15"/>
  <c r="AI18" i="15"/>
  <c r="AN18" i="15" s="1"/>
  <c r="AH18" i="15"/>
  <c r="AF18" i="15"/>
  <c r="AE18" i="15"/>
  <c r="AC18" i="15"/>
  <c r="AB18" i="15"/>
  <c r="AA18" i="15"/>
  <c r="Z18" i="15"/>
  <c r="Y18" i="15"/>
  <c r="X18" i="15"/>
  <c r="W18" i="15"/>
  <c r="P18" i="15"/>
  <c r="O18" i="15"/>
  <c r="N18" i="15"/>
  <c r="M18" i="15"/>
  <c r="AI17" i="15"/>
  <c r="AH17" i="15"/>
  <c r="AF17" i="15"/>
  <c r="AE17" i="15"/>
  <c r="AD17" i="15"/>
  <c r="AC17" i="15"/>
  <c r="AB17" i="15"/>
  <c r="AA17" i="15"/>
  <c r="Z17" i="15"/>
  <c r="Y17" i="15"/>
  <c r="X17" i="15"/>
  <c r="W17" i="15"/>
  <c r="P17" i="15"/>
  <c r="O17" i="15"/>
  <c r="N17" i="15"/>
  <c r="M17" i="15"/>
  <c r="AT16" i="15"/>
  <c r="AP16" i="15"/>
  <c r="AO16" i="15"/>
  <c r="AV16" i="15" s="1"/>
  <c r="AJ16" i="15"/>
  <c r="AI16" i="15"/>
  <c r="AH16" i="15"/>
  <c r="AF16" i="15"/>
  <c r="AE16" i="15"/>
  <c r="AD16" i="15"/>
  <c r="AC16" i="15"/>
  <c r="AA16" i="15"/>
  <c r="Z16" i="15"/>
  <c r="Y16" i="15"/>
  <c r="X16" i="15"/>
  <c r="W16" i="15"/>
  <c r="P16" i="15"/>
  <c r="O16" i="15"/>
  <c r="N16" i="15"/>
  <c r="M16" i="15"/>
  <c r="AU15" i="15"/>
  <c r="AP15" i="15"/>
  <c r="AI15" i="15"/>
  <c r="AT15" i="15" s="1"/>
  <c r="AH15" i="15"/>
  <c r="AF15" i="15"/>
  <c r="AE15" i="15"/>
  <c r="AD15" i="15"/>
  <c r="AA15" i="15"/>
  <c r="Z15" i="15"/>
  <c r="Y15" i="15"/>
  <c r="X15" i="15"/>
  <c r="W15" i="15"/>
  <c r="P15" i="15"/>
  <c r="O15" i="15"/>
  <c r="N15" i="15"/>
  <c r="M15" i="15"/>
  <c r="AR15" i="15" s="1"/>
  <c r="AV14" i="15"/>
  <c r="AT14" i="15"/>
  <c r="AP14" i="15"/>
  <c r="AO14" i="15"/>
  <c r="AI14" i="15"/>
  <c r="AH14" i="15"/>
  <c r="AF14" i="15"/>
  <c r="AE14" i="15"/>
  <c r="AA14" i="15"/>
  <c r="Z14" i="15"/>
  <c r="Y14" i="15"/>
  <c r="X14" i="15"/>
  <c r="W14" i="15"/>
  <c r="P14" i="15"/>
  <c r="O14" i="15"/>
  <c r="AD14" i="15" s="1"/>
  <c r="N14" i="15"/>
  <c r="AC14" i="15" s="1"/>
  <c r="M14" i="15"/>
  <c r="AR13" i="15"/>
  <c r="AP13" i="15"/>
  <c r="AI13" i="15"/>
  <c r="AH13" i="15"/>
  <c r="AF13" i="15"/>
  <c r="AE13" i="15"/>
  <c r="AB13" i="15"/>
  <c r="AA13" i="15"/>
  <c r="Z13" i="15"/>
  <c r="Y13" i="15"/>
  <c r="X13" i="15"/>
  <c r="W13" i="15"/>
  <c r="P13" i="15"/>
  <c r="O13" i="15"/>
  <c r="N13" i="15"/>
  <c r="M13" i="15"/>
  <c r="AI12" i="15"/>
  <c r="AH12" i="15"/>
  <c r="W12" i="15"/>
  <c r="AU11" i="15"/>
  <c r="AP11" i="15"/>
  <c r="AI11" i="15"/>
  <c r="AT11" i="15" s="1"/>
  <c r="AH11" i="15"/>
  <c r="AF11" i="15"/>
  <c r="AE11" i="15"/>
  <c r="AD11" i="15"/>
  <c r="AA11" i="15"/>
  <c r="Z11" i="15"/>
  <c r="Y11" i="15"/>
  <c r="X11" i="15"/>
  <c r="W11" i="15"/>
  <c r="P11" i="15"/>
  <c r="O11" i="15"/>
  <c r="N11" i="15"/>
  <c r="M11" i="15"/>
  <c r="AT10" i="15"/>
  <c r="AP10" i="15"/>
  <c r="AI10" i="15"/>
  <c r="AH10" i="15"/>
  <c r="AF10" i="15"/>
  <c r="AE10" i="15"/>
  <c r="AA10" i="15"/>
  <c r="Z10" i="15"/>
  <c r="Y10" i="15"/>
  <c r="X10" i="15"/>
  <c r="W10" i="15"/>
  <c r="P10" i="15"/>
  <c r="O10" i="15"/>
  <c r="AD10" i="15" s="1"/>
  <c r="N10" i="15"/>
  <c r="AC10" i="15" s="1"/>
  <c r="M10" i="15"/>
  <c r="AP9" i="15"/>
  <c r="AI9" i="15"/>
  <c r="AH9" i="15"/>
  <c r="AF9" i="15"/>
  <c r="AE9" i="15"/>
  <c r="AB9" i="15"/>
  <c r="AA9" i="15"/>
  <c r="Z9" i="15"/>
  <c r="Y9" i="15"/>
  <c r="X9" i="15"/>
  <c r="W9" i="15"/>
  <c r="P9" i="15"/>
  <c r="O9" i="15"/>
  <c r="AD9" i="15" s="1"/>
  <c r="N9" i="15"/>
  <c r="M9" i="15"/>
  <c r="AP8" i="15"/>
  <c r="AO8" i="15"/>
  <c r="AV8" i="15" s="1"/>
  <c r="AJ8" i="15"/>
  <c r="AI8" i="15"/>
  <c r="AH8" i="15"/>
  <c r="AF8" i="15"/>
  <c r="AE8" i="15"/>
  <c r="AC8" i="15"/>
  <c r="AB8" i="15"/>
  <c r="AA8" i="15"/>
  <c r="Z8" i="15"/>
  <c r="Y8" i="15"/>
  <c r="X8" i="15"/>
  <c r="W8" i="15"/>
  <c r="P8" i="15"/>
  <c r="O8" i="15"/>
  <c r="AD8" i="15" s="1"/>
  <c r="N8" i="15"/>
  <c r="M8" i="15"/>
  <c r="AT7" i="15"/>
  <c r="AR7" i="15"/>
  <c r="AP7" i="15"/>
  <c r="AJ7" i="15"/>
  <c r="AI7" i="15"/>
  <c r="AH7" i="15"/>
  <c r="AF7" i="15"/>
  <c r="AE7" i="15"/>
  <c r="AD7" i="15"/>
  <c r="AC7" i="15"/>
  <c r="AB7" i="15"/>
  <c r="AA7" i="15"/>
  <c r="Z7" i="15"/>
  <c r="Y7" i="15"/>
  <c r="X7" i="15"/>
  <c r="W7" i="15"/>
  <c r="P7" i="15"/>
  <c r="O7" i="15"/>
  <c r="N7" i="15"/>
  <c r="AO7" i="15" s="1"/>
  <c r="AV7" i="15" s="1"/>
  <c r="M7" i="15"/>
  <c r="AV6" i="15"/>
  <c r="AU6" i="15"/>
  <c r="AT6" i="15"/>
  <c r="AP6" i="15"/>
  <c r="AO6" i="15"/>
  <c r="AJ6" i="15"/>
  <c r="AI6" i="15"/>
  <c r="AH6" i="15"/>
  <c r="AF6" i="15"/>
  <c r="AE6" i="15"/>
  <c r="AD6" i="15"/>
  <c r="AC6" i="15"/>
  <c r="AA6" i="15"/>
  <c r="Z6" i="15"/>
  <c r="Y6" i="15"/>
  <c r="X6" i="15"/>
  <c r="W6" i="15"/>
  <c r="P6" i="15"/>
  <c r="O6" i="15"/>
  <c r="N6" i="15"/>
  <c r="M6" i="15"/>
  <c r="AI5" i="15"/>
  <c r="AH5" i="15"/>
  <c r="W5" i="15"/>
  <c r="AI4" i="15"/>
  <c r="AR3" i="15"/>
  <c r="AP3" i="15"/>
  <c r="AI3" i="15"/>
  <c r="AH3" i="15"/>
  <c r="AN2" i="15"/>
  <c r="AM2" i="15"/>
  <c r="AL2" i="15"/>
  <c r="AK2" i="15"/>
  <c r="AJ2" i="15"/>
  <c r="AJ14" i="15" s="1"/>
  <c r="AA2" i="15"/>
  <c r="A2" i="15"/>
  <c r="AU1" i="15"/>
  <c r="AU17" i="15" s="1"/>
  <c r="AR1" i="15"/>
  <c r="AR8" i="15" s="1"/>
  <c r="AQ1" i="15"/>
  <c r="AQ9" i="15" s="1"/>
  <c r="AP1" i="15"/>
  <c r="AP18" i="15" s="1"/>
  <c r="AO1" i="15"/>
  <c r="AJ1" i="15"/>
  <c r="AH1" i="15"/>
  <c r="AH2" i="15" s="1"/>
  <c r="AA1" i="15"/>
  <c r="A1" i="15"/>
  <c r="AT71" i="14"/>
  <c r="AP71" i="14"/>
  <c r="AI71" i="14"/>
  <c r="AH71" i="14"/>
  <c r="AF71" i="14"/>
  <c r="AE71" i="14"/>
  <c r="AD71" i="14"/>
  <c r="AC71" i="14"/>
  <c r="AB71" i="14"/>
  <c r="AA71" i="14"/>
  <c r="Z71" i="14"/>
  <c r="Y71" i="14"/>
  <c r="X71" i="14"/>
  <c r="W71" i="14"/>
  <c r="P71" i="14"/>
  <c r="O71" i="14"/>
  <c r="N71" i="14"/>
  <c r="AO71" i="14" s="1"/>
  <c r="AV71" i="14" s="1"/>
  <c r="M71" i="14"/>
  <c r="AT70" i="14"/>
  <c r="AP70" i="14"/>
  <c r="AO70" i="14"/>
  <c r="AV70" i="14" s="1"/>
  <c r="AI70" i="14"/>
  <c r="AH70" i="14"/>
  <c r="AF70" i="14"/>
  <c r="AE70" i="14"/>
  <c r="AD70" i="14"/>
  <c r="AC70" i="14"/>
  <c r="AA70" i="14"/>
  <c r="Z70" i="14"/>
  <c r="Y70" i="14"/>
  <c r="X70" i="14"/>
  <c r="W70" i="14"/>
  <c r="P70" i="14"/>
  <c r="O70" i="14"/>
  <c r="N70" i="14"/>
  <c r="M70" i="14"/>
  <c r="AP69" i="14"/>
  <c r="AI69" i="14"/>
  <c r="AT69" i="14" s="1"/>
  <c r="AH69" i="14"/>
  <c r="AF69" i="14"/>
  <c r="AE69" i="14"/>
  <c r="AD69" i="14"/>
  <c r="AA69" i="14"/>
  <c r="Z69" i="14"/>
  <c r="Y69" i="14"/>
  <c r="X69" i="14"/>
  <c r="W69" i="14"/>
  <c r="P69" i="14"/>
  <c r="O69" i="14"/>
  <c r="N69" i="14"/>
  <c r="AC69" i="14" s="1"/>
  <c r="M69" i="14"/>
  <c r="AT68" i="14"/>
  <c r="AP68" i="14"/>
  <c r="AI68" i="14"/>
  <c r="AH68" i="14"/>
  <c r="AF68" i="14"/>
  <c r="AE68" i="14"/>
  <c r="AA68" i="14"/>
  <c r="Z68" i="14"/>
  <c r="Y68" i="14"/>
  <c r="X68" i="14"/>
  <c r="W68" i="14"/>
  <c r="P68" i="14"/>
  <c r="O68" i="14"/>
  <c r="AD68" i="14" s="1"/>
  <c r="N68" i="14"/>
  <c r="AC68" i="14" s="1"/>
  <c r="M68" i="14"/>
  <c r="AI67" i="14"/>
  <c r="AH67" i="14"/>
  <c r="W67" i="14"/>
  <c r="AU66" i="14"/>
  <c r="AT66" i="14"/>
  <c r="AP66" i="14"/>
  <c r="AO66" i="14"/>
  <c r="AV66" i="14" s="1"/>
  <c r="AI66" i="14"/>
  <c r="AH66" i="14"/>
  <c r="AF66" i="14"/>
  <c r="AE66" i="14"/>
  <c r="AD66" i="14"/>
  <c r="AC66" i="14"/>
  <c r="AA66" i="14"/>
  <c r="Z66" i="14"/>
  <c r="Y66" i="14"/>
  <c r="X66" i="14"/>
  <c r="W66" i="14"/>
  <c r="P66" i="14"/>
  <c r="O66" i="14"/>
  <c r="N66" i="14"/>
  <c r="M66" i="14"/>
  <c r="AP65" i="14"/>
  <c r="AO65" i="14"/>
  <c r="AV65" i="14" s="1"/>
  <c r="AI65" i="14"/>
  <c r="AT65" i="14" s="1"/>
  <c r="AH65" i="14"/>
  <c r="AF65" i="14"/>
  <c r="AE65" i="14"/>
  <c r="AD65" i="14"/>
  <c r="AA65" i="14"/>
  <c r="Z65" i="14"/>
  <c r="Y65" i="14"/>
  <c r="X65" i="14"/>
  <c r="W65" i="14"/>
  <c r="P65" i="14"/>
  <c r="O65" i="14"/>
  <c r="N65" i="14"/>
  <c r="AC65" i="14" s="1"/>
  <c r="M65" i="14"/>
  <c r="AT64" i="14"/>
  <c r="AP64" i="14"/>
  <c r="AI64" i="14"/>
  <c r="AH64" i="14"/>
  <c r="AF64" i="14"/>
  <c r="AE64" i="14"/>
  <c r="AA64" i="14"/>
  <c r="Z64" i="14"/>
  <c r="Y64" i="14"/>
  <c r="X64" i="14"/>
  <c r="W64" i="14"/>
  <c r="P64" i="14"/>
  <c r="O64" i="14"/>
  <c r="N64" i="14"/>
  <c r="AC64" i="14" s="1"/>
  <c r="M64" i="14"/>
  <c r="AI63" i="14"/>
  <c r="AH63" i="14"/>
  <c r="W63" i="14"/>
  <c r="AV62" i="14"/>
  <c r="AT62" i="14"/>
  <c r="AP62" i="14"/>
  <c r="AO62" i="14"/>
  <c r="AI62" i="14"/>
  <c r="AH62" i="14"/>
  <c r="AF62" i="14"/>
  <c r="AE62" i="14"/>
  <c r="AD62" i="14"/>
  <c r="AC62" i="14"/>
  <c r="AA62" i="14"/>
  <c r="Z62" i="14"/>
  <c r="Y62" i="14"/>
  <c r="X62" i="14"/>
  <c r="W62" i="14"/>
  <c r="P62" i="14"/>
  <c r="O62" i="14"/>
  <c r="N62" i="14"/>
  <c r="M62" i="14"/>
  <c r="AU61" i="14"/>
  <c r="AP61" i="14"/>
  <c r="AO61" i="14"/>
  <c r="AV61" i="14" s="1"/>
  <c r="AI61" i="14"/>
  <c r="AT61" i="14" s="1"/>
  <c r="AH61" i="14"/>
  <c r="AF61" i="14"/>
  <c r="AE61" i="14"/>
  <c r="AD61" i="14"/>
  <c r="AA61" i="14"/>
  <c r="Z61" i="14"/>
  <c r="Y61" i="14"/>
  <c r="X61" i="14"/>
  <c r="W61" i="14"/>
  <c r="P61" i="14"/>
  <c r="O61" i="14"/>
  <c r="N61" i="14"/>
  <c r="AC61" i="14" s="1"/>
  <c r="M61" i="14"/>
  <c r="AT60" i="14"/>
  <c r="AP60" i="14"/>
  <c r="AI60" i="14"/>
  <c r="AH60" i="14"/>
  <c r="AF60" i="14"/>
  <c r="AE60" i="14"/>
  <c r="AA60" i="14"/>
  <c r="Z60" i="14"/>
  <c r="Y60" i="14"/>
  <c r="X60" i="14"/>
  <c r="W60" i="14"/>
  <c r="P60" i="14"/>
  <c r="O60" i="14"/>
  <c r="AD60" i="14" s="1"/>
  <c r="N60" i="14"/>
  <c r="AC60" i="14" s="1"/>
  <c r="M60" i="14"/>
  <c r="AI59" i="14"/>
  <c r="AH59" i="14"/>
  <c r="W59" i="14"/>
  <c r="AT58" i="14"/>
  <c r="AP58" i="14"/>
  <c r="AO58" i="14"/>
  <c r="AV58" i="14" s="1"/>
  <c r="AI58" i="14"/>
  <c r="AH58" i="14"/>
  <c r="AF58" i="14"/>
  <c r="AE58" i="14"/>
  <c r="AD58" i="14"/>
  <c r="AC58" i="14"/>
  <c r="AA58" i="14"/>
  <c r="Z58" i="14"/>
  <c r="Y58" i="14"/>
  <c r="X58" i="14"/>
  <c r="W58" i="14"/>
  <c r="P58" i="14"/>
  <c r="O58" i="14"/>
  <c r="N58" i="14"/>
  <c r="M58" i="14"/>
  <c r="AP57" i="14"/>
  <c r="AI57" i="14"/>
  <c r="AT57" i="14" s="1"/>
  <c r="AH57" i="14"/>
  <c r="AF57" i="14"/>
  <c r="AE57" i="14"/>
  <c r="AD57" i="14"/>
  <c r="AA57" i="14"/>
  <c r="Z57" i="14"/>
  <c r="Y57" i="14"/>
  <c r="X57" i="14"/>
  <c r="W57" i="14"/>
  <c r="P57" i="14"/>
  <c r="O57" i="14"/>
  <c r="N57" i="14"/>
  <c r="M57" i="14"/>
  <c r="AT56" i="14"/>
  <c r="AP56" i="14"/>
  <c r="AI56" i="14"/>
  <c r="AH56" i="14"/>
  <c r="AF56" i="14"/>
  <c r="AE56" i="14"/>
  <c r="AA56" i="14"/>
  <c r="Z56" i="14"/>
  <c r="Y56" i="14"/>
  <c r="X56" i="14"/>
  <c r="W56" i="14"/>
  <c r="P56" i="14"/>
  <c r="O56" i="14"/>
  <c r="AD56" i="14" s="1"/>
  <c r="N56" i="14"/>
  <c r="AC56" i="14" s="1"/>
  <c r="M56" i="14"/>
  <c r="AP55" i="14"/>
  <c r="AI55" i="14"/>
  <c r="AH55" i="14"/>
  <c r="AF55" i="14"/>
  <c r="AE55" i="14"/>
  <c r="AB55" i="14"/>
  <c r="AA55" i="14"/>
  <c r="Z55" i="14"/>
  <c r="Y55" i="14"/>
  <c r="X55" i="14"/>
  <c r="W55" i="14"/>
  <c r="P55" i="14"/>
  <c r="O55" i="14"/>
  <c r="AD55" i="14" s="1"/>
  <c r="N55" i="14"/>
  <c r="M55" i="14"/>
  <c r="AV54" i="14"/>
  <c r="AP54" i="14"/>
  <c r="AO54" i="14"/>
  <c r="AI54" i="14"/>
  <c r="AH54" i="14"/>
  <c r="AF54" i="14"/>
  <c r="AE54" i="14"/>
  <c r="AC54" i="14"/>
  <c r="AB54" i="14"/>
  <c r="AA54" i="14"/>
  <c r="Z54" i="14"/>
  <c r="Y54" i="14"/>
  <c r="X54" i="14"/>
  <c r="W54" i="14"/>
  <c r="P54" i="14"/>
  <c r="O54" i="14"/>
  <c r="AD54" i="14" s="1"/>
  <c r="N54" i="14"/>
  <c r="M54" i="14"/>
  <c r="AT53" i="14"/>
  <c r="AP53" i="14"/>
  <c r="AI53" i="14"/>
  <c r="AH53" i="14"/>
  <c r="AF53" i="14"/>
  <c r="AE53" i="14"/>
  <c r="AD53" i="14"/>
  <c r="AB53" i="14"/>
  <c r="AA53" i="14"/>
  <c r="Z53" i="14"/>
  <c r="Y53" i="14"/>
  <c r="X53" i="14"/>
  <c r="W53" i="14"/>
  <c r="P53" i="14"/>
  <c r="O53" i="14"/>
  <c r="N53" i="14"/>
  <c r="M53" i="14"/>
  <c r="AV52" i="14"/>
  <c r="AT52" i="14"/>
  <c r="AP52" i="14"/>
  <c r="AO52" i="14"/>
  <c r="AI52" i="14"/>
  <c r="AH52" i="14"/>
  <c r="AF52" i="14"/>
  <c r="AE52" i="14"/>
  <c r="AD52" i="14"/>
  <c r="AC52" i="14"/>
  <c r="AA52" i="14"/>
  <c r="Z52" i="14"/>
  <c r="Y52" i="14"/>
  <c r="X52" i="14"/>
  <c r="W52" i="14"/>
  <c r="P52" i="14"/>
  <c r="O52" i="14"/>
  <c r="N52" i="14"/>
  <c r="M52" i="14"/>
  <c r="AI51" i="14"/>
  <c r="AH51" i="14"/>
  <c r="W51" i="14"/>
  <c r="AT50" i="14"/>
  <c r="AI50" i="14"/>
  <c r="AH50" i="14"/>
  <c r="AF50" i="14"/>
  <c r="AE50" i="14"/>
  <c r="AC50" i="14"/>
  <c r="AA50" i="14"/>
  <c r="Z50" i="14"/>
  <c r="Y50" i="14"/>
  <c r="X50" i="14"/>
  <c r="W50" i="14"/>
  <c r="P50" i="14"/>
  <c r="O50" i="14"/>
  <c r="AD50" i="14" s="1"/>
  <c r="N50" i="14"/>
  <c r="M50" i="14"/>
  <c r="AB50" i="14" s="1"/>
  <c r="AI49" i="14"/>
  <c r="AH49" i="14"/>
  <c r="W49" i="14"/>
  <c r="AT48" i="14"/>
  <c r="AI48" i="14"/>
  <c r="AH48" i="14"/>
  <c r="AF48" i="14"/>
  <c r="AE48" i="14"/>
  <c r="AC48" i="14"/>
  <c r="AA48" i="14"/>
  <c r="Z48" i="14"/>
  <c r="Y48" i="14"/>
  <c r="X48" i="14"/>
  <c r="W48" i="14"/>
  <c r="P48" i="14"/>
  <c r="O48" i="14"/>
  <c r="AD48" i="14" s="1"/>
  <c r="N48" i="14"/>
  <c r="M48" i="14"/>
  <c r="AU47" i="14"/>
  <c r="AI47" i="14"/>
  <c r="AH47" i="14"/>
  <c r="AF47" i="14"/>
  <c r="AE47" i="14"/>
  <c r="AB47" i="14"/>
  <c r="AA47" i="14"/>
  <c r="Z47" i="14"/>
  <c r="Y47" i="14"/>
  <c r="X47" i="14"/>
  <c r="W47" i="14"/>
  <c r="P47" i="14"/>
  <c r="O47" i="14"/>
  <c r="N47" i="14"/>
  <c r="M47" i="14"/>
  <c r="AI46" i="14"/>
  <c r="AH46" i="14"/>
  <c r="W46" i="14"/>
  <c r="AU45" i="14"/>
  <c r="AI45" i="14"/>
  <c r="AH45" i="14"/>
  <c r="AF45" i="14"/>
  <c r="AE45" i="14"/>
  <c r="AD45" i="14"/>
  <c r="AA45" i="14"/>
  <c r="Z45" i="14"/>
  <c r="Y45" i="14"/>
  <c r="X45" i="14"/>
  <c r="W45" i="14"/>
  <c r="P45" i="14"/>
  <c r="O45" i="14"/>
  <c r="N45" i="14"/>
  <c r="M45" i="14"/>
  <c r="AT44" i="14"/>
  <c r="AP44" i="14"/>
  <c r="AO44" i="14"/>
  <c r="AV44" i="14" s="1"/>
  <c r="AI44" i="14"/>
  <c r="AH44" i="14"/>
  <c r="AF44" i="14"/>
  <c r="AE44" i="14"/>
  <c r="AC44" i="14"/>
  <c r="AA44" i="14"/>
  <c r="Z44" i="14"/>
  <c r="Y44" i="14"/>
  <c r="X44" i="14"/>
  <c r="W44" i="14"/>
  <c r="P44" i="14"/>
  <c r="O44" i="14"/>
  <c r="AD44" i="14" s="1"/>
  <c r="N44" i="14"/>
  <c r="M44" i="14"/>
  <c r="AI43" i="14"/>
  <c r="AT43" i="14" s="1"/>
  <c r="AH43" i="14"/>
  <c r="AF43" i="14"/>
  <c r="AE43" i="14"/>
  <c r="AA43" i="14"/>
  <c r="Z43" i="14"/>
  <c r="Y43" i="14"/>
  <c r="X43" i="14"/>
  <c r="W43" i="14"/>
  <c r="P43" i="14"/>
  <c r="O43" i="14"/>
  <c r="AD43" i="14" s="1"/>
  <c r="N43" i="14"/>
  <c r="M43" i="14"/>
  <c r="AB43" i="14" s="1"/>
  <c r="AU42" i="14"/>
  <c r="AI42" i="14"/>
  <c r="AH42" i="14"/>
  <c r="AF42" i="14"/>
  <c r="AE42" i="14"/>
  <c r="AB42" i="14"/>
  <c r="AA42" i="14"/>
  <c r="Z42" i="14"/>
  <c r="Y42" i="14"/>
  <c r="X42" i="14"/>
  <c r="W42" i="14"/>
  <c r="P42" i="14"/>
  <c r="O42" i="14"/>
  <c r="AD42" i="14" s="1"/>
  <c r="N42" i="14"/>
  <c r="AC42" i="14" s="1"/>
  <c r="M42" i="14"/>
  <c r="AT41" i="14"/>
  <c r="AJ41" i="14"/>
  <c r="AI41" i="14"/>
  <c r="AH41" i="14"/>
  <c r="AF41" i="14"/>
  <c r="AE41" i="14"/>
  <c r="AC41" i="14"/>
  <c r="AB41" i="14"/>
  <c r="AA41" i="14"/>
  <c r="Z41" i="14"/>
  <c r="Y41" i="14"/>
  <c r="X41" i="14"/>
  <c r="W41" i="14"/>
  <c r="P41" i="14"/>
  <c r="O41" i="14"/>
  <c r="N41" i="14"/>
  <c r="M41" i="14"/>
  <c r="AI40" i="14"/>
  <c r="AH40" i="14"/>
  <c r="W40" i="14"/>
  <c r="AU39" i="14"/>
  <c r="AT39" i="14"/>
  <c r="AP39" i="14"/>
  <c r="AI39" i="14"/>
  <c r="AH39" i="14"/>
  <c r="AF39" i="14"/>
  <c r="AE39" i="14"/>
  <c r="AA39" i="14"/>
  <c r="Z39" i="14"/>
  <c r="Y39" i="14"/>
  <c r="X39" i="14"/>
  <c r="W39" i="14"/>
  <c r="P39" i="14"/>
  <c r="O39" i="14"/>
  <c r="AD39" i="14" s="1"/>
  <c r="N39" i="14"/>
  <c r="M39" i="14"/>
  <c r="AU38" i="14"/>
  <c r="AP38" i="14"/>
  <c r="AO38" i="14"/>
  <c r="AV38" i="14" s="1"/>
  <c r="AI38" i="14"/>
  <c r="AH38" i="14"/>
  <c r="AF38" i="14"/>
  <c r="AE38" i="14"/>
  <c r="AB38" i="14"/>
  <c r="AA38" i="14"/>
  <c r="Z38" i="14"/>
  <c r="Y38" i="14"/>
  <c r="X38" i="14"/>
  <c r="W38" i="14"/>
  <c r="P38" i="14"/>
  <c r="O38" i="14"/>
  <c r="N38" i="14"/>
  <c r="AC38" i="14" s="1"/>
  <c r="M38" i="14"/>
  <c r="AP37" i="14"/>
  <c r="AJ37" i="14"/>
  <c r="AI37" i="14"/>
  <c r="AN37" i="14" s="1"/>
  <c r="AH37" i="14"/>
  <c r="AF37" i="14"/>
  <c r="AE37" i="14"/>
  <c r="AC37" i="14"/>
  <c r="AB37" i="14"/>
  <c r="AA37" i="14"/>
  <c r="Z37" i="14"/>
  <c r="Y37" i="14"/>
  <c r="X37" i="14"/>
  <c r="W37" i="14"/>
  <c r="P37" i="14"/>
  <c r="O37" i="14"/>
  <c r="N37" i="14"/>
  <c r="AO37" i="14" s="1"/>
  <c r="AV37" i="14" s="1"/>
  <c r="M37" i="14"/>
  <c r="AU36" i="14"/>
  <c r="AT36" i="14"/>
  <c r="AP36" i="14"/>
  <c r="AN36" i="14"/>
  <c r="AJ36" i="14"/>
  <c r="AI36" i="14"/>
  <c r="AH36" i="14"/>
  <c r="AF36" i="14"/>
  <c r="AE36" i="14"/>
  <c r="AD36" i="14"/>
  <c r="AC36" i="14"/>
  <c r="AB36" i="14"/>
  <c r="AA36" i="14"/>
  <c r="Z36" i="14"/>
  <c r="Y36" i="14"/>
  <c r="X36" i="14"/>
  <c r="W36" i="14"/>
  <c r="P36" i="14"/>
  <c r="O36" i="14"/>
  <c r="N36" i="14"/>
  <c r="AO36" i="14" s="1"/>
  <c r="AV36" i="14" s="1"/>
  <c r="M36" i="14"/>
  <c r="AV35" i="14"/>
  <c r="AU35" i="14"/>
  <c r="AP35" i="14"/>
  <c r="AO35" i="14"/>
  <c r="AI35" i="14"/>
  <c r="AT35" i="14" s="1"/>
  <c r="AH35" i="14"/>
  <c r="AF35" i="14"/>
  <c r="AE35" i="14"/>
  <c r="AD35" i="14"/>
  <c r="AC35" i="14"/>
  <c r="AA35" i="14"/>
  <c r="Z35" i="14"/>
  <c r="Y35" i="14"/>
  <c r="X35" i="14"/>
  <c r="W35" i="14"/>
  <c r="P35" i="14"/>
  <c r="O35" i="14"/>
  <c r="N35" i="14"/>
  <c r="M35" i="14"/>
  <c r="AU34" i="14"/>
  <c r="AT34" i="14"/>
  <c r="AP34" i="14"/>
  <c r="AI34" i="14"/>
  <c r="AH34" i="14"/>
  <c r="AF34" i="14"/>
  <c r="AE34" i="14"/>
  <c r="AD34" i="14"/>
  <c r="AA34" i="14"/>
  <c r="Z34" i="14"/>
  <c r="Y34" i="14"/>
  <c r="X34" i="14"/>
  <c r="W34" i="14"/>
  <c r="P34" i="14"/>
  <c r="O34" i="14"/>
  <c r="N34" i="14"/>
  <c r="AC34" i="14" s="1"/>
  <c r="M34" i="14"/>
  <c r="AU33" i="14"/>
  <c r="AT33" i="14"/>
  <c r="AP33" i="14"/>
  <c r="AI33" i="14"/>
  <c r="AH33" i="14"/>
  <c r="AF33" i="14"/>
  <c r="AE33" i="14"/>
  <c r="AA33" i="14"/>
  <c r="Z33" i="14"/>
  <c r="Y33" i="14"/>
  <c r="X33" i="14"/>
  <c r="W33" i="14"/>
  <c r="P33" i="14"/>
  <c r="O33" i="14"/>
  <c r="AD33" i="14" s="1"/>
  <c r="N33" i="14"/>
  <c r="M33" i="14"/>
  <c r="AU32" i="14"/>
  <c r="AP32" i="14"/>
  <c r="AO32" i="14"/>
  <c r="AV32" i="14" s="1"/>
  <c r="AI32" i="14"/>
  <c r="AH32" i="14"/>
  <c r="AF32" i="14"/>
  <c r="AE32" i="14"/>
  <c r="AB32" i="14"/>
  <c r="AA32" i="14"/>
  <c r="Z32" i="14"/>
  <c r="Y32" i="14"/>
  <c r="X32" i="14"/>
  <c r="W32" i="14"/>
  <c r="P32" i="14"/>
  <c r="O32" i="14"/>
  <c r="AD32" i="14" s="1"/>
  <c r="N32" i="14"/>
  <c r="AC32" i="14" s="1"/>
  <c r="M32" i="14"/>
  <c r="AP31" i="14"/>
  <c r="AI31" i="14"/>
  <c r="AN31" i="14" s="1"/>
  <c r="AH31" i="14"/>
  <c r="AF31" i="14"/>
  <c r="AE31" i="14"/>
  <c r="AC31" i="14"/>
  <c r="AB31" i="14"/>
  <c r="AA31" i="14"/>
  <c r="Z31" i="14"/>
  <c r="Y31" i="14"/>
  <c r="X31" i="14"/>
  <c r="W31" i="14"/>
  <c r="P31" i="14"/>
  <c r="O31" i="14"/>
  <c r="N31" i="14"/>
  <c r="AO31" i="14" s="1"/>
  <c r="AV31" i="14" s="1"/>
  <c r="M31" i="14"/>
  <c r="AU30" i="14"/>
  <c r="AT30" i="14"/>
  <c r="AP30" i="14"/>
  <c r="AN30" i="14"/>
  <c r="AI30" i="14"/>
  <c r="AH30" i="14"/>
  <c r="AF30" i="14"/>
  <c r="AE30" i="14"/>
  <c r="AD30" i="14"/>
  <c r="AC30" i="14"/>
  <c r="AB30" i="14"/>
  <c r="AA30" i="14"/>
  <c r="Z30" i="14"/>
  <c r="Y30" i="14"/>
  <c r="X30" i="14"/>
  <c r="W30" i="14"/>
  <c r="P30" i="14"/>
  <c r="O30" i="14"/>
  <c r="N30" i="14"/>
  <c r="AO30" i="14" s="1"/>
  <c r="AV30" i="14" s="1"/>
  <c r="M30" i="14"/>
  <c r="AV29" i="14"/>
  <c r="AU29" i="14"/>
  <c r="AP29" i="14"/>
  <c r="AO29" i="14"/>
  <c r="AN29" i="14"/>
  <c r="AI29" i="14"/>
  <c r="AT29" i="14" s="1"/>
  <c r="AH29" i="14"/>
  <c r="AF29" i="14"/>
  <c r="AE29" i="14"/>
  <c r="AD29" i="14"/>
  <c r="AC29" i="14"/>
  <c r="AA29" i="14"/>
  <c r="Z29" i="14"/>
  <c r="Y29" i="14"/>
  <c r="X29" i="14"/>
  <c r="W29" i="14"/>
  <c r="P29" i="14"/>
  <c r="O29" i="14"/>
  <c r="N29" i="14"/>
  <c r="M29" i="14"/>
  <c r="AU28" i="14"/>
  <c r="AT28" i="14"/>
  <c r="AP28" i="14"/>
  <c r="AO28" i="14"/>
  <c r="AV28" i="14" s="1"/>
  <c r="AI28" i="14"/>
  <c r="AH28" i="14"/>
  <c r="AF28" i="14"/>
  <c r="AE28" i="14"/>
  <c r="AD28" i="14"/>
  <c r="AA28" i="14"/>
  <c r="Z28" i="14"/>
  <c r="Y28" i="14"/>
  <c r="X28" i="14"/>
  <c r="W28" i="14"/>
  <c r="P28" i="14"/>
  <c r="O28" i="14"/>
  <c r="N28" i="14"/>
  <c r="AC28" i="14" s="1"/>
  <c r="M28" i="14"/>
  <c r="AI27" i="14"/>
  <c r="AH27" i="14"/>
  <c r="W27" i="14"/>
  <c r="AU26" i="14"/>
  <c r="AT26" i="14"/>
  <c r="AI26" i="14"/>
  <c r="AH26" i="14"/>
  <c r="AF26" i="14"/>
  <c r="AE26" i="14"/>
  <c r="AD26" i="14"/>
  <c r="AC26" i="14"/>
  <c r="AB26" i="14"/>
  <c r="AA26" i="14"/>
  <c r="Z26" i="14"/>
  <c r="Y26" i="14"/>
  <c r="X26" i="14"/>
  <c r="W26" i="14"/>
  <c r="P26" i="14"/>
  <c r="O26" i="14"/>
  <c r="N26" i="14"/>
  <c r="AO26" i="14" s="1"/>
  <c r="M26" i="14"/>
  <c r="AU25" i="14"/>
  <c r="AP25" i="14"/>
  <c r="AO25" i="14"/>
  <c r="AV25" i="14" s="1"/>
  <c r="AN25" i="14"/>
  <c r="AI25" i="14"/>
  <c r="AT25" i="14" s="1"/>
  <c r="AH25" i="14"/>
  <c r="AF25" i="14"/>
  <c r="AE25" i="14"/>
  <c r="AD25" i="14"/>
  <c r="AC25" i="14"/>
  <c r="AA25" i="14"/>
  <c r="Z25" i="14"/>
  <c r="Y25" i="14"/>
  <c r="X25" i="14"/>
  <c r="W25" i="14"/>
  <c r="P25" i="14"/>
  <c r="O25" i="14"/>
  <c r="N25" i="14"/>
  <c r="M25" i="14"/>
  <c r="AU24" i="14"/>
  <c r="AT24" i="14"/>
  <c r="AI24" i="14"/>
  <c r="AH24" i="14"/>
  <c r="AF24" i="14"/>
  <c r="AE24" i="14"/>
  <c r="AD24" i="14"/>
  <c r="AA24" i="14"/>
  <c r="Z24" i="14"/>
  <c r="Y24" i="14"/>
  <c r="X24" i="14"/>
  <c r="W24" i="14"/>
  <c r="P24" i="14"/>
  <c r="O24" i="14"/>
  <c r="N24" i="14"/>
  <c r="AC24" i="14" s="1"/>
  <c r="M24" i="14"/>
  <c r="AU23" i="14"/>
  <c r="AT23" i="14"/>
  <c r="AI23" i="14"/>
  <c r="AH23" i="14"/>
  <c r="AF23" i="14"/>
  <c r="AE23" i="14"/>
  <c r="AA23" i="14"/>
  <c r="Z23" i="14"/>
  <c r="Y23" i="14"/>
  <c r="X23" i="14"/>
  <c r="W23" i="14"/>
  <c r="P23" i="14"/>
  <c r="O23" i="14"/>
  <c r="AD23" i="14" s="1"/>
  <c r="N23" i="14"/>
  <c r="M23" i="14"/>
  <c r="AU22" i="14"/>
  <c r="AI22" i="14"/>
  <c r="AH22" i="14"/>
  <c r="AF22" i="14"/>
  <c r="AE22" i="14"/>
  <c r="AB22" i="14"/>
  <c r="AA22" i="14"/>
  <c r="Z22" i="14"/>
  <c r="Y22" i="14"/>
  <c r="X22" i="14"/>
  <c r="W22" i="14"/>
  <c r="P22" i="14"/>
  <c r="O22" i="14"/>
  <c r="AD22" i="14" s="1"/>
  <c r="N22" i="14"/>
  <c r="AC22" i="14" s="1"/>
  <c r="M22" i="14"/>
  <c r="AI21" i="14"/>
  <c r="AH21" i="14"/>
  <c r="W21" i="14"/>
  <c r="AU20" i="14"/>
  <c r="AT20" i="14"/>
  <c r="AP20" i="14"/>
  <c r="AO20" i="14"/>
  <c r="AV20" i="14" s="1"/>
  <c r="AI20" i="14"/>
  <c r="AH20" i="14"/>
  <c r="AF20" i="14"/>
  <c r="AE20" i="14"/>
  <c r="AD20" i="14"/>
  <c r="AA20" i="14"/>
  <c r="Z20" i="14"/>
  <c r="Y20" i="14"/>
  <c r="X20" i="14"/>
  <c r="W20" i="14"/>
  <c r="P20" i="14"/>
  <c r="O20" i="14"/>
  <c r="N20" i="14"/>
  <c r="AC20" i="14" s="1"/>
  <c r="M20" i="14"/>
  <c r="AU19" i="14"/>
  <c r="AT19" i="14"/>
  <c r="AP19" i="14"/>
  <c r="AI19" i="14"/>
  <c r="AH19" i="14"/>
  <c r="AF19" i="14"/>
  <c r="AE19" i="14"/>
  <c r="AA19" i="14"/>
  <c r="Z19" i="14"/>
  <c r="Y19" i="14"/>
  <c r="X19" i="14"/>
  <c r="W19" i="14"/>
  <c r="P19" i="14"/>
  <c r="O19" i="14"/>
  <c r="AD19" i="14" s="1"/>
  <c r="N19" i="14"/>
  <c r="M19" i="14"/>
  <c r="AU18" i="14"/>
  <c r="AP18" i="14"/>
  <c r="AO18" i="14"/>
  <c r="AV18" i="14" s="1"/>
  <c r="AI18" i="14"/>
  <c r="AH18" i="14"/>
  <c r="AF18" i="14"/>
  <c r="AE18" i="14"/>
  <c r="AB18" i="14"/>
  <c r="AA18" i="14"/>
  <c r="Z18" i="14"/>
  <c r="Y18" i="14"/>
  <c r="X18" i="14"/>
  <c r="W18" i="14"/>
  <c r="P18" i="14"/>
  <c r="O18" i="14"/>
  <c r="N18" i="14"/>
  <c r="AC18" i="14" s="1"/>
  <c r="M18" i="14"/>
  <c r="AJ17" i="14"/>
  <c r="AI17" i="14"/>
  <c r="AN17" i="14" s="1"/>
  <c r="AH17" i="14"/>
  <c r="AF17" i="14"/>
  <c r="AE17" i="14"/>
  <c r="AC17" i="14"/>
  <c r="AB17" i="14"/>
  <c r="AA17" i="14"/>
  <c r="Z17" i="14"/>
  <c r="Y17" i="14"/>
  <c r="X17" i="14"/>
  <c r="W17" i="14"/>
  <c r="P17" i="14"/>
  <c r="O17" i="14"/>
  <c r="N17" i="14"/>
  <c r="AO17" i="14" s="1"/>
  <c r="M17" i="14"/>
  <c r="AI16" i="14"/>
  <c r="AH16" i="14"/>
  <c r="W16" i="14"/>
  <c r="AU15" i="14"/>
  <c r="AT15" i="14"/>
  <c r="AP15" i="14"/>
  <c r="AI15" i="14"/>
  <c r="AH15" i="14"/>
  <c r="AF15" i="14"/>
  <c r="AE15" i="14"/>
  <c r="AA15" i="14"/>
  <c r="Z15" i="14"/>
  <c r="Y15" i="14"/>
  <c r="X15" i="14"/>
  <c r="W15" i="14"/>
  <c r="P15" i="14"/>
  <c r="O15" i="14"/>
  <c r="AD15" i="14" s="1"/>
  <c r="N15" i="14"/>
  <c r="M15" i="14"/>
  <c r="AU14" i="14"/>
  <c r="AI14" i="14"/>
  <c r="AH14" i="14"/>
  <c r="AF14" i="14"/>
  <c r="AE14" i="14"/>
  <c r="AB14" i="14"/>
  <c r="AA14" i="14"/>
  <c r="Z14" i="14"/>
  <c r="Y14" i="14"/>
  <c r="X14" i="14"/>
  <c r="W14" i="14"/>
  <c r="P14" i="14"/>
  <c r="O14" i="14"/>
  <c r="AD14" i="14" s="1"/>
  <c r="N14" i="14"/>
  <c r="AC14" i="14" s="1"/>
  <c r="M14" i="14"/>
  <c r="AT13" i="14"/>
  <c r="AP13" i="14"/>
  <c r="AJ13" i="14"/>
  <c r="AI13" i="14"/>
  <c r="AH13" i="14"/>
  <c r="AF13" i="14"/>
  <c r="AE13" i="14"/>
  <c r="AC13" i="14"/>
  <c r="AB13" i="14"/>
  <c r="AA13" i="14"/>
  <c r="Z13" i="14"/>
  <c r="Y13" i="14"/>
  <c r="X13" i="14"/>
  <c r="W13" i="14"/>
  <c r="P13" i="14"/>
  <c r="O13" i="14"/>
  <c r="N13" i="14"/>
  <c r="AO13" i="14" s="1"/>
  <c r="AV13" i="14" s="1"/>
  <c r="M13" i="14"/>
  <c r="AI12" i="14"/>
  <c r="AH12" i="14"/>
  <c r="W12" i="14"/>
  <c r="AU11" i="14"/>
  <c r="AT11" i="14"/>
  <c r="AP11" i="14"/>
  <c r="AI11" i="14"/>
  <c r="AH11" i="14"/>
  <c r="AF11" i="14"/>
  <c r="AE11" i="14"/>
  <c r="AA11" i="14"/>
  <c r="Z11" i="14"/>
  <c r="Y11" i="14"/>
  <c r="X11" i="14"/>
  <c r="W11" i="14"/>
  <c r="P11" i="14"/>
  <c r="O11" i="14"/>
  <c r="AD11" i="14" s="1"/>
  <c r="N11" i="14"/>
  <c r="M11" i="14"/>
  <c r="AU10" i="14"/>
  <c r="AI10" i="14"/>
  <c r="AH10" i="14"/>
  <c r="AF10" i="14"/>
  <c r="AE10" i="14"/>
  <c r="AB10" i="14"/>
  <c r="AA10" i="14"/>
  <c r="Z10" i="14"/>
  <c r="Y10" i="14"/>
  <c r="X10" i="14"/>
  <c r="W10" i="14"/>
  <c r="P10" i="14"/>
  <c r="O10" i="14"/>
  <c r="AD10" i="14" s="1"/>
  <c r="N10" i="14"/>
  <c r="AC10" i="14" s="1"/>
  <c r="M10" i="14"/>
  <c r="AT9" i="14"/>
  <c r="AJ9" i="14"/>
  <c r="AI9" i="14"/>
  <c r="AH9" i="14"/>
  <c r="AF9" i="14"/>
  <c r="AE9" i="14"/>
  <c r="AB9" i="14"/>
  <c r="AA9" i="14"/>
  <c r="Z9" i="14"/>
  <c r="Y9" i="14"/>
  <c r="X9" i="14"/>
  <c r="W9" i="14"/>
  <c r="P9" i="14"/>
  <c r="O9" i="14"/>
  <c r="N9" i="14"/>
  <c r="M9" i="14"/>
  <c r="AI8" i="14"/>
  <c r="AH8" i="14"/>
  <c r="W8" i="14"/>
  <c r="AU7" i="14"/>
  <c r="AT7" i="14"/>
  <c r="AP7" i="14"/>
  <c r="AI7" i="14"/>
  <c r="AH7" i="14"/>
  <c r="AF7" i="14"/>
  <c r="AE7" i="14"/>
  <c r="AD7" i="14"/>
  <c r="AA7" i="14"/>
  <c r="Z7" i="14"/>
  <c r="Y7" i="14"/>
  <c r="X7" i="14"/>
  <c r="W7" i="14"/>
  <c r="P7" i="14"/>
  <c r="O7" i="14"/>
  <c r="N7" i="14"/>
  <c r="M7" i="14"/>
  <c r="AV6" i="14"/>
  <c r="AU6" i="14"/>
  <c r="AR6" i="14"/>
  <c r="AP6" i="14"/>
  <c r="AO6" i="14"/>
  <c r="AI6" i="14"/>
  <c r="AH6" i="14"/>
  <c r="AF6" i="14"/>
  <c r="AE6" i="14"/>
  <c r="AA6" i="14"/>
  <c r="Z6" i="14"/>
  <c r="Y6" i="14"/>
  <c r="X6" i="14"/>
  <c r="W6" i="14"/>
  <c r="P6" i="14"/>
  <c r="O6" i="14"/>
  <c r="AD6" i="14" s="1"/>
  <c r="N6" i="14"/>
  <c r="AC6" i="14" s="1"/>
  <c r="M6" i="14"/>
  <c r="AB6" i="14" s="1"/>
  <c r="AI5" i="14"/>
  <c r="AH5" i="14"/>
  <c r="W5" i="14"/>
  <c r="AI4" i="14"/>
  <c r="AU3" i="14"/>
  <c r="AO3" i="14"/>
  <c r="AI3" i="14"/>
  <c r="AH3" i="14"/>
  <c r="AN2" i="14"/>
  <c r="AM2" i="14"/>
  <c r="AL2" i="14"/>
  <c r="AK2" i="14"/>
  <c r="AJ2" i="14"/>
  <c r="AJ62" i="14" s="1"/>
  <c r="AA2" i="14"/>
  <c r="A2" i="14"/>
  <c r="AU1" i="14"/>
  <c r="AR1" i="14"/>
  <c r="AR42" i="14" s="1"/>
  <c r="AQ1" i="14"/>
  <c r="AP1" i="14"/>
  <c r="AP50" i="14" s="1"/>
  <c r="AO1" i="14"/>
  <c r="AA1" i="14"/>
  <c r="A1" i="14"/>
  <c r="AT22" i="13"/>
  <c r="AP22" i="13"/>
  <c r="AI22" i="13"/>
  <c r="AH22" i="13"/>
  <c r="AF22" i="13"/>
  <c r="AE22" i="13"/>
  <c r="AD22" i="13"/>
  <c r="AA22" i="13"/>
  <c r="Z22" i="13"/>
  <c r="Y22" i="13"/>
  <c r="X22" i="13"/>
  <c r="W22" i="13"/>
  <c r="P22" i="13"/>
  <c r="O22" i="13"/>
  <c r="N22" i="13"/>
  <c r="M22" i="13"/>
  <c r="AP21" i="13"/>
  <c r="AO21" i="13"/>
  <c r="AV21" i="13" s="1"/>
  <c r="AI21" i="13"/>
  <c r="AH21" i="13"/>
  <c r="AF21" i="13"/>
  <c r="AE21" i="13"/>
  <c r="AA21" i="13"/>
  <c r="Z21" i="13"/>
  <c r="Y21" i="13"/>
  <c r="X21" i="13"/>
  <c r="W21" i="13"/>
  <c r="P21" i="13"/>
  <c r="O21" i="13"/>
  <c r="N21" i="13"/>
  <c r="AC21" i="13" s="1"/>
  <c r="M21" i="13"/>
  <c r="AP20" i="13"/>
  <c r="AJ20" i="13"/>
  <c r="AI20" i="13"/>
  <c r="AN20" i="13" s="1"/>
  <c r="AH20" i="13"/>
  <c r="AF20" i="13"/>
  <c r="AE20" i="13"/>
  <c r="AB20" i="13"/>
  <c r="AA20" i="13"/>
  <c r="Z20" i="13"/>
  <c r="Y20" i="13"/>
  <c r="X20" i="13"/>
  <c r="W20" i="13"/>
  <c r="P20" i="13"/>
  <c r="O20" i="13"/>
  <c r="N20" i="13"/>
  <c r="AO20" i="13" s="1"/>
  <c r="AV20" i="13" s="1"/>
  <c r="M20" i="13"/>
  <c r="AT19" i="13"/>
  <c r="AN19" i="13"/>
  <c r="AJ19" i="13"/>
  <c r="AI19" i="13"/>
  <c r="AH19" i="13"/>
  <c r="AF19" i="13"/>
  <c r="AE19" i="13"/>
  <c r="AD19" i="13"/>
  <c r="AC19" i="13"/>
  <c r="AB19" i="13"/>
  <c r="AA19" i="13"/>
  <c r="Z19" i="13"/>
  <c r="Y19" i="13"/>
  <c r="X19" i="13"/>
  <c r="W19" i="13"/>
  <c r="P19" i="13"/>
  <c r="O19" i="13"/>
  <c r="N19" i="13"/>
  <c r="AO19" i="13" s="1"/>
  <c r="M19" i="13"/>
  <c r="AI18" i="13"/>
  <c r="AH18" i="13"/>
  <c r="W18" i="13"/>
  <c r="AV17" i="13"/>
  <c r="AP17" i="13"/>
  <c r="AO17" i="13"/>
  <c r="AI17" i="13"/>
  <c r="AH17" i="13"/>
  <c r="AF17" i="13"/>
  <c r="AE17" i="13"/>
  <c r="AB17" i="13"/>
  <c r="AA17" i="13"/>
  <c r="Z17" i="13"/>
  <c r="Y17" i="13"/>
  <c r="X17" i="13"/>
  <c r="W17" i="13"/>
  <c r="P17" i="13"/>
  <c r="O17" i="13"/>
  <c r="AD17" i="13" s="1"/>
  <c r="N17" i="13"/>
  <c r="AC17" i="13" s="1"/>
  <c r="M17" i="13"/>
  <c r="AT16" i="13"/>
  <c r="AP16" i="13"/>
  <c r="AI16" i="13"/>
  <c r="AN16" i="13" s="1"/>
  <c r="AH16" i="13"/>
  <c r="AF16" i="13"/>
  <c r="AE16" i="13"/>
  <c r="AC16" i="13"/>
  <c r="AB16" i="13"/>
  <c r="AA16" i="13"/>
  <c r="Z16" i="13"/>
  <c r="Y16" i="13"/>
  <c r="X16" i="13"/>
  <c r="W16" i="13"/>
  <c r="P16" i="13"/>
  <c r="O16" i="13"/>
  <c r="N16" i="13"/>
  <c r="AO16" i="13" s="1"/>
  <c r="AV16" i="13" s="1"/>
  <c r="M16" i="13"/>
  <c r="AT15" i="13"/>
  <c r="AP15" i="13"/>
  <c r="AJ15" i="13"/>
  <c r="AI15" i="13"/>
  <c r="AH15" i="13"/>
  <c r="AF15" i="13"/>
  <c r="AE15" i="13"/>
  <c r="AC15" i="13"/>
  <c r="AB15" i="13"/>
  <c r="AA15" i="13"/>
  <c r="Z15" i="13"/>
  <c r="Y15" i="13"/>
  <c r="X15" i="13"/>
  <c r="W15" i="13"/>
  <c r="P15" i="13"/>
  <c r="O15" i="13"/>
  <c r="N15" i="13"/>
  <c r="AO15" i="13" s="1"/>
  <c r="AV15" i="13" s="1"/>
  <c r="M15" i="13"/>
  <c r="AV14" i="13"/>
  <c r="AU14" i="13"/>
  <c r="AP14" i="13"/>
  <c r="AO14" i="13"/>
  <c r="AN14" i="13"/>
  <c r="AI14" i="13"/>
  <c r="AH14" i="13"/>
  <c r="AF14" i="13"/>
  <c r="AE14" i="13"/>
  <c r="AD14" i="13"/>
  <c r="AC14" i="13"/>
  <c r="AA14" i="13"/>
  <c r="Z14" i="13"/>
  <c r="Y14" i="13"/>
  <c r="X14" i="13"/>
  <c r="W14" i="13"/>
  <c r="P14" i="13"/>
  <c r="O14" i="13"/>
  <c r="N14" i="13"/>
  <c r="M14" i="13"/>
  <c r="AB14" i="13" s="1"/>
  <c r="AT13" i="13"/>
  <c r="AP13" i="13"/>
  <c r="AO13" i="13"/>
  <c r="AV13" i="13" s="1"/>
  <c r="AJ13" i="13"/>
  <c r="AI13" i="13"/>
  <c r="AH13" i="13"/>
  <c r="AF13" i="13"/>
  <c r="AE13" i="13"/>
  <c r="AD13" i="13"/>
  <c r="AC13" i="13"/>
  <c r="AA13" i="13"/>
  <c r="Z13" i="13"/>
  <c r="Y13" i="13"/>
  <c r="X13" i="13"/>
  <c r="W13" i="13"/>
  <c r="P13" i="13"/>
  <c r="O13" i="13"/>
  <c r="N13" i="13"/>
  <c r="M13" i="13"/>
  <c r="AI12" i="13"/>
  <c r="AH12" i="13"/>
  <c r="W12" i="13"/>
  <c r="AT11" i="13"/>
  <c r="AN11" i="13"/>
  <c r="AJ11" i="13"/>
  <c r="AI11" i="13"/>
  <c r="AH11" i="13"/>
  <c r="AF11" i="13"/>
  <c r="AE11" i="13"/>
  <c r="AD11" i="13"/>
  <c r="AC11" i="13"/>
  <c r="AB11" i="13"/>
  <c r="AA11" i="13"/>
  <c r="Z11" i="13"/>
  <c r="Y11" i="13"/>
  <c r="X11" i="13"/>
  <c r="W11" i="13"/>
  <c r="P11" i="13"/>
  <c r="O11" i="13"/>
  <c r="N11" i="13"/>
  <c r="M11" i="13"/>
  <c r="AV10" i="13"/>
  <c r="AR10" i="13"/>
  <c r="AP10" i="13"/>
  <c r="AO10" i="13"/>
  <c r="AI10" i="13"/>
  <c r="AH10" i="13"/>
  <c r="AF10" i="13"/>
  <c r="AE10" i="13"/>
  <c r="AD10" i="13"/>
  <c r="AC10" i="13"/>
  <c r="AB10" i="13"/>
  <c r="AA10" i="13"/>
  <c r="Z10" i="13"/>
  <c r="Y10" i="13"/>
  <c r="X10" i="13"/>
  <c r="W10" i="13"/>
  <c r="P10" i="13"/>
  <c r="O10" i="13"/>
  <c r="N10" i="13"/>
  <c r="M10" i="13"/>
  <c r="AT9" i="13"/>
  <c r="AP9" i="13"/>
  <c r="AO9" i="13"/>
  <c r="AV9" i="13" s="1"/>
  <c r="AN9" i="13"/>
  <c r="AJ9" i="13"/>
  <c r="AI9" i="13"/>
  <c r="AH9" i="13"/>
  <c r="AF9" i="13"/>
  <c r="AE9" i="13"/>
  <c r="AD9" i="13"/>
  <c r="AA9" i="13"/>
  <c r="Z9" i="13"/>
  <c r="Y9" i="13"/>
  <c r="X9" i="13"/>
  <c r="W9" i="13"/>
  <c r="P9" i="13"/>
  <c r="O9" i="13"/>
  <c r="N9" i="13"/>
  <c r="AC9" i="13" s="1"/>
  <c r="M9" i="13"/>
  <c r="AT8" i="13"/>
  <c r="AP8" i="13"/>
  <c r="AO8" i="13"/>
  <c r="AN8" i="13"/>
  <c r="AI8" i="13"/>
  <c r="AH8" i="13"/>
  <c r="AF8" i="13"/>
  <c r="AE8" i="13"/>
  <c r="AD8" i="13"/>
  <c r="AA8" i="13"/>
  <c r="Z8" i="13"/>
  <c r="Y8" i="13"/>
  <c r="X8" i="13"/>
  <c r="W8" i="13"/>
  <c r="P8" i="13"/>
  <c r="O8" i="13"/>
  <c r="N8" i="13"/>
  <c r="AC8" i="13" s="1"/>
  <c r="M8" i="13"/>
  <c r="AI7" i="13"/>
  <c r="AH7" i="13"/>
  <c r="W7" i="13"/>
  <c r="AP6" i="13"/>
  <c r="AO6" i="13"/>
  <c r="AV6" i="13" s="1"/>
  <c r="AN6" i="13"/>
  <c r="AJ6" i="13"/>
  <c r="AI6" i="13"/>
  <c r="AT6" i="13" s="1"/>
  <c r="AH6" i="13"/>
  <c r="AF6" i="13"/>
  <c r="AE6" i="13"/>
  <c r="AD6" i="13"/>
  <c r="AC6" i="13"/>
  <c r="AA6" i="13"/>
  <c r="Z6" i="13"/>
  <c r="Y6" i="13"/>
  <c r="X6" i="13"/>
  <c r="W6" i="13"/>
  <c r="P6" i="13"/>
  <c r="O6" i="13"/>
  <c r="N6" i="13"/>
  <c r="M6" i="13"/>
  <c r="AI5" i="13"/>
  <c r="AH5" i="13"/>
  <c r="W5" i="13"/>
  <c r="AI4" i="13"/>
  <c r="AO3" i="13"/>
  <c r="AI3" i="13"/>
  <c r="AH3" i="13"/>
  <c r="AN2" i="13"/>
  <c r="AN13" i="13" s="1"/>
  <c r="AM2" i="13"/>
  <c r="AL2" i="13"/>
  <c r="AK2" i="13"/>
  <c r="AJ2" i="13"/>
  <c r="AJ22" i="13" s="1"/>
  <c r="AA2" i="13"/>
  <c r="A2" i="13"/>
  <c r="AU1" i="13"/>
  <c r="AR1" i="13"/>
  <c r="AR17" i="13" s="1"/>
  <c r="AQ1" i="13"/>
  <c r="AQ11" i="13" s="1"/>
  <c r="AP1" i="13"/>
  <c r="AP19" i="13" s="1"/>
  <c r="AO1" i="13"/>
  <c r="AJ1" i="13"/>
  <c r="AH1" i="13"/>
  <c r="AH2" i="13" s="1"/>
  <c r="AA1" i="13"/>
  <c r="A1" i="13"/>
  <c r="AU10" i="12"/>
  <c r="AT10" i="12"/>
  <c r="AN10" i="12"/>
  <c r="AJ10" i="12"/>
  <c r="AI10" i="12"/>
  <c r="AH10" i="12"/>
  <c r="AF10" i="12"/>
  <c r="AE10" i="12"/>
  <c r="AD10" i="12"/>
  <c r="AC10" i="12"/>
  <c r="AB10" i="12"/>
  <c r="AA10" i="12"/>
  <c r="Z10" i="12"/>
  <c r="Y10" i="12"/>
  <c r="X10" i="12"/>
  <c r="W10" i="12"/>
  <c r="P10" i="12"/>
  <c r="O10" i="12"/>
  <c r="N10" i="12"/>
  <c r="AO10" i="12" s="1"/>
  <c r="M10" i="12"/>
  <c r="AU9" i="12"/>
  <c r="AP9" i="12"/>
  <c r="AO9" i="12"/>
  <c r="AV9" i="12" s="1"/>
  <c r="AN9" i="12"/>
  <c r="AI9" i="12"/>
  <c r="AT9" i="12" s="1"/>
  <c r="AH9" i="12"/>
  <c r="AF9" i="12"/>
  <c r="AE9" i="12"/>
  <c r="AD9" i="12"/>
  <c r="AC9" i="12"/>
  <c r="AA9" i="12"/>
  <c r="Z9" i="12"/>
  <c r="Y9" i="12"/>
  <c r="X9" i="12"/>
  <c r="W9" i="12"/>
  <c r="P9" i="12"/>
  <c r="O9" i="12"/>
  <c r="N9" i="12"/>
  <c r="M9" i="12"/>
  <c r="AU8" i="12"/>
  <c r="AN8" i="12"/>
  <c r="AI8" i="12"/>
  <c r="AJ8" i="12" s="1"/>
  <c r="AH8" i="12"/>
  <c r="AF8" i="12"/>
  <c r="AE8" i="12"/>
  <c r="AD8" i="12"/>
  <c r="AA8" i="12"/>
  <c r="Z8" i="12"/>
  <c r="Y8" i="12"/>
  <c r="X8" i="12"/>
  <c r="W8" i="12"/>
  <c r="P8" i="12"/>
  <c r="O8" i="12"/>
  <c r="N8" i="12"/>
  <c r="M8" i="12"/>
  <c r="AB8" i="12" s="1"/>
  <c r="AV7" i="12"/>
  <c r="AU7" i="12"/>
  <c r="AT7" i="12"/>
  <c r="AP7" i="12"/>
  <c r="AO7" i="12"/>
  <c r="AN7" i="12"/>
  <c r="AI7" i="12"/>
  <c r="AH7" i="12"/>
  <c r="AF7" i="12"/>
  <c r="AE7" i="12"/>
  <c r="AD7" i="12"/>
  <c r="AA7" i="12"/>
  <c r="Z7" i="12"/>
  <c r="Y7" i="12"/>
  <c r="X7" i="12"/>
  <c r="W7" i="12"/>
  <c r="P7" i="12"/>
  <c r="O7" i="12"/>
  <c r="N7" i="12"/>
  <c r="AC7" i="12" s="1"/>
  <c r="M7" i="12"/>
  <c r="AU6" i="12"/>
  <c r="AO6" i="12"/>
  <c r="AI6" i="12"/>
  <c r="AH6" i="12"/>
  <c r="AF6" i="12"/>
  <c r="AE6" i="12"/>
  <c r="AD6" i="12"/>
  <c r="AB6" i="12"/>
  <c r="AA6" i="12"/>
  <c r="Z6" i="12"/>
  <c r="Y6" i="12"/>
  <c r="X6" i="12"/>
  <c r="W6" i="12"/>
  <c r="P6" i="12"/>
  <c r="O6" i="12"/>
  <c r="N6" i="12"/>
  <c r="AC6" i="12" s="1"/>
  <c r="M6" i="12"/>
  <c r="AI5" i="12"/>
  <c r="AH5" i="12"/>
  <c r="W5" i="12"/>
  <c r="AI4" i="12"/>
  <c r="AU3" i="12"/>
  <c r="AO3" i="12"/>
  <c r="AI3" i="12"/>
  <c r="AH3" i="12"/>
  <c r="AN2" i="12"/>
  <c r="AM2" i="12"/>
  <c r="AL2" i="12"/>
  <c r="AK2" i="12"/>
  <c r="AJ2" i="12"/>
  <c r="AJ7" i="12" s="1"/>
  <c r="AA2" i="12"/>
  <c r="A2" i="12"/>
  <c r="AU1" i="12"/>
  <c r="AR1" i="12"/>
  <c r="AQ1" i="12"/>
  <c r="AQ3" i="12" s="1"/>
  <c r="AP1" i="12"/>
  <c r="AP8" i="12" s="1"/>
  <c r="AO1" i="12"/>
  <c r="AA1" i="12"/>
  <c r="A1" i="12"/>
  <c r="AT18" i="11"/>
  <c r="AO18" i="11"/>
  <c r="AJ18" i="11"/>
  <c r="AI18" i="11"/>
  <c r="AH18" i="11"/>
  <c r="AF18" i="11"/>
  <c r="AE18" i="11"/>
  <c r="AD18" i="11"/>
  <c r="AC18" i="11"/>
  <c r="AA18" i="11"/>
  <c r="Z18" i="11"/>
  <c r="Y18" i="11"/>
  <c r="X18" i="11"/>
  <c r="W18" i="11"/>
  <c r="P18" i="11"/>
  <c r="O18" i="11"/>
  <c r="N18" i="11"/>
  <c r="M18" i="11"/>
  <c r="AI17" i="11"/>
  <c r="AH17" i="11"/>
  <c r="W17" i="11"/>
  <c r="AO16" i="11"/>
  <c r="AI16" i="11"/>
  <c r="AN16" i="11" s="1"/>
  <c r="AH16" i="11"/>
  <c r="AF16" i="11"/>
  <c r="AE16" i="11"/>
  <c r="AC16" i="11"/>
  <c r="AA16" i="11"/>
  <c r="Z16" i="11"/>
  <c r="Y16" i="11"/>
  <c r="X16" i="11"/>
  <c r="W16" i="11"/>
  <c r="P16" i="11"/>
  <c r="O16" i="11"/>
  <c r="N16" i="11"/>
  <c r="M16" i="11"/>
  <c r="AB16" i="11" s="1"/>
  <c r="AO15" i="11"/>
  <c r="AI15" i="11"/>
  <c r="AN15" i="11" s="1"/>
  <c r="AH15" i="11"/>
  <c r="AF15" i="11"/>
  <c r="AE15" i="11"/>
  <c r="AD15" i="11"/>
  <c r="AA15" i="11"/>
  <c r="Z15" i="11"/>
  <c r="Y15" i="11"/>
  <c r="X15" i="11"/>
  <c r="W15" i="11"/>
  <c r="P15" i="11"/>
  <c r="O15" i="11"/>
  <c r="N15" i="11"/>
  <c r="AC15" i="11" s="1"/>
  <c r="M15" i="11"/>
  <c r="AB15" i="11" s="1"/>
  <c r="AT14" i="11"/>
  <c r="AI14" i="11"/>
  <c r="AH14" i="11"/>
  <c r="AF14" i="11"/>
  <c r="AE14" i="11"/>
  <c r="AA14" i="11"/>
  <c r="Z14" i="11"/>
  <c r="Y14" i="11"/>
  <c r="X14" i="11"/>
  <c r="W14" i="11"/>
  <c r="P14" i="11"/>
  <c r="O14" i="11"/>
  <c r="AD14" i="11" s="1"/>
  <c r="N14" i="11"/>
  <c r="M14" i="11"/>
  <c r="AV13" i="11"/>
  <c r="AP13" i="11"/>
  <c r="AO13" i="11"/>
  <c r="AI13" i="11"/>
  <c r="AH13" i="11"/>
  <c r="AF13" i="11"/>
  <c r="AE13" i="11"/>
  <c r="AD13" i="11"/>
  <c r="AB13" i="11"/>
  <c r="AA13" i="11"/>
  <c r="Z13" i="11"/>
  <c r="Y13" i="11"/>
  <c r="X13" i="11"/>
  <c r="W13" i="11"/>
  <c r="P13" i="11"/>
  <c r="O13" i="11"/>
  <c r="N13" i="11"/>
  <c r="AC13" i="11" s="1"/>
  <c r="M13" i="11"/>
  <c r="AP12" i="11"/>
  <c r="AJ12" i="11"/>
  <c r="AI12" i="11"/>
  <c r="AH12" i="11"/>
  <c r="AF12" i="11"/>
  <c r="AE12" i="11"/>
  <c r="AB12" i="11"/>
  <c r="AA12" i="11"/>
  <c r="Z12" i="11"/>
  <c r="Y12" i="11"/>
  <c r="X12" i="11"/>
  <c r="W12" i="11"/>
  <c r="P12" i="11"/>
  <c r="O12" i="11"/>
  <c r="AD12" i="11" s="1"/>
  <c r="N12" i="11"/>
  <c r="M12" i="11"/>
  <c r="AP11" i="11"/>
  <c r="AI11" i="11"/>
  <c r="AH11" i="11"/>
  <c r="AF11" i="11"/>
  <c r="AE11" i="11"/>
  <c r="AB11" i="11"/>
  <c r="AA11" i="11"/>
  <c r="Z11" i="11"/>
  <c r="Y11" i="11"/>
  <c r="X11" i="11"/>
  <c r="W11" i="11"/>
  <c r="P11" i="11"/>
  <c r="O11" i="11"/>
  <c r="N11" i="11"/>
  <c r="AO11" i="11" s="1"/>
  <c r="AV11" i="11" s="1"/>
  <c r="M11" i="11"/>
  <c r="AI10" i="11"/>
  <c r="AH10" i="11"/>
  <c r="W10" i="11"/>
  <c r="AI9" i="11"/>
  <c r="AH9" i="11"/>
  <c r="AF9" i="11"/>
  <c r="AE9" i="11"/>
  <c r="AB9" i="11"/>
  <c r="AA9" i="11"/>
  <c r="Z9" i="11"/>
  <c r="Y9" i="11"/>
  <c r="X9" i="11"/>
  <c r="W9" i="11"/>
  <c r="P9" i="11"/>
  <c r="O9" i="11"/>
  <c r="N9" i="11"/>
  <c r="M9" i="11"/>
  <c r="AI8" i="11"/>
  <c r="AH8" i="11"/>
  <c r="AF8" i="11"/>
  <c r="AE8" i="11"/>
  <c r="AA8" i="11"/>
  <c r="Z8" i="11"/>
  <c r="Y8" i="11"/>
  <c r="X8" i="11"/>
  <c r="W8" i="11"/>
  <c r="P8" i="11"/>
  <c r="O8" i="11"/>
  <c r="AD8" i="11" s="1"/>
  <c r="N8" i="11"/>
  <c r="M8" i="11"/>
  <c r="AB8" i="11" s="1"/>
  <c r="AU7" i="11"/>
  <c r="AP7" i="11"/>
  <c r="AJ7" i="11"/>
  <c r="AI7" i="11"/>
  <c r="AT7" i="11" s="1"/>
  <c r="AH7" i="11"/>
  <c r="AF7" i="11"/>
  <c r="AE7" i="11"/>
  <c r="AD7" i="11"/>
  <c r="AC7" i="11"/>
  <c r="AB7" i="11"/>
  <c r="AA7" i="11"/>
  <c r="Z7" i="11"/>
  <c r="Y7" i="11"/>
  <c r="X7" i="11"/>
  <c r="W7" i="11"/>
  <c r="P7" i="11"/>
  <c r="O7" i="11"/>
  <c r="N7" i="11"/>
  <c r="AO7" i="11" s="1"/>
  <c r="AV7" i="11" s="1"/>
  <c r="M7" i="11"/>
  <c r="AU6" i="11"/>
  <c r="AP6" i="11"/>
  <c r="AO6" i="11"/>
  <c r="AV6" i="11" s="1"/>
  <c r="AI6" i="11"/>
  <c r="AT6" i="11" s="1"/>
  <c r="AH6" i="11"/>
  <c r="AF6" i="11"/>
  <c r="AE6" i="11"/>
  <c r="AD6" i="11"/>
  <c r="AC6" i="11"/>
  <c r="AA6" i="11"/>
  <c r="Z6" i="11"/>
  <c r="Y6" i="11"/>
  <c r="X6" i="11"/>
  <c r="W6" i="11"/>
  <c r="P6" i="11"/>
  <c r="O6" i="11"/>
  <c r="N6" i="11"/>
  <c r="M6" i="11"/>
  <c r="AI5" i="11"/>
  <c r="AH5" i="11"/>
  <c r="W5" i="11"/>
  <c r="AI4" i="11"/>
  <c r="AR3" i="11"/>
  <c r="AI3" i="11"/>
  <c r="AH3" i="11"/>
  <c r="AN2" i="11"/>
  <c r="AM2" i="11"/>
  <c r="AL2" i="11"/>
  <c r="AK2" i="11"/>
  <c r="AJ2" i="11"/>
  <c r="AJ16" i="11" s="1"/>
  <c r="AA2" i="11"/>
  <c r="A2" i="11"/>
  <c r="AU1" i="11"/>
  <c r="AU18" i="11" s="1"/>
  <c r="AR1" i="11"/>
  <c r="AR12" i="11" s="1"/>
  <c r="AQ1" i="11"/>
  <c r="AQ13" i="11" s="1"/>
  <c r="AP1" i="11"/>
  <c r="AP16" i="11" s="1"/>
  <c r="AO1" i="11"/>
  <c r="AO3" i="11" s="1"/>
  <c r="AJ1" i="11"/>
  <c r="AH1" i="11"/>
  <c r="AH2" i="11" s="1"/>
  <c r="AA1" i="11"/>
  <c r="A1" i="11"/>
  <c r="AU7" i="10"/>
  <c r="AP7" i="10"/>
  <c r="AI7" i="10"/>
  <c r="AH7" i="10"/>
  <c r="AF7" i="10"/>
  <c r="AE7" i="10"/>
  <c r="AB7" i="10"/>
  <c r="AA7" i="10"/>
  <c r="Z7" i="10"/>
  <c r="Y7" i="10"/>
  <c r="X7" i="10"/>
  <c r="W7" i="10"/>
  <c r="P7" i="10"/>
  <c r="O7" i="10"/>
  <c r="N7" i="10"/>
  <c r="AO7" i="10" s="1"/>
  <c r="AV7" i="10" s="1"/>
  <c r="M7" i="10"/>
  <c r="AU6" i="10"/>
  <c r="AR6" i="10"/>
  <c r="AP6" i="10"/>
  <c r="AO6" i="10"/>
  <c r="AV6" i="10" s="1"/>
  <c r="AI6" i="10"/>
  <c r="AH6" i="10"/>
  <c r="AF6" i="10"/>
  <c r="AE6" i="10"/>
  <c r="AC6" i="10"/>
  <c r="AB6" i="10"/>
  <c r="AA6" i="10"/>
  <c r="Z6" i="10"/>
  <c r="Y6" i="10"/>
  <c r="X6" i="10"/>
  <c r="W6" i="10"/>
  <c r="P6" i="10"/>
  <c r="O6" i="10"/>
  <c r="AD6" i="10" s="1"/>
  <c r="N6" i="10"/>
  <c r="M6" i="10"/>
  <c r="AI5" i="10"/>
  <c r="AH5" i="10"/>
  <c r="W5" i="10"/>
  <c r="AI4" i="10"/>
  <c r="AI3" i="10"/>
  <c r="AH3" i="10"/>
  <c r="AN2" i="10"/>
  <c r="AM2" i="10"/>
  <c r="AL2" i="10"/>
  <c r="AK2" i="10"/>
  <c r="AJ2" i="10"/>
  <c r="AJ7" i="10" s="1"/>
  <c r="AA2" i="10"/>
  <c r="A2" i="10"/>
  <c r="AU1" i="10"/>
  <c r="AU3" i="10" s="1"/>
  <c r="AR1" i="10"/>
  <c r="AR7" i="10" s="1"/>
  <c r="AQ1" i="10"/>
  <c r="AQ3" i="10" s="1"/>
  <c r="AP1" i="10"/>
  <c r="AP3" i="10" s="1"/>
  <c r="AO1" i="10"/>
  <c r="AO3" i="10" s="1"/>
  <c r="AJ1" i="10"/>
  <c r="AA1" i="10"/>
  <c r="A1" i="10"/>
  <c r="AH1" i="10" s="1"/>
  <c r="AH2" i="10" s="1"/>
  <c r="AJ75" i="9"/>
  <c r="AI75" i="9"/>
  <c r="AN75" i="9" s="1"/>
  <c r="AH75" i="9"/>
  <c r="AF75" i="9"/>
  <c r="AE75" i="9"/>
  <c r="AC75" i="9"/>
  <c r="AB75" i="9"/>
  <c r="AA75" i="9"/>
  <c r="Z75" i="9"/>
  <c r="Y75" i="9"/>
  <c r="X75" i="9"/>
  <c r="W75" i="9"/>
  <c r="P75" i="9"/>
  <c r="O75" i="9"/>
  <c r="N75" i="9"/>
  <c r="M75" i="9"/>
  <c r="AI74" i="9"/>
  <c r="AH74" i="9"/>
  <c r="W74" i="9"/>
  <c r="AV73" i="9"/>
  <c r="AP73" i="9"/>
  <c r="AO73" i="9"/>
  <c r="AI73" i="9"/>
  <c r="AH73" i="9"/>
  <c r="AF73" i="9"/>
  <c r="AE73" i="9"/>
  <c r="AD73" i="9"/>
  <c r="AB73" i="9"/>
  <c r="AA73" i="9"/>
  <c r="Z73" i="9"/>
  <c r="Y73" i="9"/>
  <c r="X73" i="9"/>
  <c r="W73" i="9"/>
  <c r="P73" i="9"/>
  <c r="O73" i="9"/>
  <c r="N73" i="9"/>
  <c r="AC73" i="9" s="1"/>
  <c r="M73" i="9"/>
  <c r="AI72" i="9"/>
  <c r="AH72" i="9"/>
  <c r="AF72" i="9"/>
  <c r="AE72" i="9"/>
  <c r="AB72" i="9"/>
  <c r="AA72" i="9"/>
  <c r="Z72" i="9"/>
  <c r="Y72" i="9"/>
  <c r="X72" i="9"/>
  <c r="W72" i="9"/>
  <c r="P72" i="9"/>
  <c r="O72" i="9"/>
  <c r="N72" i="9"/>
  <c r="M72" i="9"/>
  <c r="AP71" i="9"/>
  <c r="AI71" i="9"/>
  <c r="AH71" i="9"/>
  <c r="AF71" i="9"/>
  <c r="AE71" i="9"/>
  <c r="AB71" i="9"/>
  <c r="AA71" i="9"/>
  <c r="Z71" i="9"/>
  <c r="Y71" i="9"/>
  <c r="X71" i="9"/>
  <c r="W71" i="9"/>
  <c r="P71" i="9"/>
  <c r="O71" i="9"/>
  <c r="AD71" i="9" s="1"/>
  <c r="N71" i="9"/>
  <c r="M71" i="9"/>
  <c r="AI70" i="9"/>
  <c r="AH70" i="9"/>
  <c r="AF70" i="9"/>
  <c r="AE70" i="9"/>
  <c r="AC70" i="9"/>
  <c r="AA70" i="9"/>
  <c r="Z70" i="9"/>
  <c r="Y70" i="9"/>
  <c r="X70" i="9"/>
  <c r="W70" i="9"/>
  <c r="P70" i="9"/>
  <c r="O70" i="9"/>
  <c r="AD70" i="9" s="1"/>
  <c r="N70" i="9"/>
  <c r="M70" i="9"/>
  <c r="AB70" i="9" s="1"/>
  <c r="AI69" i="9"/>
  <c r="AH69" i="9"/>
  <c r="W69" i="9"/>
  <c r="AJ68" i="9"/>
  <c r="AI68" i="9"/>
  <c r="AN68" i="9" s="1"/>
  <c r="AH68" i="9"/>
  <c r="AF68" i="9"/>
  <c r="AE68" i="9"/>
  <c r="AB68" i="9"/>
  <c r="AA68" i="9"/>
  <c r="Z68" i="9"/>
  <c r="Y68" i="9"/>
  <c r="X68" i="9"/>
  <c r="W68" i="9"/>
  <c r="P68" i="9"/>
  <c r="O68" i="9"/>
  <c r="N68" i="9"/>
  <c r="M68" i="9"/>
  <c r="AI67" i="9"/>
  <c r="AH67" i="9"/>
  <c r="W67" i="9"/>
  <c r="AT66" i="9"/>
  <c r="AI66" i="9"/>
  <c r="AH66" i="9"/>
  <c r="AF66" i="9"/>
  <c r="AE66" i="9"/>
  <c r="AD66" i="9"/>
  <c r="AC66" i="9"/>
  <c r="AA66" i="9"/>
  <c r="Z66" i="9"/>
  <c r="Y66" i="9"/>
  <c r="X66" i="9"/>
  <c r="W66" i="9"/>
  <c r="P66" i="9"/>
  <c r="O66" i="9"/>
  <c r="N66" i="9"/>
  <c r="M66" i="9"/>
  <c r="AN65" i="9"/>
  <c r="AI65" i="9"/>
  <c r="AH65" i="9"/>
  <c r="AF65" i="9"/>
  <c r="AE65" i="9"/>
  <c r="AC65" i="9"/>
  <c r="AB65" i="9"/>
  <c r="AA65" i="9"/>
  <c r="Z65" i="9"/>
  <c r="Y65" i="9"/>
  <c r="X65" i="9"/>
  <c r="W65" i="9"/>
  <c r="P65" i="9"/>
  <c r="O65" i="9"/>
  <c r="N65" i="9"/>
  <c r="M65" i="9"/>
  <c r="AI64" i="9"/>
  <c r="AH64" i="9"/>
  <c r="W64" i="9"/>
  <c r="AT63" i="9"/>
  <c r="AP63" i="9"/>
  <c r="AI63" i="9"/>
  <c r="AN63" i="9" s="1"/>
  <c r="AH63" i="9"/>
  <c r="AF63" i="9"/>
  <c r="AE63" i="9"/>
  <c r="AA63" i="9"/>
  <c r="Z63" i="9"/>
  <c r="Y63" i="9"/>
  <c r="X63" i="9"/>
  <c r="W63" i="9"/>
  <c r="P63" i="9"/>
  <c r="O63" i="9"/>
  <c r="AD63" i="9" s="1"/>
  <c r="N63" i="9"/>
  <c r="AC63" i="9" s="1"/>
  <c r="M63" i="9"/>
  <c r="AP62" i="9"/>
  <c r="AI62" i="9"/>
  <c r="AH62" i="9"/>
  <c r="AF62" i="9"/>
  <c r="AE62" i="9"/>
  <c r="AB62" i="9"/>
  <c r="AA62" i="9"/>
  <c r="Z62" i="9"/>
  <c r="Y62" i="9"/>
  <c r="X62" i="9"/>
  <c r="W62" i="9"/>
  <c r="P62" i="9"/>
  <c r="O62" i="9"/>
  <c r="AD62" i="9" s="1"/>
  <c r="N62" i="9"/>
  <c r="M62" i="9"/>
  <c r="AI61" i="9"/>
  <c r="AH61" i="9"/>
  <c r="W61" i="9"/>
  <c r="AO60" i="9"/>
  <c r="AN60" i="9"/>
  <c r="AI60" i="9"/>
  <c r="AT60" i="9" s="1"/>
  <c r="AH60" i="9"/>
  <c r="AF60" i="9"/>
  <c r="AE60" i="9"/>
  <c r="AD60" i="9"/>
  <c r="AA60" i="9"/>
  <c r="Z60" i="9"/>
  <c r="Y60" i="9"/>
  <c r="X60" i="9"/>
  <c r="W60" i="9"/>
  <c r="P60" i="9"/>
  <c r="O60" i="9"/>
  <c r="AQ60" i="9" s="1"/>
  <c r="N60" i="9"/>
  <c r="AC60" i="9" s="1"/>
  <c r="M60" i="9"/>
  <c r="AI59" i="9"/>
  <c r="AH59" i="9"/>
  <c r="W59" i="9"/>
  <c r="AI58" i="9"/>
  <c r="AH58" i="9"/>
  <c r="AF58" i="9"/>
  <c r="AE58" i="9"/>
  <c r="AD58" i="9"/>
  <c r="AC58" i="9"/>
  <c r="AB58" i="9"/>
  <c r="AA58" i="9"/>
  <c r="Z58" i="9"/>
  <c r="Y58" i="9"/>
  <c r="X58" i="9"/>
  <c r="W58" i="9"/>
  <c r="P58" i="9"/>
  <c r="O58" i="9"/>
  <c r="N58" i="9"/>
  <c r="M58" i="9"/>
  <c r="AI57" i="9"/>
  <c r="AH57" i="9"/>
  <c r="W57" i="9"/>
  <c r="AP56" i="9"/>
  <c r="AI56" i="9"/>
  <c r="AH56" i="9"/>
  <c r="AF56" i="9"/>
  <c r="AE56" i="9"/>
  <c r="AB56" i="9"/>
  <c r="AA56" i="9"/>
  <c r="Z56" i="9"/>
  <c r="Y56" i="9"/>
  <c r="X56" i="9"/>
  <c r="W56" i="9"/>
  <c r="P56" i="9"/>
  <c r="O56" i="9"/>
  <c r="AD56" i="9" s="1"/>
  <c r="N56" i="9"/>
  <c r="M56" i="9"/>
  <c r="AI55" i="9"/>
  <c r="AH55" i="9"/>
  <c r="W55" i="9"/>
  <c r="AO54" i="9"/>
  <c r="AN54" i="9"/>
  <c r="AI54" i="9"/>
  <c r="AT54" i="9" s="1"/>
  <c r="AH54" i="9"/>
  <c r="AF54" i="9"/>
  <c r="AE54" i="9"/>
  <c r="AD54" i="9"/>
  <c r="AA54" i="9"/>
  <c r="Z54" i="9"/>
  <c r="Y54" i="9"/>
  <c r="X54" i="9"/>
  <c r="W54" i="9"/>
  <c r="P54" i="9"/>
  <c r="O54" i="9"/>
  <c r="N54" i="9"/>
  <c r="AC54" i="9" s="1"/>
  <c r="M54" i="9"/>
  <c r="AT53" i="9"/>
  <c r="AQ53" i="9"/>
  <c r="AI53" i="9"/>
  <c r="AH53" i="9"/>
  <c r="AF53" i="9"/>
  <c r="AE53" i="9"/>
  <c r="AA53" i="9"/>
  <c r="Z53" i="9"/>
  <c r="Y53" i="9"/>
  <c r="X53" i="9"/>
  <c r="W53" i="9"/>
  <c r="P53" i="9"/>
  <c r="O53" i="9"/>
  <c r="AD53" i="9" s="1"/>
  <c r="N53" i="9"/>
  <c r="AC53" i="9" s="1"/>
  <c r="M53" i="9"/>
  <c r="AI52" i="9"/>
  <c r="AH52" i="9"/>
  <c r="W52" i="9"/>
  <c r="AV51" i="9"/>
  <c r="AT51" i="9"/>
  <c r="AP51" i="9"/>
  <c r="AO51" i="9"/>
  <c r="AN51" i="9"/>
  <c r="AJ51" i="9"/>
  <c r="AI51" i="9"/>
  <c r="AH51" i="9"/>
  <c r="AF51" i="9"/>
  <c r="AE51" i="9"/>
  <c r="AD51" i="9"/>
  <c r="AC51" i="9"/>
  <c r="AA51" i="9"/>
  <c r="Z51" i="9"/>
  <c r="Y51" i="9"/>
  <c r="X51" i="9"/>
  <c r="W51" i="9"/>
  <c r="P51" i="9"/>
  <c r="O51" i="9"/>
  <c r="N51" i="9"/>
  <c r="M51" i="9"/>
  <c r="AP50" i="9"/>
  <c r="AO50" i="9"/>
  <c r="AV50" i="9" s="1"/>
  <c r="AI50" i="9"/>
  <c r="AT50" i="9" s="1"/>
  <c r="AH50" i="9"/>
  <c r="AF50" i="9"/>
  <c r="AE50" i="9"/>
  <c r="AD50" i="9"/>
  <c r="AA50" i="9"/>
  <c r="Z50" i="9"/>
  <c r="Y50" i="9"/>
  <c r="X50" i="9"/>
  <c r="W50" i="9"/>
  <c r="P50" i="9"/>
  <c r="O50" i="9"/>
  <c r="N50" i="9"/>
  <c r="AC50" i="9" s="1"/>
  <c r="M50" i="9"/>
  <c r="AI49" i="9"/>
  <c r="AH49" i="9"/>
  <c r="W49" i="9"/>
  <c r="AP48" i="9"/>
  <c r="AN48" i="9"/>
  <c r="AI48" i="9"/>
  <c r="AT48" i="9" s="1"/>
  <c r="AH48" i="9"/>
  <c r="AF48" i="9"/>
  <c r="AE48" i="9"/>
  <c r="AD48" i="9"/>
  <c r="AC48" i="9"/>
  <c r="AB48" i="9"/>
  <c r="AA48" i="9"/>
  <c r="Z48" i="9"/>
  <c r="Y48" i="9"/>
  <c r="X48" i="9"/>
  <c r="W48" i="9"/>
  <c r="P48" i="9"/>
  <c r="O48" i="9"/>
  <c r="N48" i="9"/>
  <c r="AO48" i="9" s="1"/>
  <c r="AV48" i="9" s="1"/>
  <c r="M48" i="9"/>
  <c r="AV47" i="9"/>
  <c r="AT47" i="9"/>
  <c r="AP47" i="9"/>
  <c r="AO47" i="9"/>
  <c r="AN47" i="9"/>
  <c r="AJ47" i="9"/>
  <c r="AI47" i="9"/>
  <c r="AH47" i="9"/>
  <c r="AF47" i="9"/>
  <c r="AE47" i="9"/>
  <c r="AD47" i="9"/>
  <c r="AC47" i="9"/>
  <c r="AA47" i="9"/>
  <c r="Z47" i="9"/>
  <c r="Y47" i="9"/>
  <c r="X47" i="9"/>
  <c r="W47" i="9"/>
  <c r="P47" i="9"/>
  <c r="O47" i="9"/>
  <c r="N47" i="9"/>
  <c r="M47" i="9"/>
  <c r="AI46" i="9"/>
  <c r="AT46" i="9" s="1"/>
  <c r="AH46" i="9"/>
  <c r="AF46" i="9"/>
  <c r="AE46" i="9"/>
  <c r="AD46" i="9"/>
  <c r="AA46" i="9"/>
  <c r="Z46" i="9"/>
  <c r="Y46" i="9"/>
  <c r="X46" i="9"/>
  <c r="W46" i="9"/>
  <c r="P46" i="9"/>
  <c r="O46" i="9"/>
  <c r="N46" i="9"/>
  <c r="AC46" i="9" s="1"/>
  <c r="M46" i="9"/>
  <c r="AT45" i="9"/>
  <c r="AP45" i="9"/>
  <c r="AI45" i="9"/>
  <c r="AH45" i="9"/>
  <c r="AF45" i="9"/>
  <c r="AE45" i="9"/>
  <c r="AA45" i="9"/>
  <c r="Z45" i="9"/>
  <c r="Y45" i="9"/>
  <c r="X45" i="9"/>
  <c r="W45" i="9"/>
  <c r="P45" i="9"/>
  <c r="O45" i="9"/>
  <c r="AD45" i="9" s="1"/>
  <c r="N45" i="9"/>
  <c r="AC45" i="9" s="1"/>
  <c r="M45" i="9"/>
  <c r="AI44" i="9"/>
  <c r="AH44" i="9"/>
  <c r="AF44" i="9"/>
  <c r="AE44" i="9"/>
  <c r="AB44" i="9"/>
  <c r="AA44" i="9"/>
  <c r="Z44" i="9"/>
  <c r="Y44" i="9"/>
  <c r="X44" i="9"/>
  <c r="W44" i="9"/>
  <c r="P44" i="9"/>
  <c r="O44" i="9"/>
  <c r="AD44" i="9" s="1"/>
  <c r="N44" i="9"/>
  <c r="M44" i="9"/>
  <c r="AT43" i="9"/>
  <c r="AI43" i="9"/>
  <c r="AH43" i="9"/>
  <c r="AF43" i="9"/>
  <c r="AE43" i="9"/>
  <c r="AC43" i="9"/>
  <c r="AB43" i="9"/>
  <c r="AA43" i="9"/>
  <c r="Z43" i="9"/>
  <c r="Y43" i="9"/>
  <c r="X43" i="9"/>
  <c r="W43" i="9"/>
  <c r="P43" i="9"/>
  <c r="O43" i="9"/>
  <c r="AD43" i="9" s="1"/>
  <c r="N43" i="9"/>
  <c r="M43" i="9"/>
  <c r="AT42" i="9"/>
  <c r="AI42" i="9"/>
  <c r="AN42" i="9" s="1"/>
  <c r="AH42" i="9"/>
  <c r="AF42" i="9"/>
  <c r="AE42" i="9"/>
  <c r="AD42" i="9"/>
  <c r="AC42" i="9"/>
  <c r="AB42" i="9"/>
  <c r="AA42" i="9"/>
  <c r="Z42" i="9"/>
  <c r="Y42" i="9"/>
  <c r="X42" i="9"/>
  <c r="W42" i="9"/>
  <c r="P42" i="9"/>
  <c r="O42" i="9"/>
  <c r="N42" i="9"/>
  <c r="AO42" i="9" s="1"/>
  <c r="M42" i="9"/>
  <c r="AT41" i="9"/>
  <c r="AO41" i="9"/>
  <c r="AN41" i="9"/>
  <c r="AI41" i="9"/>
  <c r="AH41" i="9"/>
  <c r="AF41" i="9"/>
  <c r="AE41" i="9"/>
  <c r="AD41" i="9"/>
  <c r="AC41" i="9"/>
  <c r="AA41" i="9"/>
  <c r="Z41" i="9"/>
  <c r="Y41" i="9"/>
  <c r="X41" i="9"/>
  <c r="W41" i="9"/>
  <c r="P41" i="9"/>
  <c r="O41" i="9"/>
  <c r="N41" i="9"/>
  <c r="M41" i="9"/>
  <c r="AP40" i="9"/>
  <c r="AI40" i="9"/>
  <c r="AT40" i="9" s="1"/>
  <c r="AH40" i="9"/>
  <c r="AF40" i="9"/>
  <c r="AE40" i="9"/>
  <c r="AD40" i="9"/>
  <c r="AA40" i="9"/>
  <c r="Z40" i="9"/>
  <c r="Y40" i="9"/>
  <c r="X40" i="9"/>
  <c r="W40" i="9"/>
  <c r="P40" i="9"/>
  <c r="O40" i="9"/>
  <c r="N40" i="9"/>
  <c r="AC40" i="9" s="1"/>
  <c r="M40" i="9"/>
  <c r="AT39" i="9"/>
  <c r="AI39" i="9"/>
  <c r="AN39" i="9" s="1"/>
  <c r="AH39" i="9"/>
  <c r="AF39" i="9"/>
  <c r="AE39" i="9"/>
  <c r="AA39" i="9"/>
  <c r="Z39" i="9"/>
  <c r="Y39" i="9"/>
  <c r="X39" i="9"/>
  <c r="W39" i="9"/>
  <c r="P39" i="9"/>
  <c r="O39" i="9"/>
  <c r="AD39" i="9" s="1"/>
  <c r="N39" i="9"/>
  <c r="AC39" i="9" s="1"/>
  <c r="M39" i="9"/>
  <c r="AI38" i="9"/>
  <c r="AH38" i="9"/>
  <c r="AF38" i="9"/>
  <c r="AE38" i="9"/>
  <c r="AB38" i="9"/>
  <c r="AA38" i="9"/>
  <c r="Z38" i="9"/>
  <c r="Y38" i="9"/>
  <c r="X38" i="9"/>
  <c r="W38" i="9"/>
  <c r="P38" i="9"/>
  <c r="O38" i="9"/>
  <c r="AD38" i="9" s="1"/>
  <c r="N38" i="9"/>
  <c r="M38" i="9"/>
  <c r="AI37" i="9"/>
  <c r="AH37" i="9"/>
  <c r="W37" i="9"/>
  <c r="AO36" i="9"/>
  <c r="AI36" i="9"/>
  <c r="AH36" i="9"/>
  <c r="AF36" i="9"/>
  <c r="AE36" i="9"/>
  <c r="AD36" i="9"/>
  <c r="AB36" i="9"/>
  <c r="AA36" i="9"/>
  <c r="Z36" i="9"/>
  <c r="Y36" i="9"/>
  <c r="X36" i="9"/>
  <c r="W36" i="9"/>
  <c r="P36" i="9"/>
  <c r="O36" i="9"/>
  <c r="N36" i="9"/>
  <c r="AC36" i="9" s="1"/>
  <c r="M36" i="9"/>
  <c r="AI35" i="9"/>
  <c r="AH35" i="9"/>
  <c r="W35" i="9"/>
  <c r="AP34" i="9"/>
  <c r="AN34" i="9"/>
  <c r="AI34" i="9"/>
  <c r="AT34" i="9" s="1"/>
  <c r="AH34" i="9"/>
  <c r="AF34" i="9"/>
  <c r="AE34" i="9"/>
  <c r="AD34" i="9"/>
  <c r="AC34" i="9"/>
  <c r="AB34" i="9"/>
  <c r="AA34" i="9"/>
  <c r="Z34" i="9"/>
  <c r="Y34" i="9"/>
  <c r="X34" i="9"/>
  <c r="W34" i="9"/>
  <c r="P34" i="9"/>
  <c r="O34" i="9"/>
  <c r="N34" i="9"/>
  <c r="AO34" i="9" s="1"/>
  <c r="AV34" i="9" s="1"/>
  <c r="M34" i="9"/>
  <c r="AI33" i="9"/>
  <c r="AH33" i="9"/>
  <c r="W33" i="9"/>
  <c r="AP32" i="9"/>
  <c r="AN32" i="9"/>
  <c r="AI32" i="9"/>
  <c r="AH32" i="9"/>
  <c r="AF32" i="9"/>
  <c r="AE32" i="9"/>
  <c r="AD32" i="9"/>
  <c r="AB32" i="9"/>
  <c r="AA32" i="9"/>
  <c r="Z32" i="9"/>
  <c r="Y32" i="9"/>
  <c r="X32" i="9"/>
  <c r="W32" i="9"/>
  <c r="P32" i="9"/>
  <c r="O32" i="9"/>
  <c r="N32" i="9"/>
  <c r="M32" i="9"/>
  <c r="AI31" i="9"/>
  <c r="AH31" i="9"/>
  <c r="W31" i="9"/>
  <c r="AP30" i="9"/>
  <c r="AO30" i="9"/>
  <c r="AV30" i="9" s="1"/>
  <c r="AN30" i="9"/>
  <c r="AI30" i="9"/>
  <c r="AH30" i="9"/>
  <c r="AF30" i="9"/>
  <c r="AE30" i="9"/>
  <c r="AD30" i="9"/>
  <c r="AB30" i="9"/>
  <c r="AA30" i="9"/>
  <c r="Z30" i="9"/>
  <c r="Y30" i="9"/>
  <c r="X30" i="9"/>
  <c r="W30" i="9"/>
  <c r="P30" i="9"/>
  <c r="O30" i="9"/>
  <c r="N30" i="9"/>
  <c r="AC30" i="9" s="1"/>
  <c r="M30" i="9"/>
  <c r="AT29" i="9"/>
  <c r="AP29" i="9"/>
  <c r="AI29" i="9"/>
  <c r="AN29" i="9" s="1"/>
  <c r="AH29" i="9"/>
  <c r="AF29" i="9"/>
  <c r="AE29" i="9"/>
  <c r="AA29" i="9"/>
  <c r="Z29" i="9"/>
  <c r="Y29" i="9"/>
  <c r="X29" i="9"/>
  <c r="W29" i="9"/>
  <c r="P29" i="9"/>
  <c r="O29" i="9"/>
  <c r="AD29" i="9" s="1"/>
  <c r="N29" i="9"/>
  <c r="M29" i="9"/>
  <c r="AI28" i="9"/>
  <c r="AH28" i="9"/>
  <c r="W28" i="9"/>
  <c r="AV27" i="9"/>
  <c r="AT27" i="9"/>
  <c r="AP27" i="9"/>
  <c r="AO27" i="9"/>
  <c r="AN27" i="9"/>
  <c r="AJ27" i="9"/>
  <c r="AI27" i="9"/>
  <c r="AH27" i="9"/>
  <c r="AF27" i="9"/>
  <c r="AE27" i="9"/>
  <c r="AC27" i="9"/>
  <c r="AA27" i="9"/>
  <c r="Z27" i="9"/>
  <c r="Y27" i="9"/>
  <c r="X27" i="9"/>
  <c r="W27" i="9"/>
  <c r="P27" i="9"/>
  <c r="O27" i="9"/>
  <c r="N27" i="9"/>
  <c r="M27" i="9"/>
  <c r="AO26" i="9"/>
  <c r="AI26" i="9"/>
  <c r="AH26" i="9"/>
  <c r="AF26" i="9"/>
  <c r="AE26" i="9"/>
  <c r="AD26" i="9"/>
  <c r="AA26" i="9"/>
  <c r="Z26" i="9"/>
  <c r="Y26" i="9"/>
  <c r="X26" i="9"/>
  <c r="W26" i="9"/>
  <c r="P26" i="9"/>
  <c r="O26" i="9"/>
  <c r="N26" i="9"/>
  <c r="AC26" i="9" s="1"/>
  <c r="M26" i="9"/>
  <c r="AB26" i="9" s="1"/>
  <c r="AI25" i="9"/>
  <c r="AH25" i="9"/>
  <c r="W25" i="9"/>
  <c r="AT24" i="9"/>
  <c r="AP24" i="9"/>
  <c r="AN24" i="9"/>
  <c r="AI24" i="9"/>
  <c r="AH24" i="9"/>
  <c r="AF24" i="9"/>
  <c r="AE24" i="9"/>
  <c r="AD24" i="9"/>
  <c r="AB24" i="9"/>
  <c r="AA24" i="9"/>
  <c r="Z24" i="9"/>
  <c r="Y24" i="9"/>
  <c r="X24" i="9"/>
  <c r="W24" i="9"/>
  <c r="P24" i="9"/>
  <c r="O24" i="9"/>
  <c r="N24" i="9"/>
  <c r="M24" i="9"/>
  <c r="AT23" i="9"/>
  <c r="AO23" i="9"/>
  <c r="AN23" i="9"/>
  <c r="AI23" i="9"/>
  <c r="AH23" i="9"/>
  <c r="AF23" i="9"/>
  <c r="AE23" i="9"/>
  <c r="AD23" i="9"/>
  <c r="AC23" i="9"/>
  <c r="AA23" i="9"/>
  <c r="Z23" i="9"/>
  <c r="Y23" i="9"/>
  <c r="X23" i="9"/>
  <c r="W23" i="9"/>
  <c r="P23" i="9"/>
  <c r="O23" i="9"/>
  <c r="N23" i="9"/>
  <c r="M23" i="9"/>
  <c r="AI22" i="9"/>
  <c r="AH22" i="9"/>
  <c r="AF22" i="9"/>
  <c r="AE22" i="9"/>
  <c r="AD22" i="9"/>
  <c r="AA22" i="9"/>
  <c r="Z22" i="9"/>
  <c r="Y22" i="9"/>
  <c r="X22" i="9"/>
  <c r="W22" i="9"/>
  <c r="P22" i="9"/>
  <c r="O22" i="9"/>
  <c r="N22" i="9"/>
  <c r="M22" i="9"/>
  <c r="AI21" i="9"/>
  <c r="AH21" i="9"/>
  <c r="W21" i="9"/>
  <c r="AT20" i="9"/>
  <c r="AI20" i="9"/>
  <c r="AH20" i="9"/>
  <c r="AF20" i="9"/>
  <c r="AE20" i="9"/>
  <c r="AD20" i="9"/>
  <c r="AB20" i="9"/>
  <c r="AA20" i="9"/>
  <c r="Z20" i="9"/>
  <c r="Y20" i="9"/>
  <c r="X20" i="9"/>
  <c r="W20" i="9"/>
  <c r="P20" i="9"/>
  <c r="O20" i="9"/>
  <c r="N20" i="9"/>
  <c r="AO20" i="9" s="1"/>
  <c r="M20" i="9"/>
  <c r="AT19" i="9"/>
  <c r="AO19" i="9"/>
  <c r="AI19" i="9"/>
  <c r="AH19" i="9"/>
  <c r="AF19" i="9"/>
  <c r="AE19" i="9"/>
  <c r="AC19" i="9"/>
  <c r="AA19" i="9"/>
  <c r="Z19" i="9"/>
  <c r="Y19" i="9"/>
  <c r="X19" i="9"/>
  <c r="W19" i="9"/>
  <c r="P19" i="9"/>
  <c r="O19" i="9"/>
  <c r="AD19" i="9" s="1"/>
  <c r="N19" i="9"/>
  <c r="M19" i="9"/>
  <c r="AI18" i="9"/>
  <c r="AH18" i="9"/>
  <c r="W18" i="9"/>
  <c r="AV17" i="9"/>
  <c r="AP17" i="9"/>
  <c r="AO17" i="9"/>
  <c r="AI17" i="9"/>
  <c r="AH17" i="9"/>
  <c r="AF17" i="9"/>
  <c r="AE17" i="9"/>
  <c r="AC17" i="9"/>
  <c r="AA17" i="9"/>
  <c r="Z17" i="9"/>
  <c r="Y17" i="9"/>
  <c r="X17" i="9"/>
  <c r="W17" i="9"/>
  <c r="P17" i="9"/>
  <c r="O17" i="9"/>
  <c r="N17" i="9"/>
  <c r="M17" i="9"/>
  <c r="AB17" i="9" s="1"/>
  <c r="AI16" i="9"/>
  <c r="AH16" i="9"/>
  <c r="W16" i="9"/>
  <c r="AT15" i="9"/>
  <c r="AP15" i="9"/>
  <c r="AI15" i="9"/>
  <c r="AN15" i="9" s="1"/>
  <c r="AH15" i="9"/>
  <c r="AF15" i="9"/>
  <c r="AE15" i="9"/>
  <c r="AA15" i="9"/>
  <c r="Z15" i="9"/>
  <c r="Y15" i="9"/>
  <c r="X15" i="9"/>
  <c r="W15" i="9"/>
  <c r="P15" i="9"/>
  <c r="O15" i="9"/>
  <c r="AD15" i="9" s="1"/>
  <c r="N15" i="9"/>
  <c r="M15" i="9"/>
  <c r="AI14" i="9"/>
  <c r="AH14" i="9"/>
  <c r="AF14" i="9"/>
  <c r="AE14" i="9"/>
  <c r="AB14" i="9"/>
  <c r="AA14" i="9"/>
  <c r="Z14" i="9"/>
  <c r="Y14" i="9"/>
  <c r="X14" i="9"/>
  <c r="W14" i="9"/>
  <c r="P14" i="9"/>
  <c r="O14" i="9"/>
  <c r="N14" i="9"/>
  <c r="M14" i="9"/>
  <c r="AI13" i="9"/>
  <c r="AH13" i="9"/>
  <c r="W13" i="9"/>
  <c r="AP12" i="9"/>
  <c r="AN12" i="9"/>
  <c r="AI12" i="9"/>
  <c r="AH12" i="9"/>
  <c r="AF12" i="9"/>
  <c r="AE12" i="9"/>
  <c r="AB12" i="9"/>
  <c r="AA12" i="9"/>
  <c r="Z12" i="9"/>
  <c r="Y12" i="9"/>
  <c r="X12" i="9"/>
  <c r="W12" i="9"/>
  <c r="P12" i="9"/>
  <c r="O12" i="9"/>
  <c r="N12" i="9"/>
  <c r="AC12" i="9" s="1"/>
  <c r="M12" i="9"/>
  <c r="AR12" i="9" s="1"/>
  <c r="AQ11" i="9"/>
  <c r="AP11" i="9"/>
  <c r="AI11" i="9"/>
  <c r="AN11" i="9" s="1"/>
  <c r="AH11" i="9"/>
  <c r="AF11" i="9"/>
  <c r="AE11" i="9"/>
  <c r="AA11" i="9"/>
  <c r="Z11" i="9"/>
  <c r="Y11" i="9"/>
  <c r="X11" i="9"/>
  <c r="W11" i="9"/>
  <c r="P11" i="9"/>
  <c r="O11" i="9"/>
  <c r="AD11" i="9" s="1"/>
  <c r="N11" i="9"/>
  <c r="M11" i="9"/>
  <c r="AB11" i="9" s="1"/>
  <c r="AI10" i="9"/>
  <c r="AH10" i="9"/>
  <c r="W10" i="9"/>
  <c r="AT9" i="9"/>
  <c r="AP9" i="9"/>
  <c r="AN9" i="9"/>
  <c r="AJ9" i="9"/>
  <c r="AI9" i="9"/>
  <c r="AH9" i="9"/>
  <c r="AF9" i="9"/>
  <c r="AE9" i="9"/>
  <c r="AC9" i="9"/>
  <c r="AA9" i="9"/>
  <c r="Z9" i="9"/>
  <c r="Y9" i="9"/>
  <c r="X9" i="9"/>
  <c r="W9" i="9"/>
  <c r="P9" i="9"/>
  <c r="O9" i="9"/>
  <c r="N9" i="9"/>
  <c r="AO9" i="9" s="1"/>
  <c r="AV9" i="9" s="1"/>
  <c r="M9" i="9"/>
  <c r="AQ8" i="9"/>
  <c r="AP8" i="9"/>
  <c r="AI8" i="9"/>
  <c r="AH8" i="9"/>
  <c r="AF8" i="9"/>
  <c r="AE8" i="9"/>
  <c r="AA8" i="9"/>
  <c r="Z8" i="9"/>
  <c r="Y8" i="9"/>
  <c r="X8" i="9"/>
  <c r="W8" i="9"/>
  <c r="P8" i="9"/>
  <c r="O8" i="9"/>
  <c r="AD8" i="9" s="1"/>
  <c r="N8" i="9"/>
  <c r="M8" i="9"/>
  <c r="AB8" i="9" s="1"/>
  <c r="AO7" i="9"/>
  <c r="AI7" i="9"/>
  <c r="AN7" i="9" s="1"/>
  <c r="AH7" i="9"/>
  <c r="AF7" i="9"/>
  <c r="AE7" i="9"/>
  <c r="AC7" i="9"/>
  <c r="AB7" i="9"/>
  <c r="AA7" i="9"/>
  <c r="Z7" i="9"/>
  <c r="Y7" i="9"/>
  <c r="X7" i="9"/>
  <c r="W7" i="9"/>
  <c r="P7" i="9"/>
  <c r="O7" i="9"/>
  <c r="AD7" i="9" s="1"/>
  <c r="N7" i="9"/>
  <c r="M7" i="9"/>
  <c r="AI6" i="9"/>
  <c r="AH6" i="9"/>
  <c r="AF6" i="9"/>
  <c r="AE6" i="9"/>
  <c r="AC6" i="9"/>
  <c r="AB6" i="9"/>
  <c r="AA6" i="9"/>
  <c r="Z6" i="9"/>
  <c r="Y6" i="9"/>
  <c r="X6" i="9"/>
  <c r="W6" i="9"/>
  <c r="P6" i="9"/>
  <c r="O6" i="9"/>
  <c r="N6" i="9"/>
  <c r="AO6" i="9" s="1"/>
  <c r="M6" i="9"/>
  <c r="AI5" i="9"/>
  <c r="AH5" i="9"/>
  <c r="W5" i="9"/>
  <c r="AI4" i="9"/>
  <c r="AO3" i="9"/>
  <c r="AI3" i="9"/>
  <c r="AH3" i="9"/>
  <c r="AN2" i="9"/>
  <c r="AN36" i="9" s="1"/>
  <c r="AM2" i="9"/>
  <c r="AL2" i="9"/>
  <c r="AK2" i="9"/>
  <c r="AJ2" i="9"/>
  <c r="AJ24" i="9" s="1"/>
  <c r="AA2" i="9"/>
  <c r="A2" i="9"/>
  <c r="AU1" i="9"/>
  <c r="AR1" i="9"/>
  <c r="AR8" i="9" s="1"/>
  <c r="AQ1" i="9"/>
  <c r="AQ71" i="9" s="1"/>
  <c r="AP1" i="9"/>
  <c r="AP39" i="9" s="1"/>
  <c r="AO1" i="9"/>
  <c r="AH1" i="9"/>
  <c r="AH2" i="9" s="1"/>
  <c r="AA1" i="9"/>
  <c r="A1" i="9"/>
  <c r="AJ1" i="9" s="1"/>
  <c r="AR20" i="8"/>
  <c r="AP20" i="8"/>
  <c r="AI20" i="8"/>
  <c r="AH20" i="8"/>
  <c r="AF20" i="8"/>
  <c r="AE20" i="8"/>
  <c r="AB20" i="8"/>
  <c r="AA20" i="8"/>
  <c r="Z20" i="8"/>
  <c r="Y20" i="8"/>
  <c r="X20" i="8"/>
  <c r="W20" i="8"/>
  <c r="P20" i="8"/>
  <c r="O20" i="8"/>
  <c r="AD20" i="8" s="1"/>
  <c r="N20" i="8"/>
  <c r="AO20" i="8" s="1"/>
  <c r="AV20" i="8" s="1"/>
  <c r="M20" i="8"/>
  <c r="AT19" i="8"/>
  <c r="AR19" i="8"/>
  <c r="AP19" i="8"/>
  <c r="AJ19" i="8"/>
  <c r="AI19" i="8"/>
  <c r="AN19" i="8" s="1"/>
  <c r="AH19" i="8"/>
  <c r="AF19" i="8"/>
  <c r="AE19" i="8"/>
  <c r="AC19" i="8"/>
  <c r="AB19" i="8"/>
  <c r="AA19" i="8"/>
  <c r="Z19" i="8"/>
  <c r="Y19" i="8"/>
  <c r="X19" i="8"/>
  <c r="W19" i="8"/>
  <c r="P19" i="8"/>
  <c r="O19" i="8"/>
  <c r="N19" i="8"/>
  <c r="AO19" i="8" s="1"/>
  <c r="AV19" i="8" s="1"/>
  <c r="M19" i="8"/>
  <c r="AI18" i="8"/>
  <c r="AH18" i="8"/>
  <c r="W18" i="8"/>
  <c r="AP17" i="8"/>
  <c r="AI17" i="8"/>
  <c r="AN17" i="8" s="1"/>
  <c r="AH17" i="8"/>
  <c r="AF17" i="8"/>
  <c r="AE17" i="8"/>
  <c r="AA17" i="8"/>
  <c r="Z17" i="8"/>
  <c r="Y17" i="8"/>
  <c r="X17" i="8"/>
  <c r="W17" i="8"/>
  <c r="P17" i="8"/>
  <c r="O17" i="8"/>
  <c r="AD17" i="8" s="1"/>
  <c r="N17" i="8"/>
  <c r="M17" i="8"/>
  <c r="AP16" i="8"/>
  <c r="AI16" i="8"/>
  <c r="AH16" i="8"/>
  <c r="AF16" i="8"/>
  <c r="AE16" i="8"/>
  <c r="AB16" i="8"/>
  <c r="AA16" i="8"/>
  <c r="Z16" i="8"/>
  <c r="Y16" i="8"/>
  <c r="X16" i="8"/>
  <c r="W16" i="8"/>
  <c r="P16" i="8"/>
  <c r="O16" i="8"/>
  <c r="AD16" i="8" s="1"/>
  <c r="N16" i="8"/>
  <c r="AO16" i="8" s="1"/>
  <c r="AV16" i="8" s="1"/>
  <c r="M16" i="8"/>
  <c r="AI15" i="8"/>
  <c r="AH15" i="8"/>
  <c r="W15" i="8"/>
  <c r="AT14" i="8"/>
  <c r="AP14" i="8"/>
  <c r="AN14" i="8"/>
  <c r="AI14" i="8"/>
  <c r="AH14" i="8"/>
  <c r="AF14" i="8"/>
  <c r="AE14" i="8"/>
  <c r="AD14" i="8"/>
  <c r="AA14" i="8"/>
  <c r="Z14" i="8"/>
  <c r="Y14" i="8"/>
  <c r="X14" i="8"/>
  <c r="W14" i="8"/>
  <c r="P14" i="8"/>
  <c r="O14" i="8"/>
  <c r="AQ14" i="8" s="1"/>
  <c r="N14" i="8"/>
  <c r="AC14" i="8" s="1"/>
  <c r="M14" i="8"/>
  <c r="AP13" i="8"/>
  <c r="AI13" i="8"/>
  <c r="AN13" i="8" s="1"/>
  <c r="AH13" i="8"/>
  <c r="AF13" i="8"/>
  <c r="AE13" i="8"/>
  <c r="AA13" i="8"/>
  <c r="Z13" i="8"/>
  <c r="Y13" i="8"/>
  <c r="X13" i="8"/>
  <c r="W13" i="8"/>
  <c r="P13" i="8"/>
  <c r="O13" i="8"/>
  <c r="AD13" i="8" s="1"/>
  <c r="N13" i="8"/>
  <c r="M13" i="8"/>
  <c r="AP12" i="8"/>
  <c r="AI12" i="8"/>
  <c r="AH12" i="8"/>
  <c r="AF12" i="8"/>
  <c r="AE12" i="8"/>
  <c r="AB12" i="8"/>
  <c r="AA12" i="8"/>
  <c r="Z12" i="8"/>
  <c r="Y12" i="8"/>
  <c r="X12" i="8"/>
  <c r="W12" i="8"/>
  <c r="P12" i="8"/>
  <c r="O12" i="8"/>
  <c r="AD12" i="8" s="1"/>
  <c r="N12" i="8"/>
  <c r="AO12" i="8" s="1"/>
  <c r="AV12" i="8" s="1"/>
  <c r="M12" i="8"/>
  <c r="AT11" i="8"/>
  <c r="AP11" i="8"/>
  <c r="AJ11" i="8"/>
  <c r="AI11" i="8"/>
  <c r="AN11" i="8" s="1"/>
  <c r="AH11" i="8"/>
  <c r="AF11" i="8"/>
  <c r="AE11" i="8"/>
  <c r="AC11" i="8"/>
  <c r="AB11" i="8"/>
  <c r="AA11" i="8"/>
  <c r="Z11" i="8"/>
  <c r="Y11" i="8"/>
  <c r="X11" i="8"/>
  <c r="W11" i="8"/>
  <c r="P11" i="8"/>
  <c r="O11" i="8"/>
  <c r="AQ11" i="8" s="1"/>
  <c r="N11" i="8"/>
  <c r="AO11" i="8" s="1"/>
  <c r="AV11" i="8" s="1"/>
  <c r="M11" i="8"/>
  <c r="AI10" i="8"/>
  <c r="AH10" i="8"/>
  <c r="W10" i="8"/>
  <c r="AP9" i="8"/>
  <c r="AI9" i="8"/>
  <c r="AN9" i="8" s="1"/>
  <c r="AH9" i="8"/>
  <c r="AF9" i="8"/>
  <c r="AE9" i="8"/>
  <c r="AA9" i="8"/>
  <c r="Z9" i="8"/>
  <c r="Y9" i="8"/>
  <c r="X9" i="8"/>
  <c r="W9" i="8"/>
  <c r="P9" i="8"/>
  <c r="O9" i="8"/>
  <c r="AD9" i="8" s="1"/>
  <c r="N9" i="8"/>
  <c r="M9" i="8"/>
  <c r="AR9" i="8" s="1"/>
  <c r="AP8" i="8"/>
  <c r="AI8" i="8"/>
  <c r="AH8" i="8"/>
  <c r="AF8" i="8"/>
  <c r="AE8" i="8"/>
  <c r="AB8" i="8"/>
  <c r="AA8" i="8"/>
  <c r="Z8" i="8"/>
  <c r="Y8" i="8"/>
  <c r="X8" i="8"/>
  <c r="W8" i="8"/>
  <c r="P8" i="8"/>
  <c r="O8" i="8"/>
  <c r="AD8" i="8" s="1"/>
  <c r="N8" i="8"/>
  <c r="AO8" i="8" s="1"/>
  <c r="AV8" i="8" s="1"/>
  <c r="M8" i="8"/>
  <c r="AT7" i="8"/>
  <c r="AP7" i="8"/>
  <c r="AJ7" i="8"/>
  <c r="AI7" i="8"/>
  <c r="AN7" i="8" s="1"/>
  <c r="AH7" i="8"/>
  <c r="AF7" i="8"/>
  <c r="AE7" i="8"/>
  <c r="AC7" i="8"/>
  <c r="AB7" i="8"/>
  <c r="AA7" i="8"/>
  <c r="Z7" i="8"/>
  <c r="Y7" i="8"/>
  <c r="X7" i="8"/>
  <c r="W7" i="8"/>
  <c r="P7" i="8"/>
  <c r="O7" i="8"/>
  <c r="N7" i="8"/>
  <c r="AO7" i="8" s="1"/>
  <c r="M7" i="8"/>
  <c r="AT6" i="8"/>
  <c r="AP6" i="8"/>
  <c r="AO6" i="8"/>
  <c r="AV6" i="8" s="1"/>
  <c r="AN6" i="8"/>
  <c r="AJ6" i="8"/>
  <c r="AI6" i="8"/>
  <c r="AH6" i="8"/>
  <c r="AF6" i="8"/>
  <c r="AE6" i="8"/>
  <c r="AD6" i="8"/>
  <c r="AC6" i="8"/>
  <c r="AB6" i="8"/>
  <c r="AA6" i="8"/>
  <c r="Z6" i="8"/>
  <c r="Y6" i="8"/>
  <c r="X6" i="8"/>
  <c r="W6" i="8"/>
  <c r="P6" i="8"/>
  <c r="O6" i="8"/>
  <c r="AQ6" i="8" s="1"/>
  <c r="N6" i="8"/>
  <c r="M6" i="8"/>
  <c r="AI5" i="8"/>
  <c r="AH5" i="8"/>
  <c r="W5" i="8"/>
  <c r="AI4" i="8"/>
  <c r="AP3" i="8"/>
  <c r="AO3" i="8"/>
  <c r="AI3" i="8"/>
  <c r="AH3" i="8"/>
  <c r="AN2" i="8"/>
  <c r="AM2" i="8"/>
  <c r="AL2" i="8"/>
  <c r="AK2" i="8"/>
  <c r="AJ2" i="8"/>
  <c r="AJ14" i="8" s="1"/>
  <c r="AA2" i="8"/>
  <c r="A2" i="8"/>
  <c r="AU1" i="8"/>
  <c r="AU6" i="8" s="1"/>
  <c r="AR1" i="8"/>
  <c r="AR6" i="8" s="1"/>
  <c r="AQ1" i="8"/>
  <c r="AQ3" i="8" s="1"/>
  <c r="AP1" i="8"/>
  <c r="AO1" i="8"/>
  <c r="AJ1" i="8"/>
  <c r="AH1" i="8"/>
  <c r="AH2" i="8" s="1"/>
  <c r="AA1" i="8"/>
  <c r="A1" i="8"/>
  <c r="AT96" i="7"/>
  <c r="AP96" i="7"/>
  <c r="AI96" i="7"/>
  <c r="AH96" i="7"/>
  <c r="AF96" i="7"/>
  <c r="AE96" i="7"/>
  <c r="AC96" i="7"/>
  <c r="AB96" i="7"/>
  <c r="AA96" i="7"/>
  <c r="Z96" i="7"/>
  <c r="Y96" i="7"/>
  <c r="X96" i="7"/>
  <c r="W96" i="7"/>
  <c r="P96" i="7"/>
  <c r="O96" i="7"/>
  <c r="N96" i="7"/>
  <c r="AO96" i="7" s="1"/>
  <c r="AV96" i="7" s="1"/>
  <c r="M96" i="7"/>
  <c r="AT95" i="7"/>
  <c r="AP95" i="7"/>
  <c r="AO95" i="7"/>
  <c r="AV95" i="7" s="1"/>
  <c r="AN95" i="7"/>
  <c r="AI95" i="7"/>
  <c r="AH95" i="7"/>
  <c r="AF95" i="7"/>
  <c r="AE95" i="7"/>
  <c r="AD95" i="7"/>
  <c r="AC95" i="7"/>
  <c r="AB95" i="7"/>
  <c r="AA95" i="7"/>
  <c r="Z95" i="7"/>
  <c r="Y95" i="7"/>
  <c r="X95" i="7"/>
  <c r="W95" i="7"/>
  <c r="P95" i="7"/>
  <c r="O95" i="7"/>
  <c r="N95" i="7"/>
  <c r="M95" i="7"/>
  <c r="AT94" i="7"/>
  <c r="AI94" i="7"/>
  <c r="AH94" i="7"/>
  <c r="AF94" i="7"/>
  <c r="AE94" i="7"/>
  <c r="AD94" i="7"/>
  <c r="AC94" i="7"/>
  <c r="AA94" i="7"/>
  <c r="Z94" i="7"/>
  <c r="Y94" i="7"/>
  <c r="X94" i="7"/>
  <c r="W94" i="7"/>
  <c r="P94" i="7"/>
  <c r="O94" i="7"/>
  <c r="AQ94" i="7" s="1"/>
  <c r="N94" i="7"/>
  <c r="M94" i="7"/>
  <c r="AI93" i="7"/>
  <c r="AH93" i="7"/>
  <c r="W93" i="7"/>
  <c r="AT92" i="7"/>
  <c r="AI92" i="7"/>
  <c r="AH92" i="7"/>
  <c r="AF92" i="7"/>
  <c r="AE92" i="7"/>
  <c r="AC92" i="7"/>
  <c r="AB92" i="7"/>
  <c r="AA92" i="7"/>
  <c r="Z92" i="7"/>
  <c r="Y92" i="7"/>
  <c r="X92" i="7"/>
  <c r="W92" i="7"/>
  <c r="P92" i="7"/>
  <c r="O92" i="7"/>
  <c r="AD92" i="7" s="1"/>
  <c r="N92" i="7"/>
  <c r="M92" i="7"/>
  <c r="AI91" i="7"/>
  <c r="AH91" i="7"/>
  <c r="AF91" i="7"/>
  <c r="AE91" i="7"/>
  <c r="AD91" i="7"/>
  <c r="AC91" i="7"/>
  <c r="AB91" i="7"/>
  <c r="AA91" i="7"/>
  <c r="Z91" i="7"/>
  <c r="Y91" i="7"/>
  <c r="X91" i="7"/>
  <c r="W91" i="7"/>
  <c r="P91" i="7"/>
  <c r="O91" i="7"/>
  <c r="N91" i="7"/>
  <c r="M91" i="7"/>
  <c r="AI90" i="7"/>
  <c r="AH90" i="7"/>
  <c r="W90" i="7"/>
  <c r="AP89" i="7"/>
  <c r="AI89" i="7"/>
  <c r="AH89" i="7"/>
  <c r="AF89" i="7"/>
  <c r="AE89" i="7"/>
  <c r="AB89" i="7"/>
  <c r="AA89" i="7"/>
  <c r="Z89" i="7"/>
  <c r="Y89" i="7"/>
  <c r="X89" i="7"/>
  <c r="W89" i="7"/>
  <c r="P89" i="7"/>
  <c r="O89" i="7"/>
  <c r="AD89" i="7" s="1"/>
  <c r="N89" i="7"/>
  <c r="M89" i="7"/>
  <c r="AT88" i="7"/>
  <c r="AP88" i="7"/>
  <c r="AI88" i="7"/>
  <c r="AH88" i="7"/>
  <c r="AF88" i="7"/>
  <c r="AE88" i="7"/>
  <c r="AC88" i="7"/>
  <c r="AB88" i="7"/>
  <c r="AA88" i="7"/>
  <c r="Z88" i="7"/>
  <c r="Y88" i="7"/>
  <c r="X88" i="7"/>
  <c r="W88" i="7"/>
  <c r="P88" i="7"/>
  <c r="O88" i="7"/>
  <c r="AD88" i="7" s="1"/>
  <c r="N88" i="7"/>
  <c r="AO88" i="7" s="1"/>
  <c r="AV88" i="7" s="1"/>
  <c r="M88" i="7"/>
  <c r="AI87" i="7"/>
  <c r="AH87" i="7"/>
  <c r="W87" i="7"/>
  <c r="AP86" i="7"/>
  <c r="AI86" i="7"/>
  <c r="AT86" i="7" s="1"/>
  <c r="AH86" i="7"/>
  <c r="AF86" i="7"/>
  <c r="AE86" i="7"/>
  <c r="AA86" i="7"/>
  <c r="Z86" i="7"/>
  <c r="Y86" i="7"/>
  <c r="X86" i="7"/>
  <c r="W86" i="7"/>
  <c r="P86" i="7"/>
  <c r="O86" i="7"/>
  <c r="AD86" i="7" s="1"/>
  <c r="N86" i="7"/>
  <c r="AC86" i="7" s="1"/>
  <c r="M86" i="7"/>
  <c r="AP85" i="7"/>
  <c r="AI85" i="7"/>
  <c r="AH85" i="7"/>
  <c r="AF85" i="7"/>
  <c r="AE85" i="7"/>
  <c r="AB85" i="7"/>
  <c r="AA85" i="7"/>
  <c r="Z85" i="7"/>
  <c r="Y85" i="7"/>
  <c r="X85" i="7"/>
  <c r="W85" i="7"/>
  <c r="P85" i="7"/>
  <c r="O85" i="7"/>
  <c r="N85" i="7"/>
  <c r="M85" i="7"/>
  <c r="AT84" i="7"/>
  <c r="AP84" i="7"/>
  <c r="AI84" i="7"/>
  <c r="AH84" i="7"/>
  <c r="AF84" i="7"/>
  <c r="AE84" i="7"/>
  <c r="AC84" i="7"/>
  <c r="AB84" i="7"/>
  <c r="AA84" i="7"/>
  <c r="Z84" i="7"/>
  <c r="Y84" i="7"/>
  <c r="X84" i="7"/>
  <c r="W84" i="7"/>
  <c r="P84" i="7"/>
  <c r="O84" i="7"/>
  <c r="AD84" i="7" s="1"/>
  <c r="N84" i="7"/>
  <c r="AO84" i="7" s="1"/>
  <c r="AV84" i="7" s="1"/>
  <c r="M84" i="7"/>
  <c r="AI83" i="7"/>
  <c r="AH83" i="7"/>
  <c r="W83" i="7"/>
  <c r="AP82" i="7"/>
  <c r="AI82" i="7"/>
  <c r="AT82" i="7" s="1"/>
  <c r="AH82" i="7"/>
  <c r="AF82" i="7"/>
  <c r="AE82" i="7"/>
  <c r="AA82" i="7"/>
  <c r="Z82" i="7"/>
  <c r="Y82" i="7"/>
  <c r="X82" i="7"/>
  <c r="W82" i="7"/>
  <c r="P82" i="7"/>
  <c r="O82" i="7"/>
  <c r="AD82" i="7" s="1"/>
  <c r="N82" i="7"/>
  <c r="AC82" i="7" s="1"/>
  <c r="M82" i="7"/>
  <c r="AP81" i="7"/>
  <c r="AI81" i="7"/>
  <c r="AH81" i="7"/>
  <c r="AF81" i="7"/>
  <c r="AE81" i="7"/>
  <c r="AB81" i="7"/>
  <c r="AA81" i="7"/>
  <c r="Z81" i="7"/>
  <c r="Y81" i="7"/>
  <c r="X81" i="7"/>
  <c r="W81" i="7"/>
  <c r="P81" i="7"/>
  <c r="O81" i="7"/>
  <c r="AD81" i="7" s="1"/>
  <c r="N81" i="7"/>
  <c r="M81" i="7"/>
  <c r="AT80" i="7"/>
  <c r="AP80" i="7"/>
  <c r="AI80" i="7"/>
  <c r="AH80" i="7"/>
  <c r="AF80" i="7"/>
  <c r="AE80" i="7"/>
  <c r="AC80" i="7"/>
  <c r="AB80" i="7"/>
  <c r="AA80" i="7"/>
  <c r="Z80" i="7"/>
  <c r="Y80" i="7"/>
  <c r="X80" i="7"/>
  <c r="W80" i="7"/>
  <c r="P80" i="7"/>
  <c r="O80" i="7"/>
  <c r="AD80" i="7" s="1"/>
  <c r="N80" i="7"/>
  <c r="AO80" i="7" s="1"/>
  <c r="AV80" i="7" s="1"/>
  <c r="M80" i="7"/>
  <c r="AI79" i="7"/>
  <c r="AH79" i="7"/>
  <c r="W79" i="7"/>
  <c r="AI78" i="7"/>
  <c r="AT78" i="7" s="1"/>
  <c r="AH78" i="7"/>
  <c r="AF78" i="7"/>
  <c r="AE78" i="7"/>
  <c r="AA78" i="7"/>
  <c r="Z78" i="7"/>
  <c r="Y78" i="7"/>
  <c r="X78" i="7"/>
  <c r="W78" i="7"/>
  <c r="P78" i="7"/>
  <c r="O78" i="7"/>
  <c r="AD78" i="7" s="1"/>
  <c r="N78" i="7"/>
  <c r="AC78" i="7" s="1"/>
  <c r="M78" i="7"/>
  <c r="AI77" i="7"/>
  <c r="AH77" i="7"/>
  <c r="W77" i="7"/>
  <c r="AT76" i="7"/>
  <c r="AJ76" i="7"/>
  <c r="AI76" i="7"/>
  <c r="AH76" i="7"/>
  <c r="AF76" i="7"/>
  <c r="AE76" i="7"/>
  <c r="AD76" i="7"/>
  <c r="AC76" i="7"/>
  <c r="AA76" i="7"/>
  <c r="Z76" i="7"/>
  <c r="Y76" i="7"/>
  <c r="X76" i="7"/>
  <c r="W76" i="7"/>
  <c r="P76" i="7"/>
  <c r="O76" i="7"/>
  <c r="N76" i="7"/>
  <c r="M76" i="7"/>
  <c r="AT75" i="7"/>
  <c r="AI75" i="7"/>
  <c r="AH75" i="7"/>
  <c r="AF75" i="7"/>
  <c r="AE75" i="7"/>
  <c r="AD75" i="7"/>
  <c r="AA75" i="7"/>
  <c r="Z75" i="7"/>
  <c r="Y75" i="7"/>
  <c r="X75" i="7"/>
  <c r="W75" i="7"/>
  <c r="P75" i="7"/>
  <c r="O75" i="7"/>
  <c r="N75" i="7"/>
  <c r="AC75" i="7" s="1"/>
  <c r="M75" i="7"/>
  <c r="AI74" i="7"/>
  <c r="AH74" i="7"/>
  <c r="W74" i="7"/>
  <c r="AT73" i="7"/>
  <c r="AN73" i="7"/>
  <c r="AI73" i="7"/>
  <c r="AH73" i="7"/>
  <c r="AF73" i="7"/>
  <c r="AE73" i="7"/>
  <c r="AD73" i="7"/>
  <c r="AC73" i="7"/>
  <c r="AB73" i="7"/>
  <c r="AA73" i="7"/>
  <c r="Z73" i="7"/>
  <c r="Y73" i="7"/>
  <c r="X73" i="7"/>
  <c r="W73" i="7"/>
  <c r="P73" i="7"/>
  <c r="O73" i="7"/>
  <c r="N73" i="7"/>
  <c r="M73" i="7"/>
  <c r="AI72" i="7"/>
  <c r="AH72" i="7"/>
  <c r="W72" i="7"/>
  <c r="AI71" i="7"/>
  <c r="AH71" i="7"/>
  <c r="AF71" i="7"/>
  <c r="AE71" i="7"/>
  <c r="AB71" i="7"/>
  <c r="AA71" i="7"/>
  <c r="Z71" i="7"/>
  <c r="Y71" i="7"/>
  <c r="X71" i="7"/>
  <c r="W71" i="7"/>
  <c r="P71" i="7"/>
  <c r="O71" i="7"/>
  <c r="AD71" i="7" s="1"/>
  <c r="N71" i="7"/>
  <c r="M71" i="7"/>
  <c r="AI70" i="7"/>
  <c r="AH70" i="7"/>
  <c r="AF70" i="7"/>
  <c r="AE70" i="7"/>
  <c r="AC70" i="7"/>
  <c r="AB70" i="7"/>
  <c r="AA70" i="7"/>
  <c r="Z70" i="7"/>
  <c r="Y70" i="7"/>
  <c r="X70" i="7"/>
  <c r="W70" i="7"/>
  <c r="P70" i="7"/>
  <c r="O70" i="7"/>
  <c r="N70" i="7"/>
  <c r="M70" i="7"/>
  <c r="AT69" i="7"/>
  <c r="AN69" i="7"/>
  <c r="AI69" i="7"/>
  <c r="AH69" i="7"/>
  <c r="AF69" i="7"/>
  <c r="AE69" i="7"/>
  <c r="AD69" i="7"/>
  <c r="AC69" i="7"/>
  <c r="AB69" i="7"/>
  <c r="AA69" i="7"/>
  <c r="Z69" i="7"/>
  <c r="Y69" i="7"/>
  <c r="X69" i="7"/>
  <c r="W69" i="7"/>
  <c r="P69" i="7"/>
  <c r="O69" i="7"/>
  <c r="N69" i="7"/>
  <c r="M69" i="7"/>
  <c r="AV68" i="7"/>
  <c r="AT68" i="7"/>
  <c r="AP68" i="7"/>
  <c r="AO68" i="7"/>
  <c r="AJ68" i="7"/>
  <c r="AI68" i="7"/>
  <c r="AH68" i="7"/>
  <c r="AF68" i="7"/>
  <c r="AE68" i="7"/>
  <c r="AD68" i="7"/>
  <c r="AC68" i="7"/>
  <c r="AA68" i="7"/>
  <c r="Z68" i="7"/>
  <c r="Y68" i="7"/>
  <c r="X68" i="7"/>
  <c r="W68" i="7"/>
  <c r="P68" i="7"/>
  <c r="O68" i="7"/>
  <c r="N68" i="7"/>
  <c r="M68" i="7"/>
  <c r="AT67" i="7"/>
  <c r="AP67" i="7"/>
  <c r="AI67" i="7"/>
  <c r="AH67" i="7"/>
  <c r="AF67" i="7"/>
  <c r="AE67" i="7"/>
  <c r="AD67" i="7"/>
  <c r="AA67" i="7"/>
  <c r="Z67" i="7"/>
  <c r="Y67" i="7"/>
  <c r="X67" i="7"/>
  <c r="W67" i="7"/>
  <c r="P67" i="7"/>
  <c r="O67" i="7"/>
  <c r="N67" i="7"/>
  <c r="AC67" i="7" s="1"/>
  <c r="M67" i="7"/>
  <c r="AI66" i="7"/>
  <c r="AT66" i="7" s="1"/>
  <c r="AH66" i="7"/>
  <c r="AF66" i="7"/>
  <c r="AE66" i="7"/>
  <c r="AA66" i="7"/>
  <c r="Z66" i="7"/>
  <c r="Y66" i="7"/>
  <c r="X66" i="7"/>
  <c r="W66" i="7"/>
  <c r="P66" i="7"/>
  <c r="O66" i="7"/>
  <c r="AD66" i="7" s="1"/>
  <c r="N66" i="7"/>
  <c r="AC66" i="7" s="1"/>
  <c r="M66" i="7"/>
  <c r="AI65" i="7"/>
  <c r="AH65" i="7"/>
  <c r="AF65" i="7"/>
  <c r="AE65" i="7"/>
  <c r="AB65" i="7"/>
  <c r="AA65" i="7"/>
  <c r="Z65" i="7"/>
  <c r="Y65" i="7"/>
  <c r="X65" i="7"/>
  <c r="W65" i="7"/>
  <c r="P65" i="7"/>
  <c r="O65" i="7"/>
  <c r="AD65" i="7" s="1"/>
  <c r="N65" i="7"/>
  <c r="M65" i="7"/>
  <c r="AI64" i="7"/>
  <c r="AH64" i="7"/>
  <c r="W64" i="7"/>
  <c r="AT63" i="7"/>
  <c r="AN63" i="7"/>
  <c r="AI63" i="7"/>
  <c r="AH63" i="7"/>
  <c r="AF63" i="7"/>
  <c r="AE63" i="7"/>
  <c r="AD63" i="7"/>
  <c r="AA63" i="7"/>
  <c r="Z63" i="7"/>
  <c r="Y63" i="7"/>
  <c r="X63" i="7"/>
  <c r="W63" i="7"/>
  <c r="P63" i="7"/>
  <c r="O63" i="7"/>
  <c r="N63" i="7"/>
  <c r="AC63" i="7" s="1"/>
  <c r="M63" i="7"/>
  <c r="AI62" i="7"/>
  <c r="AT62" i="7" s="1"/>
  <c r="AH62" i="7"/>
  <c r="AF62" i="7"/>
  <c r="AE62" i="7"/>
  <c r="AA62" i="7"/>
  <c r="Z62" i="7"/>
  <c r="Y62" i="7"/>
  <c r="X62" i="7"/>
  <c r="W62" i="7"/>
  <c r="P62" i="7"/>
  <c r="O62" i="7"/>
  <c r="AD62" i="7" s="1"/>
  <c r="N62" i="7"/>
  <c r="AC62" i="7" s="1"/>
  <c r="M62" i="7"/>
  <c r="AI61" i="7"/>
  <c r="AH61" i="7"/>
  <c r="AF61" i="7"/>
  <c r="AE61" i="7"/>
  <c r="AB61" i="7"/>
  <c r="AA61" i="7"/>
  <c r="Z61" i="7"/>
  <c r="Y61" i="7"/>
  <c r="X61" i="7"/>
  <c r="W61" i="7"/>
  <c r="P61" i="7"/>
  <c r="O61" i="7"/>
  <c r="AD61" i="7" s="1"/>
  <c r="N61" i="7"/>
  <c r="M61" i="7"/>
  <c r="AP60" i="7"/>
  <c r="AI60" i="7"/>
  <c r="AH60" i="7"/>
  <c r="AF60" i="7"/>
  <c r="AE60" i="7"/>
  <c r="AC60" i="7"/>
  <c r="AB60" i="7"/>
  <c r="AA60" i="7"/>
  <c r="Z60" i="7"/>
  <c r="Y60" i="7"/>
  <c r="X60" i="7"/>
  <c r="W60" i="7"/>
  <c r="P60" i="7"/>
  <c r="O60" i="7"/>
  <c r="N60" i="7"/>
  <c r="AO60" i="7" s="1"/>
  <c r="AV60" i="7" s="1"/>
  <c r="M60" i="7"/>
  <c r="AI59" i="7"/>
  <c r="AH59" i="7"/>
  <c r="W59" i="7"/>
  <c r="AP58" i="7"/>
  <c r="AI58" i="7"/>
  <c r="AT58" i="7" s="1"/>
  <c r="AH58" i="7"/>
  <c r="AF58" i="7"/>
  <c r="AE58" i="7"/>
  <c r="AA58" i="7"/>
  <c r="Z58" i="7"/>
  <c r="Y58" i="7"/>
  <c r="X58" i="7"/>
  <c r="W58" i="7"/>
  <c r="P58" i="7"/>
  <c r="O58" i="7"/>
  <c r="AD58" i="7" s="1"/>
  <c r="N58" i="7"/>
  <c r="AC58" i="7" s="1"/>
  <c r="M58" i="7"/>
  <c r="AQ57" i="7"/>
  <c r="AP57" i="7"/>
  <c r="AI57" i="7"/>
  <c r="AH57" i="7"/>
  <c r="AF57" i="7"/>
  <c r="AE57" i="7"/>
  <c r="AB57" i="7"/>
  <c r="AA57" i="7"/>
  <c r="Z57" i="7"/>
  <c r="Y57" i="7"/>
  <c r="X57" i="7"/>
  <c r="W57" i="7"/>
  <c r="P57" i="7"/>
  <c r="O57" i="7"/>
  <c r="AD57" i="7" s="1"/>
  <c r="N57" i="7"/>
  <c r="M57" i="7"/>
  <c r="AP56" i="7"/>
  <c r="AI56" i="7"/>
  <c r="AT56" i="7" s="1"/>
  <c r="AH56" i="7"/>
  <c r="AF56" i="7"/>
  <c r="AE56" i="7"/>
  <c r="AC56" i="7"/>
  <c r="AB56" i="7"/>
  <c r="AA56" i="7"/>
  <c r="Z56" i="7"/>
  <c r="Y56" i="7"/>
  <c r="X56" i="7"/>
  <c r="W56" i="7"/>
  <c r="P56" i="7"/>
  <c r="O56" i="7"/>
  <c r="AD56" i="7" s="1"/>
  <c r="N56" i="7"/>
  <c r="AO56" i="7" s="1"/>
  <c r="AV56" i="7" s="1"/>
  <c r="M56" i="7"/>
  <c r="AI55" i="7"/>
  <c r="AH55" i="7"/>
  <c r="W55" i="7"/>
  <c r="AP54" i="7"/>
  <c r="AI54" i="7"/>
  <c r="AT54" i="7" s="1"/>
  <c r="AH54" i="7"/>
  <c r="AF54" i="7"/>
  <c r="AE54" i="7"/>
  <c r="AA54" i="7"/>
  <c r="Z54" i="7"/>
  <c r="Y54" i="7"/>
  <c r="X54" i="7"/>
  <c r="W54" i="7"/>
  <c r="P54" i="7"/>
  <c r="O54" i="7"/>
  <c r="AD54" i="7" s="1"/>
  <c r="N54" i="7"/>
  <c r="AC54" i="7" s="1"/>
  <c r="M54" i="7"/>
  <c r="AI53" i="7"/>
  <c r="AH53" i="7"/>
  <c r="AF53" i="7"/>
  <c r="AE53" i="7"/>
  <c r="AB53" i="7"/>
  <c r="AA53" i="7"/>
  <c r="Z53" i="7"/>
  <c r="Y53" i="7"/>
  <c r="X53" i="7"/>
  <c r="W53" i="7"/>
  <c r="P53" i="7"/>
  <c r="O53" i="7"/>
  <c r="AD53" i="7" s="1"/>
  <c r="N53" i="7"/>
  <c r="M53" i="7"/>
  <c r="AT52" i="7"/>
  <c r="AI52" i="7"/>
  <c r="AH52" i="7"/>
  <c r="AF52" i="7"/>
  <c r="AE52" i="7"/>
  <c r="AC52" i="7"/>
  <c r="AB52" i="7"/>
  <c r="AA52" i="7"/>
  <c r="Z52" i="7"/>
  <c r="Y52" i="7"/>
  <c r="X52" i="7"/>
  <c r="W52" i="7"/>
  <c r="P52" i="7"/>
  <c r="O52" i="7"/>
  <c r="AD52" i="7" s="1"/>
  <c r="N52" i="7"/>
  <c r="AO52" i="7" s="1"/>
  <c r="M52" i="7"/>
  <c r="AT51" i="7"/>
  <c r="AJ51" i="7"/>
  <c r="AI51" i="7"/>
  <c r="AN51" i="7" s="1"/>
  <c r="AH51" i="7"/>
  <c r="AF51" i="7"/>
  <c r="AE51" i="7"/>
  <c r="AD51" i="7"/>
  <c r="AC51" i="7"/>
  <c r="AB51" i="7"/>
  <c r="AA51" i="7"/>
  <c r="Z51" i="7"/>
  <c r="Y51" i="7"/>
  <c r="X51" i="7"/>
  <c r="W51" i="7"/>
  <c r="P51" i="7"/>
  <c r="O51" i="7"/>
  <c r="N51" i="7"/>
  <c r="M51" i="7"/>
  <c r="AI50" i="7"/>
  <c r="AH50" i="7"/>
  <c r="W50" i="7"/>
  <c r="AP49" i="7"/>
  <c r="AI49" i="7"/>
  <c r="AH49" i="7"/>
  <c r="AF49" i="7"/>
  <c r="AE49" i="7"/>
  <c r="AB49" i="7"/>
  <c r="AA49" i="7"/>
  <c r="Z49" i="7"/>
  <c r="Y49" i="7"/>
  <c r="X49" i="7"/>
  <c r="W49" i="7"/>
  <c r="P49" i="7"/>
  <c r="O49" i="7"/>
  <c r="AD49" i="7" s="1"/>
  <c r="N49" i="7"/>
  <c r="M49" i="7"/>
  <c r="AT48" i="7"/>
  <c r="AI48" i="7"/>
  <c r="AH48" i="7"/>
  <c r="AF48" i="7"/>
  <c r="AE48" i="7"/>
  <c r="AC48" i="7"/>
  <c r="AB48" i="7"/>
  <c r="AA48" i="7"/>
  <c r="Z48" i="7"/>
  <c r="Y48" i="7"/>
  <c r="X48" i="7"/>
  <c r="W48" i="7"/>
  <c r="P48" i="7"/>
  <c r="O48" i="7"/>
  <c r="AD48" i="7" s="1"/>
  <c r="N48" i="7"/>
  <c r="AO48" i="7" s="1"/>
  <c r="M48" i="7"/>
  <c r="AP47" i="7"/>
  <c r="AO47" i="7"/>
  <c r="AV47" i="7" s="1"/>
  <c r="AI47" i="7"/>
  <c r="AT47" i="7" s="1"/>
  <c r="AH47" i="7"/>
  <c r="AF47" i="7"/>
  <c r="AE47" i="7"/>
  <c r="AD47" i="7"/>
  <c r="AC47" i="7"/>
  <c r="AB47" i="7"/>
  <c r="AA47" i="7"/>
  <c r="Z47" i="7"/>
  <c r="Y47" i="7"/>
  <c r="X47" i="7"/>
  <c r="W47" i="7"/>
  <c r="P47" i="7"/>
  <c r="O47" i="7"/>
  <c r="N47" i="7"/>
  <c r="M47" i="7"/>
  <c r="AT46" i="7"/>
  <c r="AJ46" i="7"/>
  <c r="AI46" i="7"/>
  <c r="AH46" i="7"/>
  <c r="AF46" i="7"/>
  <c r="AE46" i="7"/>
  <c r="AD46" i="7"/>
  <c r="AC46" i="7"/>
  <c r="AA46" i="7"/>
  <c r="Z46" i="7"/>
  <c r="Y46" i="7"/>
  <c r="X46" i="7"/>
  <c r="W46" i="7"/>
  <c r="P46" i="7"/>
  <c r="O46" i="7"/>
  <c r="N46" i="7"/>
  <c r="M46" i="7"/>
  <c r="AI45" i="7"/>
  <c r="AH45" i="7"/>
  <c r="W45" i="7"/>
  <c r="AT44" i="7"/>
  <c r="AI44" i="7"/>
  <c r="AH44" i="7"/>
  <c r="AF44" i="7"/>
  <c r="AE44" i="7"/>
  <c r="AC44" i="7"/>
  <c r="AB44" i="7"/>
  <c r="AA44" i="7"/>
  <c r="Z44" i="7"/>
  <c r="Y44" i="7"/>
  <c r="X44" i="7"/>
  <c r="W44" i="7"/>
  <c r="P44" i="7"/>
  <c r="O44" i="7"/>
  <c r="AD44" i="7" s="1"/>
  <c r="N44" i="7"/>
  <c r="AO44" i="7" s="1"/>
  <c r="M44" i="7"/>
  <c r="AT43" i="7"/>
  <c r="AJ43" i="7"/>
  <c r="AI43" i="7"/>
  <c r="AN43" i="7" s="1"/>
  <c r="AH43" i="7"/>
  <c r="AF43" i="7"/>
  <c r="AE43" i="7"/>
  <c r="AD43" i="7"/>
  <c r="AC43" i="7"/>
  <c r="AB43" i="7"/>
  <c r="AA43" i="7"/>
  <c r="Z43" i="7"/>
  <c r="Y43" i="7"/>
  <c r="X43" i="7"/>
  <c r="W43" i="7"/>
  <c r="P43" i="7"/>
  <c r="O43" i="7"/>
  <c r="N43" i="7"/>
  <c r="M43" i="7"/>
  <c r="AI42" i="7"/>
  <c r="AH42" i="7"/>
  <c r="W42" i="7"/>
  <c r="AI41" i="7"/>
  <c r="AH41" i="7"/>
  <c r="AF41" i="7"/>
  <c r="AE41" i="7"/>
  <c r="AB41" i="7"/>
  <c r="AA41" i="7"/>
  <c r="Z41" i="7"/>
  <c r="Y41" i="7"/>
  <c r="X41" i="7"/>
  <c r="W41" i="7"/>
  <c r="P41" i="7"/>
  <c r="O41" i="7"/>
  <c r="AD41" i="7" s="1"/>
  <c r="N41" i="7"/>
  <c r="M41" i="7"/>
  <c r="AI40" i="7"/>
  <c r="AH40" i="7"/>
  <c r="W40" i="7"/>
  <c r="AT39" i="7"/>
  <c r="AO39" i="7"/>
  <c r="AI39" i="7"/>
  <c r="AH39" i="7"/>
  <c r="AF39" i="7"/>
  <c r="AE39" i="7"/>
  <c r="AD39" i="7"/>
  <c r="AA39" i="7"/>
  <c r="Z39" i="7"/>
  <c r="Y39" i="7"/>
  <c r="X39" i="7"/>
  <c r="W39" i="7"/>
  <c r="P39" i="7"/>
  <c r="O39" i="7"/>
  <c r="N39" i="7"/>
  <c r="AC39" i="7" s="1"/>
  <c r="M39" i="7"/>
  <c r="AI38" i="7"/>
  <c r="AH38" i="7"/>
  <c r="AF38" i="7"/>
  <c r="AE38" i="7"/>
  <c r="AB38" i="7"/>
  <c r="AA38" i="7"/>
  <c r="Z38" i="7"/>
  <c r="Y38" i="7"/>
  <c r="X38" i="7"/>
  <c r="W38" i="7"/>
  <c r="P38" i="7"/>
  <c r="O38" i="7"/>
  <c r="AD38" i="7" s="1"/>
  <c r="N38" i="7"/>
  <c r="M38" i="7"/>
  <c r="AJ37" i="7"/>
  <c r="AI37" i="7"/>
  <c r="AT37" i="7" s="1"/>
  <c r="AH37" i="7"/>
  <c r="AF37" i="7"/>
  <c r="AE37" i="7"/>
  <c r="AC37" i="7"/>
  <c r="AB37" i="7"/>
  <c r="AA37" i="7"/>
  <c r="Z37" i="7"/>
  <c r="Y37" i="7"/>
  <c r="X37" i="7"/>
  <c r="W37" i="7"/>
  <c r="P37" i="7"/>
  <c r="O37" i="7"/>
  <c r="AD37" i="7" s="1"/>
  <c r="N37" i="7"/>
  <c r="M37" i="7"/>
  <c r="AI36" i="7"/>
  <c r="AH36" i="7"/>
  <c r="W36" i="7"/>
  <c r="AT35" i="7"/>
  <c r="AO35" i="7"/>
  <c r="AI35" i="7"/>
  <c r="AH35" i="7"/>
  <c r="AF35" i="7"/>
  <c r="AE35" i="7"/>
  <c r="AD35" i="7"/>
  <c r="AA35" i="7"/>
  <c r="Z35" i="7"/>
  <c r="Y35" i="7"/>
  <c r="X35" i="7"/>
  <c r="W35" i="7"/>
  <c r="P35" i="7"/>
  <c r="O35" i="7"/>
  <c r="N35" i="7"/>
  <c r="AC35" i="7" s="1"/>
  <c r="M35" i="7"/>
  <c r="AI34" i="7"/>
  <c r="AH34" i="7"/>
  <c r="AF34" i="7"/>
  <c r="AE34" i="7"/>
  <c r="AA34" i="7"/>
  <c r="Z34" i="7"/>
  <c r="Y34" i="7"/>
  <c r="X34" i="7"/>
  <c r="W34" i="7"/>
  <c r="P34" i="7"/>
  <c r="O34" i="7"/>
  <c r="AD34" i="7" s="1"/>
  <c r="N34" i="7"/>
  <c r="AC34" i="7" s="1"/>
  <c r="M34" i="7"/>
  <c r="AI33" i="7"/>
  <c r="AH33" i="7"/>
  <c r="W33" i="7"/>
  <c r="AU32" i="7"/>
  <c r="AT32" i="7"/>
  <c r="AO32" i="7"/>
  <c r="AI32" i="7"/>
  <c r="AH32" i="7"/>
  <c r="AF32" i="7"/>
  <c r="AE32" i="7"/>
  <c r="AD32" i="7"/>
  <c r="AA32" i="7"/>
  <c r="Z32" i="7"/>
  <c r="Y32" i="7"/>
  <c r="X32" i="7"/>
  <c r="W32" i="7"/>
  <c r="P32" i="7"/>
  <c r="O32" i="7"/>
  <c r="N32" i="7"/>
  <c r="AC32" i="7" s="1"/>
  <c r="M32" i="7"/>
  <c r="AI31" i="7"/>
  <c r="AH31" i="7"/>
  <c r="W31" i="7"/>
  <c r="AU30" i="7"/>
  <c r="AI30" i="7"/>
  <c r="AT30" i="7" s="1"/>
  <c r="AH30" i="7"/>
  <c r="AF30" i="7"/>
  <c r="AE30" i="7"/>
  <c r="AC30" i="7"/>
  <c r="AB30" i="7"/>
  <c r="AA30" i="7"/>
  <c r="Z30" i="7"/>
  <c r="Y30" i="7"/>
  <c r="X30" i="7"/>
  <c r="W30" i="7"/>
  <c r="P30" i="7"/>
  <c r="O30" i="7"/>
  <c r="AD30" i="7" s="1"/>
  <c r="N30" i="7"/>
  <c r="M30" i="7"/>
  <c r="AP29" i="7"/>
  <c r="AO29" i="7"/>
  <c r="AV29" i="7" s="1"/>
  <c r="AI29" i="7"/>
  <c r="AT29" i="7" s="1"/>
  <c r="AH29" i="7"/>
  <c r="AF29" i="7"/>
  <c r="AE29" i="7"/>
  <c r="AD29" i="7"/>
  <c r="AC29" i="7"/>
  <c r="AA29" i="7"/>
  <c r="Z29" i="7"/>
  <c r="Y29" i="7"/>
  <c r="X29" i="7"/>
  <c r="W29" i="7"/>
  <c r="P29" i="7"/>
  <c r="O29" i="7"/>
  <c r="N29" i="7"/>
  <c r="M29" i="7"/>
  <c r="AI28" i="7"/>
  <c r="AH28" i="7"/>
  <c r="W28" i="7"/>
  <c r="AI27" i="7"/>
  <c r="AN27" i="7" s="1"/>
  <c r="AH27" i="7"/>
  <c r="AF27" i="7"/>
  <c r="AE27" i="7"/>
  <c r="AB27" i="7"/>
  <c r="AA27" i="7"/>
  <c r="Z27" i="7"/>
  <c r="Y27" i="7"/>
  <c r="X27" i="7"/>
  <c r="W27" i="7"/>
  <c r="P27" i="7"/>
  <c r="O27" i="7"/>
  <c r="AD27" i="7" s="1"/>
  <c r="N27" i="7"/>
  <c r="AC27" i="7" s="1"/>
  <c r="M27" i="7"/>
  <c r="AI26" i="7"/>
  <c r="AH26" i="7"/>
  <c r="W26" i="7"/>
  <c r="AT25" i="7"/>
  <c r="AP25" i="7"/>
  <c r="AN25" i="7"/>
  <c r="AI25" i="7"/>
  <c r="AH25" i="7"/>
  <c r="AF25" i="7"/>
  <c r="AE25" i="7"/>
  <c r="AA25" i="7"/>
  <c r="Z25" i="7"/>
  <c r="Y25" i="7"/>
  <c r="X25" i="7"/>
  <c r="W25" i="7"/>
  <c r="P25" i="7"/>
  <c r="O25" i="7"/>
  <c r="AD25" i="7" s="1"/>
  <c r="N25" i="7"/>
  <c r="AC25" i="7" s="1"/>
  <c r="M25" i="7"/>
  <c r="AP24" i="7"/>
  <c r="AI24" i="7"/>
  <c r="AH24" i="7"/>
  <c r="AF24" i="7"/>
  <c r="AE24" i="7"/>
  <c r="AB24" i="7"/>
  <c r="AA24" i="7"/>
  <c r="Z24" i="7"/>
  <c r="Y24" i="7"/>
  <c r="X24" i="7"/>
  <c r="W24" i="7"/>
  <c r="P24" i="7"/>
  <c r="O24" i="7"/>
  <c r="N24" i="7"/>
  <c r="AC24" i="7" s="1"/>
  <c r="M24" i="7"/>
  <c r="AI23" i="7"/>
  <c r="AH23" i="7"/>
  <c r="W23" i="7"/>
  <c r="AV22" i="7"/>
  <c r="AR22" i="7"/>
  <c r="AP22" i="7"/>
  <c r="AN22" i="7"/>
  <c r="AI22" i="7"/>
  <c r="AT22" i="7" s="1"/>
  <c r="AH22" i="7"/>
  <c r="AF22" i="7"/>
  <c r="AE22" i="7"/>
  <c r="AD22" i="7"/>
  <c r="AA22" i="7"/>
  <c r="Z22" i="7"/>
  <c r="Y22" i="7"/>
  <c r="X22" i="7"/>
  <c r="W22" i="7"/>
  <c r="P22" i="7"/>
  <c r="O22" i="7"/>
  <c r="N22" i="7"/>
  <c r="AO22" i="7" s="1"/>
  <c r="M22" i="7"/>
  <c r="AB22" i="7" s="1"/>
  <c r="AI21" i="7"/>
  <c r="AH21" i="7"/>
  <c r="W21" i="7"/>
  <c r="AU20" i="7"/>
  <c r="AQ20" i="7"/>
  <c r="AI20" i="7"/>
  <c r="AT20" i="7" s="1"/>
  <c r="AH20" i="7"/>
  <c r="AF20" i="7"/>
  <c r="AE20" i="7"/>
  <c r="AB20" i="7"/>
  <c r="AA20" i="7"/>
  <c r="Z20" i="7"/>
  <c r="Y20" i="7"/>
  <c r="X20" i="7"/>
  <c r="W20" i="7"/>
  <c r="P20" i="7"/>
  <c r="O20" i="7"/>
  <c r="AD20" i="7" s="1"/>
  <c r="N20" i="7"/>
  <c r="M20" i="7"/>
  <c r="AU19" i="7"/>
  <c r="AI19" i="7"/>
  <c r="AT19" i="7" s="1"/>
  <c r="AH19" i="7"/>
  <c r="AF19" i="7"/>
  <c r="AE19" i="7"/>
  <c r="AC19" i="7"/>
  <c r="AB19" i="7"/>
  <c r="AA19" i="7"/>
  <c r="Z19" i="7"/>
  <c r="Y19" i="7"/>
  <c r="X19" i="7"/>
  <c r="W19" i="7"/>
  <c r="P19" i="7"/>
  <c r="O19" i="7"/>
  <c r="AD19" i="7" s="1"/>
  <c r="N19" i="7"/>
  <c r="M19" i="7"/>
  <c r="AU18" i="7"/>
  <c r="AP18" i="7"/>
  <c r="AI18" i="7"/>
  <c r="AT18" i="7" s="1"/>
  <c r="AH18" i="7"/>
  <c r="AF18" i="7"/>
  <c r="AE18" i="7"/>
  <c r="AD18" i="7"/>
  <c r="AB18" i="7"/>
  <c r="AA18" i="7"/>
  <c r="Z18" i="7"/>
  <c r="Y18" i="7"/>
  <c r="X18" i="7"/>
  <c r="W18" i="7"/>
  <c r="P18" i="7"/>
  <c r="O18" i="7"/>
  <c r="N18" i="7"/>
  <c r="M18" i="7"/>
  <c r="AR18" i="7" s="1"/>
  <c r="AU17" i="7"/>
  <c r="AT17" i="7"/>
  <c r="AP17" i="7"/>
  <c r="AO17" i="7"/>
  <c r="AI17" i="7"/>
  <c r="AH17" i="7"/>
  <c r="AF17" i="7"/>
  <c r="AE17" i="7"/>
  <c r="AC17" i="7"/>
  <c r="AA17" i="7"/>
  <c r="Z17" i="7"/>
  <c r="Y17" i="7"/>
  <c r="X17" i="7"/>
  <c r="W17" i="7"/>
  <c r="P17" i="7"/>
  <c r="O17" i="7"/>
  <c r="N17" i="7"/>
  <c r="M17" i="7"/>
  <c r="AI16" i="7"/>
  <c r="AH16" i="7"/>
  <c r="W16" i="7"/>
  <c r="AT15" i="7"/>
  <c r="AP15" i="7"/>
  <c r="AO15" i="7"/>
  <c r="AV15" i="7" s="1"/>
  <c r="AJ15" i="7"/>
  <c r="AI15" i="7"/>
  <c r="AN15" i="7" s="1"/>
  <c r="AH15" i="7"/>
  <c r="AF15" i="7"/>
  <c r="AE15" i="7"/>
  <c r="AD15" i="7"/>
  <c r="AC15" i="7"/>
  <c r="AA15" i="7"/>
  <c r="Z15" i="7"/>
  <c r="Y15" i="7"/>
  <c r="X15" i="7"/>
  <c r="W15" i="7"/>
  <c r="P15" i="7"/>
  <c r="O15" i="7"/>
  <c r="N15" i="7"/>
  <c r="M15" i="7"/>
  <c r="AU14" i="7"/>
  <c r="AP14" i="7"/>
  <c r="AJ14" i="7"/>
  <c r="AI14" i="7"/>
  <c r="AN14" i="7" s="1"/>
  <c r="AH14" i="7"/>
  <c r="AF14" i="7"/>
  <c r="AE14" i="7"/>
  <c r="AD14" i="7"/>
  <c r="AC14" i="7"/>
  <c r="AA14" i="7"/>
  <c r="Z14" i="7"/>
  <c r="Y14" i="7"/>
  <c r="X14" i="7"/>
  <c r="W14" i="7"/>
  <c r="P14" i="7"/>
  <c r="O14" i="7"/>
  <c r="N14" i="7"/>
  <c r="AO14" i="7" s="1"/>
  <c r="M14" i="7"/>
  <c r="AB14" i="7" s="1"/>
  <c r="AU13" i="7"/>
  <c r="AT13" i="7"/>
  <c r="AO13" i="7"/>
  <c r="AJ13" i="7"/>
  <c r="AI13" i="7"/>
  <c r="AH13" i="7"/>
  <c r="AF13" i="7"/>
  <c r="AE13" i="7"/>
  <c r="AC13" i="7"/>
  <c r="AA13" i="7"/>
  <c r="Z13" i="7"/>
  <c r="Y13" i="7"/>
  <c r="X13" i="7"/>
  <c r="W13" i="7"/>
  <c r="P13" i="7"/>
  <c r="O13" i="7"/>
  <c r="AD13" i="7" s="1"/>
  <c r="N13" i="7"/>
  <c r="M13" i="7"/>
  <c r="AI12" i="7"/>
  <c r="AH12" i="7"/>
  <c r="W12" i="7"/>
  <c r="AT11" i="7"/>
  <c r="AP11" i="7"/>
  <c r="AO11" i="7"/>
  <c r="AV11" i="7" s="1"/>
  <c r="AI11" i="7"/>
  <c r="AN11" i="7" s="1"/>
  <c r="AH11" i="7"/>
  <c r="AF11" i="7"/>
  <c r="AE11" i="7"/>
  <c r="AC11" i="7"/>
  <c r="AB11" i="7"/>
  <c r="AA11" i="7"/>
  <c r="Z11" i="7"/>
  <c r="Y11" i="7"/>
  <c r="X11" i="7"/>
  <c r="W11" i="7"/>
  <c r="P11" i="7"/>
  <c r="O11" i="7"/>
  <c r="AQ11" i="7" s="1"/>
  <c r="N11" i="7"/>
  <c r="M11" i="7"/>
  <c r="AI10" i="7"/>
  <c r="AH10" i="7"/>
  <c r="W10" i="7"/>
  <c r="AT9" i="7"/>
  <c r="AO9" i="7"/>
  <c r="AI9" i="7"/>
  <c r="AH9" i="7"/>
  <c r="AF9" i="7"/>
  <c r="AE9" i="7"/>
  <c r="AC9" i="7"/>
  <c r="AB9" i="7"/>
  <c r="AA9" i="7"/>
  <c r="Z9" i="7"/>
  <c r="Y9" i="7"/>
  <c r="X9" i="7"/>
  <c r="W9" i="7"/>
  <c r="P9" i="7"/>
  <c r="O9" i="7"/>
  <c r="N9" i="7"/>
  <c r="M9" i="7"/>
  <c r="AI8" i="7"/>
  <c r="AH8" i="7"/>
  <c r="W8" i="7"/>
  <c r="AT7" i="7"/>
  <c r="AN7" i="7"/>
  <c r="AI7" i="7"/>
  <c r="AH7" i="7"/>
  <c r="AF7" i="7"/>
  <c r="AE7" i="7"/>
  <c r="AD7" i="7"/>
  <c r="AA7" i="7"/>
  <c r="Z7" i="7"/>
  <c r="Y7" i="7"/>
  <c r="X7" i="7"/>
  <c r="W7" i="7"/>
  <c r="P7" i="7"/>
  <c r="O7" i="7"/>
  <c r="N7" i="7"/>
  <c r="AO7" i="7" s="1"/>
  <c r="M7" i="7"/>
  <c r="AU6" i="7"/>
  <c r="AT6" i="7"/>
  <c r="AN6" i="7"/>
  <c r="AI6" i="7"/>
  <c r="AH6" i="7"/>
  <c r="AF6" i="7"/>
  <c r="AE6" i="7"/>
  <c r="AD6" i="7"/>
  <c r="AA6" i="7"/>
  <c r="Z6" i="7"/>
  <c r="Y6" i="7"/>
  <c r="X6" i="7"/>
  <c r="W6" i="7"/>
  <c r="P6" i="7"/>
  <c r="O6" i="7"/>
  <c r="N6" i="7"/>
  <c r="AO6" i="7" s="1"/>
  <c r="M6" i="7"/>
  <c r="AI5" i="7"/>
  <c r="AH5" i="7"/>
  <c r="W5" i="7"/>
  <c r="AI4" i="7"/>
  <c r="AU3" i="7"/>
  <c r="AI3" i="7"/>
  <c r="AH3" i="7"/>
  <c r="AN2" i="7"/>
  <c r="AN35" i="7" s="1"/>
  <c r="AM2" i="7"/>
  <c r="AL2" i="7"/>
  <c r="AK2" i="7"/>
  <c r="AJ2" i="7"/>
  <c r="AJ96" i="7" s="1"/>
  <c r="AA2" i="7"/>
  <c r="A2" i="7"/>
  <c r="AU1" i="7"/>
  <c r="AU95" i="7" s="1"/>
  <c r="AR1" i="7"/>
  <c r="AR95" i="7" s="1"/>
  <c r="AQ1" i="7"/>
  <c r="AQ82" i="7" s="1"/>
  <c r="AP1" i="7"/>
  <c r="AP71" i="7" s="1"/>
  <c r="AO1" i="7"/>
  <c r="AO19" i="7" s="1"/>
  <c r="AJ1" i="7"/>
  <c r="AA1" i="7"/>
  <c r="A1" i="7"/>
  <c r="AH1" i="7" s="1"/>
  <c r="AH2" i="7" s="1"/>
  <c r="AT16" i="6"/>
  <c r="AP16" i="6"/>
  <c r="AJ16" i="6"/>
  <c r="AI16" i="6"/>
  <c r="AH16" i="6"/>
  <c r="AF16" i="6"/>
  <c r="AE16" i="6"/>
  <c r="AD16" i="6"/>
  <c r="AC16" i="6"/>
  <c r="AA16" i="6"/>
  <c r="Z16" i="6"/>
  <c r="Y16" i="6"/>
  <c r="X16" i="6"/>
  <c r="W16" i="6"/>
  <c r="P16" i="6"/>
  <c r="O16" i="6"/>
  <c r="N16" i="6"/>
  <c r="AO16" i="6" s="1"/>
  <c r="AV16" i="6" s="1"/>
  <c r="M16" i="6"/>
  <c r="AU15" i="6"/>
  <c r="AT15" i="6"/>
  <c r="AP15" i="6"/>
  <c r="AI15" i="6"/>
  <c r="AH15" i="6"/>
  <c r="AF15" i="6"/>
  <c r="AE15" i="6"/>
  <c r="AD15" i="6"/>
  <c r="AA15" i="6"/>
  <c r="Z15" i="6"/>
  <c r="Y15" i="6"/>
  <c r="X15" i="6"/>
  <c r="W15" i="6"/>
  <c r="P15" i="6"/>
  <c r="O15" i="6"/>
  <c r="N15" i="6"/>
  <c r="AO15" i="6" s="1"/>
  <c r="AV15" i="6" s="1"/>
  <c r="M15" i="6"/>
  <c r="AV14" i="6"/>
  <c r="AU14" i="6"/>
  <c r="AP14" i="6"/>
  <c r="AO14" i="6"/>
  <c r="AI14" i="6"/>
  <c r="AH14" i="6"/>
  <c r="AF14" i="6"/>
  <c r="AE14" i="6"/>
  <c r="AA14" i="6"/>
  <c r="Z14" i="6"/>
  <c r="Y14" i="6"/>
  <c r="X14" i="6"/>
  <c r="W14" i="6"/>
  <c r="P14" i="6"/>
  <c r="O14" i="6"/>
  <c r="AQ14" i="6" s="1"/>
  <c r="N14" i="6"/>
  <c r="AC14" i="6" s="1"/>
  <c r="M14" i="6"/>
  <c r="AI13" i="6"/>
  <c r="AH13" i="6"/>
  <c r="W13" i="6"/>
  <c r="AU12" i="6"/>
  <c r="AT12" i="6"/>
  <c r="AP12" i="6"/>
  <c r="AJ12" i="6"/>
  <c r="AI12" i="6"/>
  <c r="AH12" i="6"/>
  <c r="AF12" i="6"/>
  <c r="AE12" i="6"/>
  <c r="AD12" i="6"/>
  <c r="AC12" i="6"/>
  <c r="AA12" i="6"/>
  <c r="Z12" i="6"/>
  <c r="Y12" i="6"/>
  <c r="X12" i="6"/>
  <c r="W12" i="6"/>
  <c r="P12" i="6"/>
  <c r="O12" i="6"/>
  <c r="N12" i="6"/>
  <c r="AO12" i="6" s="1"/>
  <c r="AV12" i="6" s="1"/>
  <c r="M12" i="6"/>
  <c r="AR12" i="6" s="1"/>
  <c r="AU11" i="6"/>
  <c r="AT11" i="6"/>
  <c r="AP11" i="6"/>
  <c r="AI11" i="6"/>
  <c r="AH11" i="6"/>
  <c r="AF11" i="6"/>
  <c r="AE11" i="6"/>
  <c r="AD11" i="6"/>
  <c r="AA11" i="6"/>
  <c r="Z11" i="6"/>
  <c r="Y11" i="6"/>
  <c r="X11" i="6"/>
  <c r="W11" i="6"/>
  <c r="P11" i="6"/>
  <c r="O11" i="6"/>
  <c r="N11" i="6"/>
  <c r="AO11" i="6" s="1"/>
  <c r="AV11" i="6" s="1"/>
  <c r="M11" i="6"/>
  <c r="AU10" i="6"/>
  <c r="AP10" i="6"/>
  <c r="AO10" i="6"/>
  <c r="AV10" i="6" s="1"/>
  <c r="AI10" i="6"/>
  <c r="AH10" i="6"/>
  <c r="AF10" i="6"/>
  <c r="AE10" i="6"/>
  <c r="AA10" i="6"/>
  <c r="Z10" i="6"/>
  <c r="Y10" i="6"/>
  <c r="X10" i="6"/>
  <c r="W10" i="6"/>
  <c r="P10" i="6"/>
  <c r="O10" i="6"/>
  <c r="N10" i="6"/>
  <c r="AC10" i="6" s="1"/>
  <c r="M10" i="6"/>
  <c r="AT9" i="6"/>
  <c r="AP9" i="6"/>
  <c r="AJ9" i="6"/>
  <c r="AI9" i="6"/>
  <c r="AH9" i="6"/>
  <c r="AF9" i="6"/>
  <c r="AE9" i="6"/>
  <c r="AB9" i="6"/>
  <c r="AA9" i="6"/>
  <c r="Z9" i="6"/>
  <c r="Y9" i="6"/>
  <c r="X9" i="6"/>
  <c r="W9" i="6"/>
  <c r="P9" i="6"/>
  <c r="O9" i="6"/>
  <c r="AQ9" i="6" s="1"/>
  <c r="N9" i="6"/>
  <c r="M9" i="6"/>
  <c r="AU8" i="6"/>
  <c r="AT8" i="6"/>
  <c r="AP8" i="6"/>
  <c r="AI8" i="6"/>
  <c r="AH8" i="6"/>
  <c r="AF8" i="6"/>
  <c r="AE8" i="6"/>
  <c r="AC8" i="6"/>
  <c r="AB8" i="6"/>
  <c r="AA8" i="6"/>
  <c r="Z8" i="6"/>
  <c r="Y8" i="6"/>
  <c r="X8" i="6"/>
  <c r="W8" i="6"/>
  <c r="P8" i="6"/>
  <c r="O8" i="6"/>
  <c r="AD8" i="6" s="1"/>
  <c r="N8" i="6"/>
  <c r="AO8" i="6" s="1"/>
  <c r="AV8" i="6" s="1"/>
  <c r="M8" i="6"/>
  <c r="AI7" i="6"/>
  <c r="AH7" i="6"/>
  <c r="W7" i="6"/>
  <c r="AV6" i="6"/>
  <c r="AU6" i="6"/>
  <c r="AP6" i="6"/>
  <c r="AO6" i="6"/>
  <c r="AI6" i="6"/>
  <c r="AH6" i="6"/>
  <c r="AF6" i="6"/>
  <c r="AE6" i="6"/>
  <c r="AA6" i="6"/>
  <c r="Z6" i="6"/>
  <c r="Y6" i="6"/>
  <c r="X6" i="6"/>
  <c r="W6" i="6"/>
  <c r="P6" i="6"/>
  <c r="O6" i="6"/>
  <c r="N6" i="6"/>
  <c r="AC6" i="6" s="1"/>
  <c r="M6" i="6"/>
  <c r="AI5" i="6"/>
  <c r="AH5" i="6"/>
  <c r="W5" i="6"/>
  <c r="AI4" i="6"/>
  <c r="AU3" i="6"/>
  <c r="AI3" i="6"/>
  <c r="AH3" i="6"/>
  <c r="AN2" i="6"/>
  <c r="AN8" i="6" s="1"/>
  <c r="AM2" i="6"/>
  <c r="AL2" i="6"/>
  <c r="AK2" i="6"/>
  <c r="AJ2" i="6"/>
  <c r="AJ8" i="6" s="1"/>
  <c r="AA2" i="6"/>
  <c r="A2" i="6"/>
  <c r="AU1" i="6"/>
  <c r="AU16" i="6" s="1"/>
  <c r="AR1" i="6"/>
  <c r="AR9" i="6" s="1"/>
  <c r="AQ1" i="6"/>
  <c r="AQ3" i="6" s="1"/>
  <c r="AP1" i="6"/>
  <c r="AP3" i="6" s="1"/>
  <c r="AO1" i="6"/>
  <c r="AO3" i="6" s="1"/>
  <c r="AA1" i="6"/>
  <c r="A1" i="6"/>
  <c r="AJ1" i="6" s="1"/>
  <c r="B63" i="3"/>
  <c r="B61" i="3"/>
  <c r="D59" i="3"/>
  <c r="A55" i="3"/>
  <c r="A68" i="3" s="1"/>
  <c r="A53" i="3"/>
  <c r="A66" i="3" s="1"/>
  <c r="A47" i="3"/>
  <c r="A60" i="3" s="1"/>
  <c r="R46" i="3"/>
  <c r="R59" i="3" s="1"/>
  <c r="L46" i="3"/>
  <c r="L59" i="3" s="1"/>
  <c r="C43" i="3"/>
  <c r="C56" i="3" s="1"/>
  <c r="C69" i="3" s="1"/>
  <c r="C42" i="3"/>
  <c r="C55" i="3" s="1"/>
  <c r="C68" i="3" s="1"/>
  <c r="C41" i="3"/>
  <c r="C54" i="3" s="1"/>
  <c r="C67" i="3" s="1"/>
  <c r="C40" i="3"/>
  <c r="C53" i="3" s="1"/>
  <c r="C66" i="3" s="1"/>
  <c r="C39" i="3"/>
  <c r="C52" i="3" s="1"/>
  <c r="C65" i="3" s="1"/>
  <c r="C38" i="3"/>
  <c r="C51" i="3" s="1"/>
  <c r="C64" i="3" s="1"/>
  <c r="C37" i="3"/>
  <c r="C50" i="3" s="1"/>
  <c r="C63" i="3" s="1"/>
  <c r="C36" i="3"/>
  <c r="C49" i="3" s="1"/>
  <c r="C62" i="3" s="1"/>
  <c r="C35" i="3"/>
  <c r="C48" i="3" s="1"/>
  <c r="C61" i="3" s="1"/>
  <c r="C34" i="3"/>
  <c r="C47" i="3" s="1"/>
  <c r="C60" i="3" s="1"/>
  <c r="C30" i="3"/>
  <c r="B30" i="3"/>
  <c r="B43" i="3" s="1"/>
  <c r="B56" i="3" s="1"/>
  <c r="B69" i="3" s="1"/>
  <c r="A30" i="3"/>
  <c r="A43" i="3" s="1"/>
  <c r="A56" i="3" s="1"/>
  <c r="A69" i="3" s="1"/>
  <c r="C29" i="3"/>
  <c r="B29" i="3"/>
  <c r="B42" i="3" s="1"/>
  <c r="B55" i="3" s="1"/>
  <c r="B68" i="3" s="1"/>
  <c r="A29" i="3"/>
  <c r="A42" i="3" s="1"/>
  <c r="C28" i="3"/>
  <c r="B28" i="3"/>
  <c r="B41" i="3" s="1"/>
  <c r="B54" i="3" s="1"/>
  <c r="B67" i="3" s="1"/>
  <c r="A28" i="3"/>
  <c r="A41" i="3" s="1"/>
  <c r="A54" i="3" s="1"/>
  <c r="A67" i="3" s="1"/>
  <c r="C27" i="3"/>
  <c r="B27" i="3"/>
  <c r="B40" i="3" s="1"/>
  <c r="B53" i="3" s="1"/>
  <c r="B66" i="3" s="1"/>
  <c r="A27" i="3"/>
  <c r="A40" i="3" s="1"/>
  <c r="C26" i="3"/>
  <c r="B26" i="3"/>
  <c r="B39" i="3" s="1"/>
  <c r="B52" i="3" s="1"/>
  <c r="B65" i="3" s="1"/>
  <c r="A26" i="3"/>
  <c r="A39" i="3" s="1"/>
  <c r="A52" i="3" s="1"/>
  <c r="A65" i="3" s="1"/>
  <c r="C25" i="3"/>
  <c r="B25" i="3"/>
  <c r="B38" i="3" s="1"/>
  <c r="B51" i="3" s="1"/>
  <c r="B64" i="3" s="1"/>
  <c r="A25" i="3"/>
  <c r="A38" i="3" s="1"/>
  <c r="A51" i="3" s="1"/>
  <c r="A64" i="3" s="1"/>
  <c r="C24" i="3"/>
  <c r="B24" i="3"/>
  <c r="B37" i="3" s="1"/>
  <c r="B50" i="3" s="1"/>
  <c r="A24" i="3"/>
  <c r="A37" i="3" s="1"/>
  <c r="A50" i="3" s="1"/>
  <c r="A63" i="3" s="1"/>
  <c r="C23" i="3"/>
  <c r="B23" i="3"/>
  <c r="B36" i="3" s="1"/>
  <c r="B49" i="3" s="1"/>
  <c r="B62" i="3" s="1"/>
  <c r="A23" i="3"/>
  <c r="A36" i="3" s="1"/>
  <c r="A49" i="3" s="1"/>
  <c r="A62" i="3" s="1"/>
  <c r="C22" i="3"/>
  <c r="B22" i="3"/>
  <c r="B35" i="3" s="1"/>
  <c r="B48" i="3" s="1"/>
  <c r="A22" i="3"/>
  <c r="A35" i="3" s="1"/>
  <c r="A48" i="3" s="1"/>
  <c r="A61" i="3" s="1"/>
  <c r="C21" i="3"/>
  <c r="B21" i="3"/>
  <c r="B34" i="3" s="1"/>
  <c r="B47" i="3" s="1"/>
  <c r="B60" i="3" s="1"/>
  <c r="A21" i="3"/>
  <c r="A34" i="3" s="1"/>
  <c r="V20" i="3"/>
  <c r="V33" i="3" s="1"/>
  <c r="V46" i="3" s="1"/>
  <c r="V59" i="3" s="1"/>
  <c r="S20" i="3"/>
  <c r="S33" i="3" s="1"/>
  <c r="S46" i="3" s="1"/>
  <c r="S59" i="3" s="1"/>
  <c r="P20" i="3"/>
  <c r="P33" i="3" s="1"/>
  <c r="P46" i="3" s="1"/>
  <c r="P59" i="3" s="1"/>
  <c r="M20" i="3"/>
  <c r="M33" i="3" s="1"/>
  <c r="M46" i="3" s="1"/>
  <c r="M59" i="3" s="1"/>
  <c r="J20" i="3"/>
  <c r="J33" i="3" s="1"/>
  <c r="J46" i="3" s="1"/>
  <c r="J59" i="3" s="1"/>
  <c r="D20" i="3"/>
  <c r="D33" i="3" s="1"/>
  <c r="D46" i="3" s="1"/>
  <c r="W7" i="3"/>
  <c r="W20" i="3" s="1"/>
  <c r="W33" i="3" s="1"/>
  <c r="W46" i="3" s="1"/>
  <c r="W59" i="3" s="1"/>
  <c r="V7" i="3"/>
  <c r="U7" i="3"/>
  <c r="U20" i="3" s="1"/>
  <c r="U33" i="3" s="1"/>
  <c r="U46" i="3" s="1"/>
  <c r="U59" i="3" s="1"/>
  <c r="T7" i="3"/>
  <c r="T20" i="3" s="1"/>
  <c r="T33" i="3" s="1"/>
  <c r="T46" i="3" s="1"/>
  <c r="T59" i="3" s="1"/>
  <c r="S7" i="3"/>
  <c r="R7" i="3"/>
  <c r="R20" i="3" s="1"/>
  <c r="R33" i="3" s="1"/>
  <c r="Q7" i="3"/>
  <c r="Q20" i="3" s="1"/>
  <c r="Q33" i="3" s="1"/>
  <c r="Q46" i="3" s="1"/>
  <c r="Q59" i="3" s="1"/>
  <c r="P7" i="3"/>
  <c r="O7" i="3"/>
  <c r="O20" i="3" s="1"/>
  <c r="O33" i="3" s="1"/>
  <c r="O46" i="3" s="1"/>
  <c r="O59" i="3" s="1"/>
  <c r="N7" i="3"/>
  <c r="N20" i="3" s="1"/>
  <c r="N33" i="3" s="1"/>
  <c r="N46" i="3" s="1"/>
  <c r="N59" i="3" s="1"/>
  <c r="M7" i="3"/>
  <c r="L7" i="3"/>
  <c r="L20" i="3" s="1"/>
  <c r="L33" i="3" s="1"/>
  <c r="K7" i="3"/>
  <c r="K20" i="3" s="1"/>
  <c r="K33" i="3" s="1"/>
  <c r="K46" i="3" s="1"/>
  <c r="K59" i="3" s="1"/>
  <c r="J7" i="3"/>
  <c r="I7" i="3"/>
  <c r="I20" i="3" s="1"/>
  <c r="I33" i="3" s="1"/>
  <c r="I46" i="3" s="1"/>
  <c r="I59" i="3" s="1"/>
  <c r="H7" i="3"/>
  <c r="H20" i="3" s="1"/>
  <c r="H33" i="3" s="1"/>
  <c r="H46" i="3" s="1"/>
  <c r="H59" i="3" s="1"/>
  <c r="G7" i="3"/>
  <c r="G20" i="3" s="1"/>
  <c r="G33" i="3" s="1"/>
  <c r="G46" i="3" s="1"/>
  <c r="G59" i="3" s="1"/>
  <c r="F7" i="3"/>
  <c r="F20" i="3" s="1"/>
  <c r="F33" i="3" s="1"/>
  <c r="F46" i="3" s="1"/>
  <c r="F59" i="3" s="1"/>
  <c r="E7" i="3"/>
  <c r="E20" i="3" s="1"/>
  <c r="E33" i="3" s="1"/>
  <c r="E46" i="3" s="1"/>
  <c r="E59" i="3" s="1"/>
  <c r="P331" i="2"/>
  <c r="O331" i="2"/>
  <c r="N331" i="2"/>
  <c r="M331" i="2"/>
  <c r="P330" i="2"/>
  <c r="O330" i="2"/>
  <c r="N330" i="2"/>
  <c r="M330" i="2"/>
  <c r="P329" i="2"/>
  <c r="O329" i="2"/>
  <c r="N329" i="2"/>
  <c r="M329" i="2"/>
  <c r="P328" i="2"/>
  <c r="O328" i="2"/>
  <c r="N328" i="2"/>
  <c r="M328" i="2"/>
  <c r="P327" i="2"/>
  <c r="O327" i="2"/>
  <c r="N327" i="2"/>
  <c r="M327" i="2"/>
  <c r="P326" i="2"/>
  <c r="O326" i="2"/>
  <c r="N326" i="2"/>
  <c r="M326" i="2"/>
  <c r="P325" i="2"/>
  <c r="O325" i="2"/>
  <c r="N325" i="2"/>
  <c r="M325" i="2"/>
  <c r="P324" i="2"/>
  <c r="O324" i="2"/>
  <c r="N324" i="2"/>
  <c r="M324" i="2"/>
  <c r="P323" i="2"/>
  <c r="O323" i="2"/>
  <c r="N323" i="2"/>
  <c r="M323" i="2"/>
  <c r="P322" i="2"/>
  <c r="O322" i="2"/>
  <c r="N322" i="2"/>
  <c r="M322" i="2"/>
  <c r="P321" i="2"/>
  <c r="O321" i="2"/>
  <c r="N321" i="2"/>
  <c r="M321" i="2"/>
  <c r="P320" i="2"/>
  <c r="O320" i="2"/>
  <c r="N320" i="2"/>
  <c r="M320" i="2"/>
  <c r="P319" i="2"/>
  <c r="O319" i="2"/>
  <c r="N319" i="2"/>
  <c r="M319" i="2"/>
  <c r="P318" i="2"/>
  <c r="O318" i="2"/>
  <c r="N318" i="2"/>
  <c r="M318" i="2"/>
  <c r="P317" i="2"/>
  <c r="O317" i="2"/>
  <c r="N317" i="2"/>
  <c r="M317" i="2"/>
  <c r="P316" i="2"/>
  <c r="O316" i="2"/>
  <c r="N316" i="2"/>
  <c r="M316" i="2"/>
  <c r="P315" i="2"/>
  <c r="O315" i="2"/>
  <c r="N315" i="2"/>
  <c r="M315" i="2"/>
  <c r="P314" i="2"/>
  <c r="O314" i="2"/>
  <c r="N314" i="2"/>
  <c r="M314" i="2"/>
  <c r="P313" i="2"/>
  <c r="O313" i="2"/>
  <c r="N313" i="2"/>
  <c r="M313" i="2"/>
  <c r="P312" i="2"/>
  <c r="O312" i="2"/>
  <c r="N312" i="2"/>
  <c r="M312" i="2"/>
  <c r="P311" i="2"/>
  <c r="O311" i="2"/>
  <c r="N311" i="2"/>
  <c r="M311" i="2"/>
  <c r="P310" i="2"/>
  <c r="O310" i="2"/>
  <c r="N310" i="2"/>
  <c r="M310" i="2"/>
  <c r="P309" i="2"/>
  <c r="O309" i="2"/>
  <c r="N309" i="2"/>
  <c r="M309" i="2"/>
  <c r="P308" i="2"/>
  <c r="O308" i="2"/>
  <c r="N308" i="2"/>
  <c r="M308" i="2"/>
  <c r="P307" i="2"/>
  <c r="O307" i="2"/>
  <c r="N307" i="2"/>
  <c r="M307" i="2"/>
  <c r="P306" i="2"/>
  <c r="O306" i="2"/>
  <c r="N306" i="2"/>
  <c r="M306" i="2"/>
  <c r="P305" i="2"/>
  <c r="O305" i="2"/>
  <c r="N305" i="2"/>
  <c r="M305" i="2"/>
  <c r="P304" i="2"/>
  <c r="O304" i="2"/>
  <c r="N304" i="2"/>
  <c r="M304" i="2"/>
  <c r="P303" i="2"/>
  <c r="O303" i="2"/>
  <c r="N303" i="2"/>
  <c r="M303" i="2"/>
  <c r="P302" i="2"/>
  <c r="O302" i="2"/>
  <c r="N302" i="2"/>
  <c r="M302" i="2"/>
  <c r="P301" i="2"/>
  <c r="O301" i="2"/>
  <c r="N301" i="2"/>
  <c r="M301" i="2"/>
  <c r="P300" i="2"/>
  <c r="O300" i="2"/>
  <c r="N300" i="2"/>
  <c r="M300" i="2"/>
  <c r="P299" i="2"/>
  <c r="O299" i="2"/>
  <c r="N299" i="2"/>
  <c r="M299" i="2"/>
  <c r="P298" i="2"/>
  <c r="O298" i="2"/>
  <c r="N298" i="2"/>
  <c r="M298" i="2"/>
  <c r="P297" i="2"/>
  <c r="O297" i="2"/>
  <c r="N297" i="2"/>
  <c r="M297" i="2"/>
  <c r="P296" i="2"/>
  <c r="O296" i="2"/>
  <c r="N296" i="2"/>
  <c r="M296" i="2"/>
  <c r="P295" i="2"/>
  <c r="O295" i="2"/>
  <c r="N295" i="2"/>
  <c r="M295" i="2"/>
  <c r="P294" i="2"/>
  <c r="O294" i="2"/>
  <c r="N294" i="2"/>
  <c r="M294" i="2"/>
  <c r="P293" i="2"/>
  <c r="O293" i="2"/>
  <c r="N293" i="2"/>
  <c r="M293" i="2"/>
  <c r="P292" i="2"/>
  <c r="O292" i="2"/>
  <c r="N292" i="2"/>
  <c r="M292" i="2"/>
  <c r="P291" i="2"/>
  <c r="O291" i="2"/>
  <c r="N291" i="2"/>
  <c r="M291" i="2"/>
  <c r="P290" i="2"/>
  <c r="O290" i="2"/>
  <c r="N290" i="2"/>
  <c r="M290" i="2"/>
  <c r="P289" i="2"/>
  <c r="O289" i="2"/>
  <c r="N289" i="2"/>
  <c r="M289" i="2"/>
  <c r="P288" i="2"/>
  <c r="O288" i="2"/>
  <c r="N288" i="2"/>
  <c r="M288" i="2"/>
  <c r="P287" i="2"/>
  <c r="O287" i="2"/>
  <c r="N287" i="2"/>
  <c r="M287" i="2"/>
  <c r="P286" i="2"/>
  <c r="O286" i="2"/>
  <c r="N286" i="2"/>
  <c r="M286" i="2"/>
  <c r="P285" i="2"/>
  <c r="O285" i="2"/>
  <c r="N285" i="2"/>
  <c r="M285" i="2"/>
  <c r="P284" i="2"/>
  <c r="O284" i="2"/>
  <c r="N284" i="2"/>
  <c r="M284" i="2"/>
  <c r="P283" i="2"/>
  <c r="O283" i="2"/>
  <c r="N283" i="2"/>
  <c r="M283" i="2"/>
  <c r="P282" i="2"/>
  <c r="O282" i="2"/>
  <c r="N282" i="2"/>
  <c r="M282" i="2"/>
  <c r="P281" i="2"/>
  <c r="O281" i="2"/>
  <c r="N281" i="2"/>
  <c r="M281" i="2"/>
  <c r="P280" i="2"/>
  <c r="O280" i="2"/>
  <c r="N280" i="2"/>
  <c r="M280" i="2"/>
  <c r="P279" i="2"/>
  <c r="O279" i="2"/>
  <c r="N279" i="2"/>
  <c r="M279" i="2"/>
  <c r="P278" i="2"/>
  <c r="O278" i="2"/>
  <c r="N278" i="2"/>
  <c r="M278" i="2"/>
  <c r="P277" i="2"/>
  <c r="O277" i="2"/>
  <c r="N277" i="2"/>
  <c r="M277" i="2"/>
  <c r="P276" i="2"/>
  <c r="O276" i="2"/>
  <c r="N276" i="2"/>
  <c r="M276" i="2"/>
  <c r="P275" i="2"/>
  <c r="O275" i="2"/>
  <c r="N275" i="2"/>
  <c r="M275" i="2"/>
  <c r="P274" i="2"/>
  <c r="O274" i="2"/>
  <c r="N274" i="2"/>
  <c r="M274" i="2"/>
  <c r="P273" i="2"/>
  <c r="O273" i="2"/>
  <c r="N273" i="2"/>
  <c r="M273" i="2"/>
  <c r="P272" i="2"/>
  <c r="O272" i="2"/>
  <c r="N272" i="2"/>
  <c r="M272" i="2"/>
  <c r="P271" i="2"/>
  <c r="O271" i="2"/>
  <c r="N271" i="2"/>
  <c r="M271" i="2"/>
  <c r="P270" i="2"/>
  <c r="O270" i="2"/>
  <c r="N270" i="2"/>
  <c r="M270" i="2"/>
  <c r="P269" i="2"/>
  <c r="O269" i="2"/>
  <c r="N269" i="2"/>
  <c r="M269" i="2"/>
  <c r="P268" i="2"/>
  <c r="O268" i="2"/>
  <c r="N268" i="2"/>
  <c r="M268" i="2"/>
  <c r="P267" i="2"/>
  <c r="O267" i="2"/>
  <c r="N267" i="2"/>
  <c r="M267" i="2"/>
  <c r="P266" i="2"/>
  <c r="O266" i="2"/>
  <c r="N266" i="2"/>
  <c r="M266" i="2"/>
  <c r="P265" i="2"/>
  <c r="O265" i="2"/>
  <c r="N265" i="2"/>
  <c r="M265" i="2"/>
  <c r="P264" i="2"/>
  <c r="O264" i="2"/>
  <c r="N264" i="2"/>
  <c r="M264" i="2"/>
  <c r="P263" i="2"/>
  <c r="O263" i="2"/>
  <c r="N263" i="2"/>
  <c r="M263" i="2"/>
  <c r="P262" i="2"/>
  <c r="O262" i="2"/>
  <c r="N262" i="2"/>
  <c r="M262" i="2"/>
  <c r="P261" i="2"/>
  <c r="O261" i="2"/>
  <c r="N261" i="2"/>
  <c r="M261" i="2"/>
  <c r="P260" i="2"/>
  <c r="O260" i="2"/>
  <c r="N260" i="2"/>
  <c r="M260" i="2"/>
  <c r="P259" i="2"/>
  <c r="O259" i="2"/>
  <c r="N259" i="2"/>
  <c r="M259" i="2"/>
  <c r="P258" i="2"/>
  <c r="O258" i="2"/>
  <c r="N258" i="2"/>
  <c r="M258" i="2"/>
  <c r="P257" i="2"/>
  <c r="O257" i="2"/>
  <c r="N257" i="2"/>
  <c r="M257" i="2"/>
  <c r="P256" i="2"/>
  <c r="O256" i="2"/>
  <c r="N256" i="2"/>
  <c r="M256" i="2"/>
  <c r="P255" i="2"/>
  <c r="O255" i="2"/>
  <c r="N255" i="2"/>
  <c r="M255" i="2"/>
  <c r="P254" i="2"/>
  <c r="O254" i="2"/>
  <c r="N254" i="2"/>
  <c r="M254" i="2"/>
  <c r="P253" i="2"/>
  <c r="O253" i="2"/>
  <c r="N253" i="2"/>
  <c r="M253" i="2"/>
  <c r="P252" i="2"/>
  <c r="O252" i="2"/>
  <c r="N252" i="2"/>
  <c r="M252" i="2"/>
  <c r="P251" i="2"/>
  <c r="O251" i="2"/>
  <c r="N251" i="2"/>
  <c r="M251" i="2"/>
  <c r="P250" i="2"/>
  <c r="O250" i="2"/>
  <c r="N250" i="2"/>
  <c r="M250" i="2"/>
  <c r="P249" i="2"/>
  <c r="O249" i="2"/>
  <c r="N249" i="2"/>
  <c r="M249" i="2"/>
  <c r="P248" i="2"/>
  <c r="O248" i="2"/>
  <c r="N248" i="2"/>
  <c r="M248" i="2"/>
  <c r="P247" i="2"/>
  <c r="O247" i="2"/>
  <c r="N247" i="2"/>
  <c r="M247" i="2"/>
  <c r="P246" i="2"/>
  <c r="O246" i="2"/>
  <c r="N246" i="2"/>
  <c r="M246" i="2"/>
  <c r="P245" i="2"/>
  <c r="O245" i="2"/>
  <c r="N245" i="2"/>
  <c r="M245" i="2"/>
  <c r="P244" i="2"/>
  <c r="O244" i="2"/>
  <c r="N244" i="2"/>
  <c r="M244" i="2"/>
  <c r="P243" i="2"/>
  <c r="O243" i="2"/>
  <c r="N243" i="2"/>
  <c r="M243" i="2"/>
  <c r="P242" i="2"/>
  <c r="O242" i="2"/>
  <c r="N242" i="2"/>
  <c r="M242" i="2"/>
  <c r="P241" i="2"/>
  <c r="O241" i="2"/>
  <c r="N241" i="2"/>
  <c r="M241" i="2"/>
  <c r="P240" i="2"/>
  <c r="O240" i="2"/>
  <c r="N240" i="2"/>
  <c r="M240" i="2"/>
  <c r="P239" i="2"/>
  <c r="O239" i="2"/>
  <c r="N239" i="2"/>
  <c r="M239" i="2"/>
  <c r="P238" i="2"/>
  <c r="O238" i="2"/>
  <c r="N238" i="2"/>
  <c r="M238" i="2"/>
  <c r="P237" i="2"/>
  <c r="O237" i="2"/>
  <c r="N237" i="2"/>
  <c r="M237" i="2"/>
  <c r="P236" i="2"/>
  <c r="O236" i="2"/>
  <c r="N236" i="2"/>
  <c r="M236" i="2"/>
  <c r="P235" i="2"/>
  <c r="O235" i="2"/>
  <c r="N235" i="2"/>
  <c r="M235" i="2"/>
  <c r="P234" i="2"/>
  <c r="O234" i="2"/>
  <c r="N234" i="2"/>
  <c r="M234" i="2"/>
  <c r="P233" i="2"/>
  <c r="O233" i="2"/>
  <c r="N233" i="2"/>
  <c r="M233" i="2"/>
  <c r="P232" i="2"/>
  <c r="O232" i="2"/>
  <c r="N232" i="2"/>
  <c r="M232" i="2"/>
  <c r="P231" i="2"/>
  <c r="O231" i="2"/>
  <c r="N231" i="2"/>
  <c r="M231" i="2"/>
  <c r="P230" i="2"/>
  <c r="O230" i="2"/>
  <c r="N230" i="2"/>
  <c r="M230" i="2"/>
  <c r="P229" i="2"/>
  <c r="O229" i="2"/>
  <c r="N229" i="2"/>
  <c r="M229" i="2"/>
  <c r="P228" i="2"/>
  <c r="O228" i="2"/>
  <c r="N228" i="2"/>
  <c r="M228" i="2"/>
  <c r="P227" i="2"/>
  <c r="O227" i="2"/>
  <c r="N227" i="2"/>
  <c r="M227" i="2"/>
  <c r="P226" i="2"/>
  <c r="O226" i="2"/>
  <c r="N226" i="2"/>
  <c r="M226" i="2"/>
  <c r="P225" i="2"/>
  <c r="O225" i="2"/>
  <c r="N225" i="2"/>
  <c r="M225" i="2"/>
  <c r="P224" i="2"/>
  <c r="O224" i="2"/>
  <c r="N224" i="2"/>
  <c r="M224" i="2"/>
  <c r="P223" i="2"/>
  <c r="O223" i="2"/>
  <c r="N223" i="2"/>
  <c r="M223" i="2"/>
  <c r="P222" i="2"/>
  <c r="O222" i="2"/>
  <c r="N222" i="2"/>
  <c r="M222" i="2"/>
  <c r="P221" i="2"/>
  <c r="O221" i="2"/>
  <c r="N221" i="2"/>
  <c r="M221" i="2"/>
  <c r="P220" i="2"/>
  <c r="O220" i="2"/>
  <c r="N220" i="2"/>
  <c r="M220" i="2"/>
  <c r="P219" i="2"/>
  <c r="O219" i="2"/>
  <c r="N219" i="2"/>
  <c r="M219" i="2"/>
  <c r="P218" i="2"/>
  <c r="O218" i="2"/>
  <c r="N218" i="2"/>
  <c r="M218" i="2"/>
  <c r="P217" i="2"/>
  <c r="O217" i="2"/>
  <c r="N217" i="2"/>
  <c r="M217" i="2"/>
  <c r="P216" i="2"/>
  <c r="O216" i="2"/>
  <c r="N216" i="2"/>
  <c r="M216" i="2"/>
  <c r="P215" i="2"/>
  <c r="O215" i="2"/>
  <c r="N215" i="2"/>
  <c r="M215" i="2"/>
  <c r="P214" i="2"/>
  <c r="O214" i="2"/>
  <c r="N214" i="2"/>
  <c r="M214" i="2"/>
  <c r="P213" i="2"/>
  <c r="O213" i="2"/>
  <c r="N213" i="2"/>
  <c r="M213" i="2"/>
  <c r="P212" i="2"/>
  <c r="O212" i="2"/>
  <c r="N212" i="2"/>
  <c r="M212" i="2"/>
  <c r="P211" i="2"/>
  <c r="O211" i="2"/>
  <c r="N211" i="2"/>
  <c r="M211" i="2"/>
  <c r="P210" i="2"/>
  <c r="O210" i="2"/>
  <c r="N210" i="2"/>
  <c r="M210" i="2"/>
  <c r="P209" i="2"/>
  <c r="O209" i="2"/>
  <c r="N209" i="2"/>
  <c r="M209" i="2"/>
  <c r="P208" i="2"/>
  <c r="O208" i="2"/>
  <c r="N208" i="2"/>
  <c r="M208" i="2"/>
  <c r="P207" i="2"/>
  <c r="O207" i="2"/>
  <c r="N207" i="2"/>
  <c r="M207" i="2"/>
  <c r="P206" i="2"/>
  <c r="O206" i="2"/>
  <c r="N206" i="2"/>
  <c r="M206" i="2"/>
  <c r="P205" i="2"/>
  <c r="O205" i="2"/>
  <c r="N205" i="2"/>
  <c r="M205" i="2"/>
  <c r="P204" i="2"/>
  <c r="O204" i="2"/>
  <c r="N204" i="2"/>
  <c r="M204" i="2"/>
  <c r="P203" i="2"/>
  <c r="O203" i="2"/>
  <c r="N203" i="2"/>
  <c r="M203" i="2"/>
  <c r="P202" i="2"/>
  <c r="O202" i="2"/>
  <c r="N202" i="2"/>
  <c r="M202" i="2"/>
  <c r="P201" i="2"/>
  <c r="O201" i="2"/>
  <c r="N201" i="2"/>
  <c r="M201" i="2"/>
  <c r="P200" i="2"/>
  <c r="O200" i="2"/>
  <c r="N200" i="2"/>
  <c r="M200" i="2"/>
  <c r="P199" i="2"/>
  <c r="O199" i="2"/>
  <c r="N199" i="2"/>
  <c r="M199" i="2"/>
  <c r="P198" i="2"/>
  <c r="O198" i="2"/>
  <c r="N198" i="2"/>
  <c r="M198" i="2"/>
  <c r="P197" i="2"/>
  <c r="O197" i="2"/>
  <c r="N197" i="2"/>
  <c r="M197" i="2"/>
  <c r="P196" i="2"/>
  <c r="O196" i="2"/>
  <c r="N196" i="2"/>
  <c r="M196" i="2"/>
  <c r="P195" i="2"/>
  <c r="O195" i="2"/>
  <c r="N195" i="2"/>
  <c r="M195" i="2"/>
  <c r="P194" i="2"/>
  <c r="O194" i="2"/>
  <c r="N194" i="2"/>
  <c r="M194" i="2"/>
  <c r="P193" i="2"/>
  <c r="O193" i="2"/>
  <c r="N193" i="2"/>
  <c r="M193" i="2"/>
  <c r="P192" i="2"/>
  <c r="O192" i="2"/>
  <c r="N192" i="2"/>
  <c r="M192" i="2"/>
  <c r="P191" i="2"/>
  <c r="O191" i="2"/>
  <c r="N191" i="2"/>
  <c r="M191" i="2"/>
  <c r="P190" i="2"/>
  <c r="O190" i="2"/>
  <c r="N190" i="2"/>
  <c r="M190" i="2"/>
  <c r="P189" i="2"/>
  <c r="O189" i="2"/>
  <c r="N189" i="2"/>
  <c r="M189" i="2"/>
  <c r="P188" i="2"/>
  <c r="O188" i="2"/>
  <c r="N188" i="2"/>
  <c r="M188" i="2"/>
  <c r="P187" i="2"/>
  <c r="O187" i="2"/>
  <c r="N187" i="2"/>
  <c r="M187" i="2"/>
  <c r="P186" i="2"/>
  <c r="O186" i="2"/>
  <c r="N186" i="2"/>
  <c r="M186" i="2"/>
  <c r="P185" i="2"/>
  <c r="O185" i="2"/>
  <c r="N185" i="2"/>
  <c r="M185" i="2"/>
  <c r="P184" i="2"/>
  <c r="O184" i="2"/>
  <c r="N184" i="2"/>
  <c r="M184" i="2"/>
  <c r="P183" i="2"/>
  <c r="O183" i="2"/>
  <c r="N183" i="2"/>
  <c r="M183" i="2"/>
  <c r="P182" i="2"/>
  <c r="O182" i="2"/>
  <c r="N182" i="2"/>
  <c r="M182" i="2"/>
  <c r="P181" i="2"/>
  <c r="O181" i="2"/>
  <c r="N181" i="2"/>
  <c r="M181" i="2"/>
  <c r="P180" i="2"/>
  <c r="O180" i="2"/>
  <c r="N180" i="2"/>
  <c r="M180" i="2"/>
  <c r="P179" i="2"/>
  <c r="O179" i="2"/>
  <c r="N179" i="2"/>
  <c r="M179" i="2"/>
  <c r="P178" i="2"/>
  <c r="O178" i="2"/>
  <c r="N178" i="2"/>
  <c r="M178" i="2"/>
  <c r="P177" i="2"/>
  <c r="O177" i="2"/>
  <c r="N177" i="2"/>
  <c r="M177" i="2"/>
  <c r="P176" i="2"/>
  <c r="O176" i="2"/>
  <c r="N176" i="2"/>
  <c r="M176" i="2"/>
  <c r="P175" i="2"/>
  <c r="O175" i="2"/>
  <c r="N175" i="2"/>
  <c r="M175" i="2"/>
  <c r="P174" i="2"/>
  <c r="O174" i="2"/>
  <c r="N174" i="2"/>
  <c r="M174" i="2"/>
  <c r="P173" i="2"/>
  <c r="O173" i="2"/>
  <c r="N173" i="2"/>
  <c r="M173" i="2"/>
  <c r="P172" i="2"/>
  <c r="O172" i="2"/>
  <c r="N172" i="2"/>
  <c r="M172" i="2"/>
  <c r="P171" i="2"/>
  <c r="O171" i="2"/>
  <c r="N171" i="2"/>
  <c r="M171" i="2"/>
  <c r="P170" i="2"/>
  <c r="O170" i="2"/>
  <c r="N170" i="2"/>
  <c r="M170" i="2"/>
  <c r="P169" i="2"/>
  <c r="O169" i="2"/>
  <c r="N169" i="2"/>
  <c r="M169" i="2"/>
  <c r="P168" i="2"/>
  <c r="O168" i="2"/>
  <c r="N168" i="2"/>
  <c r="M168" i="2"/>
  <c r="P167" i="2"/>
  <c r="O167" i="2"/>
  <c r="N167" i="2"/>
  <c r="M167" i="2"/>
  <c r="P166" i="2"/>
  <c r="O166" i="2"/>
  <c r="N166" i="2"/>
  <c r="M166" i="2"/>
  <c r="P165" i="2"/>
  <c r="O165" i="2"/>
  <c r="N165" i="2"/>
  <c r="M165" i="2"/>
  <c r="P164" i="2"/>
  <c r="O164" i="2"/>
  <c r="N164" i="2"/>
  <c r="M164" i="2"/>
  <c r="P163" i="2"/>
  <c r="O163" i="2"/>
  <c r="N163" i="2"/>
  <c r="M163" i="2"/>
  <c r="P162" i="2"/>
  <c r="O162" i="2"/>
  <c r="N162" i="2"/>
  <c r="M162" i="2"/>
  <c r="P161" i="2"/>
  <c r="O161" i="2"/>
  <c r="N161" i="2"/>
  <c r="M161" i="2"/>
  <c r="P160" i="2"/>
  <c r="O160" i="2"/>
  <c r="N160" i="2"/>
  <c r="M160" i="2"/>
  <c r="P159" i="2"/>
  <c r="O159" i="2"/>
  <c r="N159" i="2"/>
  <c r="M159" i="2"/>
  <c r="P158" i="2"/>
  <c r="O158" i="2"/>
  <c r="N158" i="2"/>
  <c r="M158" i="2"/>
  <c r="P157" i="2"/>
  <c r="O157" i="2"/>
  <c r="N157" i="2"/>
  <c r="M157" i="2"/>
  <c r="P156" i="2"/>
  <c r="O156" i="2"/>
  <c r="N156" i="2"/>
  <c r="M156" i="2"/>
  <c r="P155" i="2"/>
  <c r="O155" i="2"/>
  <c r="N155" i="2"/>
  <c r="M155" i="2"/>
  <c r="P154" i="2"/>
  <c r="O154" i="2"/>
  <c r="N154" i="2"/>
  <c r="M154" i="2"/>
  <c r="P153" i="2"/>
  <c r="O153" i="2"/>
  <c r="N153" i="2"/>
  <c r="M153" i="2"/>
  <c r="P152" i="2"/>
  <c r="O152" i="2"/>
  <c r="N152" i="2"/>
  <c r="M152" i="2"/>
  <c r="P151" i="2"/>
  <c r="O151" i="2"/>
  <c r="N151" i="2"/>
  <c r="M151" i="2"/>
  <c r="P150" i="2"/>
  <c r="O150" i="2"/>
  <c r="N150" i="2"/>
  <c r="M150" i="2"/>
  <c r="P149" i="2"/>
  <c r="O149" i="2"/>
  <c r="N149" i="2"/>
  <c r="M149" i="2"/>
  <c r="P148" i="2"/>
  <c r="O148" i="2"/>
  <c r="N148" i="2"/>
  <c r="M148" i="2"/>
  <c r="P147" i="2"/>
  <c r="O147" i="2"/>
  <c r="N147" i="2"/>
  <c r="M147" i="2"/>
  <c r="P146" i="2"/>
  <c r="O146" i="2"/>
  <c r="N146" i="2"/>
  <c r="M146" i="2"/>
  <c r="P145" i="2"/>
  <c r="O145" i="2"/>
  <c r="N145" i="2"/>
  <c r="M145" i="2"/>
  <c r="P144" i="2"/>
  <c r="O144" i="2"/>
  <c r="N144" i="2"/>
  <c r="M144" i="2"/>
  <c r="P143" i="2"/>
  <c r="O143" i="2"/>
  <c r="N143" i="2"/>
  <c r="M143" i="2"/>
  <c r="P142" i="2"/>
  <c r="O142" i="2"/>
  <c r="N142" i="2"/>
  <c r="M142" i="2"/>
  <c r="P141" i="2"/>
  <c r="O141" i="2"/>
  <c r="N141" i="2"/>
  <c r="M141" i="2"/>
  <c r="P140" i="2"/>
  <c r="O140" i="2"/>
  <c r="N140" i="2"/>
  <c r="M140" i="2"/>
  <c r="P139" i="2"/>
  <c r="O139" i="2"/>
  <c r="N139" i="2"/>
  <c r="M139" i="2"/>
  <c r="P138" i="2"/>
  <c r="O138" i="2"/>
  <c r="N138" i="2"/>
  <c r="M138" i="2"/>
  <c r="P137" i="2"/>
  <c r="O137" i="2"/>
  <c r="N137" i="2"/>
  <c r="M137" i="2"/>
  <c r="P136" i="2"/>
  <c r="O136" i="2"/>
  <c r="N136" i="2"/>
  <c r="M136" i="2"/>
  <c r="P135" i="2"/>
  <c r="O135" i="2"/>
  <c r="N135" i="2"/>
  <c r="M135" i="2"/>
  <c r="P134" i="2"/>
  <c r="O134" i="2"/>
  <c r="N134" i="2"/>
  <c r="M134" i="2"/>
  <c r="P133" i="2"/>
  <c r="O133" i="2"/>
  <c r="N133" i="2"/>
  <c r="M133" i="2"/>
  <c r="P132" i="2"/>
  <c r="O132" i="2"/>
  <c r="N132" i="2"/>
  <c r="M132" i="2"/>
  <c r="P131" i="2"/>
  <c r="O131" i="2"/>
  <c r="N131" i="2"/>
  <c r="M131" i="2"/>
  <c r="P130" i="2"/>
  <c r="O130" i="2"/>
  <c r="N130" i="2"/>
  <c r="M130" i="2"/>
  <c r="P129" i="2"/>
  <c r="O129" i="2"/>
  <c r="N129" i="2"/>
  <c r="M129" i="2"/>
  <c r="P128" i="2"/>
  <c r="O128" i="2"/>
  <c r="N128" i="2"/>
  <c r="M128" i="2"/>
  <c r="P127" i="2"/>
  <c r="O127" i="2"/>
  <c r="N127" i="2"/>
  <c r="M127" i="2"/>
  <c r="P126" i="2"/>
  <c r="O126" i="2"/>
  <c r="N126" i="2"/>
  <c r="M126" i="2"/>
  <c r="P125" i="2"/>
  <c r="O125" i="2"/>
  <c r="N125" i="2"/>
  <c r="M125" i="2"/>
  <c r="P124" i="2"/>
  <c r="O124" i="2"/>
  <c r="N124" i="2"/>
  <c r="M124" i="2"/>
  <c r="P123" i="2"/>
  <c r="O123" i="2"/>
  <c r="N123" i="2"/>
  <c r="M123" i="2"/>
  <c r="P122" i="2"/>
  <c r="O122" i="2"/>
  <c r="N122" i="2"/>
  <c r="M122" i="2"/>
  <c r="P121" i="2"/>
  <c r="O121" i="2"/>
  <c r="N121" i="2"/>
  <c r="M121" i="2"/>
  <c r="P120" i="2"/>
  <c r="O120" i="2"/>
  <c r="N120" i="2"/>
  <c r="M120" i="2"/>
  <c r="P119" i="2"/>
  <c r="O119" i="2"/>
  <c r="N119" i="2"/>
  <c r="M119" i="2"/>
  <c r="P118" i="2"/>
  <c r="O118" i="2"/>
  <c r="N118" i="2"/>
  <c r="M118" i="2"/>
  <c r="P117" i="2"/>
  <c r="O117" i="2"/>
  <c r="N117" i="2"/>
  <c r="M117" i="2"/>
  <c r="P116" i="2"/>
  <c r="O116" i="2"/>
  <c r="N116" i="2"/>
  <c r="M116" i="2"/>
  <c r="P115" i="2"/>
  <c r="O115" i="2"/>
  <c r="N115" i="2"/>
  <c r="M115" i="2"/>
  <c r="P114" i="2"/>
  <c r="O114" i="2"/>
  <c r="N114" i="2"/>
  <c r="M114" i="2"/>
  <c r="P113" i="2"/>
  <c r="O113" i="2"/>
  <c r="N113" i="2"/>
  <c r="M113" i="2"/>
  <c r="P112" i="2"/>
  <c r="O112" i="2"/>
  <c r="N112" i="2"/>
  <c r="M112" i="2"/>
  <c r="P111" i="2"/>
  <c r="O111" i="2"/>
  <c r="N111" i="2"/>
  <c r="M111" i="2"/>
  <c r="P110" i="2"/>
  <c r="O110" i="2"/>
  <c r="N110" i="2"/>
  <c r="M110" i="2"/>
  <c r="P109" i="2"/>
  <c r="O109" i="2"/>
  <c r="N109" i="2"/>
  <c r="M109" i="2"/>
  <c r="P108" i="2"/>
  <c r="O108" i="2"/>
  <c r="N108" i="2"/>
  <c r="M108" i="2"/>
  <c r="P107" i="2"/>
  <c r="O107" i="2"/>
  <c r="N107" i="2"/>
  <c r="M107" i="2"/>
  <c r="P106" i="2"/>
  <c r="O106" i="2"/>
  <c r="N106" i="2"/>
  <c r="M106" i="2"/>
  <c r="P105" i="2"/>
  <c r="O105" i="2"/>
  <c r="N105" i="2"/>
  <c r="M105" i="2"/>
  <c r="P104" i="2"/>
  <c r="O104" i="2"/>
  <c r="N104" i="2"/>
  <c r="M104" i="2"/>
  <c r="P103" i="2"/>
  <c r="O103" i="2"/>
  <c r="N103" i="2"/>
  <c r="M103" i="2"/>
  <c r="P102" i="2"/>
  <c r="O102" i="2"/>
  <c r="N102" i="2"/>
  <c r="M102" i="2"/>
  <c r="P101" i="2"/>
  <c r="O101" i="2"/>
  <c r="N101" i="2"/>
  <c r="M101" i="2"/>
  <c r="P100" i="2"/>
  <c r="O100" i="2"/>
  <c r="N100" i="2"/>
  <c r="M100" i="2"/>
  <c r="P99" i="2"/>
  <c r="O99" i="2"/>
  <c r="N99" i="2"/>
  <c r="M99" i="2"/>
  <c r="P98" i="2"/>
  <c r="O98" i="2"/>
  <c r="N98" i="2"/>
  <c r="M98" i="2"/>
  <c r="P97" i="2"/>
  <c r="O97" i="2"/>
  <c r="N97" i="2"/>
  <c r="M97" i="2"/>
  <c r="P96" i="2"/>
  <c r="O96" i="2"/>
  <c r="N96" i="2"/>
  <c r="M96" i="2"/>
  <c r="P95" i="2"/>
  <c r="O95" i="2"/>
  <c r="N95" i="2"/>
  <c r="M95" i="2"/>
  <c r="P94" i="2"/>
  <c r="O94" i="2"/>
  <c r="N94" i="2"/>
  <c r="M94" i="2"/>
  <c r="P93" i="2"/>
  <c r="O93" i="2"/>
  <c r="N93" i="2"/>
  <c r="M93" i="2"/>
  <c r="P92" i="2"/>
  <c r="O92" i="2"/>
  <c r="N92" i="2"/>
  <c r="M92" i="2"/>
  <c r="P91" i="2"/>
  <c r="O91" i="2"/>
  <c r="N91" i="2"/>
  <c r="M91" i="2"/>
  <c r="P90" i="2"/>
  <c r="O90" i="2"/>
  <c r="N90" i="2"/>
  <c r="M90" i="2"/>
  <c r="P89" i="2"/>
  <c r="O89" i="2"/>
  <c r="N89" i="2"/>
  <c r="M89" i="2"/>
  <c r="P88" i="2"/>
  <c r="O88" i="2"/>
  <c r="N88" i="2"/>
  <c r="M88" i="2"/>
  <c r="P87" i="2"/>
  <c r="O87" i="2"/>
  <c r="N87" i="2"/>
  <c r="M87" i="2"/>
  <c r="P86" i="2"/>
  <c r="O86" i="2"/>
  <c r="N86" i="2"/>
  <c r="M86" i="2"/>
  <c r="P85" i="2"/>
  <c r="O85" i="2"/>
  <c r="N85" i="2"/>
  <c r="M85" i="2"/>
  <c r="P84" i="2"/>
  <c r="O84" i="2"/>
  <c r="N84" i="2"/>
  <c r="M84" i="2"/>
  <c r="P83" i="2"/>
  <c r="O83" i="2"/>
  <c r="N83" i="2"/>
  <c r="M83" i="2"/>
  <c r="P82" i="2"/>
  <c r="O82" i="2"/>
  <c r="N82" i="2"/>
  <c r="M82" i="2"/>
  <c r="P81" i="2"/>
  <c r="O81" i="2"/>
  <c r="N81" i="2"/>
  <c r="M81" i="2"/>
  <c r="P80" i="2"/>
  <c r="O80" i="2"/>
  <c r="N80" i="2"/>
  <c r="M80" i="2"/>
  <c r="P79" i="2"/>
  <c r="O79" i="2"/>
  <c r="N79" i="2"/>
  <c r="M79" i="2"/>
  <c r="P78" i="2"/>
  <c r="O78" i="2"/>
  <c r="N78" i="2"/>
  <c r="M78" i="2"/>
  <c r="P77" i="2"/>
  <c r="O77" i="2"/>
  <c r="N77" i="2"/>
  <c r="M77" i="2"/>
  <c r="P76" i="2"/>
  <c r="O76" i="2"/>
  <c r="N76" i="2"/>
  <c r="M76" i="2"/>
  <c r="P75" i="2"/>
  <c r="O75" i="2"/>
  <c r="N75" i="2"/>
  <c r="M75" i="2"/>
  <c r="P74" i="2"/>
  <c r="O74" i="2"/>
  <c r="N74" i="2"/>
  <c r="M74" i="2"/>
  <c r="P73" i="2"/>
  <c r="O73" i="2"/>
  <c r="N73" i="2"/>
  <c r="M73" i="2"/>
  <c r="P72" i="2"/>
  <c r="O72" i="2"/>
  <c r="N72" i="2"/>
  <c r="M72" i="2"/>
  <c r="P71" i="2"/>
  <c r="O71" i="2"/>
  <c r="N71" i="2"/>
  <c r="M71" i="2"/>
  <c r="P70" i="2"/>
  <c r="O70" i="2"/>
  <c r="N70" i="2"/>
  <c r="M70" i="2"/>
  <c r="P69" i="2"/>
  <c r="O69" i="2"/>
  <c r="N69" i="2"/>
  <c r="M69" i="2"/>
  <c r="P68" i="2"/>
  <c r="O68" i="2"/>
  <c r="N68" i="2"/>
  <c r="M68" i="2"/>
  <c r="P67" i="2"/>
  <c r="O67" i="2"/>
  <c r="N67" i="2"/>
  <c r="M67" i="2"/>
  <c r="P66" i="2"/>
  <c r="O66" i="2"/>
  <c r="N66" i="2"/>
  <c r="M66" i="2"/>
  <c r="P65" i="2"/>
  <c r="O65" i="2"/>
  <c r="N65" i="2"/>
  <c r="M65" i="2"/>
  <c r="P64" i="2"/>
  <c r="O64" i="2"/>
  <c r="N64" i="2"/>
  <c r="M64" i="2"/>
  <c r="P63" i="2"/>
  <c r="O63" i="2"/>
  <c r="N63" i="2"/>
  <c r="M63" i="2"/>
  <c r="P62" i="2"/>
  <c r="O62" i="2"/>
  <c r="N62" i="2"/>
  <c r="M62" i="2"/>
  <c r="P61" i="2"/>
  <c r="O61" i="2"/>
  <c r="N61" i="2"/>
  <c r="M61" i="2"/>
  <c r="P60" i="2"/>
  <c r="O60" i="2"/>
  <c r="N60" i="2"/>
  <c r="M60" i="2"/>
  <c r="P59" i="2"/>
  <c r="O59" i="2"/>
  <c r="N59" i="2"/>
  <c r="M59" i="2"/>
  <c r="P58" i="2"/>
  <c r="O58" i="2"/>
  <c r="N58" i="2"/>
  <c r="M58" i="2"/>
  <c r="P57" i="2"/>
  <c r="O57" i="2"/>
  <c r="N57" i="2"/>
  <c r="M57" i="2"/>
  <c r="P56" i="2"/>
  <c r="O56" i="2"/>
  <c r="N56" i="2"/>
  <c r="M56" i="2"/>
  <c r="P55" i="2"/>
  <c r="O55" i="2"/>
  <c r="N55" i="2"/>
  <c r="M55" i="2"/>
  <c r="P54" i="2"/>
  <c r="O54" i="2"/>
  <c r="N54" i="2"/>
  <c r="M54" i="2"/>
  <c r="P53" i="2"/>
  <c r="O53" i="2"/>
  <c r="N53" i="2"/>
  <c r="M53" i="2"/>
  <c r="P52" i="2"/>
  <c r="O52" i="2"/>
  <c r="N52" i="2"/>
  <c r="M52" i="2"/>
  <c r="P51" i="2"/>
  <c r="O51" i="2"/>
  <c r="N51" i="2"/>
  <c r="M51" i="2"/>
  <c r="P50" i="2"/>
  <c r="O50" i="2"/>
  <c r="N50" i="2"/>
  <c r="M50" i="2"/>
  <c r="P49" i="2"/>
  <c r="O49" i="2"/>
  <c r="N49" i="2"/>
  <c r="M49" i="2"/>
  <c r="P48" i="2"/>
  <c r="O48" i="2"/>
  <c r="N48" i="2"/>
  <c r="M48" i="2"/>
  <c r="P47" i="2"/>
  <c r="O47" i="2"/>
  <c r="N47" i="2"/>
  <c r="M47" i="2"/>
  <c r="P46" i="2"/>
  <c r="O46" i="2"/>
  <c r="N46" i="2"/>
  <c r="M46" i="2"/>
  <c r="P45" i="2"/>
  <c r="O45" i="2"/>
  <c r="N45" i="2"/>
  <c r="M45" i="2"/>
  <c r="P44" i="2"/>
  <c r="O44" i="2"/>
  <c r="N44" i="2"/>
  <c r="M44" i="2"/>
  <c r="P43" i="2"/>
  <c r="O43" i="2"/>
  <c r="N43" i="2"/>
  <c r="M43" i="2"/>
  <c r="P42" i="2"/>
  <c r="O42" i="2"/>
  <c r="N42" i="2"/>
  <c r="M42" i="2"/>
  <c r="P41" i="2"/>
  <c r="O41" i="2"/>
  <c r="N41" i="2"/>
  <c r="M41" i="2"/>
  <c r="P40" i="2"/>
  <c r="O40" i="2"/>
  <c r="N40" i="2"/>
  <c r="M40" i="2"/>
  <c r="P39" i="2"/>
  <c r="O39" i="2"/>
  <c r="N39" i="2"/>
  <c r="M39" i="2"/>
  <c r="P38" i="2"/>
  <c r="O38" i="2"/>
  <c r="N38" i="2"/>
  <c r="M38" i="2"/>
  <c r="P37" i="2"/>
  <c r="O37" i="2"/>
  <c r="N37" i="2"/>
  <c r="M37" i="2"/>
  <c r="P36" i="2"/>
  <c r="O36" i="2"/>
  <c r="N36" i="2"/>
  <c r="M36" i="2"/>
  <c r="P35" i="2"/>
  <c r="O35" i="2"/>
  <c r="N35" i="2"/>
  <c r="M35" i="2"/>
  <c r="P34" i="2"/>
  <c r="O34" i="2"/>
  <c r="N34" i="2"/>
  <c r="M34" i="2"/>
  <c r="P33" i="2"/>
  <c r="O33" i="2"/>
  <c r="N33" i="2"/>
  <c r="M33" i="2"/>
  <c r="P32" i="2"/>
  <c r="O32" i="2"/>
  <c r="N32" i="2"/>
  <c r="M32" i="2"/>
  <c r="P31" i="2"/>
  <c r="O31" i="2"/>
  <c r="N31" i="2"/>
  <c r="M31" i="2"/>
  <c r="P30" i="2"/>
  <c r="O30" i="2"/>
  <c r="N30" i="2"/>
  <c r="M30" i="2"/>
  <c r="P29" i="2"/>
  <c r="O29" i="2"/>
  <c r="N29" i="2"/>
  <c r="M29" i="2"/>
  <c r="P28" i="2"/>
  <c r="O28" i="2"/>
  <c r="N28" i="2"/>
  <c r="M28" i="2"/>
  <c r="P27" i="2"/>
  <c r="O27" i="2"/>
  <c r="N27" i="2"/>
  <c r="M27" i="2"/>
  <c r="P26" i="2"/>
  <c r="O26" i="2"/>
  <c r="N26" i="2"/>
  <c r="M26" i="2"/>
  <c r="P25" i="2"/>
  <c r="O25" i="2"/>
  <c r="N25" i="2"/>
  <c r="M25" i="2"/>
  <c r="P24" i="2"/>
  <c r="O24" i="2"/>
  <c r="N24" i="2"/>
  <c r="M24" i="2"/>
  <c r="P23" i="2"/>
  <c r="O23" i="2"/>
  <c r="N23" i="2"/>
  <c r="M23" i="2"/>
  <c r="P22" i="2"/>
  <c r="O22" i="2"/>
  <c r="N22" i="2"/>
  <c r="M22" i="2"/>
  <c r="P21" i="2"/>
  <c r="O21" i="2"/>
  <c r="N21" i="2"/>
  <c r="M21" i="2"/>
  <c r="P20" i="2"/>
  <c r="O20" i="2"/>
  <c r="N20" i="2"/>
  <c r="M20" i="2"/>
  <c r="P19" i="2"/>
  <c r="O19" i="2"/>
  <c r="N19" i="2"/>
  <c r="M19" i="2"/>
  <c r="P18" i="2"/>
  <c r="O18" i="2"/>
  <c r="N18" i="2"/>
  <c r="M18" i="2"/>
  <c r="P17" i="2"/>
  <c r="O17" i="2"/>
  <c r="N17" i="2"/>
  <c r="M17" i="2"/>
  <c r="P16" i="2"/>
  <c r="O16" i="2"/>
  <c r="N16" i="2"/>
  <c r="M16" i="2"/>
  <c r="P15" i="2"/>
  <c r="O15" i="2"/>
  <c r="N15" i="2"/>
  <c r="M15" i="2"/>
  <c r="P14" i="2"/>
  <c r="O14" i="2"/>
  <c r="N14" i="2"/>
  <c r="M14" i="2"/>
  <c r="P13" i="2"/>
  <c r="O13" i="2"/>
  <c r="N13" i="2"/>
  <c r="M13" i="2"/>
  <c r="P12" i="2"/>
  <c r="O12" i="2"/>
  <c r="N12" i="2"/>
  <c r="M12" i="2"/>
  <c r="P11" i="2"/>
  <c r="O11" i="2"/>
  <c r="N11" i="2"/>
  <c r="M11" i="2"/>
  <c r="P10" i="2"/>
  <c r="O10" i="2"/>
  <c r="N10" i="2"/>
  <c r="M10" i="2"/>
  <c r="P9" i="2"/>
  <c r="O9" i="2"/>
  <c r="N9" i="2"/>
  <c r="M9" i="2"/>
  <c r="P8" i="2"/>
  <c r="O8" i="2"/>
  <c r="N8" i="2"/>
  <c r="M8" i="2"/>
  <c r="P7" i="2"/>
  <c r="O7" i="2"/>
  <c r="N7" i="2"/>
  <c r="M7" i="2"/>
  <c r="P6" i="2"/>
  <c r="O6" i="2"/>
  <c r="N6" i="2"/>
  <c r="M6" i="2"/>
  <c r="P5" i="2"/>
  <c r="O5" i="2"/>
  <c r="N5" i="2"/>
  <c r="M5" i="2"/>
  <c r="P4" i="2"/>
  <c r="O4" i="2"/>
  <c r="N4" i="2"/>
  <c r="M4" i="2"/>
  <c r="A2" i="2"/>
  <c r="A1" i="2"/>
  <c r="AV4" i="1" l="1"/>
  <c r="AV7" i="1"/>
  <c r="AO5" i="1"/>
  <c r="AV5" i="1" s="1"/>
  <c r="AT8" i="1"/>
  <c r="AV8" i="1" s="1"/>
  <c r="AO10" i="1"/>
  <c r="AO11" i="1"/>
  <c r="AV11" i="1" s="1"/>
  <c r="AO16" i="1"/>
  <c r="AV16" i="1" s="1"/>
  <c r="AC16" i="1"/>
  <c r="AN20" i="1"/>
  <c r="AT20" i="1"/>
  <c r="AV20" i="1" s="1"/>
  <c r="AJ20" i="1"/>
  <c r="AN38" i="1"/>
  <c r="AT38" i="1"/>
  <c r="AV38" i="1" s="1"/>
  <c r="AJ38" i="1"/>
  <c r="AR47" i="1"/>
  <c r="AV47" i="1" s="1"/>
  <c r="AB47" i="1"/>
  <c r="AQ4" i="1"/>
  <c r="AO6" i="1"/>
  <c r="AV6" i="1" s="1"/>
  <c r="AR10" i="1"/>
  <c r="AB10" i="1"/>
  <c r="AN14" i="1"/>
  <c r="AT14" i="1"/>
  <c r="AV14" i="1" s="1"/>
  <c r="AJ14" i="1"/>
  <c r="AV19" i="1"/>
  <c r="AQ21" i="1"/>
  <c r="AQ27" i="1"/>
  <c r="AQ33" i="1"/>
  <c r="AO40" i="1"/>
  <c r="AV40" i="1" s="1"/>
  <c r="AC40" i="1"/>
  <c r="AN44" i="1"/>
  <c r="AT44" i="1"/>
  <c r="AV44" i="1" s="1"/>
  <c r="AJ44" i="1"/>
  <c r="AR53" i="1"/>
  <c r="AB53" i="1"/>
  <c r="AQ5" i="1"/>
  <c r="AO46" i="1"/>
  <c r="AV46" i="1" s="1"/>
  <c r="AC46" i="1"/>
  <c r="AN50" i="1"/>
  <c r="AT50" i="1"/>
  <c r="AJ50" i="1"/>
  <c r="AV57" i="1"/>
  <c r="AO58" i="1"/>
  <c r="AV58" i="1" s="1"/>
  <c r="AC58" i="1"/>
  <c r="AC4" i="1"/>
  <c r="AJ4" i="1"/>
  <c r="AT4" i="1"/>
  <c r="AB5" i="1"/>
  <c r="AD12" i="1"/>
  <c r="AV18" i="1"/>
  <c r="AV25" i="1"/>
  <c r="AV31" i="1"/>
  <c r="AV36" i="1"/>
  <c r="AQ39" i="1"/>
  <c r="AV50" i="1"/>
  <c r="AO52" i="1"/>
  <c r="AV52" i="1" s="1"/>
  <c r="AC52" i="1"/>
  <c r="AN56" i="1"/>
  <c r="AT56" i="1"/>
  <c r="AV56" i="1" s="1"/>
  <c r="AJ56" i="1"/>
  <c r="AB6" i="1"/>
  <c r="AO22" i="1"/>
  <c r="AV22" i="1" s="1"/>
  <c r="AC22" i="1"/>
  <c r="AR23" i="1"/>
  <c r="AV23" i="1" s="1"/>
  <c r="AB23" i="1"/>
  <c r="AV24" i="1"/>
  <c r="AO28" i="1"/>
  <c r="AV28" i="1" s="1"/>
  <c r="AC28" i="1"/>
  <c r="AR29" i="1"/>
  <c r="AV29" i="1" s="1"/>
  <c r="AB29" i="1"/>
  <c r="AV30" i="1"/>
  <c r="AO34" i="1"/>
  <c r="AV34" i="1" s="1"/>
  <c r="AC34" i="1"/>
  <c r="AR35" i="1"/>
  <c r="AV35" i="1" s="1"/>
  <c r="AB35" i="1"/>
  <c r="AV42" i="1"/>
  <c r="AQ45" i="1"/>
  <c r="AJ6" i="1"/>
  <c r="AB7" i="1"/>
  <c r="AT9" i="1"/>
  <c r="AV9" i="1" s="1"/>
  <c r="AJ9" i="1"/>
  <c r="AN11" i="1"/>
  <c r="AR12" i="1"/>
  <c r="AV12" i="1" s="1"/>
  <c r="AB12" i="1"/>
  <c r="AR17" i="1"/>
  <c r="AV17" i="1" s="1"/>
  <c r="AB17" i="1"/>
  <c r="AV21" i="1"/>
  <c r="AN26" i="1"/>
  <c r="AT26" i="1"/>
  <c r="AV26" i="1" s="1"/>
  <c r="AJ26" i="1"/>
  <c r="AV27" i="1"/>
  <c r="AN32" i="1"/>
  <c r="AT32" i="1"/>
  <c r="AV32" i="1" s="1"/>
  <c r="AJ32" i="1"/>
  <c r="AV33" i="1"/>
  <c r="AR41" i="1"/>
  <c r="AV41" i="1" s="1"/>
  <c r="AB41" i="1"/>
  <c r="AV48" i="1"/>
  <c r="AQ51" i="1"/>
  <c r="AQ16" i="1"/>
  <c r="AB21" i="1"/>
  <c r="AD25" i="1"/>
  <c r="AB27" i="1"/>
  <c r="AD31" i="1"/>
  <c r="AB33" i="1"/>
  <c r="AQ40" i="1"/>
  <c r="AQ46" i="1"/>
  <c r="AQ52" i="1"/>
  <c r="AQ58" i="1"/>
  <c r="AD14" i="1"/>
  <c r="AC15" i="1"/>
  <c r="AJ15" i="1"/>
  <c r="AT15" i="1"/>
  <c r="AV15" i="1" s="1"/>
  <c r="AB16" i="1"/>
  <c r="AD20" i="1"/>
  <c r="AC21" i="1"/>
  <c r="AJ21" i="1"/>
  <c r="AB22" i="1"/>
  <c r="AD26" i="1"/>
  <c r="AC27" i="1"/>
  <c r="AJ27" i="1"/>
  <c r="AB28" i="1"/>
  <c r="AD32" i="1"/>
  <c r="AC33" i="1"/>
  <c r="AJ33" i="1"/>
  <c r="AB34" i="1"/>
  <c r="AD38" i="1"/>
  <c r="AC39" i="1"/>
  <c r="AJ39" i="1"/>
  <c r="AB40" i="1"/>
  <c r="AD44" i="1"/>
  <c r="AC45" i="1"/>
  <c r="AJ45" i="1"/>
  <c r="AB46" i="1"/>
  <c r="AD50" i="1"/>
  <c r="AC51" i="1"/>
  <c r="AJ51" i="1"/>
  <c r="AB52" i="1"/>
  <c r="AD56" i="1"/>
  <c r="AC57" i="1"/>
  <c r="AJ57" i="1"/>
  <c r="AT57" i="1"/>
  <c r="AJ58" i="1"/>
  <c r="AJ17" i="1"/>
  <c r="AT17" i="1"/>
  <c r="AB18" i="1"/>
  <c r="AJ23" i="1"/>
  <c r="AT23" i="1"/>
  <c r="AJ29" i="1"/>
  <c r="AT29" i="1"/>
  <c r="AJ35" i="1"/>
  <c r="AT35" i="1"/>
  <c r="AB36" i="1"/>
  <c r="AJ41" i="1"/>
  <c r="AT41" i="1"/>
  <c r="AB42" i="1"/>
  <c r="AJ47" i="1"/>
  <c r="AT47" i="1"/>
  <c r="AB48" i="1"/>
  <c r="AJ53" i="1"/>
  <c r="AT53" i="1"/>
  <c r="AB54" i="1"/>
  <c r="AJ12" i="1"/>
  <c r="AJ18" i="1"/>
  <c r="AJ24" i="1"/>
  <c r="AJ30" i="1"/>
  <c r="AP3" i="9"/>
  <c r="AP7" i="9"/>
  <c r="AP8" i="16"/>
  <c r="AP11" i="17"/>
  <c r="AP36" i="9"/>
  <c r="AP8" i="11"/>
  <c r="AP3" i="13"/>
  <c r="AP11" i="13"/>
  <c r="AP25" i="16"/>
  <c r="AP17" i="19"/>
  <c r="AP20" i="16"/>
  <c r="AP15" i="11"/>
  <c r="AP18" i="11"/>
  <c r="AP23" i="14"/>
  <c r="AP7" i="16"/>
  <c r="AP16" i="19"/>
  <c r="AP9" i="14"/>
  <c r="AP9" i="7"/>
  <c r="AP13" i="7"/>
  <c r="AP26" i="9"/>
  <c r="AP46" i="9"/>
  <c r="AP53" i="9"/>
  <c r="AP9" i="11"/>
  <c r="AP14" i="11"/>
  <c r="AP17" i="14"/>
  <c r="AP3" i="16"/>
  <c r="AP7" i="19"/>
  <c r="AP24" i="14"/>
  <c r="AP3" i="11"/>
  <c r="AP11" i="16"/>
  <c r="AQ16" i="15"/>
  <c r="AQ3" i="7"/>
  <c r="AQ12" i="8"/>
  <c r="AQ20" i="8"/>
  <c r="AQ20" i="9"/>
  <c r="AQ32" i="9"/>
  <c r="AQ42" i="9"/>
  <c r="AQ43" i="9"/>
  <c r="AQ3" i="11"/>
  <c r="AQ9" i="11"/>
  <c r="AQ8" i="13"/>
  <c r="AQ9" i="13"/>
  <c r="AQ15" i="13"/>
  <c r="AQ16" i="13"/>
  <c r="AQ22" i="13"/>
  <c r="AQ35" i="14"/>
  <c r="AQ3" i="15"/>
  <c r="AQ17" i="15"/>
  <c r="AQ6" i="16"/>
  <c r="AQ14" i="16"/>
  <c r="AQ22" i="16"/>
  <c r="AQ23" i="16"/>
  <c r="AQ26" i="16"/>
  <c r="AQ27" i="16"/>
  <c r="AQ15" i="17"/>
  <c r="AQ51" i="17"/>
  <c r="AQ68" i="17"/>
  <c r="AQ71" i="17"/>
  <c r="AQ73" i="17"/>
  <c r="AQ9" i="18"/>
  <c r="AQ12" i="18"/>
  <c r="AQ20" i="18"/>
  <c r="AQ6" i="19"/>
  <c r="AQ13" i="19"/>
  <c r="AQ17" i="19"/>
  <c r="AQ36" i="19"/>
  <c r="AQ7" i="20"/>
  <c r="AQ44" i="20"/>
  <c r="AQ20" i="13"/>
  <c r="AQ7" i="15"/>
  <c r="AQ12" i="6"/>
  <c r="AQ17" i="7"/>
  <c r="AQ19" i="7"/>
  <c r="AQ25" i="7"/>
  <c r="AQ56" i="7"/>
  <c r="AQ86" i="7"/>
  <c r="AQ22" i="9"/>
  <c r="AQ14" i="11"/>
  <c r="AQ18" i="11"/>
  <c r="AQ3" i="13"/>
  <c r="AQ10" i="13"/>
  <c r="AQ17" i="13"/>
  <c r="AQ19" i="13"/>
  <c r="AQ20" i="14"/>
  <c r="AQ15" i="15"/>
  <c r="AQ11" i="16"/>
  <c r="AQ13" i="16"/>
  <c r="AQ37" i="16"/>
  <c r="AQ13" i="17"/>
  <c r="AQ18" i="17"/>
  <c r="AQ61" i="17"/>
  <c r="AQ19" i="18"/>
  <c r="AQ32" i="18"/>
  <c r="AQ45" i="18"/>
  <c r="AQ7" i="19"/>
  <c r="AQ49" i="19"/>
  <c r="AQ60" i="19"/>
  <c r="AQ14" i="20"/>
  <c r="AQ15" i="20"/>
  <c r="AQ16" i="20"/>
  <c r="AQ22" i="20"/>
  <c r="AQ41" i="20"/>
  <c r="AQ8" i="15"/>
  <c r="AQ11" i="6"/>
  <c r="AQ6" i="7"/>
  <c r="AQ27" i="7"/>
  <c r="AQ30" i="7"/>
  <c r="AQ39" i="7"/>
  <c r="AQ63" i="7"/>
  <c r="AQ7" i="8"/>
  <c r="AQ16" i="8"/>
  <c r="AQ19" i="9"/>
  <c r="AQ6" i="11"/>
  <c r="AQ7" i="11"/>
  <c r="AQ7" i="12"/>
  <c r="AQ10" i="12"/>
  <c r="AQ6" i="13"/>
  <c r="AQ6" i="15"/>
  <c r="AQ8" i="16"/>
  <c r="AQ16" i="16"/>
  <c r="AQ21" i="16"/>
  <c r="AQ10" i="17"/>
  <c r="AQ19" i="17"/>
  <c r="AQ38" i="17"/>
  <c r="AQ42" i="17"/>
  <c r="AQ47" i="17"/>
  <c r="AQ56" i="17"/>
  <c r="AQ26" i="18"/>
  <c r="AQ34" i="18"/>
  <c r="AQ36" i="18"/>
  <c r="AQ54" i="18"/>
  <c r="AQ11" i="19"/>
  <c r="AQ16" i="19"/>
  <c r="AQ23" i="19"/>
  <c r="AQ26" i="19"/>
  <c r="AQ30" i="19"/>
  <c r="AQ32" i="19"/>
  <c r="AQ51" i="19"/>
  <c r="AQ10" i="20"/>
  <c r="AQ38" i="20"/>
  <c r="AQ46" i="20"/>
  <c r="AQ6" i="6"/>
  <c r="AQ16" i="6"/>
  <c r="AQ15" i="7"/>
  <c r="AQ65" i="7"/>
  <c r="AQ8" i="8"/>
  <c r="AQ6" i="9"/>
  <c r="AQ54" i="9"/>
  <c r="AQ8" i="11"/>
  <c r="AQ6" i="12"/>
  <c r="AQ9" i="12"/>
  <c r="AQ13" i="13"/>
  <c r="AQ53" i="14"/>
  <c r="AQ11" i="15"/>
  <c r="AQ19" i="15"/>
  <c r="AQ10" i="16"/>
  <c r="AQ40" i="16"/>
  <c r="AQ8" i="17"/>
  <c r="AQ12" i="17"/>
  <c r="AQ30" i="17"/>
  <c r="AQ55" i="17"/>
  <c r="AQ57" i="17"/>
  <c r="AQ65" i="17"/>
  <c r="AQ3" i="18"/>
  <c r="AQ28" i="18"/>
  <c r="AQ40" i="18"/>
  <c r="AQ42" i="18"/>
  <c r="AQ44" i="18"/>
  <c r="AQ58" i="18"/>
  <c r="AQ9" i="19"/>
  <c r="AQ18" i="19"/>
  <c r="AQ21" i="19"/>
  <c r="AQ33" i="19"/>
  <c r="AQ35" i="19"/>
  <c r="AQ50" i="19"/>
  <c r="AQ63" i="19"/>
  <c r="AQ69" i="19"/>
  <c r="AQ34" i="20"/>
  <c r="AQ45" i="20"/>
  <c r="AQ15" i="11"/>
  <c r="AQ10" i="6"/>
  <c r="AQ15" i="6"/>
  <c r="AQ34" i="7"/>
  <c r="AQ78" i="7"/>
  <c r="AQ19" i="8"/>
  <c r="AQ44" i="9"/>
  <c r="AQ58" i="9"/>
  <c r="AQ14" i="13"/>
  <c r="AQ13" i="15"/>
  <c r="AQ29" i="16"/>
  <c r="AQ79" i="17"/>
  <c r="AQ14" i="19"/>
  <c r="AR11" i="6"/>
  <c r="AR9" i="7"/>
  <c r="AR16" i="8"/>
  <c r="AR19" i="15"/>
  <c r="AR11" i="16"/>
  <c r="AR29" i="16"/>
  <c r="AR33" i="16"/>
  <c r="AR10" i="17"/>
  <c r="AR32" i="17"/>
  <c r="AR17" i="19"/>
  <c r="AR25" i="20"/>
  <c r="AR43" i="20"/>
  <c r="AR3" i="6"/>
  <c r="AR16" i="6"/>
  <c r="AR3" i="7"/>
  <c r="AR6" i="7"/>
  <c r="AR19" i="7"/>
  <c r="AR24" i="7"/>
  <c r="AR34" i="7"/>
  <c r="AR17" i="8"/>
  <c r="AR3" i="10"/>
  <c r="AR13" i="14"/>
  <c r="AR11" i="15"/>
  <c r="AR18" i="15"/>
  <c r="AR21" i="16"/>
  <c r="AR25" i="16"/>
  <c r="AR34" i="16"/>
  <c r="AR31" i="17"/>
  <c r="AR49" i="17"/>
  <c r="AR3" i="19"/>
  <c r="AR20" i="20"/>
  <c r="AR26" i="20"/>
  <c r="AR40" i="20"/>
  <c r="AR15" i="6"/>
  <c r="AR37" i="7"/>
  <c r="AR9" i="14"/>
  <c r="AR17" i="15"/>
  <c r="AR7" i="16"/>
  <c r="AR19" i="16"/>
  <c r="AR16" i="17"/>
  <c r="AR45" i="17"/>
  <c r="AR65" i="17"/>
  <c r="AR48" i="20"/>
  <c r="AR38" i="7"/>
  <c r="AR11" i="8"/>
  <c r="AR12" i="8"/>
  <c r="AR21" i="13"/>
  <c r="AR9" i="15"/>
  <c r="AR8" i="16"/>
  <c r="AR13" i="16"/>
  <c r="AR20" i="16"/>
  <c r="AR35" i="17"/>
  <c r="AR48" i="17"/>
  <c r="AR9" i="19"/>
  <c r="AR12" i="20"/>
  <c r="AR22" i="20"/>
  <c r="AR28" i="20"/>
  <c r="AR44" i="20"/>
  <c r="AR49" i="20"/>
  <c r="AR11" i="7"/>
  <c r="AR15" i="7"/>
  <c r="AR7" i="8"/>
  <c r="AR8" i="8"/>
  <c r="AR13" i="8"/>
  <c r="AR29" i="20"/>
  <c r="AD9" i="7"/>
  <c r="AQ9" i="7"/>
  <c r="AN9" i="7"/>
  <c r="AJ9" i="7"/>
  <c r="AC18" i="7"/>
  <c r="AO18" i="7"/>
  <c r="AV18" i="7" s="1"/>
  <c r="AD60" i="7"/>
  <c r="AQ60" i="7"/>
  <c r="AN60" i="7"/>
  <c r="AJ60" i="7"/>
  <c r="AT60" i="7"/>
  <c r="AO11" i="9"/>
  <c r="AV11" i="9" s="1"/>
  <c r="AC11" i="9"/>
  <c r="AR10" i="6"/>
  <c r="AB10" i="6"/>
  <c r="AN10" i="6"/>
  <c r="AN11" i="6"/>
  <c r="AN12" i="6"/>
  <c r="AT24" i="7"/>
  <c r="AJ24" i="7"/>
  <c r="AN24" i="7"/>
  <c r="AB29" i="7"/>
  <c r="AR29" i="7"/>
  <c r="AC38" i="7"/>
  <c r="AO38" i="7"/>
  <c r="AN38" i="7"/>
  <c r="AT38" i="7"/>
  <c r="AJ38" i="7"/>
  <c r="AO54" i="7"/>
  <c r="AV54" i="7" s="1"/>
  <c r="AD70" i="7"/>
  <c r="AQ70" i="7"/>
  <c r="AN70" i="7"/>
  <c r="AJ70" i="7"/>
  <c r="AT70" i="7"/>
  <c r="AN91" i="7"/>
  <c r="AJ91" i="7"/>
  <c r="AT91" i="7"/>
  <c r="AO13" i="8"/>
  <c r="AV13" i="8" s="1"/>
  <c r="AC13" i="8"/>
  <c r="AR3" i="12"/>
  <c r="AR10" i="12"/>
  <c r="AT10" i="13"/>
  <c r="AJ10" i="13"/>
  <c r="AN10" i="13"/>
  <c r="AC9" i="6"/>
  <c r="AO9" i="6"/>
  <c r="AV9" i="6" s="1"/>
  <c r="AN9" i="6"/>
  <c r="AD24" i="7"/>
  <c r="AQ24" i="7"/>
  <c r="AR39" i="7"/>
  <c r="AV39" i="7" s="1"/>
  <c r="AB39" i="7"/>
  <c r="AO9" i="8"/>
  <c r="AV9" i="8" s="1"/>
  <c r="AC9" i="8"/>
  <c r="AT58" i="9"/>
  <c r="AN58" i="9"/>
  <c r="AJ58" i="9"/>
  <c r="AR14" i="6"/>
  <c r="AB14" i="6"/>
  <c r="AN14" i="6"/>
  <c r="AO20" i="7"/>
  <c r="AC20" i="7"/>
  <c r="AO71" i="7"/>
  <c r="AC71" i="7"/>
  <c r="AN71" i="7"/>
  <c r="AT71" i="7"/>
  <c r="AJ71" i="7"/>
  <c r="AU72" i="9"/>
  <c r="AU68" i="9"/>
  <c r="AU73" i="9"/>
  <c r="AU63" i="9"/>
  <c r="AU53" i="9"/>
  <c r="AU45" i="9"/>
  <c r="AU39" i="9"/>
  <c r="AU29" i="9"/>
  <c r="AU15" i="9"/>
  <c r="AU11" i="9"/>
  <c r="AU7" i="9"/>
  <c r="AU71" i="9"/>
  <c r="AU70" i="9"/>
  <c r="AU62" i="9"/>
  <c r="AU56" i="9"/>
  <c r="AU44" i="9"/>
  <c r="AU38" i="9"/>
  <c r="AU43" i="9"/>
  <c r="AU17" i="9"/>
  <c r="AU66" i="9"/>
  <c r="AU58" i="9"/>
  <c r="AU51" i="9"/>
  <c r="AU47" i="9"/>
  <c r="AU14" i="9"/>
  <c r="AU12" i="9"/>
  <c r="AU75" i="9"/>
  <c r="AU48" i="9"/>
  <c r="AU34" i="9"/>
  <c r="AU23" i="9"/>
  <c r="AU3" i="9"/>
  <c r="AU65" i="9"/>
  <c r="AU60" i="9"/>
  <c r="AU54" i="9"/>
  <c r="AU41" i="9"/>
  <c r="AU36" i="9"/>
  <c r="AU32" i="9"/>
  <c r="AU30" i="9"/>
  <c r="AU24" i="9"/>
  <c r="AU26" i="9"/>
  <c r="AU19" i="9"/>
  <c r="AU8" i="9"/>
  <c r="AU50" i="9"/>
  <c r="AU40" i="9"/>
  <c r="AU6" i="9"/>
  <c r="AU9" i="9"/>
  <c r="AU46" i="9"/>
  <c r="AU42" i="9"/>
  <c r="AU27" i="9"/>
  <c r="AU22" i="9"/>
  <c r="AU20" i="9"/>
  <c r="AV20" i="9" s="1"/>
  <c r="AN6" i="9"/>
  <c r="AT6" i="9"/>
  <c r="AJ6" i="9"/>
  <c r="AT14" i="9"/>
  <c r="AJ14" i="9"/>
  <c r="AN14" i="9"/>
  <c r="AR40" i="9"/>
  <c r="AB40" i="9"/>
  <c r="AR6" i="6"/>
  <c r="AB6" i="6"/>
  <c r="AN6" i="6"/>
  <c r="AQ8" i="6"/>
  <c r="AN15" i="6"/>
  <c r="AN16" i="6"/>
  <c r="AR17" i="7"/>
  <c r="AV17" i="7" s="1"/>
  <c r="AB17" i="7"/>
  <c r="AO62" i="7"/>
  <c r="AR82" i="7"/>
  <c r="AB82" i="7"/>
  <c r="AD85" i="7"/>
  <c r="AQ85" i="7"/>
  <c r="AO17" i="8"/>
  <c r="AV17" i="8" s="1"/>
  <c r="AC17" i="8"/>
  <c r="AH1" i="6"/>
  <c r="AH2" i="6" s="1"/>
  <c r="AJ6" i="6"/>
  <c r="AT6" i="6"/>
  <c r="AD9" i="6"/>
  <c r="AU9" i="6"/>
  <c r="AJ10" i="6"/>
  <c r="AT10" i="6"/>
  <c r="AB11" i="6"/>
  <c r="AJ14" i="6"/>
  <c r="AT14" i="6"/>
  <c r="AB15" i="6"/>
  <c r="AO3" i="7"/>
  <c r="AB6" i="7"/>
  <c r="AD11" i="7"/>
  <c r="AU11" i="7"/>
  <c r="AQ13" i="7"/>
  <c r="AQ14" i="7"/>
  <c r="AR14" i="7"/>
  <c r="AV14" i="7" s="1"/>
  <c r="AD17" i="7"/>
  <c r="AN17" i="7"/>
  <c r="AN18" i="7"/>
  <c r="AN19" i="7"/>
  <c r="AN20" i="7"/>
  <c r="AO25" i="7"/>
  <c r="AV25" i="7" s="1"/>
  <c r="AJ27" i="7"/>
  <c r="AJ29" i="7"/>
  <c r="AU29" i="7"/>
  <c r="AJ30" i="7"/>
  <c r="AJ32" i="7"/>
  <c r="AO34" i="7"/>
  <c r="AU35" i="7"/>
  <c r="AO37" i="7"/>
  <c r="AP39" i="7"/>
  <c r="AR41" i="7"/>
  <c r="AQ43" i="7"/>
  <c r="AU43" i="7"/>
  <c r="AR44" i="7"/>
  <c r="AU46" i="7"/>
  <c r="AJ47" i="7"/>
  <c r="AU47" i="7"/>
  <c r="AR48" i="7"/>
  <c r="AR49" i="7"/>
  <c r="AQ51" i="7"/>
  <c r="AU51" i="7"/>
  <c r="AR52" i="7"/>
  <c r="AR53" i="7"/>
  <c r="AJ56" i="7"/>
  <c r="AO57" i="7"/>
  <c r="AV57" i="7" s="1"/>
  <c r="AC57" i="7"/>
  <c r="AN57" i="7"/>
  <c r="AT57" i="7"/>
  <c r="AJ57" i="7"/>
  <c r="AR60" i="7"/>
  <c r="AR61" i="7"/>
  <c r="AR63" i="7"/>
  <c r="AB63" i="7"/>
  <c r="AU63" i="7"/>
  <c r="AO65" i="7"/>
  <c r="AC65" i="7"/>
  <c r="AN65" i="7"/>
  <c r="AT65" i="7"/>
  <c r="AJ65" i="7"/>
  <c r="AP66" i="7"/>
  <c r="AO67" i="7"/>
  <c r="AV67" i="7" s="1"/>
  <c r="AO75" i="7"/>
  <c r="AU76" i="7"/>
  <c r="AO78" i="7"/>
  <c r="AQ80" i="7"/>
  <c r="AQ81" i="7"/>
  <c r="AN84" i="7"/>
  <c r="AO86" i="7"/>
  <c r="AV86" i="7" s="1"/>
  <c r="AQ88" i="7"/>
  <c r="AQ89" i="7"/>
  <c r="AQ92" i="7"/>
  <c r="AR94" i="7"/>
  <c r="AB94" i="7"/>
  <c r="AR96" i="7"/>
  <c r="AR7" i="9"/>
  <c r="AV7" i="9" s="1"/>
  <c r="AC8" i="9"/>
  <c r="AO8" i="9"/>
  <c r="AV8" i="9" s="1"/>
  <c r="AT12" i="9"/>
  <c r="AJ12" i="9"/>
  <c r="AN17" i="9"/>
  <c r="AJ17" i="9"/>
  <c r="AO29" i="9"/>
  <c r="AV29" i="9" s="1"/>
  <c r="AC29" i="9"/>
  <c r="AR36" i="9"/>
  <c r="AD68" i="9"/>
  <c r="AQ68" i="9"/>
  <c r="AD38" i="14"/>
  <c r="AQ38" i="14"/>
  <c r="AD6" i="6"/>
  <c r="AD10" i="6"/>
  <c r="AC11" i="6"/>
  <c r="AJ11" i="6"/>
  <c r="AB12" i="6"/>
  <c r="AD14" i="6"/>
  <c r="AC15" i="6"/>
  <c r="AJ15" i="6"/>
  <c r="AB16" i="6"/>
  <c r="AU86" i="7"/>
  <c r="AU82" i="7"/>
  <c r="AU78" i="7"/>
  <c r="AU66" i="7"/>
  <c r="AU62" i="7"/>
  <c r="AU58" i="7"/>
  <c r="AU54" i="7"/>
  <c r="AU38" i="7"/>
  <c r="AU34" i="7"/>
  <c r="AU24" i="7"/>
  <c r="AU89" i="7"/>
  <c r="AU85" i="7"/>
  <c r="AU81" i="7"/>
  <c r="AU71" i="7"/>
  <c r="AU65" i="7"/>
  <c r="AU61" i="7"/>
  <c r="AU57" i="7"/>
  <c r="AU53" i="7"/>
  <c r="AU49" i="7"/>
  <c r="AU41" i="7"/>
  <c r="AU37" i="7"/>
  <c r="AU27" i="7"/>
  <c r="AU9" i="7"/>
  <c r="AU96" i="7"/>
  <c r="AU92" i="7"/>
  <c r="AU88" i="7"/>
  <c r="AU84" i="7"/>
  <c r="AU80" i="7"/>
  <c r="AU70" i="7"/>
  <c r="AU60" i="7"/>
  <c r="AU56" i="7"/>
  <c r="AU52" i="7"/>
  <c r="AU48" i="7"/>
  <c r="AU44" i="7"/>
  <c r="AP3" i="7"/>
  <c r="AC6" i="7"/>
  <c r="AJ6" i="7"/>
  <c r="AC7" i="7"/>
  <c r="AJ7" i="7"/>
  <c r="AU7" i="7"/>
  <c r="AT14" i="7"/>
  <c r="AB15" i="7"/>
  <c r="AP20" i="7"/>
  <c r="AC22" i="7"/>
  <c r="AJ22" i="7"/>
  <c r="AU22" i="7"/>
  <c r="AP27" i="7"/>
  <c r="AN29" i="7"/>
  <c r="AN30" i="7"/>
  <c r="AN32" i="7"/>
  <c r="AB34" i="7"/>
  <c r="AP34" i="7"/>
  <c r="AN37" i="7"/>
  <c r="AQ46" i="7"/>
  <c r="AN47" i="7"/>
  <c r="AR54" i="7"/>
  <c r="AB54" i="7"/>
  <c r="AQ58" i="7"/>
  <c r="AR62" i="7"/>
  <c r="AB62" i="7"/>
  <c r="AP65" i="7"/>
  <c r="AQ66" i="7"/>
  <c r="AQ68" i="7"/>
  <c r="AU68" i="7"/>
  <c r="AJ69" i="7"/>
  <c r="AO70" i="7"/>
  <c r="AJ73" i="7"/>
  <c r="AP75" i="7"/>
  <c r="AQ76" i="7"/>
  <c r="AP78" i="7"/>
  <c r="AR80" i="7"/>
  <c r="AR81" i="7"/>
  <c r="AJ84" i="7"/>
  <c r="AO85" i="7"/>
  <c r="AV85" i="7" s="1"/>
  <c r="AC85" i="7"/>
  <c r="AN85" i="7"/>
  <c r="AT85" i="7"/>
  <c r="AJ85" i="7"/>
  <c r="AR88" i="7"/>
  <c r="AR89" i="7"/>
  <c r="AQ91" i="7"/>
  <c r="AU91" i="7"/>
  <c r="AR92" i="7"/>
  <c r="AU94" i="7"/>
  <c r="AJ95" i="7"/>
  <c r="AO14" i="8"/>
  <c r="AV14" i="8" s="1"/>
  <c r="AR73" i="9"/>
  <c r="AR70" i="9"/>
  <c r="AR62" i="9"/>
  <c r="AR56" i="9"/>
  <c r="AR71" i="9"/>
  <c r="AR42" i="9"/>
  <c r="AR20" i="9"/>
  <c r="AR6" i="9"/>
  <c r="AR58" i="9"/>
  <c r="AR14" i="9"/>
  <c r="AR72" i="9"/>
  <c r="AR3" i="9"/>
  <c r="AR75" i="9"/>
  <c r="AR68" i="9"/>
  <c r="AR65" i="9"/>
  <c r="AR48" i="9"/>
  <c r="AR34" i="9"/>
  <c r="AR32" i="9"/>
  <c r="AQ12" i="9"/>
  <c r="AD12" i="9"/>
  <c r="AD17" i="9"/>
  <c r="AQ17" i="9"/>
  <c r="AR24" i="9"/>
  <c r="AQ27" i="9"/>
  <c r="AD27" i="9"/>
  <c r="AN7" i="10"/>
  <c r="AR8" i="6"/>
  <c r="AO91" i="7"/>
  <c r="AO73" i="7"/>
  <c r="AO69" i="7"/>
  <c r="AO51" i="7"/>
  <c r="AO43" i="7"/>
  <c r="AN86" i="7"/>
  <c r="AN82" i="7"/>
  <c r="AN78" i="7"/>
  <c r="AN66" i="7"/>
  <c r="AN62" i="7"/>
  <c r="AN58" i="7"/>
  <c r="AN54" i="7"/>
  <c r="AN13" i="7"/>
  <c r="AU15" i="7"/>
  <c r="AQ18" i="7"/>
  <c r="AR20" i="7"/>
  <c r="AR25" i="7"/>
  <c r="AB25" i="7"/>
  <c r="AR27" i="7"/>
  <c r="AO30" i="7"/>
  <c r="AR30" i="7"/>
  <c r="AR32" i="7"/>
  <c r="AV32" i="7" s="1"/>
  <c r="AB32" i="7"/>
  <c r="AP32" i="7"/>
  <c r="AP35" i="7"/>
  <c r="AV35" i="7" s="1"/>
  <c r="AP37" i="7"/>
  <c r="AU39" i="7"/>
  <c r="AO41" i="7"/>
  <c r="AC41" i="7"/>
  <c r="AN41" i="7"/>
  <c r="AT41" i="7"/>
  <c r="AJ41" i="7"/>
  <c r="AN44" i="7"/>
  <c r="AN46" i="7"/>
  <c r="AN48" i="7"/>
  <c r="AO49" i="7"/>
  <c r="AV49" i="7" s="1"/>
  <c r="AC49" i="7"/>
  <c r="AN49" i="7"/>
  <c r="AT49" i="7"/>
  <c r="AJ49" i="7"/>
  <c r="AN52" i="7"/>
  <c r="AO53" i="7"/>
  <c r="AC53" i="7"/>
  <c r="AN53" i="7"/>
  <c r="AT53" i="7"/>
  <c r="AJ53" i="7"/>
  <c r="AR56" i="7"/>
  <c r="AR57" i="7"/>
  <c r="AO61" i="7"/>
  <c r="AC61" i="7"/>
  <c r="AN61" i="7"/>
  <c r="AT61" i="7"/>
  <c r="AJ61" i="7"/>
  <c r="AP62" i="7"/>
  <c r="AO63" i="7"/>
  <c r="AR65" i="7"/>
  <c r="AR67" i="7"/>
  <c r="AB67" i="7"/>
  <c r="AU67" i="7"/>
  <c r="AN68" i="7"/>
  <c r="AR69" i="7"/>
  <c r="AR73" i="7"/>
  <c r="AR75" i="7"/>
  <c r="AB75" i="7"/>
  <c r="AU75" i="7"/>
  <c r="AN76" i="7"/>
  <c r="AN80" i="7"/>
  <c r="AO82" i="7"/>
  <c r="AV82" i="7" s="1"/>
  <c r="AQ84" i="7"/>
  <c r="AN88" i="7"/>
  <c r="AO92" i="7"/>
  <c r="AJ94" i="7"/>
  <c r="AQ96" i="7"/>
  <c r="AN96" i="7"/>
  <c r="AN8" i="8"/>
  <c r="AT8" i="8"/>
  <c r="AJ8" i="8"/>
  <c r="AQ9" i="8"/>
  <c r="AN12" i="8"/>
  <c r="AT12" i="8"/>
  <c r="AJ12" i="8"/>
  <c r="AQ13" i="8"/>
  <c r="AN16" i="8"/>
  <c r="AT16" i="8"/>
  <c r="AJ16" i="8"/>
  <c r="AQ17" i="8"/>
  <c r="AN20" i="8"/>
  <c r="AT20" i="8"/>
  <c r="AJ20" i="8"/>
  <c r="AQ14" i="9"/>
  <c r="AD14" i="9"/>
  <c r="AR17" i="9"/>
  <c r="AR19" i="9"/>
  <c r="AB19" i="9"/>
  <c r="AO24" i="9"/>
  <c r="AC24" i="9"/>
  <c r="AR30" i="9"/>
  <c r="AD16" i="11"/>
  <c r="AQ16" i="11"/>
  <c r="AP92" i="7"/>
  <c r="AP70" i="7"/>
  <c r="AP52" i="7"/>
  <c r="AV52" i="7" s="1"/>
  <c r="AP48" i="7"/>
  <c r="AV48" i="7" s="1"/>
  <c r="AP44" i="7"/>
  <c r="AV44" i="7" s="1"/>
  <c r="AP30" i="7"/>
  <c r="AP91" i="7"/>
  <c r="AP73" i="7"/>
  <c r="AP69" i="7"/>
  <c r="AP51" i="7"/>
  <c r="AP43" i="7"/>
  <c r="AP19" i="7"/>
  <c r="AV19" i="7" s="1"/>
  <c r="AP94" i="7"/>
  <c r="AP76" i="7"/>
  <c r="AP46" i="7"/>
  <c r="AP6" i="7"/>
  <c r="AV6" i="7" s="1"/>
  <c r="AR7" i="7"/>
  <c r="AB7" i="7"/>
  <c r="AP7" i="7"/>
  <c r="AO24" i="7"/>
  <c r="AU25" i="7"/>
  <c r="AO27" i="7"/>
  <c r="AT27" i="7"/>
  <c r="AQ29" i="7"/>
  <c r="AQ35" i="7"/>
  <c r="AQ37" i="7"/>
  <c r="AP38" i="7"/>
  <c r="AN39" i="7"/>
  <c r="AP41" i="7"/>
  <c r="AR43" i="7"/>
  <c r="AJ44" i="7"/>
  <c r="AO46" i="7"/>
  <c r="AQ47" i="7"/>
  <c r="AR47" i="7"/>
  <c r="AJ48" i="7"/>
  <c r="AR51" i="7"/>
  <c r="AJ52" i="7"/>
  <c r="AP53" i="7"/>
  <c r="AQ54" i="7"/>
  <c r="AR58" i="7"/>
  <c r="AB58" i="7"/>
  <c r="AP61" i="7"/>
  <c r="AQ62" i="7"/>
  <c r="AP63" i="7"/>
  <c r="AR66" i="7"/>
  <c r="AB66" i="7"/>
  <c r="AQ71" i="7"/>
  <c r="AO76" i="7"/>
  <c r="AJ80" i="7"/>
  <c r="AO81" i="7"/>
  <c r="AV81" i="7" s="1"/>
  <c r="AC81" i="7"/>
  <c r="AN81" i="7"/>
  <c r="AT81" i="7"/>
  <c r="AJ81" i="7"/>
  <c r="AR84" i="7"/>
  <c r="AR85" i="7"/>
  <c r="AJ88" i="7"/>
  <c r="AO89" i="7"/>
  <c r="AV89" i="7" s="1"/>
  <c r="AC89" i="7"/>
  <c r="AN89" i="7"/>
  <c r="AT89" i="7"/>
  <c r="AJ89" i="7"/>
  <c r="AN92" i="7"/>
  <c r="AN94" i="7"/>
  <c r="AU14" i="8"/>
  <c r="AU17" i="8"/>
  <c r="AU13" i="8"/>
  <c r="AU9" i="8"/>
  <c r="AU20" i="8"/>
  <c r="AU16" i="8"/>
  <c r="AU12" i="8"/>
  <c r="AU8" i="8"/>
  <c r="AU3" i="8"/>
  <c r="AU19" i="8"/>
  <c r="AU11" i="8"/>
  <c r="AU7" i="8"/>
  <c r="AV7" i="8" s="1"/>
  <c r="AR14" i="8"/>
  <c r="AB14" i="8"/>
  <c r="AR11" i="9"/>
  <c r="AR15" i="9"/>
  <c r="AB15" i="9"/>
  <c r="AT17" i="9"/>
  <c r="AN20" i="9"/>
  <c r="AJ20" i="9"/>
  <c r="AR22" i="9"/>
  <c r="AR26" i="9"/>
  <c r="AV26" i="9" s="1"/>
  <c r="AR38" i="9"/>
  <c r="AR44" i="9"/>
  <c r="AR63" i="9"/>
  <c r="AB63" i="9"/>
  <c r="AO72" i="9"/>
  <c r="AC72" i="9"/>
  <c r="AN72" i="9"/>
  <c r="AT72" i="9"/>
  <c r="AJ72" i="9"/>
  <c r="AJ75" i="7"/>
  <c r="AJ67" i="7"/>
  <c r="AJ63" i="7"/>
  <c r="AJ39" i="7"/>
  <c r="AJ35" i="7"/>
  <c r="AJ25" i="7"/>
  <c r="AQ7" i="7"/>
  <c r="AJ11" i="7"/>
  <c r="AR13" i="7"/>
  <c r="AB13" i="7"/>
  <c r="AJ17" i="7"/>
  <c r="AJ18" i="7"/>
  <c r="AJ19" i="7"/>
  <c r="AJ20" i="7"/>
  <c r="AQ22" i="7"/>
  <c r="AQ32" i="7"/>
  <c r="AN34" i="7"/>
  <c r="AT34" i="7"/>
  <c r="AJ34" i="7"/>
  <c r="AR35" i="7"/>
  <c r="AB35" i="7"/>
  <c r="AQ38" i="7"/>
  <c r="AQ41" i="7"/>
  <c r="AQ44" i="7"/>
  <c r="AR46" i="7"/>
  <c r="AB46" i="7"/>
  <c r="AQ48" i="7"/>
  <c r="AQ49" i="7"/>
  <c r="AQ52" i="7"/>
  <c r="AQ53" i="7"/>
  <c r="AN56" i="7"/>
  <c r="AO58" i="7"/>
  <c r="AV58" i="7" s="1"/>
  <c r="AQ61" i="7"/>
  <c r="AO66" i="7"/>
  <c r="AQ67" i="7"/>
  <c r="AN67" i="7"/>
  <c r="AR68" i="7"/>
  <c r="AB68" i="7"/>
  <c r="AQ69" i="7"/>
  <c r="AU69" i="7"/>
  <c r="AR70" i="7"/>
  <c r="AR71" i="7"/>
  <c r="AQ73" i="7"/>
  <c r="AU73" i="7"/>
  <c r="AQ75" i="7"/>
  <c r="AN75" i="7"/>
  <c r="AR76" i="7"/>
  <c r="AB76" i="7"/>
  <c r="AR78" i="7"/>
  <c r="AB78" i="7"/>
  <c r="AR86" i="7"/>
  <c r="AB86" i="7"/>
  <c r="AR91" i="7"/>
  <c r="AJ92" i="7"/>
  <c r="AO94" i="7"/>
  <c r="AQ95" i="7"/>
  <c r="AQ9" i="9"/>
  <c r="AD9" i="9"/>
  <c r="AO15" i="9"/>
  <c r="AV15" i="9" s="1"/>
  <c r="AC15" i="9"/>
  <c r="AC22" i="9"/>
  <c r="AO22" i="9"/>
  <c r="AT22" i="9"/>
  <c r="AJ22" i="9"/>
  <c r="AN22" i="9"/>
  <c r="AR29" i="9"/>
  <c r="AB29" i="9"/>
  <c r="AR39" i="9"/>
  <c r="AB39" i="9"/>
  <c r="AR43" i="9"/>
  <c r="AC9" i="11"/>
  <c r="AO9" i="11"/>
  <c r="AD96" i="7"/>
  <c r="AR3" i="8"/>
  <c r="AD7" i="8"/>
  <c r="AC8" i="8"/>
  <c r="AB9" i="8"/>
  <c r="AD11" i="8"/>
  <c r="AC12" i="8"/>
  <c r="AB13" i="8"/>
  <c r="AC16" i="8"/>
  <c r="AB17" i="8"/>
  <c r="AD19" i="8"/>
  <c r="AC20" i="8"/>
  <c r="AQ3" i="9"/>
  <c r="AD6" i="9"/>
  <c r="AQ7" i="9"/>
  <c r="AT8" i="9"/>
  <c r="AJ8" i="9"/>
  <c r="AT11" i="9"/>
  <c r="AO12" i="9"/>
  <c r="AV12" i="9" s="1"/>
  <c r="AP14" i="9"/>
  <c r="AJ15" i="9"/>
  <c r="AC20" i="9"/>
  <c r="AB22" i="9"/>
  <c r="AR23" i="9"/>
  <c r="AB23" i="9"/>
  <c r="AQ23" i="9"/>
  <c r="AQ24" i="9"/>
  <c r="AJ29" i="9"/>
  <c r="AO39" i="9"/>
  <c r="AR41" i="9"/>
  <c r="AB41" i="9"/>
  <c r="AR45" i="9"/>
  <c r="AB45" i="9"/>
  <c r="AN45" i="9"/>
  <c r="AR46" i="9"/>
  <c r="AB46" i="9"/>
  <c r="AR50" i="9"/>
  <c r="AB50" i="9"/>
  <c r="AP54" i="9"/>
  <c r="AP60" i="9"/>
  <c r="AV60" i="9" s="1"/>
  <c r="AO63" i="9"/>
  <c r="AV63" i="9" s="1"/>
  <c r="AJ66" i="9"/>
  <c r="AO71" i="9"/>
  <c r="AV71" i="9" s="1"/>
  <c r="AC71" i="9"/>
  <c r="AN71" i="9"/>
  <c r="AD72" i="9"/>
  <c r="AQ72" i="9"/>
  <c r="AD7" i="10"/>
  <c r="AQ7" i="10"/>
  <c r="AN14" i="11"/>
  <c r="AN18" i="11"/>
  <c r="AN7" i="11"/>
  <c r="AN9" i="11"/>
  <c r="AO12" i="11"/>
  <c r="AC12" i="11"/>
  <c r="AR16" i="11"/>
  <c r="AV16" i="11" s="1"/>
  <c r="AH1" i="12"/>
  <c r="AH2" i="12" s="1"/>
  <c r="AJ1" i="12"/>
  <c r="AC8" i="12"/>
  <c r="AO8" i="12"/>
  <c r="AJ1" i="14"/>
  <c r="AH1" i="14"/>
  <c r="AH2" i="14" s="1"/>
  <c r="AJ54" i="7"/>
  <c r="AJ58" i="7"/>
  <c r="AJ62" i="7"/>
  <c r="AJ66" i="7"/>
  <c r="AJ78" i="7"/>
  <c r="AJ82" i="7"/>
  <c r="AJ86" i="7"/>
  <c r="AJ9" i="8"/>
  <c r="AT9" i="8"/>
  <c r="AJ13" i="8"/>
  <c r="AT13" i="8"/>
  <c r="AJ17" i="8"/>
  <c r="AT17" i="8"/>
  <c r="AO43" i="9"/>
  <c r="AO65" i="9"/>
  <c r="AP6" i="9"/>
  <c r="AN8" i="9"/>
  <c r="AJ11" i="9"/>
  <c r="AJ19" i="9"/>
  <c r="AQ26" i="9"/>
  <c r="AT26" i="9"/>
  <c r="AJ26" i="9"/>
  <c r="AO32" i="9"/>
  <c r="AC32" i="9"/>
  <c r="AQ34" i="9"/>
  <c r="AO38" i="9"/>
  <c r="AC38" i="9"/>
  <c r="AN38" i="9"/>
  <c r="AT38" i="9"/>
  <c r="AJ38" i="9"/>
  <c r="AQ40" i="9"/>
  <c r="AN40" i="9"/>
  <c r="AJ42" i="9"/>
  <c r="AO45" i="9"/>
  <c r="AV45" i="9" s="1"/>
  <c r="AR47" i="9"/>
  <c r="AB47" i="9"/>
  <c r="AQ48" i="9"/>
  <c r="AR51" i="9"/>
  <c r="AB51" i="9"/>
  <c r="AO56" i="9"/>
  <c r="AV56" i="9" s="1"/>
  <c r="AC56" i="9"/>
  <c r="AN56" i="9"/>
  <c r="AT56" i="9"/>
  <c r="AJ56" i="9"/>
  <c r="AO62" i="9"/>
  <c r="AV62" i="9" s="1"/>
  <c r="AC62" i="9"/>
  <c r="AN62" i="9"/>
  <c r="AT62" i="9"/>
  <c r="AJ62" i="9"/>
  <c r="AN66" i="9"/>
  <c r="AT68" i="9"/>
  <c r="AN70" i="9"/>
  <c r="AN73" i="9"/>
  <c r="AT75" i="9"/>
  <c r="AQ6" i="10"/>
  <c r="AN6" i="11"/>
  <c r="AO8" i="11"/>
  <c r="AC8" i="11"/>
  <c r="AC14" i="11"/>
  <c r="AO14" i="11"/>
  <c r="AV14" i="11" s="1"/>
  <c r="AR9" i="13"/>
  <c r="AB9" i="13"/>
  <c r="AD21" i="13"/>
  <c r="AQ21" i="13"/>
  <c r="AO9" i="14"/>
  <c r="AC9" i="14"/>
  <c r="AP70" i="9"/>
  <c r="AP43" i="9"/>
  <c r="AP75" i="9"/>
  <c r="AP72" i="9"/>
  <c r="AP68" i="9"/>
  <c r="AP65" i="9"/>
  <c r="AP58" i="9"/>
  <c r="AP42" i="9"/>
  <c r="AV42" i="9" s="1"/>
  <c r="AP66" i="9"/>
  <c r="AP41" i="9"/>
  <c r="AP23" i="9"/>
  <c r="AP19" i="9"/>
  <c r="AV19" i="9" s="1"/>
  <c r="AT7" i="9"/>
  <c r="AR9" i="9"/>
  <c r="AB9" i="9"/>
  <c r="AN19" i="9"/>
  <c r="AP20" i="9"/>
  <c r="AP22" i="9"/>
  <c r="AN26" i="9"/>
  <c r="AR27" i="9"/>
  <c r="AB27" i="9"/>
  <c r="AQ30" i="9"/>
  <c r="AT30" i="9"/>
  <c r="AJ30" i="9"/>
  <c r="AT32" i="9"/>
  <c r="AJ32" i="9"/>
  <c r="AQ36" i="9"/>
  <c r="AT36" i="9"/>
  <c r="AV36" i="9" s="1"/>
  <c r="AJ36" i="9"/>
  <c r="AP38" i="9"/>
  <c r="AQ39" i="9"/>
  <c r="AO40" i="9"/>
  <c r="AV40" i="9" s="1"/>
  <c r="AQ41" i="9"/>
  <c r="AN43" i="9"/>
  <c r="AO44" i="9"/>
  <c r="AC44" i="9"/>
  <c r="AN44" i="9"/>
  <c r="AT44" i="9"/>
  <c r="AJ44" i="9"/>
  <c r="AQ46" i="9"/>
  <c r="AN46" i="9"/>
  <c r="AQ50" i="9"/>
  <c r="AN50" i="9"/>
  <c r="AR53" i="9"/>
  <c r="AB53" i="9"/>
  <c r="AN53" i="9"/>
  <c r="AR54" i="9"/>
  <c r="AB54" i="9"/>
  <c r="AR60" i="9"/>
  <c r="AB60" i="9"/>
  <c r="AQ63" i="9"/>
  <c r="AO66" i="9"/>
  <c r="AO70" i="9"/>
  <c r="AR9" i="11"/>
  <c r="AN11" i="11"/>
  <c r="AN13" i="11"/>
  <c r="AR15" i="11"/>
  <c r="AV18" i="11"/>
  <c r="AO19" i="14"/>
  <c r="AV19" i="14" s="1"/>
  <c r="AC19" i="14"/>
  <c r="AR48" i="14"/>
  <c r="AB48" i="14"/>
  <c r="AR57" i="14"/>
  <c r="AB57" i="14"/>
  <c r="AO19" i="15"/>
  <c r="AV19" i="15" s="1"/>
  <c r="AC19" i="15"/>
  <c r="AN19" i="15"/>
  <c r="AT19" i="15"/>
  <c r="AJ19" i="15"/>
  <c r="AN29" i="16"/>
  <c r="AT29" i="16"/>
  <c r="AJ29" i="16"/>
  <c r="AQ66" i="9"/>
  <c r="AQ73" i="9"/>
  <c r="AJ71" i="9"/>
  <c r="AJ70" i="9"/>
  <c r="AJ63" i="9"/>
  <c r="AJ53" i="9"/>
  <c r="AJ45" i="9"/>
  <c r="AJ39" i="9"/>
  <c r="AJ7" i="9"/>
  <c r="AO14" i="9"/>
  <c r="AC14" i="9"/>
  <c r="AQ15" i="9"/>
  <c r="AJ23" i="9"/>
  <c r="AQ29" i="9"/>
  <c r="AJ34" i="9"/>
  <c r="AQ38" i="9"/>
  <c r="AJ41" i="9"/>
  <c r="AJ43" i="9"/>
  <c r="AP44" i="9"/>
  <c r="AQ45" i="9"/>
  <c r="AO46" i="9"/>
  <c r="AV46" i="9" s="1"/>
  <c r="AQ47" i="9"/>
  <c r="AJ48" i="9"/>
  <c r="AQ51" i="9"/>
  <c r="AO53" i="9"/>
  <c r="AQ56" i="9"/>
  <c r="AO58" i="9"/>
  <c r="AV58" i="9" s="1"/>
  <c r="AQ62" i="9"/>
  <c r="AQ70" i="9"/>
  <c r="AR8" i="11"/>
  <c r="AD11" i="11"/>
  <c r="AQ11" i="11"/>
  <c r="AR7" i="12"/>
  <c r="AB7" i="12"/>
  <c r="AB6" i="13"/>
  <c r="AR6" i="13"/>
  <c r="AO22" i="13"/>
  <c r="AV22" i="13" s="1"/>
  <c r="AC22" i="13"/>
  <c r="AR24" i="14"/>
  <c r="AB24" i="14"/>
  <c r="AO39" i="14"/>
  <c r="AV39" i="14" s="1"/>
  <c r="AC39" i="14"/>
  <c r="AQ65" i="9"/>
  <c r="AD65" i="9"/>
  <c r="AT65" i="9"/>
  <c r="AJ65" i="9"/>
  <c r="AO68" i="9"/>
  <c r="AC68" i="9"/>
  <c r="AQ75" i="9"/>
  <c r="AD75" i="9"/>
  <c r="AN6" i="10"/>
  <c r="AT6" i="10"/>
  <c r="AJ6" i="10"/>
  <c r="AR13" i="11"/>
  <c r="AR7" i="11"/>
  <c r="AR6" i="11"/>
  <c r="AR11" i="11"/>
  <c r="AR6" i="12"/>
  <c r="AR9" i="12"/>
  <c r="AU13" i="13"/>
  <c r="AU9" i="13"/>
  <c r="AU21" i="13"/>
  <c r="AU17" i="13"/>
  <c r="AU20" i="13"/>
  <c r="AU16" i="13"/>
  <c r="AU3" i="13"/>
  <c r="AU19" i="13"/>
  <c r="AU22" i="13"/>
  <c r="AU15" i="13"/>
  <c r="AU10" i="13"/>
  <c r="AU11" i="13"/>
  <c r="AU8" i="13"/>
  <c r="AU6" i="13"/>
  <c r="AN6" i="14"/>
  <c r="AT6" i="14"/>
  <c r="AJ6" i="14"/>
  <c r="AO11" i="14"/>
  <c r="AV11" i="14" s="1"/>
  <c r="AC11" i="14"/>
  <c r="AD18" i="14"/>
  <c r="AQ18" i="14"/>
  <c r="AQ33" i="14"/>
  <c r="AR69" i="14"/>
  <c r="AB69" i="14"/>
  <c r="AP10" i="12"/>
  <c r="AV10" i="12" s="1"/>
  <c r="AP3" i="12"/>
  <c r="AT6" i="12"/>
  <c r="AJ6" i="12"/>
  <c r="AQ50" i="14"/>
  <c r="AQ55" i="14"/>
  <c r="AQ68" i="14"/>
  <c r="AQ56" i="14"/>
  <c r="AQ3" i="14"/>
  <c r="AQ14" i="14"/>
  <c r="AR20" i="14"/>
  <c r="AB20" i="14"/>
  <c r="AQ22" i="14"/>
  <c r="AQ28" i="14"/>
  <c r="AQ31" i="14"/>
  <c r="AN32" i="14"/>
  <c r="AT32" i="14"/>
  <c r="AJ32" i="14"/>
  <c r="AR33" i="14"/>
  <c r="AR35" i="14"/>
  <c r="AB35" i="14"/>
  <c r="AQ45" i="14"/>
  <c r="AO47" i="14"/>
  <c r="AC47" i="14"/>
  <c r="AT47" i="14"/>
  <c r="AJ47" i="14"/>
  <c r="AN47" i="14"/>
  <c r="AR58" i="14"/>
  <c r="AB58" i="14"/>
  <c r="AD62" i="17"/>
  <c r="AQ62" i="17"/>
  <c r="AU12" i="11"/>
  <c r="AU8" i="11"/>
  <c r="AU3" i="11"/>
  <c r="AT9" i="11"/>
  <c r="AJ9" i="11"/>
  <c r="AU9" i="11"/>
  <c r="AN12" i="11"/>
  <c r="AT12" i="11"/>
  <c r="AR14" i="11"/>
  <c r="AB14" i="11"/>
  <c r="AN6" i="12"/>
  <c r="AR19" i="13"/>
  <c r="AV19" i="13" s="1"/>
  <c r="AR15" i="13"/>
  <c r="AR11" i="13"/>
  <c r="AR14" i="13"/>
  <c r="AR16" i="13"/>
  <c r="AN21" i="13"/>
  <c r="AT21" i="13"/>
  <c r="AJ21" i="13"/>
  <c r="AR22" i="13"/>
  <c r="AR55" i="14"/>
  <c r="AR47" i="14"/>
  <c r="AR36" i="14"/>
  <c r="AR30" i="14"/>
  <c r="AR26" i="14"/>
  <c r="AR54" i="14"/>
  <c r="AR3" i="14"/>
  <c r="AQ7" i="14"/>
  <c r="AR11" i="14"/>
  <c r="AR14" i="14"/>
  <c r="AQ17" i="14"/>
  <c r="AN18" i="14"/>
  <c r="AT18" i="14"/>
  <c r="AJ18" i="14"/>
  <c r="AR19" i="14"/>
  <c r="AR22" i="14"/>
  <c r="AQ26" i="14"/>
  <c r="AQ29" i="14"/>
  <c r="AJ31" i="14"/>
  <c r="AO33" i="14"/>
  <c r="AV33" i="14" s="1"/>
  <c r="AC33" i="14"/>
  <c r="AQ34" i="14"/>
  <c r="AO34" i="14"/>
  <c r="AV34" i="14" s="1"/>
  <c r="AQ37" i="14"/>
  <c r="AN38" i="14"/>
  <c r="AT38" i="14"/>
  <c r="AJ38" i="14"/>
  <c r="AR39" i="14"/>
  <c r="AR41" i="14"/>
  <c r="AQ47" i="14"/>
  <c r="AD47" i="14"/>
  <c r="AO53" i="14"/>
  <c r="AV53" i="14" s="1"/>
  <c r="AC53" i="14"/>
  <c r="AD64" i="14"/>
  <c r="AQ64" i="14"/>
  <c r="AR66" i="9"/>
  <c r="AB66" i="9"/>
  <c r="AT70" i="9"/>
  <c r="AT71" i="9"/>
  <c r="AT7" i="10"/>
  <c r="AN8" i="11"/>
  <c r="AT8" i="11"/>
  <c r="AD9" i="11"/>
  <c r="AT11" i="11"/>
  <c r="AT15" i="11"/>
  <c r="AT16" i="11"/>
  <c r="AR18" i="11"/>
  <c r="AB18" i="11"/>
  <c r="AP6" i="12"/>
  <c r="AQ8" i="12"/>
  <c r="AR8" i="12"/>
  <c r="AR3" i="13"/>
  <c r="AT14" i="13"/>
  <c r="AJ14" i="13"/>
  <c r="AD15" i="13"/>
  <c r="AN15" i="13"/>
  <c r="AC20" i="13"/>
  <c r="AB21" i="13"/>
  <c r="AN22" i="13"/>
  <c r="AN68" i="14"/>
  <c r="AN64" i="14"/>
  <c r="AN60" i="14"/>
  <c r="AN48" i="14"/>
  <c r="AN70" i="14"/>
  <c r="AN58" i="14"/>
  <c r="AN34" i="14"/>
  <c r="AN28" i="14"/>
  <c r="AN24" i="14"/>
  <c r="AN20" i="14"/>
  <c r="AN71" i="14"/>
  <c r="AN61" i="14"/>
  <c r="AN53" i="14"/>
  <c r="AN52" i="14"/>
  <c r="AN43" i="14"/>
  <c r="AN39" i="14"/>
  <c r="AN33" i="14"/>
  <c r="AN23" i="14"/>
  <c r="AN19" i="14"/>
  <c r="AN15" i="14"/>
  <c r="AN11" i="14"/>
  <c r="AN66" i="14"/>
  <c r="AN69" i="14"/>
  <c r="AN57" i="14"/>
  <c r="AN62" i="14"/>
  <c r="AR7" i="14"/>
  <c r="AQ9" i="14"/>
  <c r="AN9" i="14"/>
  <c r="AN10" i="14"/>
  <c r="AT10" i="14"/>
  <c r="AJ10" i="14"/>
  <c r="AQ11" i="14"/>
  <c r="AR15" i="14"/>
  <c r="AQ19" i="14"/>
  <c r="AR23" i="14"/>
  <c r="AR25" i="14"/>
  <c r="AB25" i="14"/>
  <c r="AJ26" i="14"/>
  <c r="AQ30" i="14"/>
  <c r="AR31" i="14"/>
  <c r="AQ32" i="14"/>
  <c r="AN35" i="14"/>
  <c r="AQ39" i="14"/>
  <c r="AO43" i="14"/>
  <c r="AC43" i="14"/>
  <c r="AQ43" i="14"/>
  <c r="AQ52" i="14"/>
  <c r="AJ54" i="14"/>
  <c r="AC57" i="14"/>
  <c r="AO57" i="14"/>
  <c r="AV57" i="14" s="1"/>
  <c r="AD18" i="15"/>
  <c r="AQ18" i="15"/>
  <c r="AC7" i="10"/>
  <c r="AB6" i="11"/>
  <c r="AJ8" i="11"/>
  <c r="AC11" i="11"/>
  <c r="AJ11" i="11"/>
  <c r="AU11" i="11"/>
  <c r="AJ14" i="11"/>
  <c r="AU14" i="11"/>
  <c r="AJ15" i="11"/>
  <c r="AU15" i="11"/>
  <c r="AU16" i="11"/>
  <c r="AT8" i="12"/>
  <c r="AB9" i="12"/>
  <c r="AO11" i="13"/>
  <c r="AR13" i="13"/>
  <c r="AB13" i="13"/>
  <c r="AN17" i="13"/>
  <c r="AT17" i="13"/>
  <c r="AJ17" i="13"/>
  <c r="AR20" i="13"/>
  <c r="AO50" i="14"/>
  <c r="AV50" i="14" s="1"/>
  <c r="AO48" i="14"/>
  <c r="AO42" i="14"/>
  <c r="AV42" i="14" s="1"/>
  <c r="AO22" i="14"/>
  <c r="AO14" i="14"/>
  <c r="AO10" i="14"/>
  <c r="AO7" i="14"/>
  <c r="AV7" i="14" s="1"/>
  <c r="AC7" i="14"/>
  <c r="AQ10" i="14"/>
  <c r="AO15" i="14"/>
  <c r="AV15" i="14" s="1"/>
  <c r="AC15" i="14"/>
  <c r="AR17" i="14"/>
  <c r="AO23" i="14"/>
  <c r="AC23" i="14"/>
  <c r="AQ24" i="14"/>
  <c r="AO24" i="14"/>
  <c r="AV24" i="14" s="1"/>
  <c r="AN26" i="14"/>
  <c r="AR28" i="14"/>
  <c r="AB28" i="14"/>
  <c r="AT31" i="14"/>
  <c r="AR32" i="14"/>
  <c r="AQ36" i="14"/>
  <c r="AR37" i="14"/>
  <c r="AO41" i="14"/>
  <c r="AN42" i="14"/>
  <c r="AT42" i="14"/>
  <c r="AJ42" i="14"/>
  <c r="AR43" i="14"/>
  <c r="AR45" i="14"/>
  <c r="AQ48" i="14"/>
  <c r="AR52" i="14"/>
  <c r="AB52" i="14"/>
  <c r="AR53" i="14"/>
  <c r="AR56" i="14"/>
  <c r="AB56" i="14"/>
  <c r="AN56" i="14"/>
  <c r="AQ65" i="14"/>
  <c r="AN65" i="14"/>
  <c r="AN16" i="15"/>
  <c r="AN14" i="15"/>
  <c r="AN10" i="15"/>
  <c r="AN15" i="15"/>
  <c r="AN11" i="15"/>
  <c r="AN6" i="15"/>
  <c r="AN7" i="15"/>
  <c r="AJ40" i="9"/>
  <c r="AJ46" i="9"/>
  <c r="AJ50" i="9"/>
  <c r="AJ54" i="9"/>
  <c r="AJ60" i="9"/>
  <c r="AT73" i="9"/>
  <c r="AJ73" i="9"/>
  <c r="AO75" i="9"/>
  <c r="AJ6" i="11"/>
  <c r="AQ12" i="11"/>
  <c r="AT13" i="11"/>
  <c r="AJ13" i="11"/>
  <c r="AU13" i="11"/>
  <c r="AJ9" i="12"/>
  <c r="AR8" i="13"/>
  <c r="AV8" i="13" s="1"/>
  <c r="AB8" i="13"/>
  <c r="AJ16" i="13"/>
  <c r="AT20" i="13"/>
  <c r="AJ68" i="14"/>
  <c r="AJ64" i="14"/>
  <c r="AJ60" i="14"/>
  <c r="AJ56" i="14"/>
  <c r="AJ44" i="14"/>
  <c r="AJ70" i="14"/>
  <c r="AJ58" i="14"/>
  <c r="AJ34" i="14"/>
  <c r="AJ28" i="14"/>
  <c r="AJ24" i="14"/>
  <c r="AJ20" i="14"/>
  <c r="AJ71" i="14"/>
  <c r="AJ53" i="14"/>
  <c r="AJ52" i="14"/>
  <c r="AJ50" i="14"/>
  <c r="AJ48" i="14"/>
  <c r="AJ43" i="14"/>
  <c r="AJ39" i="14"/>
  <c r="AJ33" i="14"/>
  <c r="AJ23" i="14"/>
  <c r="AJ19" i="14"/>
  <c r="AJ15" i="14"/>
  <c r="AJ11" i="14"/>
  <c r="AJ7" i="14"/>
  <c r="AJ66" i="14"/>
  <c r="AQ6" i="14"/>
  <c r="AN7" i="14"/>
  <c r="AR10" i="14"/>
  <c r="AQ13" i="14"/>
  <c r="AN13" i="14"/>
  <c r="AN14" i="14"/>
  <c r="AT14" i="14"/>
  <c r="AJ14" i="14"/>
  <c r="AQ15" i="14"/>
  <c r="AT17" i="14"/>
  <c r="AR18" i="14"/>
  <c r="AN22" i="14"/>
  <c r="AT22" i="14"/>
  <c r="AJ22" i="14"/>
  <c r="AQ23" i="14"/>
  <c r="AQ25" i="14"/>
  <c r="AR29" i="14"/>
  <c r="AB29" i="14"/>
  <c r="AJ30" i="14"/>
  <c r="AR34" i="14"/>
  <c r="AB34" i="14"/>
  <c r="AT37" i="14"/>
  <c r="AR38" i="14"/>
  <c r="AQ41" i="14"/>
  <c r="AN41" i="14"/>
  <c r="AQ42" i="14"/>
  <c r="AC45" i="14"/>
  <c r="AO45" i="14"/>
  <c r="AT45" i="14"/>
  <c r="AJ45" i="14"/>
  <c r="AN45" i="14"/>
  <c r="AR50" i="14"/>
  <c r="AO56" i="14"/>
  <c r="AV56" i="14" s="1"/>
  <c r="AR68" i="14"/>
  <c r="AB68" i="14"/>
  <c r="AR71" i="14"/>
  <c r="AT17" i="15"/>
  <c r="AJ17" i="15"/>
  <c r="AN17" i="15"/>
  <c r="AQ66" i="14"/>
  <c r="AO68" i="14"/>
  <c r="AV68" i="14" s="1"/>
  <c r="AR70" i="14"/>
  <c r="AB70" i="14"/>
  <c r="AQ71" i="14"/>
  <c r="AO3" i="15"/>
  <c r="AO18" i="15"/>
  <c r="AR16" i="15"/>
  <c r="AB16" i="15"/>
  <c r="AJ38" i="16"/>
  <c r="AJ26" i="16"/>
  <c r="AJ22" i="16"/>
  <c r="AJ16" i="16"/>
  <c r="AJ34" i="16"/>
  <c r="AJ20" i="16"/>
  <c r="AJ8" i="16"/>
  <c r="AO25" i="16"/>
  <c r="AC25" i="16"/>
  <c r="AR8" i="17"/>
  <c r="AB8" i="17"/>
  <c r="AD16" i="13"/>
  <c r="AD20" i="13"/>
  <c r="AB22" i="13"/>
  <c r="AU68" i="14"/>
  <c r="AU64" i="14"/>
  <c r="AU60" i="14"/>
  <c r="AU56" i="14"/>
  <c r="AU48" i="14"/>
  <c r="AU44" i="14"/>
  <c r="AU55" i="14"/>
  <c r="AU54" i="14"/>
  <c r="AU50" i="14"/>
  <c r="AP3" i="14"/>
  <c r="AB7" i="14"/>
  <c r="AD9" i="14"/>
  <c r="AU9" i="14"/>
  <c r="AB11" i="14"/>
  <c r="AD13" i="14"/>
  <c r="AU13" i="14"/>
  <c r="AB15" i="14"/>
  <c r="AD17" i="14"/>
  <c r="AU17" i="14"/>
  <c r="AB19" i="14"/>
  <c r="AB23" i="14"/>
  <c r="AD31" i="14"/>
  <c r="AU31" i="14"/>
  <c r="AB33" i="14"/>
  <c r="AD37" i="14"/>
  <c r="AU37" i="14"/>
  <c r="AB39" i="14"/>
  <c r="AD41" i="14"/>
  <c r="AU41" i="14"/>
  <c r="AU43" i="14"/>
  <c r="AQ44" i="14"/>
  <c r="AB45" i="14"/>
  <c r="AN50" i="14"/>
  <c r="AU53" i="14"/>
  <c r="AO55" i="14"/>
  <c r="AV55" i="14" s="1"/>
  <c r="AC55" i="14"/>
  <c r="AN55" i="14"/>
  <c r="AT55" i="14"/>
  <c r="AJ55" i="14"/>
  <c r="AQ57" i="14"/>
  <c r="AR60" i="14"/>
  <c r="AB60" i="14"/>
  <c r="AR61" i="14"/>
  <c r="AB61" i="14"/>
  <c r="AQ69" i="14"/>
  <c r="AU71" i="14"/>
  <c r="AN8" i="15"/>
  <c r="AT8" i="15"/>
  <c r="AR10" i="15"/>
  <c r="AB10" i="15"/>
  <c r="AR14" i="15"/>
  <c r="AB14" i="15"/>
  <c r="AQ42" i="16"/>
  <c r="AQ3" i="16"/>
  <c r="AN11" i="16"/>
  <c r="AT11" i="16"/>
  <c r="AV11" i="16" s="1"/>
  <c r="AJ11" i="16"/>
  <c r="AU13" i="16"/>
  <c r="AQ17" i="16"/>
  <c r="AQ18" i="16"/>
  <c r="AN19" i="16"/>
  <c r="AT19" i="16"/>
  <c r="AJ19" i="16"/>
  <c r="AQ20" i="16"/>
  <c r="AR22" i="16"/>
  <c r="AB22" i="16"/>
  <c r="AQ25" i="16"/>
  <c r="AQ28" i="16"/>
  <c r="AQ31" i="16"/>
  <c r="AQ32" i="16"/>
  <c r="AN33" i="16"/>
  <c r="AT33" i="16"/>
  <c r="AJ33" i="16"/>
  <c r="AQ34" i="16"/>
  <c r="AP6" i="17"/>
  <c r="AJ8" i="13"/>
  <c r="AP26" i="14"/>
  <c r="AV26" i="14" s="1"/>
  <c r="AR44" i="14"/>
  <c r="AB44" i="14"/>
  <c r="AP47" i="14"/>
  <c r="AU52" i="14"/>
  <c r="AQ54" i="14"/>
  <c r="AQ58" i="14"/>
  <c r="AU58" i="14"/>
  <c r="AO60" i="14"/>
  <c r="AV60" i="14" s="1"/>
  <c r="AR62" i="14"/>
  <c r="AB62" i="14"/>
  <c r="AU65" i="14"/>
  <c r="AO69" i="14"/>
  <c r="AV69" i="14" s="1"/>
  <c r="AQ70" i="14"/>
  <c r="AU70" i="14"/>
  <c r="AO10" i="15"/>
  <c r="AV10" i="15" s="1"/>
  <c r="AO11" i="15"/>
  <c r="AV11" i="15" s="1"/>
  <c r="AC11" i="15"/>
  <c r="AO15" i="15"/>
  <c r="AV15" i="15" s="1"/>
  <c r="AC15" i="15"/>
  <c r="AO7" i="16"/>
  <c r="AC7" i="16"/>
  <c r="AN7" i="16"/>
  <c r="AT7" i="16"/>
  <c r="AJ7" i="16"/>
  <c r="AJ18" i="16"/>
  <c r="AQ19" i="16"/>
  <c r="AJ28" i="16"/>
  <c r="AJ32" i="16"/>
  <c r="AQ33" i="16"/>
  <c r="AQ36" i="16"/>
  <c r="AJ39" i="16"/>
  <c r="AN41" i="16"/>
  <c r="AT41" i="16"/>
  <c r="AJ41" i="16"/>
  <c r="AO67" i="17"/>
  <c r="AC67" i="17"/>
  <c r="AP41" i="14"/>
  <c r="AN44" i="14"/>
  <c r="AP45" i="14"/>
  <c r="AQ61" i="14"/>
  <c r="AR64" i="14"/>
  <c r="AB64" i="14"/>
  <c r="AR65" i="14"/>
  <c r="AB65" i="14"/>
  <c r="AR6" i="15"/>
  <c r="AB6" i="15"/>
  <c r="AO9" i="15"/>
  <c r="AV9" i="15" s="1"/>
  <c r="AC9" i="15"/>
  <c r="AN9" i="15"/>
  <c r="AT9" i="15"/>
  <c r="AJ9" i="15"/>
  <c r="AO17" i="15"/>
  <c r="AU42" i="16"/>
  <c r="AU41" i="16"/>
  <c r="AU37" i="16"/>
  <c r="AU26" i="16"/>
  <c r="AU22" i="16"/>
  <c r="AU16" i="16"/>
  <c r="AU25" i="16"/>
  <c r="AU21" i="16"/>
  <c r="AU40" i="16"/>
  <c r="AU39" i="16"/>
  <c r="AU38" i="16"/>
  <c r="AU34" i="16"/>
  <c r="AU20" i="16"/>
  <c r="AV20" i="16" s="1"/>
  <c r="AU8" i="16"/>
  <c r="AU3" i="16"/>
  <c r="AU33" i="16"/>
  <c r="AU29" i="16"/>
  <c r="AU19" i="16"/>
  <c r="AU11" i="16"/>
  <c r="AU7" i="16"/>
  <c r="AU43" i="16"/>
  <c r="AU36" i="16"/>
  <c r="AU32" i="16"/>
  <c r="AU28" i="16"/>
  <c r="AU18" i="16"/>
  <c r="AU14" i="16"/>
  <c r="AU10" i="16"/>
  <c r="AU6" i="16"/>
  <c r="AR26" i="16"/>
  <c r="AB26" i="16"/>
  <c r="AJ36" i="16"/>
  <c r="AD41" i="16"/>
  <c r="AQ41" i="16"/>
  <c r="AN57" i="17"/>
  <c r="AT57" i="17"/>
  <c r="AJ57" i="17"/>
  <c r="AR64" i="17"/>
  <c r="AB64" i="17"/>
  <c r="AP10" i="14"/>
  <c r="AP14" i="14"/>
  <c r="AP22" i="14"/>
  <c r="AJ25" i="14"/>
  <c r="AJ29" i="14"/>
  <c r="AJ35" i="14"/>
  <c r="AP42" i="14"/>
  <c r="AP43" i="14"/>
  <c r="AP48" i="14"/>
  <c r="AN54" i="14"/>
  <c r="AT54" i="14"/>
  <c r="AU57" i="14"/>
  <c r="AQ60" i="14"/>
  <c r="AQ62" i="14"/>
  <c r="AU62" i="14"/>
  <c r="AO64" i="14"/>
  <c r="AV64" i="14" s="1"/>
  <c r="AR66" i="14"/>
  <c r="AB66" i="14"/>
  <c r="AU69" i="14"/>
  <c r="AU16" i="15"/>
  <c r="AU14" i="15"/>
  <c r="AU10" i="15"/>
  <c r="AU19" i="15"/>
  <c r="AU13" i="15"/>
  <c r="AU9" i="15"/>
  <c r="AU18" i="15"/>
  <c r="AU8" i="15"/>
  <c r="AU3" i="15"/>
  <c r="AU7" i="15"/>
  <c r="AQ10" i="15"/>
  <c r="AO13" i="15"/>
  <c r="AV13" i="15" s="1"/>
  <c r="AC13" i="15"/>
  <c r="AN13" i="15"/>
  <c r="AT13" i="15"/>
  <c r="AJ13" i="15"/>
  <c r="AQ14" i="15"/>
  <c r="AJ6" i="16"/>
  <c r="AJ10" i="16"/>
  <c r="AR16" i="16"/>
  <c r="AB16" i="16"/>
  <c r="AU17" i="16"/>
  <c r="AO21" i="16"/>
  <c r="AV21" i="16" s="1"/>
  <c r="AC21" i="16"/>
  <c r="AU27" i="16"/>
  <c r="AU31" i="16"/>
  <c r="AJ40" i="16"/>
  <c r="AR42" i="16"/>
  <c r="AB42" i="16"/>
  <c r="AP85" i="17"/>
  <c r="AV85" i="17" s="1"/>
  <c r="AP81" i="17"/>
  <c r="AP77" i="17"/>
  <c r="AP69" i="17"/>
  <c r="AP65" i="17"/>
  <c r="AP51" i="17"/>
  <c r="AP47" i="17"/>
  <c r="AP35" i="17"/>
  <c r="AP23" i="17"/>
  <c r="AP19" i="17"/>
  <c r="AP80" i="17"/>
  <c r="AP76" i="17"/>
  <c r="AP68" i="17"/>
  <c r="AV68" i="17" s="1"/>
  <c r="AP42" i="17"/>
  <c r="AP34" i="17"/>
  <c r="AP30" i="17"/>
  <c r="AP83" i="17"/>
  <c r="AP74" i="17"/>
  <c r="AP73" i="17"/>
  <c r="AP49" i="17"/>
  <c r="AP45" i="17"/>
  <c r="AP3" i="17"/>
  <c r="AP60" i="17"/>
  <c r="AP52" i="17"/>
  <c r="AP44" i="17"/>
  <c r="AP16" i="17"/>
  <c r="AP63" i="17"/>
  <c r="AP12" i="17"/>
  <c r="AP10" i="17"/>
  <c r="AP37" i="17"/>
  <c r="AP15" i="17"/>
  <c r="AP67" i="17"/>
  <c r="AQ7" i="17"/>
  <c r="AD7" i="17"/>
  <c r="AB8" i="16"/>
  <c r="AD10" i="16"/>
  <c r="AC11" i="16"/>
  <c r="AD14" i="16"/>
  <c r="AP16" i="16"/>
  <c r="AD18" i="16"/>
  <c r="AC19" i="16"/>
  <c r="AB20" i="16"/>
  <c r="AP22" i="16"/>
  <c r="AP26" i="16"/>
  <c r="AD28" i="16"/>
  <c r="AC29" i="16"/>
  <c r="AD32" i="16"/>
  <c r="AC33" i="16"/>
  <c r="AB34" i="16"/>
  <c r="AD36" i="16"/>
  <c r="AD37" i="16"/>
  <c r="AO37" i="16"/>
  <c r="AV37" i="16" s="1"/>
  <c r="AR38" i="16"/>
  <c r="AB38" i="16"/>
  <c r="AQ39" i="16"/>
  <c r="AR39" i="16"/>
  <c r="AR40" i="16"/>
  <c r="AN42" i="16"/>
  <c r="AT42" i="16"/>
  <c r="AJ42" i="16"/>
  <c r="AR43" i="16"/>
  <c r="AB43" i="16"/>
  <c r="AJ85" i="17"/>
  <c r="AJ19" i="17"/>
  <c r="AJ15" i="17"/>
  <c r="AJ80" i="17"/>
  <c r="AJ76" i="17"/>
  <c r="AJ54" i="17"/>
  <c r="AJ29" i="17"/>
  <c r="AQ6" i="17"/>
  <c r="AO7" i="17"/>
  <c r="AV7" i="17" s="1"/>
  <c r="AQ11" i="17"/>
  <c r="AC12" i="17"/>
  <c r="AJ12" i="17"/>
  <c r="AN13" i="17"/>
  <c r="AO15" i="17"/>
  <c r="AR22" i="17"/>
  <c r="AB22" i="17"/>
  <c r="AN22" i="17"/>
  <c r="AQ23" i="17"/>
  <c r="AN23" i="17"/>
  <c r="AO25" i="17"/>
  <c r="AV25" i="17" s="1"/>
  <c r="AC25" i="17"/>
  <c r="AN25" i="17"/>
  <c r="AR27" i="17"/>
  <c r="AQ31" i="17"/>
  <c r="AN31" i="17"/>
  <c r="AQ32" i="17"/>
  <c r="AQ35" i="17"/>
  <c r="AN35" i="17"/>
  <c r="AO37" i="17"/>
  <c r="AC37" i="17"/>
  <c r="AN37" i="17"/>
  <c r="AR39" i="17"/>
  <c r="AR40" i="17"/>
  <c r="AR43" i="17"/>
  <c r="AR44" i="17"/>
  <c r="AR52" i="17"/>
  <c r="AQ58" i="17"/>
  <c r="AQ60" i="17"/>
  <c r="AN61" i="17"/>
  <c r="AT61" i="17"/>
  <c r="AJ61" i="17"/>
  <c r="AQ67" i="17"/>
  <c r="AQ69" i="17"/>
  <c r="AN73" i="17"/>
  <c r="AQ75" i="17"/>
  <c r="AQ80" i="17"/>
  <c r="AR81" i="17"/>
  <c r="AO83" i="17"/>
  <c r="AN83" i="17"/>
  <c r="AQ85" i="17"/>
  <c r="AJ10" i="15"/>
  <c r="AB11" i="15"/>
  <c r="AD13" i="15"/>
  <c r="AB15" i="15"/>
  <c r="AP17" i="15"/>
  <c r="AD19" i="15"/>
  <c r="AR3" i="16"/>
  <c r="AO6" i="16"/>
  <c r="AD7" i="16"/>
  <c r="AO10" i="16"/>
  <c r="AD11" i="16"/>
  <c r="AP13" i="16"/>
  <c r="AV13" i="16" s="1"/>
  <c r="AO14" i="16"/>
  <c r="AP17" i="16"/>
  <c r="AD19" i="16"/>
  <c r="AB21" i="16"/>
  <c r="AP23" i="16"/>
  <c r="AB25" i="16"/>
  <c r="AD29" i="16"/>
  <c r="AP31" i="16"/>
  <c r="AD33" i="16"/>
  <c r="AT39" i="16"/>
  <c r="AT40" i="16"/>
  <c r="AC41" i="16"/>
  <c r="AR83" i="17"/>
  <c r="AR79" i="17"/>
  <c r="AR75" i="17"/>
  <c r="AR71" i="17"/>
  <c r="AR67" i="17"/>
  <c r="AR63" i="17"/>
  <c r="AR37" i="17"/>
  <c r="AR29" i="17"/>
  <c r="AR25" i="17"/>
  <c r="AR74" i="17"/>
  <c r="AR62" i="17"/>
  <c r="AR58" i="17"/>
  <c r="AR73" i="17"/>
  <c r="AO3" i="17"/>
  <c r="AR6" i="17"/>
  <c r="AN10" i="17"/>
  <c r="AT10" i="17"/>
  <c r="AJ10" i="17"/>
  <c r="AR11" i="17"/>
  <c r="AB11" i="17"/>
  <c r="AN12" i="17"/>
  <c r="AR19" i="17"/>
  <c r="AB19" i="17"/>
  <c r="AR20" i="17"/>
  <c r="AQ25" i="17"/>
  <c r="AR30" i="17"/>
  <c r="AB30" i="17"/>
  <c r="AN30" i="17"/>
  <c r="AJ32" i="17"/>
  <c r="AR34" i="17"/>
  <c r="AB34" i="17"/>
  <c r="AN34" i="17"/>
  <c r="AQ37" i="17"/>
  <c r="AO44" i="17"/>
  <c r="AQ45" i="17"/>
  <c r="AR47" i="17"/>
  <c r="AQ48" i="17"/>
  <c r="AO49" i="17"/>
  <c r="AR55" i="17"/>
  <c r="AR56" i="17"/>
  <c r="AR57" i="17"/>
  <c r="AJ60" i="17"/>
  <c r="AQ64" i="17"/>
  <c r="AR68" i="17"/>
  <c r="AB68" i="17"/>
  <c r="AN68" i="17"/>
  <c r="AR76" i="17"/>
  <c r="AN76" i="17"/>
  <c r="AQ83" i="17"/>
  <c r="AJ57" i="14"/>
  <c r="AJ61" i="14"/>
  <c r="AJ65" i="14"/>
  <c r="AJ69" i="14"/>
  <c r="AJ11" i="15"/>
  <c r="AJ15" i="15"/>
  <c r="AP6" i="16"/>
  <c r="AN8" i="16"/>
  <c r="AP10" i="16"/>
  <c r="AP14" i="16"/>
  <c r="AN20" i="16"/>
  <c r="AJ21" i="16"/>
  <c r="AJ25" i="16"/>
  <c r="AN34" i="16"/>
  <c r="AQ38" i="16"/>
  <c r="AN43" i="16"/>
  <c r="AJ1" i="17"/>
  <c r="AH1" i="17"/>
  <c r="AH2" i="17" s="1"/>
  <c r="AR3" i="17"/>
  <c r="AO10" i="17"/>
  <c r="AJ16" i="17"/>
  <c r="AQ22" i="17"/>
  <c r="AR26" i="17"/>
  <c r="AB26" i="17"/>
  <c r="AN26" i="17"/>
  <c r="AQ27" i="17"/>
  <c r="AN27" i="17"/>
  <c r="AO30" i="17"/>
  <c r="AO34" i="17"/>
  <c r="AR38" i="17"/>
  <c r="AB38" i="17"/>
  <c r="AN38" i="17"/>
  <c r="AQ39" i="17"/>
  <c r="AN39" i="17"/>
  <c r="AQ40" i="17"/>
  <c r="AQ43" i="17"/>
  <c r="AN43" i="17"/>
  <c r="AQ44" i="17"/>
  <c r="AN45" i="17"/>
  <c r="AT45" i="17"/>
  <c r="AJ45" i="17"/>
  <c r="AJ48" i="17"/>
  <c r="AQ49" i="17"/>
  <c r="AR51" i="17"/>
  <c r="AQ52" i="17"/>
  <c r="AR54" i="17"/>
  <c r="AB54" i="17"/>
  <c r="AR61" i="17"/>
  <c r="AO74" i="17"/>
  <c r="AR77" i="17"/>
  <c r="AN79" i="17"/>
  <c r="AQ81" i="17"/>
  <c r="AR17" i="16"/>
  <c r="AR23" i="16"/>
  <c r="AR27" i="16"/>
  <c r="AR31" i="16"/>
  <c r="AR37" i="16"/>
  <c r="AN40" i="16"/>
  <c r="AR41" i="16"/>
  <c r="AN6" i="17"/>
  <c r="AT6" i="17"/>
  <c r="AJ6" i="17"/>
  <c r="AR7" i="17"/>
  <c r="AB7" i="17"/>
  <c r="AR12" i="17"/>
  <c r="AV12" i="17" s="1"/>
  <c r="AB12" i="17"/>
  <c r="AR15" i="17"/>
  <c r="AB15" i="17"/>
  <c r="AN16" i="17"/>
  <c r="AR18" i="17"/>
  <c r="AB18" i="17"/>
  <c r="AN18" i="17"/>
  <c r="AN19" i="17"/>
  <c r="AR42" i="17"/>
  <c r="AB42" i="17"/>
  <c r="AN42" i="17"/>
  <c r="AN47" i="17"/>
  <c r="AN49" i="17"/>
  <c r="AT49" i="17"/>
  <c r="AJ49" i="17"/>
  <c r="AO63" i="17"/>
  <c r="AV63" i="17" s="1"/>
  <c r="AC63" i="17"/>
  <c r="AN63" i="17"/>
  <c r="AR6" i="16"/>
  <c r="AR10" i="16"/>
  <c r="AJ13" i="16"/>
  <c r="AR14" i="16"/>
  <c r="AJ17" i="16"/>
  <c r="AR18" i="16"/>
  <c r="AJ23" i="16"/>
  <c r="AJ27" i="16"/>
  <c r="AR28" i="16"/>
  <c r="AV28" i="16" s="1"/>
  <c r="AJ31" i="16"/>
  <c r="AR32" i="16"/>
  <c r="AT37" i="16"/>
  <c r="AJ37" i="16"/>
  <c r="AO60" i="17"/>
  <c r="AO52" i="17"/>
  <c r="AO16" i="17"/>
  <c r="AO81" i="17"/>
  <c r="AO77" i="17"/>
  <c r="AO69" i="17"/>
  <c r="AO65" i="17"/>
  <c r="AV65" i="17" s="1"/>
  <c r="AO51" i="17"/>
  <c r="AO47" i="17"/>
  <c r="AV47" i="17" s="1"/>
  <c r="AO35" i="17"/>
  <c r="AO23" i="17"/>
  <c r="AV23" i="17" s="1"/>
  <c r="AO80" i="17"/>
  <c r="AO76" i="17"/>
  <c r="AO45" i="17"/>
  <c r="AN85" i="17"/>
  <c r="AN60" i="17"/>
  <c r="AN56" i="17"/>
  <c r="AN52" i="17"/>
  <c r="AN48" i="17"/>
  <c r="AN44" i="17"/>
  <c r="AN40" i="17"/>
  <c r="AN32" i="17"/>
  <c r="AN81" i="17"/>
  <c r="AN77" i="17"/>
  <c r="AN69" i="17"/>
  <c r="AN54" i="17"/>
  <c r="AO6" i="17"/>
  <c r="AO8" i="17"/>
  <c r="AV8" i="17" s="1"/>
  <c r="AO11" i="17"/>
  <c r="AO18" i="17"/>
  <c r="AO19" i="17"/>
  <c r="AO29" i="17"/>
  <c r="AV29" i="17" s="1"/>
  <c r="AC29" i="17"/>
  <c r="AN29" i="17"/>
  <c r="AO42" i="17"/>
  <c r="AN51" i="17"/>
  <c r="AR60" i="17"/>
  <c r="AR69" i="17"/>
  <c r="AN71" i="17"/>
  <c r="AO73" i="17"/>
  <c r="AQ77" i="17"/>
  <c r="AR80" i="17"/>
  <c r="AN80" i="17"/>
  <c r="AJ25" i="17"/>
  <c r="AT25" i="17"/>
  <c r="AJ37" i="17"/>
  <c r="AT37" i="17"/>
  <c r="AN58" i="17"/>
  <c r="AU58" i="17"/>
  <c r="AN62" i="17"/>
  <c r="AU62" i="17"/>
  <c r="AJ63" i="17"/>
  <c r="AT63" i="17"/>
  <c r="AJ67" i="17"/>
  <c r="AT67" i="17"/>
  <c r="AC71" i="17"/>
  <c r="AJ71" i="17"/>
  <c r="AT71" i="17"/>
  <c r="AD74" i="17"/>
  <c r="AN74" i="17"/>
  <c r="AU74" i="17"/>
  <c r="AC75" i="17"/>
  <c r="AJ75" i="17"/>
  <c r="AT75" i="17"/>
  <c r="AB76" i="17"/>
  <c r="AC79" i="17"/>
  <c r="AJ79" i="17"/>
  <c r="AT79" i="17"/>
  <c r="AB80" i="17"/>
  <c r="AC83" i="17"/>
  <c r="AJ83" i="17"/>
  <c r="AT83" i="17"/>
  <c r="AR85" i="17"/>
  <c r="AB85" i="17"/>
  <c r="AR3" i="18"/>
  <c r="AO20" i="18"/>
  <c r="AV20" i="18" s="1"/>
  <c r="AC20" i="18"/>
  <c r="AN21" i="18"/>
  <c r="AR25" i="18"/>
  <c r="AB25" i="18"/>
  <c r="AR28" i="18"/>
  <c r="AR32" i="18"/>
  <c r="AO34" i="18"/>
  <c r="AC34" i="18"/>
  <c r="AJ18" i="17"/>
  <c r="AT18" i="17"/>
  <c r="AJ22" i="17"/>
  <c r="AT22" i="17"/>
  <c r="AB23" i="17"/>
  <c r="AD25" i="17"/>
  <c r="AU25" i="17"/>
  <c r="AJ26" i="17"/>
  <c r="AT26" i="17"/>
  <c r="AB27" i="17"/>
  <c r="AD29" i="17"/>
  <c r="AU29" i="17"/>
  <c r="AJ30" i="17"/>
  <c r="AT30" i="17"/>
  <c r="AB31" i="17"/>
  <c r="AJ34" i="17"/>
  <c r="AT34" i="17"/>
  <c r="AB35" i="17"/>
  <c r="AD37" i="17"/>
  <c r="AU37" i="17"/>
  <c r="AJ38" i="17"/>
  <c r="AT38" i="17"/>
  <c r="AB39" i="17"/>
  <c r="AJ42" i="17"/>
  <c r="AT42" i="17"/>
  <c r="AB43" i="17"/>
  <c r="AB47" i="17"/>
  <c r="AB51" i="17"/>
  <c r="AB55" i="17"/>
  <c r="AD63" i="17"/>
  <c r="AU63" i="17"/>
  <c r="AJ64" i="17"/>
  <c r="AT64" i="17"/>
  <c r="AB65" i="17"/>
  <c r="AD67" i="17"/>
  <c r="AU67" i="17"/>
  <c r="AJ68" i="17"/>
  <c r="AT68" i="17"/>
  <c r="AB69" i="17"/>
  <c r="AD71" i="17"/>
  <c r="AU71" i="17"/>
  <c r="AD75" i="17"/>
  <c r="AU75" i="17"/>
  <c r="AT76" i="17"/>
  <c r="AB77" i="17"/>
  <c r="AD79" i="17"/>
  <c r="AU79" i="17"/>
  <c r="AB81" i="17"/>
  <c r="AD83" i="17"/>
  <c r="AU83" i="17"/>
  <c r="AO72" i="18"/>
  <c r="AO58" i="18"/>
  <c r="AO102" i="18"/>
  <c r="AO93" i="18"/>
  <c r="AO71" i="18"/>
  <c r="AO54" i="18"/>
  <c r="AO43" i="18"/>
  <c r="AO39" i="18"/>
  <c r="AO31" i="18"/>
  <c r="AO48" i="18"/>
  <c r="AO45" i="18"/>
  <c r="AO46" i="18"/>
  <c r="AN67" i="18"/>
  <c r="AN98" i="18"/>
  <c r="AN95" i="18"/>
  <c r="AN85" i="18"/>
  <c r="AN75" i="18"/>
  <c r="AN71" i="18"/>
  <c r="AN61" i="18"/>
  <c r="AN102" i="18"/>
  <c r="AN84" i="18"/>
  <c r="AN64" i="18"/>
  <c r="AN53" i="18"/>
  <c r="AN86" i="18"/>
  <c r="AN54" i="18"/>
  <c r="AN43" i="18"/>
  <c r="AN76" i="18"/>
  <c r="AN45" i="18"/>
  <c r="AN42" i="18"/>
  <c r="AN46" i="18"/>
  <c r="AN25" i="18"/>
  <c r="AN19" i="18"/>
  <c r="AN15" i="18"/>
  <c r="AN11" i="18"/>
  <c r="AN7" i="18"/>
  <c r="AN62" i="18"/>
  <c r="AN49" i="18"/>
  <c r="AN72" i="18"/>
  <c r="AN50" i="18"/>
  <c r="AO6" i="18"/>
  <c r="AV6" i="18" s="1"/>
  <c r="AC6" i="18"/>
  <c r="AR7" i="18"/>
  <c r="AB7" i="18"/>
  <c r="AQ11" i="18"/>
  <c r="AN12" i="18"/>
  <c r="AO13" i="18"/>
  <c r="AR15" i="18"/>
  <c r="AB15" i="18"/>
  <c r="AR17" i="18"/>
  <c r="AB17" i="18"/>
  <c r="AR23" i="18"/>
  <c r="AR33" i="18"/>
  <c r="AN34" i="18"/>
  <c r="AR42" i="18"/>
  <c r="AR56" i="18"/>
  <c r="AJ43" i="16"/>
  <c r="AU6" i="17"/>
  <c r="AJ7" i="17"/>
  <c r="AU10" i="17"/>
  <c r="AJ11" i="17"/>
  <c r="AB16" i="17"/>
  <c r="AD18" i="17"/>
  <c r="AU18" i="17"/>
  <c r="AB20" i="17"/>
  <c r="AD22" i="17"/>
  <c r="AU22" i="17"/>
  <c r="AJ23" i="17"/>
  <c r="AD26" i="17"/>
  <c r="AU26" i="17"/>
  <c r="AJ27" i="17"/>
  <c r="AD30" i="17"/>
  <c r="AU30" i="17"/>
  <c r="AJ31" i="17"/>
  <c r="AB32" i="17"/>
  <c r="AD34" i="17"/>
  <c r="AU34" i="17"/>
  <c r="AJ35" i="17"/>
  <c r="AD38" i="17"/>
  <c r="AU38" i="17"/>
  <c r="AJ39" i="17"/>
  <c r="AB40" i="17"/>
  <c r="AD42" i="17"/>
  <c r="AU42" i="17"/>
  <c r="AJ43" i="17"/>
  <c r="AB44" i="17"/>
  <c r="AJ47" i="17"/>
  <c r="AB48" i="17"/>
  <c r="AJ51" i="17"/>
  <c r="AB52" i="17"/>
  <c r="AD54" i="17"/>
  <c r="AU54" i="17"/>
  <c r="AJ55" i="17"/>
  <c r="AB56" i="17"/>
  <c r="AB60" i="17"/>
  <c r="AD64" i="17"/>
  <c r="AU64" i="17"/>
  <c r="AJ65" i="17"/>
  <c r="AD68" i="17"/>
  <c r="AU68" i="17"/>
  <c r="AJ69" i="17"/>
  <c r="AD76" i="17"/>
  <c r="AU76" i="17"/>
  <c r="AJ77" i="17"/>
  <c r="AD80" i="17"/>
  <c r="AU80" i="17"/>
  <c r="AJ81" i="17"/>
  <c r="AU85" i="17"/>
  <c r="AP103" i="18"/>
  <c r="AP102" i="18"/>
  <c r="AP73" i="18"/>
  <c r="AP59" i="18"/>
  <c r="AP72" i="18"/>
  <c r="AP58" i="18"/>
  <c r="AP71" i="18"/>
  <c r="AP93" i="18"/>
  <c r="AP67" i="18"/>
  <c r="AP92" i="18"/>
  <c r="AP66" i="18"/>
  <c r="AP48" i="18"/>
  <c r="AP45" i="18"/>
  <c r="AP46" i="18"/>
  <c r="AP15" i="18"/>
  <c r="AP11" i="18"/>
  <c r="AV11" i="18" s="1"/>
  <c r="AP7" i="18"/>
  <c r="AV7" i="18" s="1"/>
  <c r="AP52" i="18"/>
  <c r="AV52" i="18" s="1"/>
  <c r="AP33" i="18"/>
  <c r="AP44" i="18"/>
  <c r="AP40" i="18"/>
  <c r="AP36" i="18"/>
  <c r="AP54" i="18"/>
  <c r="AP43" i="18"/>
  <c r="AP39" i="18"/>
  <c r="AP31" i="18"/>
  <c r="AP17" i="18"/>
  <c r="AV17" i="18" s="1"/>
  <c r="AP13" i="18"/>
  <c r="AP3" i="18"/>
  <c r="AT6" i="18"/>
  <c r="AJ6" i="18"/>
  <c r="AO16" i="18"/>
  <c r="AC16" i="18"/>
  <c r="AN17" i="18"/>
  <c r="AN20" i="18"/>
  <c r="AT22" i="18"/>
  <c r="AJ22" i="18"/>
  <c r="AN23" i="18"/>
  <c r="AO24" i="18"/>
  <c r="AV24" i="18" s="1"/>
  <c r="AC24" i="18"/>
  <c r="AO26" i="18"/>
  <c r="AV26" i="18" s="1"/>
  <c r="AC26" i="18"/>
  <c r="AR27" i="18"/>
  <c r="AB27" i="18"/>
  <c r="AR29" i="18"/>
  <c r="AO33" i="18"/>
  <c r="AN33" i="18"/>
  <c r="AP34" i="18"/>
  <c r="AN36" i="18"/>
  <c r="AO44" i="18"/>
  <c r="AU69" i="17"/>
  <c r="AU77" i="17"/>
  <c r="AU81" i="17"/>
  <c r="AR11" i="18"/>
  <c r="AB11" i="18"/>
  <c r="AN24" i="18"/>
  <c r="AT24" i="18"/>
  <c r="AJ24" i="18"/>
  <c r="AQ33" i="18"/>
  <c r="AR37" i="18"/>
  <c r="AU32" i="17"/>
  <c r="AU40" i="17"/>
  <c r="AU44" i="17"/>
  <c r="AU48" i="17"/>
  <c r="AU52" i="17"/>
  <c r="AU56" i="17"/>
  <c r="AU60" i="17"/>
  <c r="AJ73" i="17"/>
  <c r="AT73" i="17"/>
  <c r="AR95" i="18"/>
  <c r="AR102" i="18"/>
  <c r="AR103" i="18"/>
  <c r="AR91" i="18"/>
  <c r="AR87" i="18"/>
  <c r="AR81" i="18"/>
  <c r="AR77" i="18"/>
  <c r="AR73" i="18"/>
  <c r="AR69" i="18"/>
  <c r="AR59" i="18"/>
  <c r="AR86" i="18"/>
  <c r="AR76" i="18"/>
  <c r="AR72" i="18"/>
  <c r="AR62" i="18"/>
  <c r="AR88" i="18"/>
  <c r="AR66" i="18"/>
  <c r="AR52" i="18"/>
  <c r="AR49" i="18"/>
  <c r="AR34" i="18"/>
  <c r="AR78" i="18"/>
  <c r="AR53" i="18"/>
  <c r="AR44" i="18"/>
  <c r="AR40" i="18"/>
  <c r="AR36" i="18"/>
  <c r="AR92" i="18"/>
  <c r="AR82" i="18"/>
  <c r="AR58" i="18"/>
  <c r="AR48" i="18"/>
  <c r="AR45" i="18"/>
  <c r="AR26" i="18"/>
  <c r="AR20" i="18"/>
  <c r="AR16" i="18"/>
  <c r="AR12" i="18"/>
  <c r="AO8" i="18"/>
  <c r="AC8" i="18"/>
  <c r="AR9" i="18"/>
  <c r="AB9" i="18"/>
  <c r="AR13" i="18"/>
  <c r="AB13" i="18"/>
  <c r="AQ15" i="18"/>
  <c r="AR19" i="18"/>
  <c r="AB19" i="18"/>
  <c r="AN28" i="18"/>
  <c r="AT28" i="18"/>
  <c r="AJ28" i="18"/>
  <c r="AR31" i="18"/>
  <c r="AN32" i="18"/>
  <c r="AT32" i="18"/>
  <c r="AJ32" i="18"/>
  <c r="AR39" i="18"/>
  <c r="AR43" i="18"/>
  <c r="AN44" i="18"/>
  <c r="AU45" i="17"/>
  <c r="AU49" i="17"/>
  <c r="AU57" i="17"/>
  <c r="AJ58" i="17"/>
  <c r="AU61" i="17"/>
  <c r="AJ62" i="17"/>
  <c r="AJ74" i="17"/>
  <c r="AR6" i="18"/>
  <c r="AQ7" i="18"/>
  <c r="AT8" i="18"/>
  <c r="AJ8" i="18"/>
  <c r="AN9" i="18"/>
  <c r="AO12" i="18"/>
  <c r="AV12" i="18" s="1"/>
  <c r="AC12" i="18"/>
  <c r="AN13" i="18"/>
  <c r="AP16" i="18"/>
  <c r="AR21" i="18"/>
  <c r="AB21" i="18"/>
  <c r="AR22" i="18"/>
  <c r="AQ23" i="18"/>
  <c r="AR24" i="18"/>
  <c r="AQ29" i="18"/>
  <c r="AN31" i="18"/>
  <c r="AN39" i="18"/>
  <c r="AU100" i="18"/>
  <c r="AU96" i="18"/>
  <c r="AU89" i="18"/>
  <c r="AU83" i="18"/>
  <c r="AU79" i="18"/>
  <c r="AU67" i="18"/>
  <c r="AU102" i="18"/>
  <c r="AU93" i="18"/>
  <c r="AU92" i="18"/>
  <c r="AU88" i="18"/>
  <c r="AU82" i="18"/>
  <c r="AU78" i="18"/>
  <c r="AU66" i="18"/>
  <c r="AU56" i="18"/>
  <c r="AU52" i="18"/>
  <c r="AU48" i="18"/>
  <c r="AU44" i="18"/>
  <c r="AU103" i="18"/>
  <c r="AU91" i="18"/>
  <c r="AU87" i="18"/>
  <c r="AU81" i="18"/>
  <c r="AU77" i="18"/>
  <c r="AU73" i="18"/>
  <c r="AU69" i="18"/>
  <c r="AU59" i="18"/>
  <c r="AU97" i="18"/>
  <c r="AU98" i="18"/>
  <c r="AU95" i="18"/>
  <c r="AU85" i="18"/>
  <c r="AU75" i="18"/>
  <c r="AU71" i="18"/>
  <c r="AU61" i="18"/>
  <c r="AU84" i="18"/>
  <c r="AU64" i="18"/>
  <c r="AO22" i="18"/>
  <c r="AV22" i="18" s="1"/>
  <c r="AU23" i="18"/>
  <c r="AO28" i="18"/>
  <c r="AV28" i="18" s="1"/>
  <c r="AU29" i="18"/>
  <c r="AO32" i="18"/>
  <c r="AV32" i="18" s="1"/>
  <c r="AU33" i="18"/>
  <c r="AJ34" i="18"/>
  <c r="AT34" i="18"/>
  <c r="AO36" i="18"/>
  <c r="AD37" i="18"/>
  <c r="AU37" i="18"/>
  <c r="AO40" i="18"/>
  <c r="AQ48" i="18"/>
  <c r="AT49" i="18"/>
  <c r="AJ49" i="18"/>
  <c r="AU49" i="18"/>
  <c r="AN52" i="18"/>
  <c r="AT52" i="18"/>
  <c r="AD53" i="18"/>
  <c r="AO53" i="18"/>
  <c r="AV53" i="18" s="1"/>
  <c r="AR54" i="18"/>
  <c r="AB54" i="18"/>
  <c r="AC56" i="18"/>
  <c r="AD58" i="18"/>
  <c r="AO59" i="18"/>
  <c r="AR67" i="18"/>
  <c r="AQ75" i="18"/>
  <c r="AU76" i="18"/>
  <c r="AN82" i="18"/>
  <c r="AT82" i="18"/>
  <c r="AJ82" i="18"/>
  <c r="AQ83" i="18"/>
  <c r="AR89" i="18"/>
  <c r="AN89" i="18"/>
  <c r="AQ13" i="18"/>
  <c r="AJ15" i="18"/>
  <c r="AQ17" i="18"/>
  <c r="AJ19" i="18"/>
  <c r="AQ21" i="18"/>
  <c r="AU24" i="18"/>
  <c r="AJ25" i="18"/>
  <c r="AQ27" i="18"/>
  <c r="AQ31" i="18"/>
  <c r="AU34" i="18"/>
  <c r="AQ39" i="18"/>
  <c r="AB42" i="18"/>
  <c r="AQ43" i="18"/>
  <c r="AJ46" i="18"/>
  <c r="AU46" i="18"/>
  <c r="AO50" i="18"/>
  <c r="AV50" i="18" s="1"/>
  <c r="AJ52" i="18"/>
  <c r="AQ56" i="18"/>
  <c r="AN59" i="18"/>
  <c r="AQ67" i="18"/>
  <c r="AN69" i="18"/>
  <c r="AU72" i="18"/>
  <c r="AQ76" i="18"/>
  <c r="AQ79" i="18"/>
  <c r="AN81" i="18"/>
  <c r="AR84" i="18"/>
  <c r="AQ85" i="18"/>
  <c r="AU86" i="18"/>
  <c r="AO92" i="18"/>
  <c r="AN92" i="18"/>
  <c r="AT92" i="18"/>
  <c r="AJ92" i="18"/>
  <c r="AQ98" i="18"/>
  <c r="AU11" i="18"/>
  <c r="AJ12" i="18"/>
  <c r="AU15" i="18"/>
  <c r="AJ16" i="18"/>
  <c r="AU19" i="18"/>
  <c r="AJ20" i="18"/>
  <c r="AU25" i="18"/>
  <c r="AJ26" i="18"/>
  <c r="AB31" i="18"/>
  <c r="AB39" i="18"/>
  <c r="AC42" i="18"/>
  <c r="AJ42" i="18"/>
  <c r="AB43" i="18"/>
  <c r="AT45" i="18"/>
  <c r="AJ45" i="18"/>
  <c r="AU45" i="18"/>
  <c r="AN48" i="18"/>
  <c r="AT48" i="18"/>
  <c r="AO49" i="18"/>
  <c r="AV49" i="18" s="1"/>
  <c r="AR50" i="18"/>
  <c r="AB50" i="18"/>
  <c r="AC52" i="18"/>
  <c r="AJ59" i="18"/>
  <c r="AR61" i="18"/>
  <c r="AB61" i="18"/>
  <c r="AR64" i="18"/>
  <c r="AJ69" i="18"/>
  <c r="AR71" i="18"/>
  <c r="AB71" i="18"/>
  <c r="AN78" i="18"/>
  <c r="AT78" i="18"/>
  <c r="AJ78" i="18"/>
  <c r="AJ81" i="18"/>
  <c r="AC84" i="18"/>
  <c r="AO84" i="18"/>
  <c r="AV84" i="18" s="1"/>
  <c r="AQ86" i="18"/>
  <c r="AQ89" i="18"/>
  <c r="AN91" i="18"/>
  <c r="AN103" i="18"/>
  <c r="AJ39" i="18"/>
  <c r="AU42" i="18"/>
  <c r="AJ43" i="18"/>
  <c r="AJ48" i="18"/>
  <c r="AQ50" i="18"/>
  <c r="AJ54" i="18"/>
  <c r="AU54" i="18"/>
  <c r="AQ59" i="18"/>
  <c r="AC64" i="18"/>
  <c r="AO64" i="18"/>
  <c r="AV64" i="18" s="1"/>
  <c r="AO73" i="18"/>
  <c r="AN77" i="18"/>
  <c r="AR83" i="18"/>
  <c r="AN83" i="18"/>
  <c r="AQ84" i="18"/>
  <c r="AN88" i="18"/>
  <c r="AT88" i="18"/>
  <c r="AJ88" i="18"/>
  <c r="AR93" i="18"/>
  <c r="AJ102" i="18"/>
  <c r="AJ96" i="18"/>
  <c r="AJ84" i="18"/>
  <c r="AJ64" i="18"/>
  <c r="AJ98" i="18"/>
  <c r="AJ85" i="18"/>
  <c r="AJ75" i="18"/>
  <c r="AJ71" i="18"/>
  <c r="AJ61" i="18"/>
  <c r="AU9" i="18"/>
  <c r="AU13" i="18"/>
  <c r="AU17" i="18"/>
  <c r="AU21" i="18"/>
  <c r="AB23" i="18"/>
  <c r="AU27" i="18"/>
  <c r="AB29" i="18"/>
  <c r="AU31" i="18"/>
  <c r="AB33" i="18"/>
  <c r="AJ36" i="18"/>
  <c r="AT36" i="18"/>
  <c r="AB37" i="18"/>
  <c r="AU39" i="18"/>
  <c r="AJ40" i="18"/>
  <c r="AT40" i="18"/>
  <c r="AU43" i="18"/>
  <c r="AJ44" i="18"/>
  <c r="AT44" i="18"/>
  <c r="AR46" i="18"/>
  <c r="AB46" i="18"/>
  <c r="AQ49" i="18"/>
  <c r="AQ52" i="18"/>
  <c r="AT53" i="18"/>
  <c r="AJ53" i="18"/>
  <c r="AU53" i="18"/>
  <c r="AN56" i="18"/>
  <c r="AT56" i="18"/>
  <c r="AJ56" i="18"/>
  <c r="AU58" i="18"/>
  <c r="AQ61" i="18"/>
  <c r="AU62" i="18"/>
  <c r="AQ64" i="18"/>
  <c r="AO66" i="18"/>
  <c r="AV66" i="18" s="1"/>
  <c r="AN66" i="18"/>
  <c r="AT66" i="18"/>
  <c r="AJ66" i="18"/>
  <c r="AQ71" i="18"/>
  <c r="AQ72" i="18"/>
  <c r="AN73" i="18"/>
  <c r="AR75" i="18"/>
  <c r="AB75" i="18"/>
  <c r="AJ77" i="18"/>
  <c r="AN87" i="18"/>
  <c r="AQ93" i="18"/>
  <c r="AQ95" i="18"/>
  <c r="AJ29" i="18"/>
  <c r="AU32" i="18"/>
  <c r="AJ33" i="18"/>
  <c r="AU36" i="18"/>
  <c r="AJ37" i="18"/>
  <c r="AU40" i="18"/>
  <c r="AQ46" i="18"/>
  <c r="AJ50" i="18"/>
  <c r="AU50" i="18"/>
  <c r="AJ58" i="18"/>
  <c r="AQ62" i="18"/>
  <c r="AJ73" i="18"/>
  <c r="AR79" i="18"/>
  <c r="AN79" i="18"/>
  <c r="AR85" i="18"/>
  <c r="AB85" i="18"/>
  <c r="AJ87" i="18"/>
  <c r="AJ95" i="18"/>
  <c r="AO67" i="18"/>
  <c r="AQ69" i="18"/>
  <c r="AQ73" i="18"/>
  <c r="AQ77" i="18"/>
  <c r="AO79" i="18"/>
  <c r="AV79" i="18" s="1"/>
  <c r="AQ81" i="18"/>
  <c r="AQ87" i="18"/>
  <c r="AO89" i="18"/>
  <c r="AV89" i="18" s="1"/>
  <c r="AQ91" i="18"/>
  <c r="AT95" i="18"/>
  <c r="AC96" i="18"/>
  <c r="AQ97" i="18"/>
  <c r="AQ100" i="18"/>
  <c r="AQ103" i="18"/>
  <c r="AU70" i="19"/>
  <c r="AU76" i="19"/>
  <c r="AU72" i="19"/>
  <c r="AU68" i="19"/>
  <c r="AU75" i="19"/>
  <c r="AU66" i="19"/>
  <c r="AU60" i="19"/>
  <c r="AU56" i="19"/>
  <c r="AU46" i="19"/>
  <c r="AU42" i="19"/>
  <c r="AU38" i="19"/>
  <c r="AU69" i="19"/>
  <c r="AU67" i="19"/>
  <c r="AU59" i="19"/>
  <c r="AU55" i="19"/>
  <c r="AU51" i="19"/>
  <c r="AU41" i="19"/>
  <c r="AU37" i="19"/>
  <c r="AU23" i="19"/>
  <c r="AU73" i="19"/>
  <c r="AU63" i="19"/>
  <c r="AU62" i="19"/>
  <c r="AU48" i="19"/>
  <c r="AU44" i="19"/>
  <c r="AU34" i="19"/>
  <c r="AU30" i="19"/>
  <c r="AU26" i="19"/>
  <c r="AU65" i="19"/>
  <c r="AU61" i="19"/>
  <c r="AU47" i="19"/>
  <c r="AU43" i="19"/>
  <c r="AU33" i="19"/>
  <c r="AU29" i="19"/>
  <c r="AU54" i="19"/>
  <c r="AU49" i="19"/>
  <c r="AU35" i="19"/>
  <c r="AU6" i="19"/>
  <c r="AU36" i="19"/>
  <c r="AU22" i="19"/>
  <c r="AU21" i="19"/>
  <c r="AU17" i="19"/>
  <c r="AU13" i="19"/>
  <c r="AU9" i="19"/>
  <c r="AU50" i="19"/>
  <c r="AU25" i="19"/>
  <c r="AU20" i="19"/>
  <c r="AU16" i="19"/>
  <c r="AU12" i="19"/>
  <c r="AU8" i="19"/>
  <c r="AU3" i="19"/>
  <c r="AR6" i="19"/>
  <c r="AT7" i="19"/>
  <c r="AJ7" i="19"/>
  <c r="AU11" i="19"/>
  <c r="AQ12" i="19"/>
  <c r="AR13" i="19"/>
  <c r="AR23" i="19"/>
  <c r="AU24" i="19"/>
  <c r="AR44" i="19"/>
  <c r="AB44" i="19"/>
  <c r="AN44" i="19"/>
  <c r="AR48" i="19"/>
  <c r="AB48" i="19"/>
  <c r="AN48" i="19"/>
  <c r="AR60" i="19"/>
  <c r="AR66" i="19"/>
  <c r="AB66" i="19"/>
  <c r="AJ62" i="18"/>
  <c r="AQ66" i="18"/>
  <c r="AJ72" i="18"/>
  <c r="AJ76" i="18"/>
  <c r="AQ78" i="18"/>
  <c r="AQ82" i="18"/>
  <c r="AJ86" i="18"/>
  <c r="AQ88" i="18"/>
  <c r="AQ92" i="18"/>
  <c r="AR97" i="18"/>
  <c r="AR100" i="18"/>
  <c r="AO103" i="18"/>
  <c r="AN70" i="19"/>
  <c r="AN73" i="19"/>
  <c r="AN67" i="19"/>
  <c r="AN66" i="19"/>
  <c r="AN61" i="19"/>
  <c r="AN47" i="19"/>
  <c r="AN43" i="19"/>
  <c r="AN33" i="19"/>
  <c r="AN65" i="19"/>
  <c r="AN36" i="19"/>
  <c r="AN50" i="19"/>
  <c r="AN58" i="19"/>
  <c r="AN53" i="19"/>
  <c r="AN40" i="19"/>
  <c r="AN35" i="19"/>
  <c r="AN75" i="19"/>
  <c r="AN7" i="19"/>
  <c r="AT11" i="19"/>
  <c r="AJ11" i="19"/>
  <c r="AR21" i="19"/>
  <c r="AB21" i="19"/>
  <c r="AN21" i="19"/>
  <c r="AN22" i="19"/>
  <c r="AR26" i="19"/>
  <c r="AN38" i="19"/>
  <c r="AT38" i="19"/>
  <c r="AJ38" i="19"/>
  <c r="AR41" i="19"/>
  <c r="AO48" i="19"/>
  <c r="AU58" i="19"/>
  <c r="AR59" i="19"/>
  <c r="AR65" i="19"/>
  <c r="AR9" i="20"/>
  <c r="AB9" i="20"/>
  <c r="AD25" i="20"/>
  <c r="AQ25" i="20"/>
  <c r="AC26" i="20"/>
  <c r="AO26" i="20"/>
  <c r="AT97" i="18"/>
  <c r="AJ97" i="18"/>
  <c r="AN100" i="18"/>
  <c r="AT100" i="18"/>
  <c r="AO72" i="19"/>
  <c r="AO59" i="19"/>
  <c r="AO55" i="19"/>
  <c r="AO51" i="19"/>
  <c r="AO41" i="19"/>
  <c r="AO37" i="19"/>
  <c r="AO60" i="19"/>
  <c r="AO56" i="19"/>
  <c r="AO46" i="19"/>
  <c r="AO38" i="19"/>
  <c r="AO32" i="19"/>
  <c r="AO28" i="19"/>
  <c r="AN9" i="19"/>
  <c r="AT9" i="19"/>
  <c r="AJ9" i="19"/>
  <c r="AR14" i="19"/>
  <c r="AB14" i="19"/>
  <c r="AC20" i="19"/>
  <c r="AO20" i="19"/>
  <c r="AV20" i="19" s="1"/>
  <c r="AO21" i="19"/>
  <c r="AV21" i="19" s="1"/>
  <c r="AT24" i="19"/>
  <c r="AJ24" i="19"/>
  <c r="AO26" i="19"/>
  <c r="AV26" i="19" s="1"/>
  <c r="AC26" i="19"/>
  <c r="AN26" i="19"/>
  <c r="AJ26" i="19"/>
  <c r="AO30" i="19"/>
  <c r="AO35" i="19"/>
  <c r="AN55" i="19"/>
  <c r="AJ55" i="19"/>
  <c r="AT55" i="19"/>
  <c r="AC66" i="18"/>
  <c r="AB67" i="18"/>
  <c r="AC78" i="18"/>
  <c r="AB79" i="18"/>
  <c r="AC82" i="18"/>
  <c r="AB83" i="18"/>
  <c r="AC88" i="18"/>
  <c r="AB89" i="18"/>
  <c r="AC92" i="18"/>
  <c r="AB93" i="18"/>
  <c r="AR96" i="18"/>
  <c r="AN97" i="18"/>
  <c r="AJ100" i="18"/>
  <c r="AQ102" i="18"/>
  <c r="AN6" i="19"/>
  <c r="AO9" i="19"/>
  <c r="AD11" i="19"/>
  <c r="AN12" i="19"/>
  <c r="AN13" i="19"/>
  <c r="AT13" i="19"/>
  <c r="AJ13" i="19"/>
  <c r="AU14" i="19"/>
  <c r="AO16" i="19"/>
  <c r="AR18" i="19"/>
  <c r="AB18" i="19"/>
  <c r="AD24" i="19"/>
  <c r="AQ24" i="19"/>
  <c r="AN24" i="19"/>
  <c r="AR28" i="19"/>
  <c r="AN29" i="19"/>
  <c r="AR32" i="19"/>
  <c r="AR34" i="19"/>
  <c r="AU40" i="19"/>
  <c r="AO53" i="19"/>
  <c r="AN54" i="19"/>
  <c r="AR58" i="19"/>
  <c r="AB64" i="18"/>
  <c r="AJ67" i="18"/>
  <c r="AJ79" i="18"/>
  <c r="AT79" i="18"/>
  <c r="AJ83" i="18"/>
  <c r="AT83" i="18"/>
  <c r="AB84" i="18"/>
  <c r="AJ89" i="18"/>
  <c r="AT89" i="18"/>
  <c r="AJ93" i="18"/>
  <c r="AN96" i="18"/>
  <c r="AT96" i="18"/>
  <c r="AO97" i="18"/>
  <c r="AV97" i="18" s="1"/>
  <c r="AR98" i="18"/>
  <c r="AB98" i="18"/>
  <c r="AC100" i="18"/>
  <c r="AJ103" i="18"/>
  <c r="AO3" i="19"/>
  <c r="AJ6" i="19"/>
  <c r="AO7" i="19"/>
  <c r="AR7" i="19"/>
  <c r="AC8" i="19"/>
  <c r="AB9" i="19"/>
  <c r="AO13" i="19"/>
  <c r="AV13" i="19" s="1"/>
  <c r="AN14" i="19"/>
  <c r="AN16" i="19"/>
  <c r="AN17" i="19"/>
  <c r="AT17" i="19"/>
  <c r="AJ17" i="19"/>
  <c r="AO23" i="19"/>
  <c r="AV23" i="19" s="1"/>
  <c r="AC23" i="19"/>
  <c r="AN25" i="19"/>
  <c r="AT26" i="19"/>
  <c r="AT28" i="19"/>
  <c r="AJ28" i="19"/>
  <c r="AN28" i="19"/>
  <c r="AU32" i="19"/>
  <c r="AN49" i="19"/>
  <c r="AU53" i="19"/>
  <c r="AR62" i="19"/>
  <c r="AB62" i="19"/>
  <c r="AN62" i="19"/>
  <c r="AD49" i="20"/>
  <c r="AQ49" i="20"/>
  <c r="AN93" i="18"/>
  <c r="AR75" i="19"/>
  <c r="AR61" i="19"/>
  <c r="AR47" i="19"/>
  <c r="AR43" i="19"/>
  <c r="AR36" i="19"/>
  <c r="AR73" i="19"/>
  <c r="AR56" i="19"/>
  <c r="AR55" i="19"/>
  <c r="AR38" i="19"/>
  <c r="AR30" i="19"/>
  <c r="AR20" i="19"/>
  <c r="AR16" i="19"/>
  <c r="AR12" i="19"/>
  <c r="AR8" i="19"/>
  <c r="AR24" i="19"/>
  <c r="AR51" i="19"/>
  <c r="AR37" i="19"/>
  <c r="AO6" i="19"/>
  <c r="AU7" i="19"/>
  <c r="AQ8" i="19"/>
  <c r="AR11" i="19"/>
  <c r="AC12" i="19"/>
  <c r="AO17" i="19"/>
  <c r="AN18" i="19"/>
  <c r="AQ20" i="19"/>
  <c r="AR22" i="19"/>
  <c r="AB22" i="19"/>
  <c r="AD28" i="19"/>
  <c r="AQ28" i="19"/>
  <c r="AU28" i="19"/>
  <c r="AR40" i="19"/>
  <c r="AO49" i="19"/>
  <c r="AD56" i="19"/>
  <c r="AQ56" i="19"/>
  <c r="AN56" i="19"/>
  <c r="AT56" i="19"/>
  <c r="AJ56" i="19"/>
  <c r="AR67" i="19"/>
  <c r="AP73" i="19"/>
  <c r="AP72" i="19"/>
  <c r="AP58" i="19"/>
  <c r="AP54" i="19"/>
  <c r="AP50" i="19"/>
  <c r="AP40" i="19"/>
  <c r="AP36" i="19"/>
  <c r="AP53" i="19"/>
  <c r="AP49" i="19"/>
  <c r="AP35" i="19"/>
  <c r="AP60" i="19"/>
  <c r="AP56" i="19"/>
  <c r="AP46" i="19"/>
  <c r="AP38" i="19"/>
  <c r="AP32" i="19"/>
  <c r="AP28" i="19"/>
  <c r="AP59" i="19"/>
  <c r="AP55" i="19"/>
  <c r="AP51" i="19"/>
  <c r="AP41" i="19"/>
  <c r="AP37" i="19"/>
  <c r="AP6" i="19"/>
  <c r="AJ21" i="19"/>
  <c r="AT21" i="19"/>
  <c r="AJ33" i="19"/>
  <c r="AQ34" i="19"/>
  <c r="AO34" i="19"/>
  <c r="AJ40" i="19"/>
  <c r="AN41" i="19"/>
  <c r="AP43" i="19"/>
  <c r="AN46" i="19"/>
  <c r="AT46" i="19"/>
  <c r="AJ46" i="19"/>
  <c r="AQ47" i="19"/>
  <c r="AR49" i="19"/>
  <c r="AB49" i="19"/>
  <c r="AR50" i="19"/>
  <c r="AO54" i="19"/>
  <c r="AQ59" i="19"/>
  <c r="AP61" i="19"/>
  <c r="AQ67" i="19"/>
  <c r="AN69" i="19"/>
  <c r="AR72" i="19"/>
  <c r="AB72" i="19"/>
  <c r="AR41" i="20"/>
  <c r="AB41" i="20"/>
  <c r="AQ43" i="20"/>
  <c r="AJ75" i="19"/>
  <c r="AJ67" i="19"/>
  <c r="AJ66" i="19"/>
  <c r="AJ61" i="19"/>
  <c r="AJ47" i="19"/>
  <c r="AJ43" i="19"/>
  <c r="AJ72" i="19"/>
  <c r="AJ70" i="19"/>
  <c r="AD9" i="19"/>
  <c r="AD13" i="19"/>
  <c r="AJ14" i="19"/>
  <c r="AD17" i="19"/>
  <c r="AJ18" i="19"/>
  <c r="AD21" i="19"/>
  <c r="AC22" i="19"/>
  <c r="AJ22" i="19"/>
  <c r="AC25" i="19"/>
  <c r="AJ25" i="19"/>
  <c r="AJ29" i="19"/>
  <c r="AN30" i="19"/>
  <c r="AT30" i="19"/>
  <c r="AJ30" i="19"/>
  <c r="AD32" i="19"/>
  <c r="AP33" i="19"/>
  <c r="AP34" i="19"/>
  <c r="AO36" i="19"/>
  <c r="AJ41" i="19"/>
  <c r="AQ43" i="19"/>
  <c r="AQ46" i="19"/>
  <c r="AO50" i="19"/>
  <c r="AQ53" i="19"/>
  <c r="AQ54" i="19"/>
  <c r="AN59" i="19"/>
  <c r="AN60" i="19"/>
  <c r="AT60" i="19"/>
  <c r="AJ60" i="19"/>
  <c r="AQ61" i="19"/>
  <c r="AR63" i="19"/>
  <c r="AB63" i="19"/>
  <c r="AQ66" i="19"/>
  <c r="AJ68" i="19"/>
  <c r="AQ70" i="19"/>
  <c r="AN72" i="19"/>
  <c r="AC18" i="20"/>
  <c r="AO18" i="20"/>
  <c r="AV18" i="20" s="1"/>
  <c r="AD29" i="20"/>
  <c r="AQ29" i="20"/>
  <c r="AP18" i="19"/>
  <c r="AV18" i="19" s="1"/>
  <c r="AN23" i="19"/>
  <c r="AT23" i="19"/>
  <c r="AR25" i="19"/>
  <c r="AQ25" i="19"/>
  <c r="AR29" i="19"/>
  <c r="AQ29" i="19"/>
  <c r="AR33" i="19"/>
  <c r="AR35" i="19"/>
  <c r="AB35" i="19"/>
  <c r="AJ36" i="19"/>
  <c r="AN37" i="19"/>
  <c r="AQ38" i="19"/>
  <c r="AO40" i="19"/>
  <c r="AO44" i="19"/>
  <c r="AV44" i="19" s="1"/>
  <c r="AC47" i="19"/>
  <c r="AO47" i="19"/>
  <c r="AV47" i="19" s="1"/>
  <c r="AQ48" i="19"/>
  <c r="AP48" i="19"/>
  <c r="AN51" i="19"/>
  <c r="AO58" i="19"/>
  <c r="AT59" i="19"/>
  <c r="AO62" i="19"/>
  <c r="AV62" i="19" s="1"/>
  <c r="AR68" i="19"/>
  <c r="AO73" i="19"/>
  <c r="AR45" i="20"/>
  <c r="AB45" i="20"/>
  <c r="AN48" i="20"/>
  <c r="AT48" i="20"/>
  <c r="AJ48" i="20"/>
  <c r="AR3" i="21"/>
  <c r="AR6" i="21"/>
  <c r="AN6" i="21"/>
  <c r="AT6" i="21"/>
  <c r="AJ6" i="21"/>
  <c r="AJ23" i="19"/>
  <c r="AO29" i="19"/>
  <c r="AV29" i="19" s="1"/>
  <c r="AT32" i="19"/>
  <c r="AJ32" i="19"/>
  <c r="AO33" i="19"/>
  <c r="AN34" i="19"/>
  <c r="AT34" i="19"/>
  <c r="AJ34" i="19"/>
  <c r="AJ37" i="19"/>
  <c r="AQ40" i="19"/>
  <c r="AN42" i="19"/>
  <c r="AT42" i="19"/>
  <c r="AJ42" i="19"/>
  <c r="AC43" i="19"/>
  <c r="AO43" i="19"/>
  <c r="AQ44" i="19"/>
  <c r="AP47" i="19"/>
  <c r="AJ51" i="19"/>
  <c r="AR53" i="19"/>
  <c r="AB53" i="19"/>
  <c r="AR54" i="19"/>
  <c r="AQ58" i="19"/>
  <c r="AC61" i="19"/>
  <c r="AO61" i="19"/>
  <c r="AQ62" i="19"/>
  <c r="AO67" i="19"/>
  <c r="AV67" i="19" s="1"/>
  <c r="AC67" i="19"/>
  <c r="AQ76" i="19"/>
  <c r="AJ76" i="19"/>
  <c r="AD21" i="20"/>
  <c r="AQ21" i="20"/>
  <c r="AC22" i="20"/>
  <c r="AO22" i="20"/>
  <c r="AJ44" i="19"/>
  <c r="AT44" i="19"/>
  <c r="AJ48" i="19"/>
  <c r="AT48" i="19"/>
  <c r="AJ62" i="19"/>
  <c r="AT62" i="19"/>
  <c r="AT63" i="19"/>
  <c r="AC75" i="19"/>
  <c r="AO75" i="19"/>
  <c r="AV75" i="19" s="1"/>
  <c r="AR76" i="19"/>
  <c r="AB76" i="19"/>
  <c r="AP31" i="20"/>
  <c r="AP3" i="20"/>
  <c r="AP46" i="20"/>
  <c r="AP38" i="20"/>
  <c r="AP34" i="20"/>
  <c r="AP45" i="20"/>
  <c r="AV45" i="20" s="1"/>
  <c r="AP41" i="20"/>
  <c r="AP37" i="20"/>
  <c r="AP7" i="20"/>
  <c r="AP29" i="20"/>
  <c r="AP25" i="20"/>
  <c r="AP21" i="20"/>
  <c r="AP32" i="20"/>
  <c r="AP28" i="20"/>
  <c r="AV28" i="20" s="1"/>
  <c r="AP24" i="20"/>
  <c r="AP20" i="20"/>
  <c r="AC40" i="20"/>
  <c r="AO40" i="20"/>
  <c r="AP44" i="20"/>
  <c r="AD26" i="19"/>
  <c r="AD30" i="19"/>
  <c r="AD34" i="19"/>
  <c r="AJ35" i="19"/>
  <c r="AQ37" i="19"/>
  <c r="AB40" i="19"/>
  <c r="AQ41" i="19"/>
  <c r="AD44" i="19"/>
  <c r="AD48" i="19"/>
  <c r="AJ49" i="19"/>
  <c r="AB50" i="19"/>
  <c r="AJ53" i="19"/>
  <c r="AB54" i="19"/>
  <c r="AB58" i="19"/>
  <c r="AD62" i="19"/>
  <c r="AC63" i="19"/>
  <c r="AQ65" i="19"/>
  <c r="AT65" i="19"/>
  <c r="AJ65" i="19"/>
  <c r="AN68" i="19"/>
  <c r="AT68" i="19"/>
  <c r="AQ75" i="19"/>
  <c r="AN76" i="19"/>
  <c r="AQ9" i="20"/>
  <c r="AP40" i="20"/>
  <c r="AB25" i="19"/>
  <c r="AB29" i="19"/>
  <c r="AB33" i="19"/>
  <c r="AO69" i="19"/>
  <c r="AV69" i="19" s="1"/>
  <c r="AC69" i="19"/>
  <c r="AQ72" i="19"/>
  <c r="AQ73" i="19"/>
  <c r="AT73" i="19"/>
  <c r="AJ73" i="19"/>
  <c r="AC6" i="20"/>
  <c r="AO6" i="20"/>
  <c r="AC10" i="20"/>
  <c r="AO10" i="20"/>
  <c r="AV10" i="20" s="1"/>
  <c r="AR15" i="20"/>
  <c r="AB15" i="20"/>
  <c r="AP18" i="20"/>
  <c r="AN20" i="20"/>
  <c r="AT20" i="20"/>
  <c r="AJ20" i="20"/>
  <c r="AP22" i="20"/>
  <c r="AN24" i="20"/>
  <c r="AT24" i="20"/>
  <c r="AJ24" i="20"/>
  <c r="AP26" i="20"/>
  <c r="AN28" i="20"/>
  <c r="AT28" i="20"/>
  <c r="AJ28" i="20"/>
  <c r="AN32" i="20"/>
  <c r="AT32" i="20"/>
  <c r="AV32" i="20" s="1"/>
  <c r="AJ32" i="20"/>
  <c r="AR37" i="20"/>
  <c r="AB37" i="20"/>
  <c r="AT69" i="19"/>
  <c r="AJ69" i="19"/>
  <c r="AR70" i="19"/>
  <c r="AB70" i="19"/>
  <c r="AR7" i="20"/>
  <c r="AB7" i="20"/>
  <c r="AR11" i="20"/>
  <c r="AB11" i="20"/>
  <c r="AC14" i="20"/>
  <c r="AO14" i="20"/>
  <c r="AV14" i="20" s="1"/>
  <c r="AC44" i="20"/>
  <c r="AO44" i="20"/>
  <c r="AU14" i="20"/>
  <c r="AR16" i="20"/>
  <c r="AN18" i="20"/>
  <c r="AU18" i="20"/>
  <c r="AO21" i="20"/>
  <c r="AN22" i="20"/>
  <c r="AU22" i="20"/>
  <c r="AO25" i="20"/>
  <c r="AN26" i="20"/>
  <c r="AU26" i="20"/>
  <c r="AO29" i="20"/>
  <c r="AQ31" i="20"/>
  <c r="AR34" i="20"/>
  <c r="AV34" i="20" s="1"/>
  <c r="AQ35" i="20"/>
  <c r="AJ37" i="20"/>
  <c r="AR38" i="20"/>
  <c r="AV38" i="20" s="1"/>
  <c r="AN40" i="20"/>
  <c r="AU40" i="20"/>
  <c r="AJ41" i="20"/>
  <c r="AN44" i="20"/>
  <c r="AU44" i="20"/>
  <c r="AJ45" i="20"/>
  <c r="AR46" i="20"/>
  <c r="AV46" i="20" s="1"/>
  <c r="AQ47" i="20"/>
  <c r="AD72" i="19"/>
  <c r="AC73" i="19"/>
  <c r="AD76" i="19"/>
  <c r="AR3" i="20"/>
  <c r="AD7" i="20"/>
  <c r="AU7" i="20"/>
  <c r="AD11" i="20"/>
  <c r="AU11" i="20"/>
  <c r="AC12" i="20"/>
  <c r="AJ12" i="20"/>
  <c r="AD15" i="20"/>
  <c r="AU15" i="20"/>
  <c r="AC16" i="20"/>
  <c r="AJ16" i="20"/>
  <c r="AQ20" i="20"/>
  <c r="AQ24" i="20"/>
  <c r="AQ28" i="20"/>
  <c r="AB31" i="20"/>
  <c r="AQ32" i="20"/>
  <c r="AC34" i="20"/>
  <c r="AJ34" i="20"/>
  <c r="AB35" i="20"/>
  <c r="AD37" i="20"/>
  <c r="AU37" i="20"/>
  <c r="AJ38" i="20"/>
  <c r="AU41" i="20"/>
  <c r="AN45" i="20"/>
  <c r="AU45" i="20"/>
  <c r="AJ46" i="20"/>
  <c r="AR47" i="20"/>
  <c r="AQ48" i="20"/>
  <c r="AQ6" i="21"/>
  <c r="AC20" i="20"/>
  <c r="AB21" i="20"/>
  <c r="AC24" i="20"/>
  <c r="AB25" i="20"/>
  <c r="AC28" i="20"/>
  <c r="AB29" i="20"/>
  <c r="AU31" i="20"/>
  <c r="AV31" i="20" s="1"/>
  <c r="AC32" i="20"/>
  <c r="AN35" i="20"/>
  <c r="AU35" i="20"/>
  <c r="AB43" i="20"/>
  <c r="AU47" i="20"/>
  <c r="AC48" i="20"/>
  <c r="AB49" i="20"/>
  <c r="AH1" i="21"/>
  <c r="AH2" i="21" s="1"/>
  <c r="AC6" i="21"/>
  <c r="AR6" i="20"/>
  <c r="AJ9" i="20"/>
  <c r="AR10" i="20"/>
  <c r="AB18" i="20"/>
  <c r="AU20" i="20"/>
  <c r="AJ21" i="20"/>
  <c r="AB22" i="20"/>
  <c r="AU24" i="20"/>
  <c r="AJ25" i="20"/>
  <c r="AB26" i="20"/>
  <c r="AU28" i="20"/>
  <c r="AJ29" i="20"/>
  <c r="AU32" i="20"/>
  <c r="AB40" i="20"/>
  <c r="AJ43" i="20"/>
  <c r="AB44" i="20"/>
  <c r="AU48" i="20"/>
  <c r="AJ49" i="20"/>
  <c r="AU9" i="20"/>
  <c r="AJ14" i="20"/>
  <c r="AJ18" i="20"/>
  <c r="AN21" i="20"/>
  <c r="AU21" i="20"/>
  <c r="AJ22" i="20"/>
  <c r="AN25" i="20"/>
  <c r="AU25" i="20"/>
  <c r="AJ26" i="20"/>
  <c r="AN29" i="20"/>
  <c r="AU29" i="20"/>
  <c r="AJ40" i="20"/>
  <c r="AN43" i="20"/>
  <c r="AU43" i="20"/>
  <c r="AV10" i="1" l="1"/>
  <c r="AV53" i="1"/>
  <c r="AV24" i="20"/>
  <c r="AV59" i="18"/>
  <c r="AV54" i="18"/>
  <c r="AV45" i="17"/>
  <c r="AV51" i="17"/>
  <c r="AV52" i="17"/>
  <c r="AV13" i="7"/>
  <c r="AV37" i="7"/>
  <c r="AV22" i="9"/>
  <c r="AV9" i="14"/>
  <c r="AV94" i="7"/>
  <c r="AV62" i="7"/>
  <c r="AV20" i="20"/>
  <c r="AV15" i="18"/>
  <c r="AV41" i="9"/>
  <c r="AV17" i="14"/>
  <c r="AV15" i="11"/>
  <c r="AV27" i="7"/>
  <c r="AV22" i="16"/>
  <c r="AV23" i="14"/>
  <c r="AV38" i="19"/>
  <c r="AV51" i="19"/>
  <c r="AV67" i="18"/>
  <c r="AV31" i="16"/>
  <c r="AV17" i="16"/>
  <c r="AV8" i="16"/>
  <c r="AV53" i="9"/>
  <c r="AV54" i="9"/>
  <c r="AV9" i="7"/>
  <c r="AV37" i="20"/>
  <c r="AV11" i="17"/>
  <c r="AV17" i="15"/>
  <c r="AV23" i="9"/>
  <c r="AV7" i="7"/>
  <c r="AV6" i="20"/>
  <c r="AV23" i="16"/>
  <c r="AV47" i="14"/>
  <c r="AV14" i="9"/>
  <c r="AV66" i="9"/>
  <c r="AV6" i="9"/>
  <c r="AV69" i="7"/>
  <c r="AV71" i="7"/>
  <c r="AV36" i="19"/>
  <c r="AV7" i="20"/>
  <c r="AV44" i="17"/>
  <c r="AV26" i="16"/>
  <c r="AV6" i="12"/>
  <c r="AV35" i="19"/>
  <c r="AV10" i="16"/>
  <c r="AV72" i="19"/>
  <c r="AV29" i="20"/>
  <c r="AV21" i="20"/>
  <c r="AV61" i="19"/>
  <c r="AV73" i="19"/>
  <c r="AV49" i="19"/>
  <c r="AV16" i="19"/>
  <c r="AV28" i="19"/>
  <c r="AV37" i="19"/>
  <c r="AV103" i="18"/>
  <c r="AV92" i="18"/>
  <c r="AV36" i="18"/>
  <c r="AV39" i="18"/>
  <c r="AV58" i="18"/>
  <c r="AV73" i="17"/>
  <c r="AV35" i="17"/>
  <c r="AV81" i="17"/>
  <c r="AV34" i="17"/>
  <c r="AV15" i="17"/>
  <c r="AV7" i="16"/>
  <c r="AV75" i="9"/>
  <c r="AV14" i="14"/>
  <c r="AV38" i="9"/>
  <c r="AV43" i="9"/>
  <c r="AV39" i="9"/>
  <c r="AV76" i="7"/>
  <c r="AV92" i="7"/>
  <c r="AV43" i="7"/>
  <c r="AV70" i="7"/>
  <c r="AV65" i="7"/>
  <c r="AV20" i="7"/>
  <c r="AV38" i="7"/>
  <c r="AV6" i="19"/>
  <c r="AV44" i="20"/>
  <c r="AV40" i="19"/>
  <c r="AV60" i="19"/>
  <c r="AV73" i="18"/>
  <c r="AV33" i="19"/>
  <c r="AV50" i="19"/>
  <c r="AV53" i="19"/>
  <c r="AV9" i="19"/>
  <c r="AV32" i="19"/>
  <c r="AV41" i="19"/>
  <c r="AV48" i="19"/>
  <c r="AV8" i="18"/>
  <c r="AV44" i="18"/>
  <c r="AV16" i="18"/>
  <c r="AV43" i="18"/>
  <c r="AV72" i="18"/>
  <c r="AV6" i="17"/>
  <c r="AV16" i="17"/>
  <c r="AV30" i="17"/>
  <c r="AV16" i="16"/>
  <c r="AV67" i="17"/>
  <c r="AV22" i="14"/>
  <c r="AV70" i="9"/>
  <c r="AV44" i="9"/>
  <c r="AV41" i="7"/>
  <c r="AV51" i="7"/>
  <c r="AV46" i="18"/>
  <c r="AV83" i="17"/>
  <c r="AV25" i="20"/>
  <c r="AV40" i="20"/>
  <c r="AV41" i="20"/>
  <c r="AV22" i="20"/>
  <c r="AV43" i="19"/>
  <c r="AV34" i="19"/>
  <c r="AV17" i="19"/>
  <c r="AV7" i="19"/>
  <c r="AV30" i="19"/>
  <c r="AV46" i="19"/>
  <c r="AV55" i="19"/>
  <c r="AV40" i="18"/>
  <c r="AV45" i="18"/>
  <c r="AV71" i="18"/>
  <c r="AV19" i="17"/>
  <c r="AV76" i="17"/>
  <c r="AV60" i="17"/>
  <c r="AV10" i="17"/>
  <c r="AV37" i="17"/>
  <c r="AV25" i="16"/>
  <c r="AV18" i="15"/>
  <c r="AV45" i="14"/>
  <c r="AV48" i="14"/>
  <c r="AV43" i="14"/>
  <c r="AV32" i="9"/>
  <c r="AV66" i="7"/>
  <c r="AV30" i="7"/>
  <c r="AV73" i="7"/>
  <c r="AV78" i="7"/>
  <c r="AV58" i="19"/>
  <c r="AV54" i="19"/>
  <c r="AV56" i="19"/>
  <c r="AV59" i="19"/>
  <c r="AV26" i="20"/>
  <c r="AV13" i="18"/>
  <c r="AV48" i="18"/>
  <c r="AV93" i="18"/>
  <c r="AV18" i="17"/>
  <c r="AV80" i="17"/>
  <c r="AV69" i="17"/>
  <c r="AV74" i="17"/>
  <c r="AV49" i="17"/>
  <c r="AV6" i="16"/>
  <c r="AV68" i="9"/>
  <c r="AV8" i="12"/>
  <c r="AV46" i="7"/>
  <c r="AV24" i="7"/>
  <c r="AV63" i="7"/>
  <c r="AV61" i="7"/>
  <c r="AV91" i="7"/>
  <c r="AV34" i="7"/>
  <c r="AV33" i="18"/>
  <c r="AV31" i="18"/>
  <c r="AV102" i="18"/>
  <c r="AV34" i="18"/>
  <c r="AV42" i="17"/>
  <c r="AV77" i="17"/>
  <c r="AV14" i="16"/>
  <c r="AV41" i="14"/>
  <c r="AV10" i="14"/>
  <c r="AV11" i="13"/>
  <c r="AV8" i="11"/>
  <c r="AV65" i="9"/>
  <c r="AV12" i="11"/>
  <c r="AV9" i="11"/>
  <c r="AV72" i="9"/>
  <c r="AV24" i="9"/>
  <c r="AV53" i="7"/>
  <c r="AV75" i="7"/>
</calcChain>
</file>

<file path=xl/comments1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전용면적 5% 이내 차이나는 유사평형은 제일 세대수가 많은 평형 1Type 만 표기</t>
        </r>
      </text>
    </comment>
    <comment ref="N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단지 내 Type 별로 일정 세대수 이상만 추출</t>
        </r>
      </text>
    </comment>
    <comment ref="AA1" authorId="1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1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  <comment ref="I3" authorId="1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1~3층 및 탑층 제외</t>
        </r>
      </text>
    </comment>
  </commentList>
</comments>
</file>

<file path=xl/comments2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전용면적 5% 이내 차이나는 유사평형은 제일 세대수가 많은 평형 1Type 만 표기</t>
        </r>
      </text>
    </comment>
    <comment ref="N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단지 내 Type 별로 일정 세대수 이상만 추출</t>
        </r>
      </text>
    </comment>
    <comment ref="I3" authorId="1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1~3층 및 탑층 제외</t>
        </r>
      </text>
    </comment>
  </commentList>
</comments>
</file>

<file path=xl/comments3.xml><?xml version="1.0" encoding="utf-8"?>
<comments xmlns="http://schemas.openxmlformats.org/spreadsheetml/2006/main">
  <authors>
    <author>심재민(Jemin Shim) 과장 (주)두산</author>
  </authors>
  <commentList>
    <comment ref="A4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3개 동까지 묶어 한 열에 표기 가능</t>
        </r>
      </text>
    </comment>
  </commentList>
</comments>
</file>

<file path=xl/comments4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5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6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7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8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9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10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11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12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13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14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15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16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17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18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19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sharedStrings.xml><?xml version="1.0" encoding="utf-8"?>
<sst xmlns="http://schemas.openxmlformats.org/spreadsheetml/2006/main" count="15884" uniqueCount="2072">
  <si>
    <t>인천광역시 연수구</t>
  </si>
  <si>
    <t>유사평형제거</t>
  </si>
  <si>
    <t>X</t>
  </si>
  <si>
    <t>추출기준세대수</t>
  </si>
  <si>
    <t>세대이상</t>
  </si>
  <si>
    <t>매매가 최대(색상 최대)</t>
  </si>
  <si>
    <t>인천광역시 연수구 전체 등급</t>
  </si>
  <si>
    <t>기준연도</t>
  </si>
  <si>
    <t>기준월</t>
  </si>
  <si>
    <t>200세대 이상 108단지</t>
  </si>
  <si>
    <t>매매가 최소(색상 최소)</t>
  </si>
  <si>
    <t>입지평가 및 투자후보</t>
  </si>
  <si>
    <t>A-</t>
  </si>
  <si>
    <t>A</t>
  </si>
  <si>
    <t>C</t>
  </si>
  <si>
    <t>원금보전</t>
  </si>
  <si>
    <t>수익성</t>
  </si>
  <si>
    <t>환금성</t>
  </si>
  <si>
    <t>투자후보</t>
  </si>
  <si>
    <t>300세대 이상 69단지</t>
  </si>
  <si>
    <t>단지명</t>
  </si>
  <si>
    <t>입주
연도</t>
  </si>
  <si>
    <t>총세
대수</t>
  </si>
  <si>
    <t>공급
(m2)</t>
  </si>
  <si>
    <t>공급
면적</t>
  </si>
  <si>
    <t>전용
(m2)</t>
  </si>
  <si>
    <t>전용
면적</t>
  </si>
  <si>
    <t>세대</t>
  </si>
  <si>
    <t>매매
최저가</t>
  </si>
  <si>
    <t>층</t>
  </si>
  <si>
    <t>전세
최고가</t>
  </si>
  <si>
    <t>갭</t>
  </si>
  <si>
    <t>전세
가율</t>
  </si>
  <si>
    <t>매매
평단</t>
  </si>
  <si>
    <t>전세
평단</t>
  </si>
  <si>
    <t>방</t>
  </si>
  <si>
    <t>욕
실</t>
  </si>
  <si>
    <t>구
조</t>
  </si>
  <si>
    <t>매/전/월
Type</t>
  </si>
  <si>
    <t>비고</t>
  </si>
  <si>
    <t>공급
평형</t>
  </si>
  <si>
    <t>매매가</t>
  </si>
  <si>
    <t>전세가</t>
  </si>
  <si>
    <t>평단가</t>
  </si>
  <si>
    <t>방/
욕실</t>
  </si>
  <si>
    <t>직장</t>
  </si>
  <si>
    <t>교통</t>
  </si>
  <si>
    <t>학군</t>
  </si>
  <si>
    <t>환경</t>
  </si>
  <si>
    <t>공급</t>
  </si>
  <si>
    <t>전세가율★
(80%↑)</t>
  </si>
  <si>
    <t>절대가★
(4.5억↓)</t>
  </si>
  <si>
    <t>평단가
(1000↓)</t>
  </si>
  <si>
    <t>투자규모★
(갭6천↓)</t>
  </si>
  <si>
    <t>전고점
이하</t>
  </si>
  <si>
    <t>평형★
(15~34평)</t>
  </si>
  <si>
    <t>단지규모★
(300^↑)</t>
  </si>
  <si>
    <t>입주연도</t>
  </si>
  <si>
    <t>입주월</t>
  </si>
  <si>
    <t>동서학동 대산신천지</t>
  </si>
  <si>
    <t>92.09.</t>
  </si>
  <si>
    <t>계</t>
  </si>
  <si>
    <t>A+</t>
  </si>
  <si>
    <t>B+</t>
  </si>
  <si>
    <t>동서학동 거산황궁맨션</t>
  </si>
  <si>
    <t>93.06.</t>
  </si>
  <si>
    <t>동서학동 진흥하이츠</t>
  </si>
  <si>
    <t>93.11.</t>
  </si>
  <si>
    <t>복</t>
  </si>
  <si>
    <t>삼천동1가 대왕장미타운</t>
  </si>
  <si>
    <t>97.05.</t>
  </si>
  <si>
    <t>고</t>
  </si>
  <si>
    <t>9</t>
  </si>
  <si>
    <t>삼천동1가 신일</t>
  </si>
  <si>
    <t>91.08.</t>
  </si>
  <si>
    <t>5</t>
  </si>
  <si>
    <t>삼천동1가 광진공작</t>
  </si>
  <si>
    <t>86.04.</t>
  </si>
  <si>
    <t>삼천동1가 삼천흥건2차</t>
  </si>
  <si>
    <t>00.03.</t>
  </si>
  <si>
    <t>12</t>
  </si>
  <si>
    <t>삼천동1가 세창짜임</t>
  </si>
  <si>
    <t>06.07.</t>
  </si>
  <si>
    <t>8</t>
  </si>
  <si>
    <t>10</t>
  </si>
  <si>
    <t>14</t>
  </si>
  <si>
    <t>삼천동1가 개나리</t>
  </si>
  <si>
    <t>91.04.</t>
  </si>
  <si>
    <t>삼천동1가 우성그린</t>
  </si>
  <si>
    <t>중</t>
  </si>
  <si>
    <t>6</t>
  </si>
  <si>
    <t>72A</t>
  </si>
  <si>
    <t>72B</t>
  </si>
  <si>
    <t>삼천동1가 호반리젠시빌</t>
  </si>
  <si>
    <t>02.03.</t>
  </si>
  <si>
    <t>삼천동1가 삼천주공4단지</t>
  </si>
  <si>
    <t>삼천동1가 광진목화</t>
  </si>
  <si>
    <t>87.04.</t>
  </si>
  <si>
    <t>삼천동1가 삼천우성2차</t>
  </si>
  <si>
    <t>98.12.</t>
  </si>
  <si>
    <t>75A</t>
  </si>
  <si>
    <t>75B</t>
  </si>
  <si>
    <t>삼천동1가 청솔금호타운</t>
  </si>
  <si>
    <t>98.05.</t>
  </si>
  <si>
    <t>11</t>
  </si>
  <si>
    <t>삼천동1가 세경</t>
  </si>
  <si>
    <t>86.12.</t>
  </si>
  <si>
    <t>삼천동1가 삼천하이츠</t>
  </si>
  <si>
    <t>97.04.</t>
  </si>
  <si>
    <t>삼천동1가 우성</t>
  </si>
  <si>
    <t>93.03.</t>
  </si>
  <si>
    <t>7</t>
  </si>
  <si>
    <t>삼천동1가 삼천주공3단지</t>
  </si>
  <si>
    <t>89.05.</t>
  </si>
  <si>
    <t>49A</t>
  </si>
  <si>
    <t>49B</t>
  </si>
  <si>
    <t>57A</t>
  </si>
  <si>
    <t>57B</t>
  </si>
  <si>
    <t>삼천동1가 광진궁전맨션</t>
  </si>
  <si>
    <t>92.08.</t>
  </si>
  <si>
    <t>삼천동1가 쌍용2단지</t>
  </si>
  <si>
    <t>87.12.</t>
  </si>
  <si>
    <t>삼천동1가 이안전주삼천</t>
  </si>
  <si>
    <t>14.11.</t>
  </si>
  <si>
    <t>109A</t>
  </si>
  <si>
    <t>110B</t>
  </si>
  <si>
    <t>111D</t>
  </si>
  <si>
    <t>111E</t>
  </si>
  <si>
    <t>114C</t>
  </si>
  <si>
    <t>삼천동1가 삼천남양</t>
  </si>
  <si>
    <t>삼천동1가 삼천주공5단지</t>
  </si>
  <si>
    <t>15</t>
  </si>
  <si>
    <t>80B</t>
  </si>
  <si>
    <t>80A</t>
  </si>
  <si>
    <t>삼천동1가 쌍용3단지</t>
  </si>
  <si>
    <t>91.07.</t>
  </si>
  <si>
    <t>삼천동1가 안행현대</t>
  </si>
  <si>
    <t>98.04.</t>
  </si>
  <si>
    <t>삼천동1가 쌍용1단지</t>
  </si>
  <si>
    <t>85.12.</t>
  </si>
  <si>
    <t>삼천동1가 오성대우</t>
  </si>
  <si>
    <t>91.10.</t>
  </si>
  <si>
    <t>삼천동1가 신일강변</t>
  </si>
  <si>
    <t>97.01.</t>
  </si>
  <si>
    <t>삼천동1가 삼천흥건1차</t>
  </si>
  <si>
    <t>99.12.</t>
  </si>
  <si>
    <t>서서학동 광진산업</t>
  </si>
  <si>
    <t>00.05.</t>
  </si>
  <si>
    <t>88A</t>
  </si>
  <si>
    <t>88B</t>
  </si>
  <si>
    <t>서서학동 신세계블루타운</t>
  </si>
  <si>
    <t>97.03.</t>
  </si>
  <si>
    <t>25A</t>
  </si>
  <si>
    <t>27B</t>
  </si>
  <si>
    <t>서서학동 우정목련</t>
  </si>
  <si>
    <t>서서학동 푸른맨션</t>
  </si>
  <si>
    <t>98.07.</t>
  </si>
  <si>
    <t>서신동 서신e-편한세상</t>
  </si>
  <si>
    <t>07.01.</t>
  </si>
  <si>
    <t>160A</t>
  </si>
  <si>
    <t>161B</t>
  </si>
  <si>
    <t>서신동 우신</t>
  </si>
  <si>
    <t>86.01.</t>
  </si>
  <si>
    <t>서신동 제일비사벌</t>
  </si>
  <si>
    <t>95.11.</t>
  </si>
  <si>
    <t>102S</t>
  </si>
  <si>
    <t>서신동 유창</t>
  </si>
  <si>
    <t>83.06.</t>
  </si>
  <si>
    <t>서신동 중흥</t>
  </si>
  <si>
    <t>98.08.</t>
  </si>
  <si>
    <t>서신동 동아,한일</t>
  </si>
  <si>
    <t>97.07.</t>
  </si>
  <si>
    <t>18</t>
  </si>
  <si>
    <t>78A</t>
  </si>
  <si>
    <t>78B</t>
  </si>
  <si>
    <t>서신동 현대</t>
  </si>
  <si>
    <t>96.08.</t>
  </si>
  <si>
    <t>서신동 대우</t>
  </si>
  <si>
    <t>98.06.</t>
  </si>
  <si>
    <t>서신동 서신남양대명타운</t>
  </si>
  <si>
    <t>95.12.</t>
  </si>
  <si>
    <t>13</t>
  </si>
  <si>
    <t>서신동 비사벌</t>
  </si>
  <si>
    <t>95.08.</t>
  </si>
  <si>
    <t>서신동 서신광진</t>
  </si>
  <si>
    <t>서신동 서신아이파크e편한세상</t>
  </si>
  <si>
    <t>20.12.</t>
  </si>
  <si>
    <t>83A</t>
  </si>
  <si>
    <t>83C</t>
  </si>
  <si>
    <t>17</t>
  </si>
  <si>
    <t>84B</t>
  </si>
  <si>
    <t>84D</t>
  </si>
  <si>
    <t>109B</t>
  </si>
  <si>
    <t>109C</t>
  </si>
  <si>
    <t>130B</t>
  </si>
  <si>
    <t>130A</t>
  </si>
  <si>
    <t>서신동 서신LG</t>
  </si>
  <si>
    <t>서신동 감나무골대우,대창</t>
  </si>
  <si>
    <t>99.10.</t>
  </si>
  <si>
    <t>107S</t>
  </si>
  <si>
    <t>서신동 서신광진산업장미2차</t>
  </si>
  <si>
    <t>01.11.</t>
  </si>
  <si>
    <t>서신동 서신쌍용</t>
  </si>
  <si>
    <t>96.04.</t>
  </si>
  <si>
    <t>서신동 성원</t>
  </si>
  <si>
    <t>서신동 서신동아2차</t>
  </si>
  <si>
    <t>서신동 전주서신동아</t>
  </si>
  <si>
    <t>서신동 서신신일</t>
  </si>
  <si>
    <t>서신동 롯데</t>
  </si>
  <si>
    <t>서신동 광진선수촌</t>
  </si>
  <si>
    <t>98.01.</t>
  </si>
  <si>
    <t>서완산동2가 서완산골드클래스</t>
  </si>
  <si>
    <t>21.06.</t>
  </si>
  <si>
    <t>중노송동 우성해오름</t>
  </si>
  <si>
    <t>05.12.</t>
  </si>
  <si>
    <t>중노송동 한옥마을서해그랑블</t>
  </si>
  <si>
    <t>18.03.</t>
  </si>
  <si>
    <t>95A</t>
  </si>
  <si>
    <t>95B</t>
  </si>
  <si>
    <t>16</t>
  </si>
  <si>
    <t>111A</t>
  </si>
  <si>
    <t>111B</t>
  </si>
  <si>
    <t>중노송동 기린봉</t>
  </si>
  <si>
    <t>93.08.</t>
  </si>
  <si>
    <t>중인동 옥성골든카운티</t>
  </si>
  <si>
    <t>13.05.</t>
  </si>
  <si>
    <t>103A</t>
  </si>
  <si>
    <t>103B</t>
  </si>
  <si>
    <t>중화산동1가 남양서원</t>
  </si>
  <si>
    <t>93.09.</t>
  </si>
  <si>
    <t>중화산동1가 중화산신일</t>
  </si>
  <si>
    <t>중화산동1가 동신2차</t>
  </si>
  <si>
    <t>95.07.</t>
  </si>
  <si>
    <t>중화산동1가 현대A단지</t>
  </si>
  <si>
    <t>99.04.</t>
  </si>
  <si>
    <t>중화산동2가 광진햇빛찬</t>
  </si>
  <si>
    <t>05.08.</t>
  </si>
  <si>
    <t>중화산동2가 우성근영타운</t>
  </si>
  <si>
    <t>96.07.</t>
  </si>
  <si>
    <t>중화산동2가 한신코아</t>
  </si>
  <si>
    <t>90.11.</t>
  </si>
  <si>
    <t>중화산동2가 코오롱하늘채</t>
  </si>
  <si>
    <t>03.07.</t>
  </si>
  <si>
    <t>187B</t>
  </si>
  <si>
    <t>188A</t>
  </si>
  <si>
    <t>중화산동2가 현대에코르</t>
  </si>
  <si>
    <t>03.10.</t>
  </si>
  <si>
    <t>112A</t>
  </si>
  <si>
    <t>20</t>
  </si>
  <si>
    <t>112B</t>
  </si>
  <si>
    <t>129A</t>
  </si>
  <si>
    <t>129B</t>
  </si>
  <si>
    <t>중화산동2가 거성그린맨션</t>
  </si>
  <si>
    <t>92.06.</t>
  </si>
  <si>
    <t>154A</t>
  </si>
  <si>
    <t>155B</t>
  </si>
  <si>
    <t>197A</t>
  </si>
  <si>
    <t>197B</t>
  </si>
  <si>
    <t>225A</t>
  </si>
  <si>
    <t>225B</t>
  </si>
  <si>
    <t>중화산동2가 전주중화산풍림아이원</t>
  </si>
  <si>
    <t>11.04.</t>
  </si>
  <si>
    <t>중화산동2가 중화산영무예다음</t>
  </si>
  <si>
    <t>15.06.</t>
  </si>
  <si>
    <t>108B</t>
  </si>
  <si>
    <t>중화산동2가 우성중산타운</t>
  </si>
  <si>
    <t>03.05.</t>
  </si>
  <si>
    <t>중화산동2가 오성은하</t>
  </si>
  <si>
    <t>중화산동2가 거성근영1차</t>
  </si>
  <si>
    <t>93.01.</t>
  </si>
  <si>
    <t>중화산동2가 중화산광진</t>
  </si>
  <si>
    <t>중화산동2가 새한그린파크</t>
  </si>
  <si>
    <t>94.12.</t>
  </si>
  <si>
    <t>태평동 전주태평아이파크</t>
  </si>
  <si>
    <t>22.05.</t>
  </si>
  <si>
    <t>79A</t>
  </si>
  <si>
    <t>81B</t>
  </si>
  <si>
    <t>98B</t>
  </si>
  <si>
    <t>99A</t>
  </si>
  <si>
    <t>태평동 전주태평SK뷰</t>
  </si>
  <si>
    <t>09.01.</t>
  </si>
  <si>
    <t>평화동1가 한성</t>
  </si>
  <si>
    <t>96.12.</t>
  </si>
  <si>
    <t>98A</t>
  </si>
  <si>
    <t>평화동1가 평화주공2단지</t>
  </si>
  <si>
    <t>92.04.</t>
  </si>
  <si>
    <t>평화동1가 평화주공3단지</t>
  </si>
  <si>
    <t>92.11.</t>
  </si>
  <si>
    <t>평화동1가 평화오네뜨</t>
  </si>
  <si>
    <t>13.12.</t>
  </si>
  <si>
    <t>94A</t>
  </si>
  <si>
    <t>94B</t>
  </si>
  <si>
    <t>110A</t>
  </si>
  <si>
    <t>110C</t>
  </si>
  <si>
    <t>110E</t>
  </si>
  <si>
    <t>111F</t>
  </si>
  <si>
    <t>평화동1가 코오롱</t>
  </si>
  <si>
    <t>95.01.</t>
  </si>
  <si>
    <t>평화동1가 일성</t>
  </si>
  <si>
    <t>97.08.</t>
  </si>
  <si>
    <t>93N</t>
  </si>
  <si>
    <t>평화동1가 효성양지</t>
  </si>
  <si>
    <t>50B</t>
  </si>
  <si>
    <t>50A</t>
  </si>
  <si>
    <t>73B</t>
  </si>
  <si>
    <t>73C</t>
  </si>
  <si>
    <t>73A</t>
  </si>
  <si>
    <t>평화동2가 현대</t>
  </si>
  <si>
    <t>96.05.</t>
  </si>
  <si>
    <t>평화동2가 평화동신</t>
  </si>
  <si>
    <t>19</t>
  </si>
  <si>
    <t>평화동2가 평화두산경복궁</t>
  </si>
  <si>
    <t>05.04.</t>
  </si>
  <si>
    <t>평화동2가 동도미소드림</t>
  </si>
  <si>
    <t>04.10.</t>
  </si>
  <si>
    <t>평화동2가 전주평화주공5단지</t>
  </si>
  <si>
    <t>95.06.</t>
  </si>
  <si>
    <t>평화동2가 평화3차골드클래스</t>
  </si>
  <si>
    <t>20.08.</t>
  </si>
  <si>
    <t>112C</t>
  </si>
  <si>
    <t>112D</t>
  </si>
  <si>
    <t>평화동2가 동아,현대</t>
  </si>
  <si>
    <t>평화동2가 우미</t>
  </si>
  <si>
    <t>96.06.</t>
  </si>
  <si>
    <t>평화동2가 평화2차골드클래스모악산</t>
  </si>
  <si>
    <t>21</t>
  </si>
  <si>
    <t>평화동2가 평화주공그린타운2단지</t>
  </si>
  <si>
    <t>02.10.</t>
  </si>
  <si>
    <t>평화동2가 평화골드클래스</t>
  </si>
  <si>
    <t>18.01.</t>
  </si>
  <si>
    <t>평화동2가 전주평화영무예다음</t>
  </si>
  <si>
    <t>12.11.</t>
  </si>
  <si>
    <t>평화동2가 두산푸른솔</t>
  </si>
  <si>
    <t>74A</t>
  </si>
  <si>
    <t>74B</t>
  </si>
  <si>
    <t>74C</t>
  </si>
  <si>
    <t>104A</t>
  </si>
  <si>
    <t>평화동2가 평화주공그린타운1단지</t>
  </si>
  <si>
    <t>02.01.</t>
  </si>
  <si>
    <t>77B</t>
  </si>
  <si>
    <t>평화동2가 송정써미트</t>
  </si>
  <si>
    <t>05.11.</t>
  </si>
  <si>
    <t>115A</t>
  </si>
  <si>
    <t>115B</t>
  </si>
  <si>
    <t>평화동2가 우성신성타운</t>
  </si>
  <si>
    <t>03.12.</t>
  </si>
  <si>
    <t>평화동2가 평화엠코타운</t>
  </si>
  <si>
    <t>13.01.</t>
  </si>
  <si>
    <t>107A</t>
  </si>
  <si>
    <t>평화동2가 미송평화하이존</t>
  </si>
  <si>
    <t>03.02.</t>
  </si>
  <si>
    <t>평화동2가 호반리젠시빌</t>
  </si>
  <si>
    <t>02.04.</t>
  </si>
  <si>
    <t>평화동2가 삼성강남</t>
  </si>
  <si>
    <t>93.10.</t>
  </si>
  <si>
    <t>효자동1가 신원리브웰</t>
  </si>
  <si>
    <t>17.08.</t>
  </si>
  <si>
    <t>77A</t>
  </si>
  <si>
    <t>효자동1가 삼성효자맨션</t>
  </si>
  <si>
    <t>97.02.</t>
  </si>
  <si>
    <t>효자동1가 상산타운</t>
  </si>
  <si>
    <t>94.04.</t>
  </si>
  <si>
    <t>효자동1가 효자주공3단지</t>
  </si>
  <si>
    <t>84.10.</t>
  </si>
  <si>
    <t>45A</t>
  </si>
  <si>
    <t>45B</t>
  </si>
  <si>
    <t>47C</t>
  </si>
  <si>
    <t>52A</t>
  </si>
  <si>
    <t>52S</t>
  </si>
  <si>
    <t>54B</t>
  </si>
  <si>
    <t>54S</t>
  </si>
  <si>
    <t>65A</t>
  </si>
  <si>
    <t>65S</t>
  </si>
  <si>
    <t>효자동1가 삼호</t>
  </si>
  <si>
    <t>91.11.</t>
  </si>
  <si>
    <t>100S</t>
  </si>
  <si>
    <t>효자동1가 KJ라미안</t>
  </si>
  <si>
    <t>효자동1가 한강</t>
  </si>
  <si>
    <t>효자동1가 효자한신휴플러스</t>
  </si>
  <si>
    <t>06.08.</t>
  </si>
  <si>
    <t>104C</t>
  </si>
  <si>
    <t>효자동1가 효자현대</t>
  </si>
  <si>
    <t>90.03.</t>
  </si>
  <si>
    <t>86A</t>
  </si>
  <si>
    <t>87B</t>
  </si>
  <si>
    <t>효자동1가 금호</t>
  </si>
  <si>
    <t>92.03.</t>
  </si>
  <si>
    <t>효자동1가 신일</t>
  </si>
  <si>
    <t>90.12.</t>
  </si>
  <si>
    <t>효자동1가 제일효자타운</t>
  </si>
  <si>
    <t>효자동1가 남양황실</t>
  </si>
  <si>
    <t>효자동1가 제일</t>
  </si>
  <si>
    <t>효자동1가 쌍용모악파크</t>
  </si>
  <si>
    <t>94.03.</t>
  </si>
  <si>
    <t>효자동1가 한양운남</t>
  </si>
  <si>
    <t>효자동1가 효자롯데</t>
  </si>
  <si>
    <t>효자동1가 효자성원맨션</t>
  </si>
  <si>
    <t>효자동1가 힐스테이트어울림효자</t>
  </si>
  <si>
    <t>22.06.</t>
  </si>
  <si>
    <t>101C</t>
  </si>
  <si>
    <t>102B</t>
  </si>
  <si>
    <t>102A</t>
  </si>
  <si>
    <t>131A</t>
  </si>
  <si>
    <t>131B</t>
  </si>
  <si>
    <t>효자동1가 효자대림</t>
  </si>
  <si>
    <t>02.11.</t>
  </si>
  <si>
    <t>효자동1가 남양아이좋은집</t>
  </si>
  <si>
    <t>06.05.</t>
  </si>
  <si>
    <t>효자동1가 비사벌</t>
  </si>
  <si>
    <t>92.01.</t>
  </si>
  <si>
    <t>효자동1가 대명까치맨션</t>
  </si>
  <si>
    <t>93.05.</t>
  </si>
  <si>
    <t>효자동2가 휴먼시아아이린</t>
  </si>
  <si>
    <t>09.08.</t>
  </si>
  <si>
    <t>효자동2가 전주서희스타힐스</t>
  </si>
  <si>
    <t>15.03.</t>
  </si>
  <si>
    <t>115C</t>
  </si>
  <si>
    <t>115D</t>
  </si>
  <si>
    <t>효자동2가 전주효천우미린더프레스티지</t>
  </si>
  <si>
    <t>20.01.</t>
  </si>
  <si>
    <t>22</t>
  </si>
  <si>
    <t>25</t>
  </si>
  <si>
    <t>효자동2가 효자더샵2차</t>
  </si>
  <si>
    <t>07.02.</t>
  </si>
  <si>
    <t>효자동2가 전주효천우미린더퍼스트</t>
  </si>
  <si>
    <t>19.06.</t>
  </si>
  <si>
    <t>효자동2가 전주효천대방노블랜드에코파크</t>
  </si>
  <si>
    <t>20.05.</t>
  </si>
  <si>
    <t>111C</t>
  </si>
  <si>
    <t>133B</t>
  </si>
  <si>
    <t>23</t>
  </si>
  <si>
    <t>133A</t>
  </si>
  <si>
    <t>143B</t>
  </si>
  <si>
    <t>143A</t>
  </si>
  <si>
    <t>효자동2가 골든팰리스휴먼시아</t>
  </si>
  <si>
    <t>09.11.</t>
  </si>
  <si>
    <t>167A</t>
  </si>
  <si>
    <t>167B</t>
  </si>
  <si>
    <t>186A</t>
  </si>
  <si>
    <t>186B</t>
  </si>
  <si>
    <t>효자동2가 아르팰리스휴먼시아8단지</t>
  </si>
  <si>
    <t>10.11.</t>
  </si>
  <si>
    <t>116A</t>
  </si>
  <si>
    <t>116B</t>
  </si>
  <si>
    <t>116C</t>
  </si>
  <si>
    <t>116D</t>
  </si>
  <si>
    <t>효자동2가 LH세븐팰리스</t>
  </si>
  <si>
    <t>110D</t>
  </si>
  <si>
    <t>효자동2가 효자더샵</t>
  </si>
  <si>
    <t>05.10.</t>
  </si>
  <si>
    <t>181A</t>
  </si>
  <si>
    <t>181B</t>
  </si>
  <si>
    <t>214A</t>
  </si>
  <si>
    <t>214B</t>
  </si>
  <si>
    <t>효자동2가 전주효자SK리더스뷰</t>
  </si>
  <si>
    <t>16.01.</t>
  </si>
  <si>
    <t>118B</t>
  </si>
  <si>
    <t>119F</t>
  </si>
  <si>
    <t>121E</t>
  </si>
  <si>
    <t>효자동2가 효자엘드수목토1차</t>
  </si>
  <si>
    <t>100B</t>
  </si>
  <si>
    <t>100A</t>
  </si>
  <si>
    <t>효자동2가 효자풍림아이원</t>
  </si>
  <si>
    <t>07.05.</t>
  </si>
  <si>
    <t>효자동3가 서곡두산</t>
  </si>
  <si>
    <t>99.09.</t>
  </si>
  <si>
    <t>106A</t>
  </si>
  <si>
    <t>106B</t>
  </si>
  <si>
    <t>효자동3가 코오롱스카이타워</t>
  </si>
  <si>
    <t>15.10.</t>
  </si>
  <si>
    <t>효자동3가 서부신시가지코아루해피트리</t>
  </si>
  <si>
    <t>18.11.</t>
  </si>
  <si>
    <t>효자동3가 청솔</t>
  </si>
  <si>
    <t>01.04.</t>
  </si>
  <si>
    <t>효자동3가 힐스테이트효자동</t>
  </si>
  <si>
    <t>17.11.</t>
  </si>
  <si>
    <t>효자동3가 호반베르디움</t>
  </si>
  <si>
    <t>07.12.</t>
  </si>
  <si>
    <t>113B</t>
  </si>
  <si>
    <t>114A</t>
  </si>
  <si>
    <t>효자동3가 서곡LG</t>
  </si>
  <si>
    <t>99.11.</t>
  </si>
  <si>
    <t>효자동3가 서곡대림</t>
  </si>
  <si>
    <t>효자동3가 우미린</t>
  </si>
  <si>
    <t>113A</t>
  </si>
  <si>
    <t>효자동3가 서곡주공</t>
  </si>
  <si>
    <t>효자동3가 서곡현대</t>
  </si>
  <si>
    <t>99.06.</t>
  </si>
  <si>
    <t>효자동3가 서부신시가지아이파크</t>
  </si>
  <si>
    <t>155A</t>
  </si>
  <si>
    <t>271A</t>
  </si>
  <si>
    <t>273B</t>
  </si>
  <si>
    <t>20평대</t>
  </si>
  <si>
    <t>30평대</t>
  </si>
  <si>
    <t>합계</t>
  </si>
  <si>
    <t>10년 이하</t>
  </si>
  <si>
    <t>10~20년</t>
  </si>
  <si>
    <t>20~30년</t>
  </si>
  <si>
    <t>30년 이상</t>
  </si>
  <si>
    <t>O</t>
  </si>
  <si>
    <t>동1</t>
  </si>
  <si>
    <t>효자동2가</t>
  </si>
  <si>
    <t>효자동1가</t>
  </si>
  <si>
    <t>동2</t>
  </si>
  <si>
    <t>동3</t>
  </si>
  <si>
    <t>전체</t>
  </si>
  <si>
    <t>~</t>
  </si>
  <si>
    <t>전주효천대방노블랜드에코파크(34평/7.0)</t>
  </si>
  <si>
    <t>신원리브웰(33평/4.0)</t>
  </si>
  <si>
    <t>효자한신휴플러스(31평/2.5)</t>
  </si>
  <si>
    <t>전주효천대방노블랜드에코파크('20/7.0)</t>
  </si>
  <si>
    <t>신원리브웰('17/4.0)</t>
  </si>
  <si>
    <t>효자한신휴플러스('06/2.5)</t>
  </si>
  <si>
    <t>대명까치맨션('93/1.1)</t>
  </si>
  <si>
    <t>20평대(방3)</t>
  </si>
  <si>
    <t>20평대(방2)</t>
  </si>
  <si>
    <t>10평대</t>
  </si>
  <si>
    <t>한강('97/1.1)</t>
  </si>
  <si>
    <t>동 이름 :</t>
  </si>
  <si>
    <t>KB 평면도입력</t>
  </si>
  <si>
    <t>[교동]</t>
  </si>
  <si>
    <t>효성교동아파트</t>
  </si>
  <si>
    <t>1989.12.</t>
  </si>
  <si>
    <t>복도식</t>
  </si>
  <si>
    <t>https://new.land.naver.com/complexes/122729?tab=detail&amp;rf=Y</t>
  </si>
  <si>
    <t>전라북도 전주시 완산구 교동 964</t>
  </si>
  <si>
    <t>전라북도</t>
  </si>
  <si>
    <t>전주시</t>
  </si>
  <si>
    <t>완산구</t>
  </si>
  <si>
    <t>교동</t>
  </si>
  <si>
    <t>전라북도 전주시 완산구 간납대1길 58</t>
  </si>
  <si>
    <t>[남노송동]</t>
  </si>
  <si>
    <t>원산파크</t>
  </si>
  <si>
    <t>2002.03.</t>
  </si>
  <si>
    <t>https://new.land.naver.com/complexes/116042?tab=detail&amp;rf=Y</t>
  </si>
  <si>
    <t>전라북도 전주시 완산구 남노송동 64</t>
  </si>
  <si>
    <t>남노송동</t>
  </si>
  <si>
    <t>전라북도 전주시 완산구 간납로 52</t>
  </si>
  <si>
    <t>[다가동1가]</t>
  </si>
  <si>
    <t>천궁</t>
  </si>
  <si>
    <t>2007.02.</t>
  </si>
  <si>
    <t>계단식</t>
  </si>
  <si>
    <t>https://new.land.naver.com/complexes/124474?tab=detail&amp;rf=Y</t>
  </si>
  <si>
    <t>전라북도 전주시 완산구 다가동1가 61</t>
  </si>
  <si>
    <t>다가동1가</t>
  </si>
  <si>
    <t>전라북도 전주시 완산구 전라감영로 19-5</t>
  </si>
  <si>
    <t>[대성동]</t>
  </si>
  <si>
    <t>영동고덕</t>
  </si>
  <si>
    <t>1992.09.</t>
  </si>
  <si>
    <t>https://new.land.naver.com/complexes/105213?tab=detail&amp;rf=Y</t>
  </si>
  <si>
    <t>전라북도 전주시 완산구 대성동 19</t>
  </si>
  <si>
    <t>대성동</t>
  </si>
  <si>
    <t>전라북도 전주시 완산구 고덕산2길 9</t>
  </si>
  <si>
    <t>대성영동</t>
  </si>
  <si>
    <t>1991.04.</t>
  </si>
  <si>
    <t>https://new.land.naver.com/complexes/122586?tab=detail&amp;rf=Y</t>
  </si>
  <si>
    <t>전라북도 전주시 완산구 대성동 17</t>
  </si>
  <si>
    <t>전라북도 전주시 완산구 고덕산1길 16</t>
  </si>
  <si>
    <t>대성참조은</t>
  </si>
  <si>
    <t>1996.10.</t>
  </si>
  <si>
    <t>https://new.land.naver.com/complexes/142249?tab=detail&amp;rf=Y</t>
  </si>
  <si>
    <t>전라북도 전주시 완산구 대성동 466-1</t>
  </si>
  <si>
    <t>전라북도 전주시 완산구 내원당길 47</t>
  </si>
  <si>
    <t>[동서학동]</t>
  </si>
  <si>
    <t>대산신천지</t>
  </si>
  <si>
    <t>https://new.land.naver.com/complexes/101169?tab=detail&amp;rf=Y</t>
  </si>
  <si>
    <t>전라북도 전주시 완산구 동서학동 271-5</t>
  </si>
  <si>
    <t>동서학동</t>
  </si>
  <si>
    <t>전라북도 전주시 완산구 학봉2길 18</t>
  </si>
  <si>
    <t>거산황궁맨션</t>
  </si>
  <si>
    <t>1993.06.</t>
  </si>
  <si>
    <t>https://new.land.naver.com/complexes/5292?tab=detail&amp;rf=Y</t>
  </si>
  <si>
    <t>전라북도 전주시 완산구 동서학동 290-3</t>
  </si>
  <si>
    <t>전라북도 전주시 완산구 장승배기로 398</t>
  </si>
  <si>
    <t>대아산성</t>
  </si>
  <si>
    <t>https://new.land.naver.com/complexes/104857?tab=detail&amp;rf=Y</t>
  </si>
  <si>
    <t>전라북도 전주시 완산구 동서학동 839-1</t>
  </si>
  <si>
    <t>전라북도 전주시 완산구 남고산성1길 37</t>
  </si>
  <si>
    <t>진흥하이츠</t>
  </si>
  <si>
    <t>1993.11.</t>
  </si>
  <si>
    <t>https://new.land.naver.com/complexes/5294?tab=detail&amp;rf=Y</t>
  </si>
  <si>
    <t>전라북도 전주시 완산구 동서학동 279-4</t>
  </si>
  <si>
    <t>전라북도 전주시 완산구 학봉2길 11</t>
  </si>
  <si>
    <t>[삼천동1가]</t>
  </si>
  <si>
    <t>대왕장미타운</t>
  </si>
  <si>
    <t>1997.05.</t>
  </si>
  <si>
    <t>https://new.land.naver.com/complexes/15054?tab=detail&amp;rf=Y</t>
  </si>
  <si>
    <t>전라북도 전주시 완산구 삼천동1가 305-10</t>
  </si>
  <si>
    <t>삼천동1가</t>
  </si>
  <si>
    <t>전라북도 전주시 완산구 난전들로 257</t>
  </si>
  <si>
    <t>신일</t>
  </si>
  <si>
    <t>1991.08.</t>
  </si>
  <si>
    <t>https://new.land.naver.com/complexes/5342?tab=detail&amp;rf=Y</t>
  </si>
  <si>
    <t>전라북도 전주시 완산구 삼천동1가 705-4</t>
  </si>
  <si>
    <t>전라북도 전주시 완산구 백제대로 31</t>
  </si>
  <si>
    <t>광진공작</t>
  </si>
  <si>
    <t>1986.04.</t>
  </si>
  <si>
    <t>https://new.land.naver.com/complexes/15050?tab=detail&amp;rf=Y</t>
  </si>
  <si>
    <t>전라북도 전주시 완산구 삼천동1가 138-6</t>
  </si>
  <si>
    <t>전라북도 전주시 완산구 백제대로 86</t>
  </si>
  <si>
    <t>삼천흥건2차</t>
  </si>
  <si>
    <t>2000.03.</t>
  </si>
  <si>
    <t>https://new.land.naver.com/complexes/5337?tab=detail&amp;rf=Y</t>
  </si>
  <si>
    <t>전라북도 전주시 완산구 삼천동1가 289-5</t>
  </si>
  <si>
    <t>전라북도 전주시 완산구 삼천천변1길 45</t>
  </si>
  <si>
    <t>세창짜임</t>
  </si>
  <si>
    <t>2006.07.</t>
  </si>
  <si>
    <t>https://new.land.naver.com/complexes/17740?tab=detail&amp;rf=Y</t>
  </si>
  <si>
    <t>전라북도 전주시 완산구 삼천동1가 585-10</t>
  </si>
  <si>
    <t>전라북도 전주시 완산구 용리로 179</t>
  </si>
  <si>
    <t>개나리</t>
  </si>
  <si>
    <t>https://new.land.naver.com/complexes/15049?tab=detail&amp;rf=Y</t>
  </si>
  <si>
    <t>전라북도 전주시 완산구 삼천동1가 705-1</t>
  </si>
  <si>
    <t>전라북도 전주시 완산구 용리로 162</t>
  </si>
  <si>
    <t>우성그린</t>
  </si>
  <si>
    <t>https://new.land.naver.com/complexes/15059?tab=detail&amp;rf=Y</t>
  </si>
  <si>
    <t>전라북도 전주시 완산구 삼천동1가 705-7</t>
  </si>
  <si>
    <t>전라북도 전주시 완산구 솟대로 10</t>
  </si>
  <si>
    <t>삼천두일하나</t>
  </si>
  <si>
    <t>1995.02.</t>
  </si>
  <si>
    <t>https://new.land.naver.com/complexes/15055?tab=detail&amp;rf=Y</t>
  </si>
  <si>
    <t>전라북도 전주시 완산구 삼천동1가 306-8</t>
  </si>
  <si>
    <t>전라북도 전주시 완산구 장승배기로 50</t>
  </si>
  <si>
    <t>삼천동프리미엄</t>
  </si>
  <si>
    <t>2004.09.</t>
  </si>
  <si>
    <t>https://new.land.naver.com/complexes/124792?tab=detail&amp;rf=Y</t>
  </si>
  <si>
    <t>전라북도 전주시 완산구 삼천동1가 287-2</t>
  </si>
  <si>
    <t>전라북도 전주시 완산구 삼천천변3길 44-7</t>
  </si>
  <si>
    <t>호반리젠시빌</t>
  </si>
  <si>
    <t>https://new.land.naver.com/complexes/100160?tab=detail&amp;rf=Y</t>
  </si>
  <si>
    <t>전라북도 전주시 완산구 삼천동1가 286-10</t>
  </si>
  <si>
    <t>전라북도 전주시 완산구 삼천천변3길 20</t>
  </si>
  <si>
    <t>삼천주공4단지</t>
  </si>
  <si>
    <t>https://new.land.naver.com/complexes/100464?tab=detail&amp;rf=Y</t>
  </si>
  <si>
    <t>전라북도 전주시 완산구 삼천동1가 767-1</t>
  </si>
  <si>
    <t>전라북도 전주시 완산구 장승배기로 15</t>
  </si>
  <si>
    <t>광진목화</t>
  </si>
  <si>
    <t>1987.04.</t>
  </si>
  <si>
    <t>https://new.land.naver.com/complexes/15051?tab=detail&amp;rf=Y</t>
  </si>
  <si>
    <t>전라북도 전주시 완산구 삼천동1가 585</t>
  </si>
  <si>
    <t>전라북도 전주시 완산구 성지산로 62</t>
  </si>
  <si>
    <t>삼천우성2차</t>
  </si>
  <si>
    <t>1998.12.</t>
  </si>
  <si>
    <t>https://new.land.naver.com/complexes/100458?tab=detail&amp;rf=Y</t>
  </si>
  <si>
    <t>전라북도 전주시 완산구 삼천동1가 287-4</t>
  </si>
  <si>
    <t>전라북도 전주시 완산구 삼천천변2길 51</t>
  </si>
  <si>
    <t>청솔금호타운</t>
  </si>
  <si>
    <t>1998.05.</t>
  </si>
  <si>
    <t>https://new.land.naver.com/complexes/5304?tab=detail&amp;rf=Y</t>
  </si>
  <si>
    <t>전라북도 전주시 완산구 삼천동1가 740-1</t>
  </si>
  <si>
    <t>전라북도 전주시 완산구 안행5길 11</t>
  </si>
  <si>
    <t>세경</t>
  </si>
  <si>
    <t>1986.12.</t>
  </si>
  <si>
    <t>https://new.land.naver.com/complexes/103776?tab=detail&amp;rf=Y</t>
  </si>
  <si>
    <t>전라북도 전주시 완산구 삼천동1가 585-3</t>
  </si>
  <si>
    <t>전라북도 전주시 완산구 성지산로 30</t>
  </si>
  <si>
    <t>삼천하이츠</t>
  </si>
  <si>
    <t>1997.04.</t>
  </si>
  <si>
    <t>https://new.land.naver.com/complexes/5307?tab=detail&amp;rf=Y</t>
  </si>
  <si>
    <t>전라북도 전주시 완산구 삼천동1가 722-2</t>
  </si>
  <si>
    <t>전라북도 전주시 완산구 강변로 106</t>
  </si>
  <si>
    <t>우성</t>
  </si>
  <si>
    <t>1993.03.</t>
  </si>
  <si>
    <t>https://new.land.naver.com/complexes/5364?tab=detail&amp;rf=Y</t>
  </si>
  <si>
    <t>전라북도 전주시 완산구 삼천동1가 705-5</t>
  </si>
  <si>
    <t>전라북도 전주시 완산구 백제대로 13</t>
  </si>
  <si>
    <t>삼천주공3단지</t>
  </si>
  <si>
    <t>1989.05.</t>
  </si>
  <si>
    <t>https://new.land.naver.com/complexes/15061?tab=detail&amp;rf=Y</t>
  </si>
  <si>
    <t>전라북도 전주시 완산구 삼천동1가 585-4</t>
  </si>
  <si>
    <t>전라북도 전주시 완산구 용리로 157</t>
  </si>
  <si>
    <t>삼천삼익</t>
  </si>
  <si>
    <t>1992.11.</t>
  </si>
  <si>
    <t>https://new.land.naver.com/complexes/5329?tab=detail&amp;rf=Y</t>
  </si>
  <si>
    <t>전라북도 전주시 완산구 삼천동1가 706</t>
  </si>
  <si>
    <t>전라북도 전주시 완산구 용리로 133</t>
  </si>
  <si>
    <t>광진궁전맨션</t>
  </si>
  <si>
    <t>1992.08.</t>
  </si>
  <si>
    <t>https://new.land.naver.com/complexes/5323?tab=detail&amp;rf=Y</t>
  </si>
  <si>
    <t>전라북도 전주시 완산구 삼천동1가 705-6</t>
  </si>
  <si>
    <t>전라북도 전주시 완산구 장승배기로 145</t>
  </si>
  <si>
    <t>개나리2차</t>
  </si>
  <si>
    <t>https://new.land.naver.com/complexes/17089?tab=detail&amp;rf=Y</t>
  </si>
  <si>
    <t>전라북도 전주시 완산구 삼천동1가 705-2</t>
  </si>
  <si>
    <t>전라북도 전주시 완산구 용리로 164</t>
  </si>
  <si>
    <t>쌍용2단지</t>
  </si>
  <si>
    <t>1987.12.</t>
  </si>
  <si>
    <t>https://new.land.naver.com/complexes/15057?tab=detail&amp;rf=Y</t>
  </si>
  <si>
    <t>전라북도 전주시 완산구 삼천동1가 585-2</t>
  </si>
  <si>
    <t>전라북도 전주시 완산구 성지산로 36</t>
  </si>
  <si>
    <t>이안전주삼천</t>
  </si>
  <si>
    <t>2014.11.</t>
  </si>
  <si>
    <t>https://new.land.naver.com/complexes/107456?tab=detail&amp;rf=Y</t>
  </si>
  <si>
    <t>전라북도 전주시 완산구 삼천동1가 772</t>
  </si>
  <si>
    <t>전라북도 전주시 완산구 용리로 165</t>
  </si>
  <si>
    <t>삼천남양</t>
  </si>
  <si>
    <t>https://new.land.naver.com/complexes/15053?tab=detail&amp;rf=Y</t>
  </si>
  <si>
    <t>전라북도 전주시 완산구 삼천동1가 290-8</t>
  </si>
  <si>
    <t>전라북도 전주시 완산구 삼천천변1길 32</t>
  </si>
  <si>
    <t>삼천주공5단지</t>
  </si>
  <si>
    <t>https://new.land.naver.com/complexes/17092?tab=detail&amp;rf=Y</t>
  </si>
  <si>
    <t>전라북도 전주시 완산구 삼천동1가 766-1</t>
  </si>
  <si>
    <t>전라북도 전주시 완산구 장승배기로 13</t>
  </si>
  <si>
    <t>쌍용3단지</t>
  </si>
  <si>
    <t>1991.07.</t>
  </si>
  <si>
    <t>https://new.land.naver.com/complexes/5354?tab=detail&amp;rf=Y</t>
  </si>
  <si>
    <t>전라북도 전주시 완산구 삼천동1가 705-3</t>
  </si>
  <si>
    <t>전라북도 전주시 완산구 용리로 178</t>
  </si>
  <si>
    <t>안행현대</t>
  </si>
  <si>
    <t>1998.04.</t>
  </si>
  <si>
    <t>https://new.land.naver.com/complexes/5316?tab=detail&amp;rf=Y</t>
  </si>
  <si>
    <t>전라북도 전주시 완산구 삼천동1가 740-3</t>
  </si>
  <si>
    <t>전라북도 전주시 완산구 안행2길 14</t>
  </si>
  <si>
    <t>쌍용1단지</t>
  </si>
  <si>
    <t>1985.12.</t>
  </si>
  <si>
    <t>https://new.land.naver.com/complexes/5348?tab=detail&amp;rf=Y</t>
  </si>
  <si>
    <t>전라북도 전주시 완산구 삼천동1가 585-5</t>
  </si>
  <si>
    <t>전라북도 전주시 완산구 백제대로 85</t>
  </si>
  <si>
    <t>오성대우</t>
  </si>
  <si>
    <t>1991.10.</t>
  </si>
  <si>
    <t>https://new.land.naver.com/complexes/5357?tab=detail&amp;rf=Y</t>
  </si>
  <si>
    <t>전라북도 전주시 완산구 삼천동1가 705</t>
  </si>
  <si>
    <t>전라북도 전주시 완산구 솟대로 24</t>
  </si>
  <si>
    <t>신일강변</t>
  </si>
  <si>
    <t>1997.01.</t>
  </si>
  <si>
    <t>https://new.land.naver.com/complexes/5310?tab=detail&amp;rf=Y</t>
  </si>
  <si>
    <t>전라북도 전주시 완산구 삼천동1가 723-2</t>
  </si>
  <si>
    <t>전라북도 전주시 완산구 강변로 98</t>
  </si>
  <si>
    <t>삼천흥건1차</t>
  </si>
  <si>
    <t>1999.12.</t>
  </si>
  <si>
    <t>https://new.land.naver.com/complexes/5332?tab=detail&amp;rf=Y</t>
  </si>
  <si>
    <t>전라북도 전주시 완산구 삼천동1가 300-3</t>
  </si>
  <si>
    <t>전라북도 전주시 완산구 삼천천변1길 46</t>
  </si>
  <si>
    <t>[삼천동2가]</t>
  </si>
  <si>
    <t>노블28(도시형)</t>
  </si>
  <si>
    <t>2017.05.</t>
  </si>
  <si>
    <t>https://new.land.naver.com/complexes/137326?tab=detail&amp;rf=Y</t>
  </si>
  <si>
    <t>전라북도 전주시 완산구 삼천동2가 339</t>
  </si>
  <si>
    <t>삼천동2가</t>
  </si>
  <si>
    <t>전라북도 전주시 완산구 계룡산길 71</t>
  </si>
  <si>
    <t>[서노송동]</t>
  </si>
  <si>
    <t>풍남맨션</t>
  </si>
  <si>
    <t>1985.06.</t>
  </si>
  <si>
    <t>https://new.land.naver.com/complexes/109121?tab=detail&amp;rf=Y</t>
  </si>
  <si>
    <t>전라북도 전주시 완산구 서노송동 648-2</t>
  </si>
  <si>
    <t>서노송동</t>
  </si>
  <si>
    <t>전라북도 전주시 완산구 팔달로 278</t>
  </si>
  <si>
    <t>신동아파인빌</t>
  </si>
  <si>
    <t>2004.02.</t>
  </si>
  <si>
    <t>https://new.land.naver.com/complexes/125156?tab=detail&amp;rf=Y</t>
  </si>
  <si>
    <t>전라북도 전주시 완산구 서노송동 740-9</t>
  </si>
  <si>
    <t>전라북도 전주시 완산구 물왕멀4길 9</t>
  </si>
  <si>
    <t>[서서학동]</t>
  </si>
  <si>
    <t>광진산업</t>
  </si>
  <si>
    <t>2000.05.</t>
  </si>
  <si>
    <t>https://new.land.naver.com/complexes/100895?tab=detail&amp;rf=Y</t>
  </si>
  <si>
    <t>전라북도 전주시 완산구 서서학동 318-10</t>
  </si>
  <si>
    <t>서서학동</t>
  </si>
  <si>
    <t>전라북도 전주시 완산구 덕적골3길 17</t>
  </si>
  <si>
    <t>효성흑석마을</t>
  </si>
  <si>
    <t>2000.12.</t>
  </si>
  <si>
    <t>43A</t>
  </si>
  <si>
    <t>https://new.land.naver.com/complexes/118347?tab=detail&amp;rf=Y</t>
  </si>
  <si>
    <t>전라북도 전주시 완산구 서서학동 985-1</t>
  </si>
  <si>
    <t>전라북도 전주시 완산구 흑석1길 85</t>
  </si>
  <si>
    <t>신세계블루타운</t>
  </si>
  <si>
    <t>1997.03.</t>
  </si>
  <si>
    <t>https://new.land.naver.com/complexes/105240?tab=detail&amp;rf=Y</t>
  </si>
  <si>
    <t>전라북도 전주시 완산구 서서학동 983-2</t>
  </si>
  <si>
    <t>전라북도 전주시 완산구 흑석로 64</t>
  </si>
  <si>
    <t>삼우</t>
  </si>
  <si>
    <t>1978.12.</t>
  </si>
  <si>
    <t>63E</t>
  </si>
  <si>
    <t>https://new.land.naver.com/complexes/105144?tab=detail&amp;rf=Y</t>
  </si>
  <si>
    <t>전라북도 전주시 완산구 서서학동 372-50</t>
  </si>
  <si>
    <t>전라북도 전주시 완산구 장승배기4길 8</t>
  </si>
  <si>
    <t>63D</t>
  </si>
  <si>
    <t>64B</t>
  </si>
  <si>
    <t>64A</t>
  </si>
  <si>
    <t>64C</t>
  </si>
  <si>
    <t>69B</t>
  </si>
  <si>
    <t>69A</t>
  </si>
  <si>
    <t>영창</t>
  </si>
  <si>
    <t>1989.08.</t>
  </si>
  <si>
    <t>https://new.land.naver.com/complexes/105600?tab=detail&amp;rf=Y</t>
  </si>
  <si>
    <t>전라북도 전주시 완산구 서서학동 369-7</t>
  </si>
  <si>
    <t>전라북도 전주시 완산구 장승배기8길 17</t>
  </si>
  <si>
    <t>70B</t>
  </si>
  <si>
    <t>우정</t>
  </si>
  <si>
    <t>1992.02.</t>
  </si>
  <si>
    <t>https://new.land.naver.com/complexes/17097?tab=detail&amp;rf=Y</t>
  </si>
  <si>
    <t>전라북도 전주시 완산구 서서학동 987-1</t>
  </si>
  <si>
    <t>전라북도 전주시 완산구 흑석로 71</t>
  </si>
  <si>
    <t>신용고궁맨션</t>
  </si>
  <si>
    <t>2012.11.</t>
  </si>
  <si>
    <t>https://new.land.naver.com/complexes/120340?tab=detail&amp;rf=Y</t>
  </si>
  <si>
    <t>전라북도 전주시 완산구 서서학동 971-6</t>
  </si>
  <si>
    <t>전라북도 전주시 완산구 흑석로 31</t>
  </si>
  <si>
    <t>예그린</t>
  </si>
  <si>
    <t>1980.11.</t>
  </si>
  <si>
    <t>https://new.land.naver.com/complexes/105211?tab=detail&amp;rf=Y</t>
  </si>
  <si>
    <t>전라북도 전주시 완산구 서서학동 112-3</t>
  </si>
  <si>
    <t>전라북도 전주시 완산구 팔달로 11</t>
  </si>
  <si>
    <t>대명</t>
  </si>
  <si>
    <t>1988.08.</t>
  </si>
  <si>
    <t>https://new.land.naver.com/complexes/105209?tab=detail&amp;rf=Y</t>
  </si>
  <si>
    <t>전라북도 전주시 완산구 서서학동 358-54</t>
  </si>
  <si>
    <t>전라북도 전주시 완산구 장승배기로 338</t>
  </si>
  <si>
    <t>영창맨션</t>
  </si>
  <si>
    <t>1989.04.</t>
  </si>
  <si>
    <t>https://new.land.naver.com/complexes/109122?tab=detail&amp;rf=Y</t>
  </si>
  <si>
    <t>전라북도 전주시 완산구 서서학동 369-9</t>
  </si>
  <si>
    <t>전라북도 전주시 완산구 장승배기8길 13</t>
  </si>
  <si>
    <t>우정목련</t>
  </si>
  <si>
    <t>https://new.land.naver.com/complexes/5388?tab=detail&amp;rf=Y</t>
  </si>
  <si>
    <t>전라북도 전주시 완산구 서서학동 334-9</t>
  </si>
  <si>
    <t>전라북도 전주시 완산구 석불1길 9</t>
  </si>
  <si>
    <t>푸른맨션</t>
  </si>
  <si>
    <t>1998.07.</t>
  </si>
  <si>
    <t>https://new.land.naver.com/complexes/5384?tab=detail&amp;rf=Y</t>
  </si>
  <si>
    <t>전라북도 전주시 완산구 서서학동 977-1</t>
  </si>
  <si>
    <t>전라북도 전주시 완산구 흑석로 53</t>
  </si>
  <si>
    <t>성결</t>
  </si>
  <si>
    <t>https://new.land.naver.com/complexes/109161?tab=detail&amp;rf=Y</t>
  </si>
  <si>
    <t>전라북도 전주시 완산구 서서학동 370-38</t>
  </si>
  <si>
    <t>전라북도 전주시 완산구 장승배기4길 20-7</t>
  </si>
  <si>
    <t>송원</t>
  </si>
  <si>
    <t>https://new.land.naver.com/complexes/15066?tab=detail&amp;rf=Y</t>
  </si>
  <si>
    <t>전라북도 전주시 완산구 서서학동 982-1</t>
  </si>
  <si>
    <t>전라북도 전주시 완산구 흑석로 46</t>
  </si>
  <si>
    <t>송원2,3차</t>
  </si>
  <si>
    <t>1990.08.</t>
  </si>
  <si>
    <t>70A</t>
  </si>
  <si>
    <t>https://new.land.naver.com/complexes/105207?tab=detail&amp;rf=Y</t>
  </si>
  <si>
    <t>전라북도 전주시 완산구 서서학동 981-1</t>
  </si>
  <si>
    <t>전라북도 전주시 완산구 흑석1길 53</t>
  </si>
  <si>
    <t>70C</t>
  </si>
  <si>
    <t>대아청산</t>
  </si>
  <si>
    <t>1993.10.</t>
  </si>
  <si>
    <t>https://new.land.naver.com/complexes/17096?tab=detail&amp;rf=Y</t>
  </si>
  <si>
    <t>전라북도 전주시 완산구 서서학동 978-6</t>
  </si>
  <si>
    <t>전라북도 전주시 완산구 흑석1길 88</t>
  </si>
  <si>
    <t>삼성맨션</t>
  </si>
  <si>
    <t>1989.07.</t>
  </si>
  <si>
    <t>https://new.land.naver.com/complexes/141580?tab=detail&amp;rf=Y</t>
  </si>
  <si>
    <t>전라북도 전주시 완산구 서서학동 산21-1</t>
  </si>
  <si>
    <t>전라북도 전주시 완산구 장승배기7길 18</t>
  </si>
  <si>
    <t>96A</t>
  </si>
  <si>
    <t>96B</t>
  </si>
  <si>
    <t>[서신동]</t>
  </si>
  <si>
    <t>1987.09.</t>
  </si>
  <si>
    <t>https://new.land.naver.com/complexes/101170?tab=detail&amp;rf=Y</t>
  </si>
  <si>
    <t>전라북도 전주시 완산구 서신동 281-6</t>
  </si>
  <si>
    <t>서신동</t>
  </si>
  <si>
    <t>전라북도 전주시 완산구 전룡로 65</t>
  </si>
  <si>
    <t>서신e-편한세상</t>
  </si>
  <si>
    <t>2007.01.</t>
  </si>
  <si>
    <t>https://new.land.naver.com/complexes/22424?tab=detail&amp;rf=Y</t>
  </si>
  <si>
    <t>전라북도 전주시 완산구 서신동 572</t>
  </si>
  <si>
    <t>전라북도 전주시 완산구 여울로 161</t>
  </si>
  <si>
    <t>우신</t>
  </si>
  <si>
    <t>1986.01.</t>
  </si>
  <si>
    <t>https://new.land.naver.com/complexes/5423?tab=detail&amp;rf=Y</t>
  </si>
  <si>
    <t>전라북도 전주시 완산구 서신동 23-40</t>
  </si>
  <si>
    <t>전라북도 전주시 완산구 잿뜸1길 8</t>
  </si>
  <si>
    <t>제일비사벌</t>
  </si>
  <si>
    <t>1995.11.</t>
  </si>
  <si>
    <t>https://new.land.naver.com/complexes/5429?tab=detail&amp;rf=Y</t>
  </si>
  <si>
    <t>전라북도 전주시 완산구 서신동 764-2</t>
  </si>
  <si>
    <t>전라북도 전주시 완산구 당산로 43</t>
  </si>
  <si>
    <t>서신선변고을</t>
  </si>
  <si>
    <t>2002.07.</t>
  </si>
  <si>
    <t>https://new.land.naver.com/complexes/102080?tab=detail&amp;rf=Y</t>
  </si>
  <si>
    <t>전라북도 전주시 완산구 서신동 246</t>
  </si>
  <si>
    <t>전라북도 전주시 완산구 안터3길 21</t>
  </si>
  <si>
    <t>유창</t>
  </si>
  <si>
    <t>1983.06.</t>
  </si>
  <si>
    <t>https://new.land.naver.com/complexes/101171?tab=detail&amp;rf=Y</t>
  </si>
  <si>
    <t>전라북도 전주시 완산구 서신동 995-1</t>
  </si>
  <si>
    <t>전라북도 전주시 완산구 백제대로 379</t>
  </si>
  <si>
    <t>제이씨앤디제이휴</t>
  </si>
  <si>
    <t>2012.03.</t>
  </si>
  <si>
    <t>https://new.land.naver.com/complexes/114411?tab=detail&amp;rf=Y</t>
  </si>
  <si>
    <t>전라북도 전주시 완산구 서신동 294-6</t>
  </si>
  <si>
    <t>전라북도 전주시 완산구 전룡6길 26</t>
  </si>
  <si>
    <t>중흥</t>
  </si>
  <si>
    <t>1998.08.</t>
  </si>
  <si>
    <t>https://new.land.naver.com/complexes/15073?tab=detail&amp;rf=Y</t>
  </si>
  <si>
    <t>전라북도 전주시 완산구 서신동 962-2</t>
  </si>
  <si>
    <t>전라북도 전주시 완산구 새터로 74</t>
  </si>
  <si>
    <t>동아,한일</t>
  </si>
  <si>
    <t>1997.07.</t>
  </si>
  <si>
    <t>https://new.land.naver.com/complexes/15068?tab=detail&amp;rf=Y</t>
  </si>
  <si>
    <t>전라북도 전주시 완산구 서신동 961</t>
  </si>
  <si>
    <t>전라북도 전주시 완산구 새터로 95</t>
  </si>
  <si>
    <t>플러스리버하임</t>
  </si>
  <si>
    <t>2023.01.</t>
  </si>
  <si>
    <t>https://new.land.naver.com/complexes/136990?tab=detail&amp;rf=Y</t>
  </si>
  <si>
    <t>전라북도 전주시 완산구 서신동 66-1번지 일원</t>
  </si>
  <si>
    <t>전라북도 전주시 완산구</t>
  </si>
  <si>
    <t>현대</t>
  </si>
  <si>
    <t>1996.08.</t>
  </si>
  <si>
    <t>https://new.land.naver.com/complexes/5453?tab=detail&amp;rf=Y</t>
  </si>
  <si>
    <t>전라북도 전주시 완산구 서신동 765-1</t>
  </si>
  <si>
    <t>전라북도 전주시 완산구 서신로 90</t>
  </si>
  <si>
    <t>대우</t>
  </si>
  <si>
    <t>1998.06.</t>
  </si>
  <si>
    <t>https://new.land.naver.com/complexes/15067?tab=detail&amp;rf=Y</t>
  </si>
  <si>
    <t>전라북도 전주시 완산구 서신동 960-2</t>
  </si>
  <si>
    <t>전라북도 전주시 완산구 여울로 79</t>
  </si>
  <si>
    <t>서신남양대명타운</t>
  </si>
  <si>
    <t>1995.12.</t>
  </si>
  <si>
    <t>https://new.land.naver.com/complexes/5395?tab=detail&amp;rf=Y</t>
  </si>
  <si>
    <t>전라북도 전주시 완산구 서신동 764-1</t>
  </si>
  <si>
    <t>전라북도 전주시 완산구 당산로 55</t>
  </si>
  <si>
    <t>비사벌</t>
  </si>
  <si>
    <t>1995.08.</t>
  </si>
  <si>
    <t>https://new.land.naver.com/complexes/5412?tab=detail&amp;rf=Y</t>
  </si>
  <si>
    <t>전라북도 전주시 완산구 서신동 762-1</t>
  </si>
  <si>
    <t>전라북도 전주시 완산구 당산로 34</t>
  </si>
  <si>
    <t>서신광진</t>
  </si>
  <si>
    <t>https://new.land.naver.com/complexes/5390?tab=detail&amp;rf=Y</t>
  </si>
  <si>
    <t>전라북도 전주시 완산구 서신동 761-1</t>
  </si>
  <si>
    <t>전라북도 전주시 완산구 온고을로 121</t>
  </si>
  <si>
    <t>서신아이파크e편한세상</t>
  </si>
  <si>
    <t>2020.12.</t>
  </si>
  <si>
    <t>https://new.land.naver.com/complexes/121052?tab=detail&amp;rf=Y</t>
  </si>
  <si>
    <t>전라북도 전주시 완산구 서신동 1044</t>
  </si>
  <si>
    <t>전라북도 전주시 완산구 전주천서로 445</t>
  </si>
  <si>
    <t>서신노블레스1단지(도시형)</t>
  </si>
  <si>
    <t>2013.12.</t>
  </si>
  <si>
    <t>https://new.land.naver.com/complexes/111977?tab=detail&amp;rf=Y</t>
  </si>
  <si>
    <t>전라북도 전주시 완산구 서신동 898-5</t>
  </si>
  <si>
    <t>전라북도 전주시 완산구 전룡6길 11</t>
  </si>
  <si>
    <t>서신LG</t>
  </si>
  <si>
    <t>https://new.land.naver.com/complexes/5455?tab=detail&amp;rf=Y</t>
  </si>
  <si>
    <t>전라북도 전주시 완산구 서신동 960-1</t>
  </si>
  <si>
    <t>전라북도 전주시 완산구 여울로 109</t>
  </si>
  <si>
    <t>감나무골대우,대창</t>
  </si>
  <si>
    <t>1999.10.</t>
  </si>
  <si>
    <t>https://new.land.naver.com/complexes/5396?tab=detail&amp;rf=Y</t>
  </si>
  <si>
    <t>전라북도 전주시 완산구 서신동 965-3</t>
  </si>
  <si>
    <t>전라북도 전주시 완산구 새터로 100</t>
  </si>
  <si>
    <t>서신광진산업장미2차</t>
  </si>
  <si>
    <t>2001.11.</t>
  </si>
  <si>
    <t>https://new.land.naver.com/complexes/22683?tab=detail&amp;rf=Y</t>
  </si>
  <si>
    <t>전라북도 전주시 완산구 서신동 962-1</t>
  </si>
  <si>
    <t>전라북도 전주시 완산구 새터로 60</t>
  </si>
  <si>
    <t>서신쌍용</t>
  </si>
  <si>
    <t>1996.04.</t>
  </si>
  <si>
    <t>https://new.land.naver.com/complexes/15070?tab=detail&amp;rf=Y</t>
  </si>
  <si>
    <t>전라북도 전주시 완산구 서신동 761-2</t>
  </si>
  <si>
    <t>전라북도 전주시 완산구 당산로 11</t>
  </si>
  <si>
    <t>성원</t>
  </si>
  <si>
    <t>https://new.land.naver.com/complexes/5415?tab=detail&amp;rf=Y</t>
  </si>
  <si>
    <t>전라북도 전주시 완산구 서신동 762-2</t>
  </si>
  <si>
    <t>전라북도 전주시 완산구 서신천변11길 22</t>
  </si>
  <si>
    <t>서신진보설래임</t>
  </si>
  <si>
    <t>2005.05.</t>
  </si>
  <si>
    <t>101A</t>
  </si>
  <si>
    <t>https://new.land.naver.com/complexes/19717?tab=detail&amp;rf=Y</t>
  </si>
  <si>
    <t>전라북도 전주시 완산구 서신동 280</t>
  </si>
  <si>
    <t>전라북도 전주시 완산구 안터3길 11</t>
  </si>
  <si>
    <t>서신동아2차</t>
  </si>
  <si>
    <t>https://new.land.naver.com/complexes/5457?tab=detail&amp;rf=Y</t>
  </si>
  <si>
    <t>전라북도 전주시 완산구 서신동 960-5</t>
  </si>
  <si>
    <t>전라북도 전주시 완산구 새터로 63</t>
  </si>
  <si>
    <t>전주서신동아</t>
  </si>
  <si>
    <t>https://new.land.naver.com/complexes/24709?tab=detail&amp;rf=Y</t>
  </si>
  <si>
    <t>전라북도 전주시 완산구 당산로 101</t>
  </si>
  <si>
    <t>서신영창</t>
  </si>
  <si>
    <t>https://new.land.naver.com/complexes/15071?tab=detail&amp;rf=Y</t>
  </si>
  <si>
    <t>전라북도 전주시 완산구 서신동 325-1</t>
  </si>
  <si>
    <t>전라북도 전주시 완산구 전룡5길 7</t>
  </si>
  <si>
    <t>서신신일</t>
  </si>
  <si>
    <t>https://new.land.naver.com/complexes/5419?tab=detail&amp;rf=Y</t>
  </si>
  <si>
    <t>전라북도 전주시 완산구 서신동 763-1</t>
  </si>
  <si>
    <t>전라북도 전주시 완산구 온고을로 119</t>
  </si>
  <si>
    <t>롯데</t>
  </si>
  <si>
    <t>https://new.land.naver.com/complexes/5409?tab=detail&amp;rf=Y</t>
  </si>
  <si>
    <t>전라북도 전주시 완산구 서신동 5-10</t>
  </si>
  <si>
    <t>전라북도 전주시 완산구 전룡로 128-5</t>
  </si>
  <si>
    <t>드리움</t>
  </si>
  <si>
    <t>https://new.land.naver.com/complexes/137710?tab=detail&amp;rf=Y</t>
  </si>
  <si>
    <t>전라북도 전주시 완산구 서신동 214-6</t>
  </si>
  <si>
    <t>전라북도 전주시 완산구 감나무로 25</t>
  </si>
  <si>
    <t>서신노블레스2단지(도시형)</t>
  </si>
  <si>
    <t>https://new.land.naver.com/complexes/111890?tab=detail&amp;rf=Y</t>
  </si>
  <si>
    <t>전라북도 전주시 완산구 서신동 898-3</t>
  </si>
  <si>
    <t>전라북도 전주시 완산구 전룡6길 13</t>
  </si>
  <si>
    <t>은마</t>
  </si>
  <si>
    <t>1986.06.</t>
  </si>
  <si>
    <t>https://new.land.naver.com/complexes/121041?tab=detail&amp;rf=Y</t>
  </si>
  <si>
    <t>전라북도 전주시 완산구 서신동 295-3</t>
  </si>
  <si>
    <t>전라북도 전주시 완산구 전룡5길 21</t>
  </si>
  <si>
    <t>광진선수촌</t>
  </si>
  <si>
    <t>1998.01.</t>
  </si>
  <si>
    <t>https://new.land.naver.com/complexes/5393?tab=detail&amp;rf=Y</t>
  </si>
  <si>
    <t>전라북도 전주시 완산구 서신동 965-2</t>
  </si>
  <si>
    <t>전라북도 전주시 완산구 서신로 102</t>
  </si>
  <si>
    <t>[서완산동2가]</t>
  </si>
  <si>
    <t>전주오페라하우스</t>
  </si>
  <si>
    <t>2008.01.</t>
  </si>
  <si>
    <t>159A</t>
  </si>
  <si>
    <t>https://new.land.naver.com/complexes/105193?tab=detail&amp;rf=Y</t>
  </si>
  <si>
    <t>전라북도 전주시 완산구 서완산동2가 335</t>
  </si>
  <si>
    <t>서완산동2가</t>
  </si>
  <si>
    <t>전라북도 전주시 완산구 안행로 150</t>
  </si>
  <si>
    <t>159B</t>
  </si>
  <si>
    <t>서완산골드클래스</t>
  </si>
  <si>
    <t>2021.06.</t>
  </si>
  <si>
    <t>https://new.land.naver.com/complexes/125391?tab=detail&amp;rf=Y</t>
  </si>
  <si>
    <t>전라북도 전주시 완산구 서완산동2가 345-1</t>
  </si>
  <si>
    <t>전라북도 전주시 완산구 안행로 149</t>
  </si>
  <si>
    <t>신성파크맨션</t>
  </si>
  <si>
    <t>1988.10.</t>
  </si>
  <si>
    <t>65B</t>
  </si>
  <si>
    <t>https://new.land.naver.com/complexes/109125?tab=detail&amp;rf=Y</t>
  </si>
  <si>
    <t>전라북도 전주시 완산구 서완산동2가 78-13</t>
  </si>
  <si>
    <t>전라북도 전주시 완산구 강당2길 17</t>
  </si>
  <si>
    <t>대풍한마을</t>
  </si>
  <si>
    <t>2002.09.</t>
  </si>
  <si>
    <t>https://new.land.naver.com/complexes/101172?tab=detail&amp;rf=Y</t>
  </si>
  <si>
    <t>전라북도 전주시 완산구 서완산동2가 341-1</t>
  </si>
  <si>
    <t>전라북도 전주시 완산구 따박골7길 22</t>
  </si>
  <si>
    <t>대종낙원맨션</t>
  </si>
  <si>
    <t>1985.05.</t>
  </si>
  <si>
    <t>https://new.land.naver.com/complexes/5460?tab=detail&amp;rf=Y</t>
  </si>
  <si>
    <t>전라북도 전주시 완산구 서완산동2가 80-135</t>
  </si>
  <si>
    <t>전라북도 전주시 완산구 강당2길 14</t>
  </si>
  <si>
    <t>89B</t>
  </si>
  <si>
    <t>89A</t>
  </si>
  <si>
    <t>[전동3가]</t>
  </si>
  <si>
    <t>코오롱상가</t>
  </si>
  <si>
    <t>1987.03.</t>
  </si>
  <si>
    <t>https://new.land.naver.com/complexes/131772?tab=detail&amp;rf=Y</t>
  </si>
  <si>
    <t>전라북도 전주시 완산구 전동3가 136</t>
  </si>
  <si>
    <t>전동3가</t>
  </si>
  <si>
    <t>전라북도 전주시 완산구 전주천동로 154</t>
  </si>
  <si>
    <t>[중노송동]</t>
  </si>
  <si>
    <t>우성해오름</t>
  </si>
  <si>
    <t>2005.12.</t>
  </si>
  <si>
    <t>https://new.land.naver.com/complexes/19718?tab=detail&amp;rf=Y</t>
  </si>
  <si>
    <t>전라북도 전주시 완산구 중노송동 303</t>
  </si>
  <si>
    <t>중노송동</t>
  </si>
  <si>
    <t>전라북도 전주시 완산구 인봉남로 56</t>
  </si>
  <si>
    <t>한옥마을서해그랑블</t>
  </si>
  <si>
    <t>2018.03.</t>
  </si>
  <si>
    <t>https://new.land.naver.com/complexes/110199?tab=detail&amp;rf=Y</t>
  </si>
  <si>
    <t>전라북도 전주시 완산구 중노송동 797</t>
  </si>
  <si>
    <t>전라북도 전주시 완산구 견훤왕궁1길 10</t>
  </si>
  <si>
    <t>기린봉</t>
  </si>
  <si>
    <t>1993.08.</t>
  </si>
  <si>
    <t>https://new.land.naver.com/complexes/15075?tab=detail&amp;rf=Y</t>
  </si>
  <si>
    <t>전라북도 전주시 완산구 중노송동 26-1</t>
  </si>
  <si>
    <t>전라북도 전주시 완산구 견훤로 100</t>
  </si>
  <si>
    <t>[중인동]</t>
  </si>
  <si>
    <t>옥성골든카운티</t>
  </si>
  <si>
    <t>2013.05.</t>
  </si>
  <si>
    <t>https://new.land.naver.com/complexes/110064?tab=detail&amp;rf=Y</t>
  </si>
  <si>
    <t>전라북도 전주시 완산구 중인동 1610</t>
  </si>
  <si>
    <t>중인동</t>
  </si>
  <si>
    <t>전라북도 전주시 완산구 중인1길 136-20</t>
  </si>
  <si>
    <t>[중화산동1가]</t>
  </si>
  <si>
    <t>중화산현대2차</t>
  </si>
  <si>
    <t>https://new.land.naver.com/complexes/5636?tab=detail&amp;rf=Y</t>
  </si>
  <si>
    <t>전라북도 전주시 완산구 중화산동1가 331</t>
  </si>
  <si>
    <t>중화산동1가</t>
  </si>
  <si>
    <t>전라북도 전주시 완산구 안행로 176</t>
  </si>
  <si>
    <t>남양서원</t>
  </si>
  <si>
    <t>1993.09.</t>
  </si>
  <si>
    <t>https://new.land.naver.com/complexes/15076?tab=detail&amp;rf=Y</t>
  </si>
  <si>
    <t>전라북도 전주시 완산구 중화산동1가 221-1</t>
  </si>
  <si>
    <t>전라북도 전주시 완산구 선너머4길 25</t>
  </si>
  <si>
    <t>석정수팰리스</t>
  </si>
  <si>
    <t>https://new.land.naver.com/complexes/116041?tab=detail&amp;rf=Y</t>
  </si>
  <si>
    <t>전라북도 전주시 완산구 중화산동1가 221-31</t>
  </si>
  <si>
    <t>전라북도 전주시 완산구 선너머3길 26</t>
  </si>
  <si>
    <t>중화산신일</t>
  </si>
  <si>
    <t>https://new.land.naver.com/complexes/5619?tab=detail&amp;rf=Y</t>
  </si>
  <si>
    <t>전라북도 전주시 완산구 중화산동1가 154</t>
  </si>
  <si>
    <t>전라북도 전주시 완산구 서원로 386</t>
  </si>
  <si>
    <t>동신2차</t>
  </si>
  <si>
    <t>1995.07.</t>
  </si>
  <si>
    <t>https://new.land.naver.com/complexes/5613?tab=detail&amp;rf=Y</t>
  </si>
  <si>
    <t>전라북도 전주시 완산구 중화산동1가 250</t>
  </si>
  <si>
    <t>전라북도 전주시 완산구 선너머2길 2-7</t>
  </si>
  <si>
    <t>옥성트레비앙</t>
  </si>
  <si>
    <t>2008.10.</t>
  </si>
  <si>
    <t>https://new.land.naver.com/complexes/104612?tab=detail&amp;rf=Y</t>
  </si>
  <si>
    <t>전라북도 전주시 완산구 중화산동1가 327-12</t>
  </si>
  <si>
    <t>전라북도 전주시 완산구 서원로 348</t>
  </si>
  <si>
    <t>중화산네스트</t>
  </si>
  <si>
    <t>2014.02.</t>
  </si>
  <si>
    <t>https://new.land.naver.com/complexes/106216?tab=detail&amp;rf=Y</t>
  </si>
  <si>
    <t>전라북도 전주시 완산구 중화산동1가 221-2</t>
  </si>
  <si>
    <t>전라북도 전주시 완산구 선너머3길 18-13</t>
  </si>
  <si>
    <t>거성근영2차</t>
  </si>
  <si>
    <t>https://new.land.naver.com/complexes/17100?tab=detail&amp;rf=Y</t>
  </si>
  <si>
    <t>전라북도 전주시 완산구 중화산동1가 223-6</t>
  </si>
  <si>
    <t>전라북도 전주시 완산구 선너머로 36-9</t>
  </si>
  <si>
    <t>107B</t>
  </si>
  <si>
    <t>현대A단지</t>
  </si>
  <si>
    <t>1999.04.</t>
  </si>
  <si>
    <t>https://new.land.naver.com/complexes/15078?tab=detail&amp;rf=Y</t>
  </si>
  <si>
    <t>전라북도 전주시 완산구 중화산동1가 329</t>
  </si>
  <si>
    <t>전라북도 전주시 완산구 안행로 175</t>
  </si>
  <si>
    <t>샤인빌</t>
  </si>
  <si>
    <t>2012.07.</t>
  </si>
  <si>
    <t>62A</t>
  </si>
  <si>
    <t>https://new.land.naver.com/complexes/104031?tab=detail&amp;rf=Y</t>
  </si>
  <si>
    <t>전라북도 전주시 완산구 중화산동1가 236</t>
  </si>
  <si>
    <t>전라북도 전주시 완산구 선너머3길 23</t>
  </si>
  <si>
    <t>66A</t>
  </si>
  <si>
    <t>68A</t>
  </si>
  <si>
    <t>69B1</t>
  </si>
  <si>
    <t>70B2</t>
  </si>
  <si>
    <t>75C</t>
  </si>
  <si>
    <t>76B</t>
  </si>
  <si>
    <t>79C</t>
  </si>
  <si>
    <t>79B</t>
  </si>
  <si>
    <t>79D</t>
  </si>
  <si>
    <t>81A1</t>
  </si>
  <si>
    <t>82A2</t>
  </si>
  <si>
    <t>82B</t>
  </si>
  <si>
    <t>92A</t>
  </si>
  <si>
    <t>동신</t>
  </si>
  <si>
    <t>1990.11.</t>
  </si>
  <si>
    <t>https://new.land.naver.com/complexes/5611?tab=detail&amp;rf=Y</t>
  </si>
  <si>
    <t>전라북도 전주시 완산구 중화산동1가 162-42</t>
  </si>
  <si>
    <t>전라북도 전주시 완산구 강당4길 3</t>
  </si>
  <si>
    <t>[중화산동2가]</t>
  </si>
  <si>
    <t>광진햇빛찬</t>
  </si>
  <si>
    <t>2005.08.</t>
  </si>
  <si>
    <t>https://new.land.naver.com/complexes/17363?tab=detail&amp;rf=Y</t>
  </si>
  <si>
    <t>전라북도 전주시 완산구 중화산동2가 825</t>
  </si>
  <si>
    <t>중화산동2가</t>
  </si>
  <si>
    <t>전라북도 전주시 완산구 강변로 306</t>
  </si>
  <si>
    <t>우성근영타운</t>
  </si>
  <si>
    <t>1996.07.</t>
  </si>
  <si>
    <t>https://new.land.naver.com/complexes/5622?tab=detail&amp;rf=Y</t>
  </si>
  <si>
    <t>전라북도 전주시 완산구 중화산동2가 256</t>
  </si>
  <si>
    <t>전라북도 전주시 완산구 영경1길 25</t>
  </si>
  <si>
    <t>동원맨션</t>
  </si>
  <si>
    <t>https://new.land.naver.com/complexes/5615?tab=detail&amp;rf=Y</t>
  </si>
  <si>
    <t>전라북도 전주시 완산구 중화산동2가 485-30</t>
  </si>
  <si>
    <t>전라북도 전주시 완산구 신촌3길 27-14</t>
  </si>
  <si>
    <t>신동아</t>
  </si>
  <si>
    <t>1998.11.</t>
  </si>
  <si>
    <t>https://new.land.naver.com/complexes/116879?tab=detail&amp;rf=Y</t>
  </si>
  <si>
    <t>전라북도 전주시 완산구 중화산동2가 526-37</t>
  </si>
  <si>
    <t>전라북도 전주시 완산구 신촌2길 30</t>
  </si>
  <si>
    <t>48A</t>
  </si>
  <si>
    <t>78D</t>
  </si>
  <si>
    <t>78C</t>
  </si>
  <si>
    <t>78E</t>
  </si>
  <si>
    <t>한신코아</t>
  </si>
  <si>
    <t>https://new.land.naver.com/complexes/5632?tab=detail&amp;rf=Y</t>
  </si>
  <si>
    <t>전라북도 전주시 완산구 중화산동2가 482-1</t>
  </si>
  <si>
    <t>전라북도 전주시 완산구 신촌2길 20</t>
  </si>
  <si>
    <t>코오롱하늘채</t>
  </si>
  <si>
    <t>2003.07.</t>
  </si>
  <si>
    <t>https://new.land.naver.com/complexes/17359?tab=detail&amp;rf=Y</t>
  </si>
  <si>
    <t>전라북도 전주시 완산구 중화산동2가 746-1</t>
  </si>
  <si>
    <t>전라북도 전주시 완산구 화산천변로 55</t>
  </si>
  <si>
    <t>현대에코르</t>
  </si>
  <si>
    <t>2003.10.</t>
  </si>
  <si>
    <t>https://new.land.naver.com/complexes/17360?tab=detail&amp;rf=Y</t>
  </si>
  <si>
    <t>전라북도 전주시 완산구 중화산동2가 745-1</t>
  </si>
  <si>
    <t>전라북도 전주시 완산구 화산천변로 50</t>
  </si>
  <si>
    <t>중화산광진2차</t>
  </si>
  <si>
    <t>2000.04.</t>
  </si>
  <si>
    <t>https://new.land.naver.com/complexes/17103?tab=detail&amp;rf=Y</t>
  </si>
  <si>
    <t>전라북도 전주시 완산구 중화산동2가 194-9</t>
  </si>
  <si>
    <t>전라북도 전주시 완산구 선너머2길 40</t>
  </si>
  <si>
    <t>거성그린맨션</t>
  </si>
  <si>
    <t>1992.06.</t>
  </si>
  <si>
    <t>https://new.land.naver.com/complexes/5595?tab=detail&amp;rf=Y</t>
  </si>
  <si>
    <t>전라북도 전주시 완산구 중화산동2가 545-1</t>
  </si>
  <si>
    <t>전라북도 전주시 완산구 따박골로 11</t>
  </si>
  <si>
    <t>전주중화산풍림아이원</t>
  </si>
  <si>
    <t>2011.04.</t>
  </si>
  <si>
    <t>https://new.land.naver.com/complexes/101521?tab=detail&amp;rf=Y</t>
  </si>
  <si>
    <t>전라북도 전주시 완산구 중화산동2가 827</t>
  </si>
  <si>
    <t>전라북도 전주시 완산구 서원로 289</t>
  </si>
  <si>
    <t>동남삼정</t>
  </si>
  <si>
    <t>https://new.land.naver.com/complexes/15077?tab=detail&amp;rf=Y</t>
  </si>
  <si>
    <t>전라북도 전주시 완산구 중화산동2가 27</t>
  </si>
  <si>
    <t>전라북도 전주시 완산구 선너머2길 5</t>
  </si>
  <si>
    <t>중화산영무예다음</t>
  </si>
  <si>
    <t>2015.06.</t>
  </si>
  <si>
    <t>https://new.land.naver.com/complexes/107289?tab=detail&amp;rf=Y</t>
  </si>
  <si>
    <t>전라북도 전주시 완산구 중화산동2가 850</t>
  </si>
  <si>
    <t>전라북도 전주시 완산구 안행로 165-5</t>
  </si>
  <si>
    <t>효성신촌마을</t>
  </si>
  <si>
    <t>https://new.land.naver.com/complexes/107467?tab=detail&amp;rf=Y</t>
  </si>
  <si>
    <t>전라북도 전주시 완산구 중화산동2가 485-56</t>
  </si>
  <si>
    <t>전라북도 전주시 완산구 신촌3길 27-43</t>
  </si>
  <si>
    <t>우성중산타운</t>
  </si>
  <si>
    <t>2003.05.</t>
  </si>
  <si>
    <t>https://new.land.naver.com/complexes/101018?tab=detail&amp;rf=Y</t>
  </si>
  <si>
    <t>전라북도 전주시 완산구 중화산동2가 406-3</t>
  </si>
  <si>
    <t>전라북도 전주시 완산구 신촌3길 1</t>
  </si>
  <si>
    <t>광진햇빛찬2차</t>
  </si>
  <si>
    <t>2009.04.</t>
  </si>
  <si>
    <t>https://new.land.naver.com/complexes/102535?tab=detail&amp;rf=Y</t>
  </si>
  <si>
    <t>전라북도 전주시 완산구 중화산동2가 485-27</t>
  </si>
  <si>
    <t>전라북도 전주시 완산구 강변로 304</t>
  </si>
  <si>
    <t>오성은하</t>
  </si>
  <si>
    <t>https://new.land.naver.com/complexes/5624?tab=detail&amp;rf=Y</t>
  </si>
  <si>
    <t>전라북도 전주시 완산구 중화산동2가 545</t>
  </si>
  <si>
    <t>전라북도 전주시 완산구 서원로 272</t>
  </si>
  <si>
    <t>거성근영1차</t>
  </si>
  <si>
    <t>1993.01.</t>
  </si>
  <si>
    <t>https://new.land.naver.com/complexes/15080?tab=detail&amp;rf=Y</t>
  </si>
  <si>
    <t>전라북도 전주시 완산구 중화산동2가 17</t>
  </si>
  <si>
    <t>전라북도 전주시 완산구 선너머로 40</t>
  </si>
  <si>
    <t>거성화산</t>
  </si>
  <si>
    <t>1992.12.</t>
  </si>
  <si>
    <t>https://new.land.naver.com/complexes/15083?tab=detail&amp;rf=Y</t>
  </si>
  <si>
    <t>전라북도 전주시 완산구 중화산동2가 37</t>
  </si>
  <si>
    <t>전라북도 전주시 완산구 따박골9길 33</t>
  </si>
  <si>
    <t>95C</t>
  </si>
  <si>
    <t>146B</t>
  </si>
  <si>
    <t>146A</t>
  </si>
  <si>
    <t>중화산광진</t>
  </si>
  <si>
    <t>https://new.land.naver.com/complexes/15088?tab=detail&amp;rf=Y</t>
  </si>
  <si>
    <t>전라북도 전주시 완산구 중화산동2가 190</t>
  </si>
  <si>
    <t>전라북도 전주시 완산구 선너머로 16</t>
  </si>
  <si>
    <t>새한그린파크</t>
  </si>
  <si>
    <t>1994.12.</t>
  </si>
  <si>
    <t>https://new.land.naver.com/complexes/5617?tab=detail&amp;rf=Y</t>
  </si>
  <si>
    <t>전라북도 전주시 완산구 중화산동2가 232</t>
  </si>
  <si>
    <t>전라북도 전주시 완산구 영경1길 22</t>
  </si>
  <si>
    <t>[태평동]</t>
  </si>
  <si>
    <t>대양아리스타</t>
  </si>
  <si>
    <t>2019.09.</t>
  </si>
  <si>
    <t>https://new.land.naver.com/complexes/116872?tab=detail&amp;rf=Y</t>
  </si>
  <si>
    <t>전라북도 전주시 완산구 태평동 304</t>
  </si>
  <si>
    <t>태평동</t>
  </si>
  <si>
    <t>전라북도 전주시 완산구 태평4길 11</t>
  </si>
  <si>
    <t>전주태평아이파크</t>
  </si>
  <si>
    <t>2022.05.</t>
  </si>
  <si>
    <t>https://new.land.naver.com/complexes/128001?tab=detail&amp;rf=Y</t>
  </si>
  <si>
    <t>전라북도 전주시 완산구 태평동 123-19</t>
  </si>
  <si>
    <t>전주태평SK뷰</t>
  </si>
  <si>
    <t>2009.01.</t>
  </si>
  <si>
    <t>https://new.land.naver.com/complexes/26326?tab=detail&amp;rf=Y</t>
  </si>
  <si>
    <t>전라북도 전주시 완산구 태평동 291</t>
  </si>
  <si>
    <t>전라북도 전주시 완산구 태평2길 22</t>
  </si>
  <si>
    <t>성원로얄맨션</t>
  </si>
  <si>
    <t>1991.01.</t>
  </si>
  <si>
    <t>https://new.land.naver.com/complexes/5660?tab=detail&amp;rf=Y</t>
  </si>
  <si>
    <t>전라북도 전주시 완산구 태평동 245</t>
  </si>
  <si>
    <t>전라북도 전주시 완산구 공북1길 7</t>
  </si>
  <si>
    <t>99C</t>
  </si>
  <si>
    <t>99D</t>
  </si>
  <si>
    <t>99E</t>
  </si>
  <si>
    <t>99F</t>
  </si>
  <si>
    <t>[평화동1가]</t>
  </si>
  <si>
    <t>한성</t>
  </si>
  <si>
    <t>1996.12.</t>
  </si>
  <si>
    <t>https://new.land.naver.com/complexes/5694?tab=detail&amp;rf=Y</t>
  </si>
  <si>
    <t>전라북도 전주시 완산구 평화동1가 467</t>
  </si>
  <si>
    <t>평화동1가</t>
  </si>
  <si>
    <t>전라북도 전주시 완산구 덕적골1길 33</t>
  </si>
  <si>
    <t>효성평화</t>
  </si>
  <si>
    <t>https://new.land.naver.com/complexes/5701?tab=detail&amp;rf=Y</t>
  </si>
  <si>
    <t>전라북도 전주시 완산구 평화동1가 593</t>
  </si>
  <si>
    <t>전라북도 전주시 완산구 꽃밭정3길 30</t>
  </si>
  <si>
    <t>76A</t>
  </si>
  <si>
    <t>신정감나무골</t>
  </si>
  <si>
    <t>https://new.land.naver.com/complexes/25308?tab=detail&amp;rf=Y</t>
  </si>
  <si>
    <t>전라북도 전주시 완산구 평화동1가 471-1</t>
  </si>
  <si>
    <t>전라북도 전주시 완산구 덕적골1길 31-3</t>
  </si>
  <si>
    <t>평화극동</t>
  </si>
  <si>
    <t>https://new.land.naver.com/complexes/5664?tab=detail&amp;rf=Y</t>
  </si>
  <si>
    <t>전라북도 전주시 완산구 평화동1가 570-15</t>
  </si>
  <si>
    <t>전라북도 전주시 완산구 덕적골1길 14</t>
  </si>
  <si>
    <t>평화주공2단지</t>
  </si>
  <si>
    <t>1992.04.</t>
  </si>
  <si>
    <t>https://new.land.naver.com/complexes/101019?tab=detail&amp;rf=Y</t>
  </si>
  <si>
    <t>전라북도 전주시 완산구 평화동1가 445-6</t>
  </si>
  <si>
    <t>전라북도 전주시 완산구 덕적골2길 11</t>
  </si>
  <si>
    <t>두레</t>
  </si>
  <si>
    <t>2003.08.</t>
  </si>
  <si>
    <t>https://new.land.naver.com/complexes/24910?tab=detail&amp;rf=Y</t>
  </si>
  <si>
    <t>전라북도 전주시 완산구 평화동1가 431</t>
  </si>
  <si>
    <t>전라북도 전주시 완산구 덕적골3길 36-10</t>
  </si>
  <si>
    <t>평화주공3단지</t>
  </si>
  <si>
    <t>https://new.land.naver.com/complexes/5687?tab=detail&amp;rf=Y</t>
  </si>
  <si>
    <t>전라북도 전주시 완산구 평화동1가 445-1</t>
  </si>
  <si>
    <t>전라북도 전주시 완산구 덕적골2길 10</t>
  </si>
  <si>
    <t>거산평화</t>
  </si>
  <si>
    <t>https://new.land.naver.com/complexes/111875?tab=detail&amp;rf=Y</t>
  </si>
  <si>
    <t>전라북도 전주시 완산구 평화동1가 570-4</t>
  </si>
  <si>
    <t>전라북도 전주시 완산구 덕적골1길 19</t>
  </si>
  <si>
    <t>평화오네뜨</t>
  </si>
  <si>
    <t>https://new.land.naver.com/complexes/107930?tab=detail&amp;rf=Y</t>
  </si>
  <si>
    <t>전라북도 전주시 완산구 평화동1가 766</t>
  </si>
  <si>
    <t>전라북도 전주시 완산구 덕적골1길 50</t>
  </si>
  <si>
    <t>코오롱</t>
  </si>
  <si>
    <t>1995.01.</t>
  </si>
  <si>
    <t>https://new.land.naver.com/complexes/5678?tab=detail&amp;rf=Y</t>
  </si>
  <si>
    <t>전라북도 전주시 완산구 평화동1가 696</t>
  </si>
  <si>
    <t>전라북도 전주시 완산구 평화로 181</t>
  </si>
  <si>
    <t>일성</t>
  </si>
  <si>
    <t>1997.08.</t>
  </si>
  <si>
    <t>https://new.land.naver.com/complexes/5671?tab=detail&amp;rf=Y</t>
  </si>
  <si>
    <t>전라북도 전주시 완산구 평화동1가 522</t>
  </si>
  <si>
    <t>전라북도 전주시 완산구 평화19길 20</t>
  </si>
  <si>
    <t>효성양지</t>
  </si>
  <si>
    <t>https://new.land.naver.com/complexes/109232?tab=detail&amp;rf=Y</t>
  </si>
  <si>
    <t>전라북도 전주시 완산구 평화동1가 412</t>
  </si>
  <si>
    <t>전라북도 전주시 완산구 장승배기3길 8</t>
  </si>
  <si>
    <t>[평화동2가]</t>
  </si>
  <si>
    <t>선변평화고을</t>
  </si>
  <si>
    <t>2001.01.</t>
  </si>
  <si>
    <t>https://new.land.naver.com/complexes/112071?tab=detail&amp;rf=Y</t>
  </si>
  <si>
    <t>전라북도 전주시 완산구 평화동2가 857-1</t>
  </si>
  <si>
    <t>평화동2가</t>
  </si>
  <si>
    <t>전라북도 전주시 완산구 평화14길 15-14</t>
  </si>
  <si>
    <t>양우내안애</t>
  </si>
  <si>
    <t>2017.06.</t>
  </si>
  <si>
    <t>https://new.land.naver.com/complexes/111194?tab=detail&amp;rf=Y</t>
  </si>
  <si>
    <t>전라북도 전주시 완산구 평화동2가 954</t>
  </si>
  <si>
    <t>전라북도 전주시 완산구 평화2길 6</t>
  </si>
  <si>
    <t>1996.05.</t>
  </si>
  <si>
    <t>https://new.land.naver.com/complexes/5697?tab=detail&amp;rf=Y</t>
  </si>
  <si>
    <t>전라북도 전주시 완산구 평화동2가 336-6</t>
  </si>
  <si>
    <t>전라북도 전주시 완산구 소대배기로 33</t>
  </si>
  <si>
    <t>평화동신</t>
  </si>
  <si>
    <t>https://new.land.naver.com/complexes/11765?tab=detail&amp;rf=Y</t>
  </si>
  <si>
    <t>전라북도 전주시 완산구 평화동2가 567</t>
  </si>
  <si>
    <t>전라북도 전주시 완산구 양지2길 10</t>
  </si>
  <si>
    <t>평화두산경복궁</t>
  </si>
  <si>
    <t>2005.04.</t>
  </si>
  <si>
    <t>https://new.land.naver.com/complexes/105192?tab=detail&amp;rf=Y</t>
  </si>
  <si>
    <t>전라북도 전주시 완산구 평화동2가 180</t>
  </si>
  <si>
    <t>전라북도 전주시 완산구 평화로 120</t>
  </si>
  <si>
    <t>동도미소드림</t>
  </si>
  <si>
    <t>2004.10.</t>
  </si>
  <si>
    <t>https://new.land.naver.com/complexes/17336?tab=detail&amp;rf=Y</t>
  </si>
  <si>
    <t>전라북도 전주시 완산구 평화동2가 457-4</t>
  </si>
  <si>
    <t>전라북도 전주시 완산구 모악로 4651</t>
  </si>
  <si>
    <t>전주평화주공5단지</t>
  </si>
  <si>
    <t>1995.06.</t>
  </si>
  <si>
    <t>https://new.land.naver.com/complexes/5703?tab=detail&amp;rf=Y</t>
  </si>
  <si>
    <t>전라북도 전주시 완산구 평화동2가 292</t>
  </si>
  <si>
    <t>전라북도 전주시 완산구 모악로 4724</t>
  </si>
  <si>
    <t>평화3차골드클래스</t>
  </si>
  <si>
    <t>2020.08.</t>
  </si>
  <si>
    <t>https://new.land.naver.com/complexes/123356?tab=detail&amp;rf=Y</t>
  </si>
  <si>
    <t>전라북도 전주시 완산구 평화동2가 966</t>
  </si>
  <si>
    <t>전라북도 전주시 완산구 맏내로 38</t>
  </si>
  <si>
    <t>동아,현대</t>
  </si>
  <si>
    <t>https://new.land.naver.com/complexes/5666?tab=detail&amp;rf=Y</t>
  </si>
  <si>
    <t>전라북도 전주시 완산구 평화동2가 843-1</t>
  </si>
  <si>
    <t>전라북도 전주시 완산구 맏내3길 22</t>
  </si>
  <si>
    <t>우미</t>
  </si>
  <si>
    <t>1996.06.</t>
  </si>
  <si>
    <t>https://new.land.naver.com/complexes/17105?tab=detail&amp;rf=Y</t>
  </si>
  <si>
    <t>전라북도 전주시 완산구 평화동2가 312-6</t>
  </si>
  <si>
    <t>전라북도 전주시 완산구 모악로 4685</t>
  </si>
  <si>
    <t>평화2차골드클래스모악산</t>
  </si>
  <si>
    <t>https://new.land.naver.com/complexes/120545?tab=detail&amp;rf=Y</t>
  </si>
  <si>
    <t>전라북도 전주시 완산구 평화동2가 964</t>
  </si>
  <si>
    <t>전라북도 전주시 완산구 맏내로 37</t>
  </si>
  <si>
    <t>케이제이모악</t>
  </si>
  <si>
    <t>2001.09.</t>
  </si>
  <si>
    <t>https://new.land.naver.com/complexes/100903?tab=detail&amp;rf=Y</t>
  </si>
  <si>
    <t>전라북도 전주시 완산구 평화동2가 713-16</t>
  </si>
  <si>
    <t>전라북도 전주시 완산구 양지3길 9</t>
  </si>
  <si>
    <t>평화주공그린타운2단지</t>
  </si>
  <si>
    <t>2002.10.</t>
  </si>
  <si>
    <t>https://new.land.naver.com/complexes/5683?tab=detail&amp;rf=Y</t>
  </si>
  <si>
    <t>전라북도 전주시 완산구 평화동2가 896-1</t>
  </si>
  <si>
    <t>전라북도 전주시 완산구 평화로 100</t>
  </si>
  <si>
    <t>평화골드클래스</t>
  </si>
  <si>
    <t>2018.01.</t>
  </si>
  <si>
    <t>https://new.land.naver.com/complexes/113411?tab=detail&amp;rf=Y</t>
  </si>
  <si>
    <t>전라북도 전주시 완산구 평화동2가 955</t>
  </si>
  <si>
    <t>전라북도 전주시 완산구 구이로 2077</t>
  </si>
  <si>
    <t>전주평화영무예다음</t>
  </si>
  <si>
    <t>https://new.land.naver.com/complexes/103440?tab=detail&amp;rf=Y</t>
  </si>
  <si>
    <t>전라북도 전주시 완산구 평화동2가 952</t>
  </si>
  <si>
    <t>전라북도 전주시 완산구 구이로 2065</t>
  </si>
  <si>
    <t>두산푸른솔</t>
  </si>
  <si>
    <t>https://new.land.naver.com/complexes/100159?tab=detail&amp;rf=Y</t>
  </si>
  <si>
    <t>전라북도 전주시 완산구 평화동2가 712-1</t>
  </si>
  <si>
    <t>전라북도 전주시 완산구 양지1길 16-3</t>
  </si>
  <si>
    <t>아크로폴리스</t>
  </si>
  <si>
    <t>2008.07.</t>
  </si>
  <si>
    <t>168A</t>
  </si>
  <si>
    <t>https://new.land.naver.com/complexes/121772?tab=detail&amp;rf=Y</t>
  </si>
  <si>
    <t>전라북도 전주시 완산구 평화동2가 95-17</t>
  </si>
  <si>
    <t>전라북도 전주시 완산구 평화2길 16</t>
  </si>
  <si>
    <t>170B</t>
  </si>
  <si>
    <t>평화주공그린타운1단지</t>
  </si>
  <si>
    <t>2002.01.</t>
  </si>
  <si>
    <t>https://new.land.naver.com/complexes/101173?tab=detail&amp;rf=Y</t>
  </si>
  <si>
    <t>전라북도 전주시 완산구 평화동2가 897-1</t>
  </si>
  <si>
    <t>전라북도 전주시 완산구 구이로 2094</t>
  </si>
  <si>
    <t>송정써미트</t>
  </si>
  <si>
    <t>2005.11.</t>
  </si>
  <si>
    <t>https://new.land.naver.com/complexes/25370?tab=detail&amp;rf=Y</t>
  </si>
  <si>
    <t>전라북도 전주시 완산구 평화동2가 943</t>
  </si>
  <si>
    <t>전라북도 전주시 완산구 평화7길 40</t>
  </si>
  <si>
    <t>우성신성타운</t>
  </si>
  <si>
    <t>2003.12.</t>
  </si>
  <si>
    <t>https://new.land.naver.com/complexes/101174?tab=detail&amp;rf=Y</t>
  </si>
  <si>
    <t>전라북도 전주시 완산구 평화동2가 259-12</t>
  </si>
  <si>
    <t>전라북도 전주시 완산구 맏내1길 5</t>
  </si>
  <si>
    <t>평화엠코타운</t>
  </si>
  <si>
    <t>2013.01.</t>
  </si>
  <si>
    <t>https://new.land.naver.com/complexes/110121?tab=detail&amp;rf=Y</t>
  </si>
  <si>
    <t>전라북도 전주시 완산구 평화동2가 953</t>
  </si>
  <si>
    <t>전라북도 전주시 완산구 양지3길 25</t>
  </si>
  <si>
    <t>미송평화하이존</t>
  </si>
  <si>
    <t>2003.02.</t>
  </si>
  <si>
    <t>https://new.land.naver.com/complexes/26612?tab=detail&amp;rf=Y</t>
  </si>
  <si>
    <t>전라북도 전주시 완산구 평화동2가 310-1</t>
  </si>
  <si>
    <t>전라북도 전주시 완산구 모악로 4681</t>
  </si>
  <si>
    <t>2002.04.</t>
  </si>
  <si>
    <t>https://new.land.naver.com/complexes/27008?tab=detail&amp;rf=Y</t>
  </si>
  <si>
    <t>전라북도 전주시 완산구 평화동2가 889-7</t>
  </si>
  <si>
    <t>전라북도 전주시 완산구 평화로 95</t>
  </si>
  <si>
    <t>삼성강남</t>
  </si>
  <si>
    <t>https://new.land.naver.com/complexes/5662?tab=detail&amp;rf=Y</t>
  </si>
  <si>
    <t>전라북도 전주시 완산구 평화동2가 259-5</t>
  </si>
  <si>
    <t>전라북도 전주시 완산구 모악로 4705</t>
  </si>
  <si>
    <t>[효자동1가]</t>
  </si>
  <si>
    <t>신원리브웰</t>
  </si>
  <si>
    <t>2017.08.</t>
  </si>
  <si>
    <t>https://new.land.naver.com/complexes/116398?tab=detail&amp;rf=Y</t>
  </si>
  <si>
    <t>전라북도 전주시 완산구 효자동1가 810</t>
  </si>
  <si>
    <t>전라북도 전주시 완산구 용머리로 101</t>
  </si>
  <si>
    <t>효자미송</t>
  </si>
  <si>
    <t>2002.05.</t>
  </si>
  <si>
    <t>https://new.land.naver.com/complexes/26327?tab=detail&amp;rf=Y</t>
  </si>
  <si>
    <t>전라북도 전주시 완산구 효자동1가 431</t>
  </si>
  <si>
    <t>전라북도 전주시 완산구 거마평로 189-11</t>
  </si>
  <si>
    <t>동방아로채2단지</t>
  </si>
  <si>
    <t>2014.10.</t>
  </si>
  <si>
    <t>https://new.land.naver.com/complexes/122231?tab=detail&amp;rf=Y</t>
  </si>
  <si>
    <t>전라북도 전주시 완산구 효자동1가 802</t>
  </si>
  <si>
    <t>전라북도 전주시 완산구 효동3길 17-5</t>
  </si>
  <si>
    <t>남양황제맨션</t>
  </si>
  <si>
    <t>105A</t>
  </si>
  <si>
    <t>https://new.land.naver.com/complexes/15095?tab=detail&amp;rf=Y</t>
  </si>
  <si>
    <t>전라북도 전주시 완산구 효자동1가 637</t>
  </si>
  <si>
    <t>전라북도 전주시 완산구 백제대로 159</t>
  </si>
  <si>
    <t>삼성효자맨션</t>
  </si>
  <si>
    <t>1997.02.</t>
  </si>
  <si>
    <t>https://new.land.naver.com/complexes/5742?tab=detail&amp;rf=Y</t>
  </si>
  <si>
    <t>전라북도 전주시 완산구 효자동1가 451</t>
  </si>
  <si>
    <t>전라북도 전주시 완산구 거마평로 139</t>
  </si>
  <si>
    <t>거성소라</t>
  </si>
  <si>
    <t>https://new.land.naver.com/complexes/5706?tab=detail&amp;rf=Y</t>
  </si>
  <si>
    <t>전라북도 전주시 완산구 효자동1가 639</t>
  </si>
  <si>
    <t>전라북도 전주시 완산구 백제대로 160</t>
  </si>
  <si>
    <t>141A</t>
  </si>
  <si>
    <t>광진진주</t>
  </si>
  <si>
    <t>https://new.land.naver.com/complexes/5711?tab=detail&amp;rf=Y</t>
  </si>
  <si>
    <t>전라북도 전주시 완산구 효자동1가 636-1</t>
  </si>
  <si>
    <t>전라북도 전주시 완산구 신봉로 64</t>
  </si>
  <si>
    <t>상산타운</t>
  </si>
  <si>
    <t>1994.04.</t>
  </si>
  <si>
    <t>https://new.land.naver.com/complexes/5743?tab=detail&amp;rf=Y</t>
  </si>
  <si>
    <t>전라북도 전주시 완산구 효자동1가 652</t>
  </si>
  <si>
    <t>전라북도 전주시 완산구 거마평로 125</t>
  </si>
  <si>
    <t>효자주공3단지</t>
  </si>
  <si>
    <t>1984.10.</t>
  </si>
  <si>
    <t>https://new.land.naver.com/complexes/5766?tab=detail&amp;rf=Y</t>
  </si>
  <si>
    <t>전라북도 전주시 완산구 효자동1가 133</t>
  </si>
  <si>
    <t>전라북도 전주시 완산구 용머리로 194</t>
  </si>
  <si>
    <t>삼호</t>
  </si>
  <si>
    <t>1991.11.</t>
  </si>
  <si>
    <t>https://new.land.naver.com/complexes/5720?tab=detail&amp;rf=Y</t>
  </si>
  <si>
    <t>전라북도 전주시 완산구 효자동1가 364-3</t>
  </si>
  <si>
    <t>전라북도 전주시 완산구 강변로 220-16</t>
  </si>
  <si>
    <t>KJ라미안</t>
  </si>
  <si>
    <t>https://new.land.naver.com/complexes/101175?tab=detail&amp;rf=Y</t>
  </si>
  <si>
    <t>전라북도 전주시 완산구 효자동1가 408-1</t>
  </si>
  <si>
    <t>전라북도 전주시 완산구 강변로 210</t>
  </si>
  <si>
    <t>한강</t>
  </si>
  <si>
    <t>https://new.land.naver.com/complexes/17113?tab=detail&amp;rf=Y</t>
  </si>
  <si>
    <t>전라북도 전주시 완산구 효자동1가 660-1</t>
  </si>
  <si>
    <t>전라북도 전주시 완산구 강변로 120</t>
  </si>
  <si>
    <t>효자한신휴플러스</t>
  </si>
  <si>
    <t>2006.08.</t>
  </si>
  <si>
    <t>https://new.land.naver.com/complexes/19719?tab=detail&amp;rf=Y</t>
  </si>
  <si>
    <t>전라북도 전주시 완산구 효자동1가 799</t>
  </si>
  <si>
    <t>전라북도 전주시 완산구 따박골4길 10</t>
  </si>
  <si>
    <t>효자뷰티빌</t>
  </si>
  <si>
    <t>2008.06.</t>
  </si>
  <si>
    <t>106D</t>
  </si>
  <si>
    <t>https://new.land.naver.com/complexes/105360?tab=detail&amp;rf=Y</t>
  </si>
  <si>
    <t>전라북도 전주시 완산구 효자동1가 373</t>
  </si>
  <si>
    <t>전라북도 전주시 완산구 거마평로 217</t>
  </si>
  <si>
    <t>108C</t>
  </si>
  <si>
    <t>유진청하맨숀</t>
  </si>
  <si>
    <t>1989.02.</t>
  </si>
  <si>
    <t>https://new.land.naver.com/complexes/100908?tab=detail&amp;rf=Y</t>
  </si>
  <si>
    <t>전라북도 전주시 완산구 효자동1가 403</t>
  </si>
  <si>
    <t>전라북도 전주시 완산구 거마평로 189-8</t>
  </si>
  <si>
    <t>효자현대</t>
  </si>
  <si>
    <t>1990.03.</t>
  </si>
  <si>
    <t>https://new.land.naver.com/complexes/5772?tab=detail&amp;rf=Y</t>
  </si>
  <si>
    <t>전라북도 전주시 완산구 효자동1가 418</t>
  </si>
  <si>
    <t>전라북도 전주시 완산구 용머리로 20</t>
  </si>
  <si>
    <t>선변안행고을2차</t>
  </si>
  <si>
    <t>2000.06.</t>
  </si>
  <si>
    <t>https://new.land.naver.com/complexes/113643?tab=detail&amp;rf=Y</t>
  </si>
  <si>
    <t>전라북도 전주시 완산구 효자동1가 685-1</t>
  </si>
  <si>
    <t>전라북도 전주시 완산구 안행9길 25</t>
  </si>
  <si>
    <t>113C</t>
  </si>
  <si>
    <t>풍년</t>
  </si>
  <si>
    <t>1983.10.</t>
  </si>
  <si>
    <t>https://new.land.naver.com/complexes/128786?tab=detail&amp;rf=Y</t>
  </si>
  <si>
    <t>전라북도 전주시 완산구 효자동1가 165-1</t>
  </si>
  <si>
    <t>전라북도 전주시 완산구 백제대로 162</t>
  </si>
  <si>
    <t>성원골드맨션</t>
  </si>
  <si>
    <t>1990.12.</t>
  </si>
  <si>
    <t>https://new.land.naver.com/complexes/5751?tab=detail&amp;rf=Y</t>
  </si>
  <si>
    <t>전라북도 전주시 완산구 효자동1가 636-2</t>
  </si>
  <si>
    <t>전라북도 전주시 완산구 신봉로 74</t>
  </si>
  <si>
    <t>금호</t>
  </si>
  <si>
    <t>1992.03.</t>
  </si>
  <si>
    <t>https://new.land.naver.com/complexes/5714?tab=detail&amp;rf=Y</t>
  </si>
  <si>
    <t>전라북도 전주시 완산구 효자동1가 98</t>
  </si>
  <si>
    <t>전라북도 전주시 완산구 효동3길 33</t>
  </si>
  <si>
    <t>https://new.land.naver.com/complexes/15105?tab=detail&amp;rf=Y</t>
  </si>
  <si>
    <t>전라북도 전주시 완산구 효자동1가 635-2</t>
  </si>
  <si>
    <t>전라북도 전주시 완산구 신봉로 51</t>
  </si>
  <si>
    <t>제일효자타운</t>
  </si>
  <si>
    <t>https://new.land.naver.com/complexes/5759?tab=detail&amp;rf=Y</t>
  </si>
  <si>
    <t>전라북도 전주시 완산구 효자동1가 654</t>
  </si>
  <si>
    <t>전라북도 전주시 완산구 거마평로 109</t>
  </si>
  <si>
    <t>효자롯데2차</t>
  </si>
  <si>
    <t>1997.10.</t>
  </si>
  <si>
    <t>https://new.land.naver.com/complexes/17109?tab=detail&amp;rf=Y</t>
  </si>
  <si>
    <t>전라북도 전주시 완산구 효자동1가 416</t>
  </si>
  <si>
    <t>전라북도 전주시 완산구 용머리로 27</t>
  </si>
  <si>
    <t>남양효자맨션</t>
  </si>
  <si>
    <t>1990.02.</t>
  </si>
  <si>
    <t>https://new.land.naver.com/complexes/15097?tab=detail&amp;rf=Y</t>
  </si>
  <si>
    <t>전라북도 전주시 완산구 효자동1가 282-20</t>
  </si>
  <si>
    <t>전라북도 전주시 완산구 용머리로 68</t>
  </si>
  <si>
    <t>남양황실</t>
  </si>
  <si>
    <t>https://new.land.naver.com/complexes/5733?tab=detail&amp;rf=Y</t>
  </si>
  <si>
    <t>전라북도 전주시 완산구 효자동1가 640</t>
  </si>
  <si>
    <t>전라북도 전주시 완산구 따박골로 8</t>
  </si>
  <si>
    <t>거성(거성국민)</t>
  </si>
  <si>
    <t>1981.01.</t>
  </si>
  <si>
    <t>48B</t>
  </si>
  <si>
    <t>https://new.land.naver.com/complexes/116876?tab=detail&amp;rf=Y</t>
  </si>
  <si>
    <t>전라북도 전주시 완산구 효자동1가 311-10</t>
  </si>
  <si>
    <t>전라북도 전주시 완산구 백제대로 165-8</t>
  </si>
  <si>
    <t>55B</t>
  </si>
  <si>
    <t>55A</t>
  </si>
  <si>
    <t>55C</t>
  </si>
  <si>
    <t>동방아로채1단지(도시형)</t>
  </si>
  <si>
    <t>https://new.land.naver.com/complexes/117446?tab=detail&amp;rf=Y</t>
  </si>
  <si>
    <t>전라북도 전주시 완산구 효자동1가 803</t>
  </si>
  <si>
    <t>전라북도 전주시 완산구 효동3길 17-6</t>
  </si>
  <si>
    <t>제일</t>
  </si>
  <si>
    <t>https://new.land.naver.com/complexes/5756?tab=detail&amp;rf=Y</t>
  </si>
  <si>
    <t>전라북도 전주시 완산구 효자동1가 636</t>
  </si>
  <si>
    <t>전라북도 전주시 완산구 신봉로 52</t>
  </si>
  <si>
    <t>효자광진(광진맨션)</t>
  </si>
  <si>
    <t>1984.06.</t>
  </si>
  <si>
    <t>https://new.land.naver.com/complexes/104944?tab=detail&amp;rf=Y</t>
  </si>
  <si>
    <t>전라북도 전주시 완산구 효자동1가 213-2</t>
  </si>
  <si>
    <t>전라북도 전주시 완산구 효동2길 30</t>
  </si>
  <si>
    <t>쌍용모악파크</t>
  </si>
  <si>
    <t>1994.03.</t>
  </si>
  <si>
    <t>https://new.land.naver.com/complexes/5753?tab=detail&amp;rf=Y</t>
  </si>
  <si>
    <t>전라북도 전주시 완산구 효자동1가 654-2</t>
  </si>
  <si>
    <t>전라북도 전주시 완산구 거마평로 93</t>
  </si>
  <si>
    <t>한양운남</t>
  </si>
  <si>
    <t>https://new.land.naver.com/complexes/15108?tab=detail&amp;rf=Y</t>
  </si>
  <si>
    <t>전라북도 전주시 완산구 효자동1가 635-1</t>
  </si>
  <si>
    <t>전라북도 전주시 완산구 신봉로 71</t>
  </si>
  <si>
    <t>효자롯데</t>
  </si>
  <si>
    <t>https://new.land.naver.com/complexes/5739?tab=detail&amp;rf=Y</t>
  </si>
  <si>
    <t>전라북도 전주시 완산구 효자동1가 414</t>
  </si>
  <si>
    <t>전라북도 전주시 완산구 용머리로 29</t>
  </si>
  <si>
    <t>서부거성</t>
  </si>
  <si>
    <t>1983.11.</t>
  </si>
  <si>
    <t>https://new.land.naver.com/complexes/105191?tab=detail&amp;rf=Y</t>
  </si>
  <si>
    <t>전라북도 전주시 완산구 효자동1가 205-13</t>
  </si>
  <si>
    <t>전라북도 전주시 완산구 효동2길 21-8</t>
  </si>
  <si>
    <t>효자성원맨션</t>
  </si>
  <si>
    <t>https://new.land.naver.com/complexes/15104?tab=detail&amp;rf=Y</t>
  </si>
  <si>
    <t>전라북도 전주시 완산구 효자동1가 415-2</t>
  </si>
  <si>
    <t>전라북도 전주시 완산구 거마평로 189-47</t>
  </si>
  <si>
    <t>힐스테이트어울림효자</t>
  </si>
  <si>
    <t>2022.06.</t>
  </si>
  <si>
    <t>https://new.land.naver.com/complexes/127902?tab=detail&amp;rf=Y</t>
  </si>
  <si>
    <t>전라북도 전주시 완산구 효자동1가 166-1</t>
  </si>
  <si>
    <t>거성</t>
  </si>
  <si>
    <t>1980.12.</t>
  </si>
  <si>
    <t>https://new.land.naver.com/complexes/105190?tab=detail&amp;rf=Y</t>
  </si>
  <si>
    <t>전라북도 전주시 완산구 효자동1가 311-1</t>
  </si>
  <si>
    <t>전라북도 전주시 완산구 백제대로 165-10</t>
  </si>
  <si>
    <t>대우청솔</t>
  </si>
  <si>
    <t>https://new.land.naver.com/complexes/116040?tab=detail&amp;rf=Y</t>
  </si>
  <si>
    <t>전라북도 전주시 완산구 효자동1가 296-154</t>
  </si>
  <si>
    <t>전라북도 전주시 완산구 오두정길 10</t>
  </si>
  <si>
    <t>157A</t>
  </si>
  <si>
    <t>157B</t>
  </si>
  <si>
    <t>효자대림</t>
  </si>
  <si>
    <t>2002.11.</t>
  </si>
  <si>
    <t>https://new.land.naver.com/complexes/5737?tab=detail&amp;rf=Y</t>
  </si>
  <si>
    <t>전라북도 전주시 완산구 효자동1가 205-74</t>
  </si>
  <si>
    <t>전라북도 전주시 완산구 안행2길 26</t>
  </si>
  <si>
    <t>남양무지개</t>
  </si>
  <si>
    <t>1987.10.</t>
  </si>
  <si>
    <t>https://new.land.naver.com/complexes/15093?tab=detail&amp;rf=Y</t>
  </si>
  <si>
    <t>전라북도 전주시 완산구 효자동1가 535-3</t>
  </si>
  <si>
    <t>전라북도 전주시 완산구 거마평로 225-8</t>
  </si>
  <si>
    <t>남양아이좋은집</t>
  </si>
  <si>
    <t>2006.05.</t>
  </si>
  <si>
    <t>https://new.land.naver.com/complexes/19212?tab=detail&amp;rf=Y</t>
  </si>
  <si>
    <t>전라북도 전주시 완산구 효자동1가 363-1</t>
  </si>
  <si>
    <t>전라북도 전주시 완산구 강변로 242</t>
  </si>
  <si>
    <t>1992.01.</t>
  </si>
  <si>
    <t>https://new.land.naver.com/complexes/5719?tab=detail&amp;rf=Y</t>
  </si>
  <si>
    <t>전라북도 전주시 완산구 효자동1가 635</t>
  </si>
  <si>
    <t>전라북도 전주시 완산구 서원로 258</t>
  </si>
  <si>
    <t>남양송정</t>
  </si>
  <si>
    <t>1988.05.</t>
  </si>
  <si>
    <t>https://new.land.naver.com/complexes/15092?tab=detail&amp;rf=Y</t>
  </si>
  <si>
    <t>전라북도 전주시 완산구 효자동1가 280-2</t>
  </si>
  <si>
    <t>전라북도 전주시 완산구 용머리로 78</t>
  </si>
  <si>
    <t>98C</t>
  </si>
  <si>
    <t>유성상아</t>
  </si>
  <si>
    <t>1989.03.</t>
  </si>
  <si>
    <t>https://new.land.naver.com/complexes/108441?tab=detail&amp;rf=Y</t>
  </si>
  <si>
    <t>전라북도 전주시 완산구 효자동1가 276-19</t>
  </si>
  <si>
    <t>전라북도 전주시 완산구 성지산3길 37</t>
  </si>
  <si>
    <t>대명까치맨션</t>
  </si>
  <si>
    <t>1993.05.</t>
  </si>
  <si>
    <t>https://new.land.naver.com/complexes/15099?tab=detail&amp;rf=Y</t>
  </si>
  <si>
    <t>전라북도 전주시 완산구 효자동1가 45</t>
  </si>
  <si>
    <t>전라북도 전주시 완산구 유기전2길 23</t>
  </si>
  <si>
    <t>효자대림마이빌</t>
  </si>
  <si>
    <t>https://new.land.naver.com/complexes/143281?tab=detail&amp;rf=Y</t>
  </si>
  <si>
    <t>전라북도 전주시 완산구 효자동1가 106-23</t>
  </si>
  <si>
    <t>전라북도 전주시 완산구 효동3길 18-59</t>
  </si>
  <si>
    <t>47B</t>
  </si>
  <si>
    <t>[효자동2가]</t>
  </si>
  <si>
    <t>남양무궁화</t>
  </si>
  <si>
    <t>1987.08.</t>
  </si>
  <si>
    <t>https://new.land.naver.com/complexes/107035?tab=detail&amp;rf=Y</t>
  </si>
  <si>
    <t>전라북도 전주시 완산구 효자동2가 221-1</t>
  </si>
  <si>
    <t>전라북도 전주시 완산구 쑥고개로 398-11</t>
  </si>
  <si>
    <t>휴먼시아아이린</t>
  </si>
  <si>
    <t>2009.08.</t>
  </si>
  <si>
    <t>https://new.land.naver.com/complexes/27665?tab=detail&amp;rf=Y</t>
  </si>
  <si>
    <t>전라북도 전주시 완산구 효자동2가 1193-1</t>
  </si>
  <si>
    <t>전라북도 전주시 완산구 소태정로 1</t>
  </si>
  <si>
    <t>전주서희스타힐스</t>
  </si>
  <si>
    <t>2015.03.</t>
  </si>
  <si>
    <t>https://new.land.naver.com/complexes/108457?tab=detail&amp;rf=Y</t>
  </si>
  <si>
    <t>전라북도 전주시 완산구 효자동2가 1157-1</t>
  </si>
  <si>
    <t>전라북도 전주시 완산구 홍산1길 21</t>
  </si>
  <si>
    <t>전주효천우미린더프레스티지</t>
  </si>
  <si>
    <t>2020.01.</t>
  </si>
  <si>
    <t>https://new.land.naver.com/complexes/118657?tab=detail&amp;rf=Y</t>
  </si>
  <si>
    <t>전라북도 전주시 완산구 효자동2가 1364</t>
  </si>
  <si>
    <t>전라북도 전주시 완산구 홍산로 77</t>
  </si>
  <si>
    <t>효자더샵2차</t>
  </si>
  <si>
    <t>https://new.land.naver.com/complexes/24640?tab=detail&amp;rf=Y</t>
  </si>
  <si>
    <t>전라북도 전주시 완산구 효자동2가 122</t>
  </si>
  <si>
    <t>전라북도 전주시 완산구 봉곡로 140</t>
  </si>
  <si>
    <t>효자세느빌</t>
  </si>
  <si>
    <t>2016.11.</t>
  </si>
  <si>
    <t>https://new.land.naver.com/complexes/123154?tab=detail&amp;rf=Y</t>
  </si>
  <si>
    <t>전라북도 전주시 완산구 효자동2가 135-6</t>
  </si>
  <si>
    <t>전라북도 전주시 완산구 세내로 193</t>
  </si>
  <si>
    <t>전주효천우미린더퍼스트</t>
  </si>
  <si>
    <t>2019.06.</t>
  </si>
  <si>
    <t>https://new.land.naver.com/complexes/116670?tab=detail&amp;rf=Y</t>
  </si>
  <si>
    <t>전라북도 전주시 완산구 효자동2가 1363</t>
  </si>
  <si>
    <t>전라북도 전주시 완산구 효천중앙로 11</t>
  </si>
  <si>
    <t>전주효천대방노블랜드에코파크</t>
  </si>
  <si>
    <t>2020.05.</t>
  </si>
  <si>
    <t>https://new.land.naver.com/complexes/119323?tab=detail&amp;rf=Y</t>
  </si>
  <si>
    <t>전라북도 전주시 완산구 효자동2가 1383</t>
  </si>
  <si>
    <t>전라북도 전주시 완산구 효천중앙로 20</t>
  </si>
  <si>
    <t>골든팰리스휴먼시아</t>
  </si>
  <si>
    <t>2009.11.</t>
  </si>
  <si>
    <t>https://new.land.naver.com/complexes/27664?tab=detail&amp;rf=Y</t>
  </si>
  <si>
    <t>전라북도 전주시 완산구 효자동2가 1192-1</t>
  </si>
  <si>
    <t>전라북도 전주시 완산구 호암로 40</t>
  </si>
  <si>
    <t>아르팰리스휴먼시아8단지</t>
  </si>
  <si>
    <t>2010.11.</t>
  </si>
  <si>
    <t>https://new.land.naver.com/complexes/101416?tab=detail&amp;rf=Y</t>
  </si>
  <si>
    <t>전라북도 전주시 완산구 효자동2가 1314-1</t>
  </si>
  <si>
    <t>전라북도 전주시 완산구 호암로 41</t>
  </si>
  <si>
    <t>LH세븐팰리스</t>
  </si>
  <si>
    <t>https://new.land.naver.com/complexes/104988?tab=detail&amp;rf=Y</t>
  </si>
  <si>
    <t>전라북도 전주시 완산구 효자동2가 1315-1</t>
  </si>
  <si>
    <t>전라북도 전주시 완산구 우전로 180</t>
  </si>
  <si>
    <t>우전</t>
  </si>
  <si>
    <t>https://new.land.naver.com/complexes/120953?tab=detail&amp;rf=Y</t>
  </si>
  <si>
    <t>전라북도 전주시 완산구 효자동2가 379-2</t>
  </si>
  <si>
    <t>전라북도 전주시 완산구 쑥고개로 363-19</t>
  </si>
  <si>
    <t>86B</t>
  </si>
  <si>
    <t>103C</t>
  </si>
  <si>
    <t>효자더샵</t>
  </si>
  <si>
    <t>2005.10.</t>
  </si>
  <si>
    <t>https://new.land.naver.com/complexes/14410?tab=detail&amp;rf=Y</t>
  </si>
  <si>
    <t>전라북도 전주시 완산구 효자동2가 100-1</t>
  </si>
  <si>
    <t>전라북도 전주시 완산구 세내로 239</t>
  </si>
  <si>
    <t>효자이지움</t>
  </si>
  <si>
    <t>2015.12.</t>
  </si>
  <si>
    <t>https://new.land.naver.com/complexes/106219?tab=detail&amp;rf=Y</t>
  </si>
  <si>
    <t>전라북도 전주시 완산구 효자동2가 1354</t>
  </si>
  <si>
    <t>전라북도 전주시 완산구 세내로 185</t>
  </si>
  <si>
    <t>전주효자SK리더스뷰</t>
  </si>
  <si>
    <t>2016.01.</t>
  </si>
  <si>
    <t>https://new.land.naver.com/complexes/109059?tab=detail&amp;rf=Y</t>
  </si>
  <si>
    <t>전라북도 전주시 완산구 효자동2가 1157-4</t>
  </si>
  <si>
    <t>전라북도 전주시 완산구 홍산1길 7</t>
  </si>
  <si>
    <t>효자엘드수목토1차</t>
  </si>
  <si>
    <t>https://new.land.naver.com/complexes/14773?tab=detail&amp;rf=Y</t>
  </si>
  <si>
    <t>전라북도 전주시 완산구 효자동2가 70</t>
  </si>
  <si>
    <t>전라북도 전주시 완산구 세내로 241</t>
  </si>
  <si>
    <t>융성</t>
  </si>
  <si>
    <t>https://new.land.naver.com/complexes/137670?tab=detail&amp;rf=Y</t>
  </si>
  <si>
    <t>전라북도 전주시 완산구 효자동2가 227</t>
  </si>
  <si>
    <t>전라북도 전주시 완산구 쑥고개로 398-21</t>
  </si>
  <si>
    <t>효자풍림아이원</t>
  </si>
  <si>
    <t>2007.05.</t>
  </si>
  <si>
    <t>https://new.land.naver.com/complexes/23838?tab=detail&amp;rf=Y</t>
  </si>
  <si>
    <t>전라북도 전주시 완산구 효자동2가 184</t>
  </si>
  <si>
    <t>전라북도 전주시 완산구 우전1길 40</t>
  </si>
  <si>
    <t>효자수목토2차</t>
  </si>
  <si>
    <t>2006.10.</t>
  </si>
  <si>
    <t>https://new.land.naver.com/complexes/26363?tab=detail&amp;rf=Y</t>
  </si>
  <si>
    <t>전라북도 전주시 완산구 효자동2가 110</t>
  </si>
  <si>
    <t>전라북도 전주시 완산구 봉곡로 149</t>
  </si>
  <si>
    <t>[효자동3가]</t>
  </si>
  <si>
    <t>서곡두산</t>
  </si>
  <si>
    <t>1999.09.</t>
  </si>
  <si>
    <t>https://new.land.naver.com/complexes/5746?tab=detail&amp;rf=Y</t>
  </si>
  <si>
    <t>전라북도 전주시 완산구 효자동3가 1483-2</t>
  </si>
  <si>
    <t>효자동3가</t>
  </si>
  <si>
    <t>전라북도 전주시 완산구 서곡로 22</t>
  </si>
  <si>
    <t>코오롱스카이타워</t>
  </si>
  <si>
    <t>2015.10.</t>
  </si>
  <si>
    <t>https://new.land.naver.com/complexes/107335?tab=detail&amp;rf=Y</t>
  </si>
  <si>
    <t>전라북도 전주시 완산구 효자동3가 1526-2</t>
  </si>
  <si>
    <t>전라북도 전주시 완산구 홍산북로 83</t>
  </si>
  <si>
    <t>서부신시가지골든시티(도시형)</t>
  </si>
  <si>
    <t>https://new.land.naver.com/complexes/117124?tab=detail&amp;rf=Y</t>
  </si>
  <si>
    <t>전라북도 전주시 완산구 효자동3가 1528-1</t>
  </si>
  <si>
    <t>전라북도 전주시 완산구 홍산4길 6</t>
  </si>
  <si>
    <t>70E</t>
  </si>
  <si>
    <t>70D</t>
  </si>
  <si>
    <t>서부신시가지코아루해피트리</t>
  </si>
  <si>
    <t>2018.11.</t>
  </si>
  <si>
    <t>https://new.land.naver.com/complexes/115346?tab=detail&amp;rf=Y</t>
  </si>
  <si>
    <t>전라북도 전주시 완산구 효자동3가 1540-1</t>
  </si>
  <si>
    <t>전라북도 전주시 완산구 세내로 303</t>
  </si>
  <si>
    <t>청솔</t>
  </si>
  <si>
    <t>2001.04.</t>
  </si>
  <si>
    <t>https://new.land.naver.com/complexes/26968?tab=detail&amp;rf=Y</t>
  </si>
  <si>
    <t>전라북도 전주시 완산구 효자동3가 1483-1</t>
  </si>
  <si>
    <t>전라북도 전주시 완산구 서곡로 34</t>
  </si>
  <si>
    <t>힐스테이트효자동</t>
  </si>
  <si>
    <t>2017.11.</t>
  </si>
  <si>
    <t>https://new.land.naver.com/complexes/115598?tab=detail&amp;rf=Y</t>
  </si>
  <si>
    <t>전라북도 전주시 완산구 효자동3가 1540-3</t>
  </si>
  <si>
    <t>전라북도 전주시 완산구 세내로 291</t>
  </si>
  <si>
    <t>호반베르디움</t>
  </si>
  <si>
    <t>2007.12.</t>
  </si>
  <si>
    <t>https://new.land.naver.com/complexes/23721?tab=detail&amp;rf=Y</t>
  </si>
  <si>
    <t>전라북도 전주시 완산구 효자동3가 1524-2</t>
  </si>
  <si>
    <t>전라북도 전주시 완산구 유연로 217</t>
  </si>
  <si>
    <t>신원아침도시펜트176</t>
  </si>
  <si>
    <t>2015.05.</t>
  </si>
  <si>
    <t>https://new.land.naver.com/complexes/108029?tab=detail&amp;rf=Y</t>
  </si>
  <si>
    <t>전라북도 전주시 완산구 효자동3가 1540-2</t>
  </si>
  <si>
    <t>전라북도 전주시 완산구 세내로 299</t>
  </si>
  <si>
    <t>137C</t>
  </si>
  <si>
    <t>139D</t>
  </si>
  <si>
    <t>코아루성우아르데코(도시형)</t>
  </si>
  <si>
    <t>https://new.land.naver.com/complexes/106715?tab=detail&amp;rf=Y</t>
  </si>
  <si>
    <t>전라북도 전주시 완산구 효자동3가 1531-1</t>
  </si>
  <si>
    <t>전라북도 전주시 완산구 홍산로 262</t>
  </si>
  <si>
    <t>서곡LG</t>
  </si>
  <si>
    <t>1999.11.</t>
  </si>
  <si>
    <t>https://new.land.naver.com/complexes/5732?tab=detail&amp;rf=Y</t>
  </si>
  <si>
    <t>전라북도 전주시 완산구 효자동3가 1473-1</t>
  </si>
  <si>
    <t>전라북도 전주시 완산구 세내로 559</t>
  </si>
  <si>
    <t>서곡대림</t>
  </si>
  <si>
    <t>https://new.land.naver.com/complexes/5734?tab=detail&amp;rf=Y</t>
  </si>
  <si>
    <t>전라북도 전주시 완산구 효자동3가 1473-5</t>
  </si>
  <si>
    <t>전라북도 전주시 완산구 서곡로 11</t>
  </si>
  <si>
    <t>우미린</t>
  </si>
  <si>
    <t>https://new.land.naver.com/complexes/25217?tab=detail&amp;rf=Y</t>
  </si>
  <si>
    <t>전라북도 전주시 완산구 효자동3가 1523-3</t>
  </si>
  <si>
    <t>전라북도 전주시 완산구 유연로 219</t>
  </si>
  <si>
    <t>서곡주공</t>
  </si>
  <si>
    <t>https://new.land.naver.com/complexes/17107?tab=detail&amp;rf=Y</t>
  </si>
  <si>
    <t>전라북도 전주시 완산구 효자동3가 1482-1</t>
  </si>
  <si>
    <t>전라북도 전주시 완산구 서곡로 8</t>
  </si>
  <si>
    <t>서곡현대</t>
  </si>
  <si>
    <t>1999.06.</t>
  </si>
  <si>
    <t>https://new.land.naver.com/complexes/5748?tab=detail&amp;rf=Y</t>
  </si>
  <si>
    <t>전라북도 전주시 완산구 효자동3가 1473-2</t>
  </si>
  <si>
    <t>전라북도 전주시 완산구 세내로 545</t>
  </si>
  <si>
    <t>서부신시가지아이파크</t>
  </si>
  <si>
    <t>https://new.land.naver.com/complexes/23720?tab=detail&amp;rf=Y</t>
  </si>
  <si>
    <t>전라북도 전주시 완산구 효자동3가 1524-1</t>
  </si>
  <si>
    <t>전라북도 전주시 완산구 홍산로 390</t>
  </si>
  <si>
    <t>성우아르데코</t>
  </si>
  <si>
    <t>2018.07.</t>
  </si>
  <si>
    <t>67A</t>
  </si>
  <si>
    <t>https://new.land.naver.com/complexes/115386?tab=detail&amp;rf=Y</t>
  </si>
  <si>
    <t>전라북도 전주시 완산구 효자동3가 1542-2</t>
  </si>
  <si>
    <t>전라북도 전주시 완산구 세내로 281</t>
  </si>
  <si>
    <t>67B</t>
  </si>
  <si>
    <t>추출대상</t>
  </si>
  <si>
    <t>매전갭</t>
  </si>
  <si>
    <t>'92.09.</t>
  </si>
  <si>
    <t>'93.06.</t>
  </si>
  <si>
    <t>'93.11.</t>
  </si>
  <si>
    <t>'97.05.</t>
  </si>
  <si>
    <t>'91.08.</t>
  </si>
  <si>
    <t>'86.04.</t>
  </si>
  <si>
    <t>'00.03.</t>
  </si>
  <si>
    <t>'06.07.</t>
  </si>
  <si>
    <t>'91.04.</t>
  </si>
  <si>
    <t>'02.03.</t>
  </si>
  <si>
    <t>'87.04.</t>
  </si>
  <si>
    <t>'98.12.</t>
  </si>
  <si>
    <t>'98.05.</t>
  </si>
  <si>
    <t>'86.12.</t>
  </si>
  <si>
    <t>'97.04.</t>
  </si>
  <si>
    <t>'93.03.</t>
  </si>
  <si>
    <t>'89.05.</t>
  </si>
  <si>
    <t>'92.08.</t>
  </si>
  <si>
    <t>'87.12.</t>
  </si>
  <si>
    <t>'14.11.</t>
  </si>
  <si>
    <t>'91.07.</t>
  </si>
  <si>
    <t>'98.04.</t>
  </si>
  <si>
    <t>'85.12.</t>
  </si>
  <si>
    <t>'91.10.</t>
  </si>
  <si>
    <t>'97.01.</t>
  </si>
  <si>
    <t>'99.12.</t>
  </si>
  <si>
    <t>'00.05.</t>
  </si>
  <si>
    <t>'97.03.</t>
  </si>
  <si>
    <t>'98.07.</t>
  </si>
  <si>
    <t>'07.01.</t>
  </si>
  <si>
    <t>'86.01.</t>
  </si>
  <si>
    <t>'95.11.</t>
  </si>
  <si>
    <t>'83.06.</t>
  </si>
  <si>
    <t>'98.08.</t>
  </si>
  <si>
    <t>'97.07.</t>
  </si>
  <si>
    <t>'96.08.</t>
  </si>
  <si>
    <t>'98.06.</t>
  </si>
  <si>
    <t>'95.12.</t>
  </si>
  <si>
    <t>'95.08.</t>
  </si>
  <si>
    <t>'20.12.</t>
  </si>
  <si>
    <t>'99.10.</t>
  </si>
  <si>
    <t>'01.11.</t>
  </si>
  <si>
    <t>'96.04.</t>
  </si>
  <si>
    <t>'98.01.</t>
  </si>
  <si>
    <t>'21.06.</t>
  </si>
  <si>
    <t>'05.12.</t>
  </si>
  <si>
    <t>'18.03.</t>
  </si>
  <si>
    <t>'93.08.</t>
  </si>
  <si>
    <t>'13.05.</t>
  </si>
  <si>
    <t>'93.09.</t>
  </si>
  <si>
    <t>'95.07.</t>
  </si>
  <si>
    <t>'99.04.</t>
  </si>
  <si>
    <t>'05.08.</t>
  </si>
  <si>
    <t>'96.07.</t>
  </si>
  <si>
    <t>'90.11.</t>
  </si>
  <si>
    <t>'03.07.</t>
  </si>
  <si>
    <t>'03.10.</t>
  </si>
  <si>
    <t>'92.06.</t>
  </si>
  <si>
    <t>'11.04.</t>
  </si>
  <si>
    <t>'15.06.</t>
  </si>
  <si>
    <t>'03.05.</t>
  </si>
  <si>
    <t>'93.01.</t>
  </si>
  <si>
    <t>'94.12.</t>
  </si>
  <si>
    <t>'22.05.</t>
  </si>
  <si>
    <t>'09.01.</t>
  </si>
  <si>
    <t>'96.12.</t>
  </si>
  <si>
    <t>'92.04.</t>
  </si>
  <si>
    <t>'92.11.</t>
  </si>
  <si>
    <t>'13.12.</t>
  </si>
  <si>
    <t>'95.01.</t>
  </si>
  <si>
    <t>'97.08.</t>
  </si>
  <si>
    <t>'96.05.</t>
  </si>
  <si>
    <t>'05.04.</t>
  </si>
  <si>
    <t>'04.10.</t>
  </si>
  <si>
    <t>'95.06.</t>
  </si>
  <si>
    <t>'20.08.</t>
  </si>
  <si>
    <t>'96.06.</t>
  </si>
  <si>
    <t>'02.10.</t>
  </si>
  <si>
    <t>'18.01.</t>
  </si>
  <si>
    <t>'12.11.</t>
  </si>
  <si>
    <t>'02.01.</t>
  </si>
  <si>
    <t>'05.11.</t>
  </si>
  <si>
    <t>'03.12.</t>
  </si>
  <si>
    <t>'13.01.</t>
  </si>
  <si>
    <t>'03.02.</t>
  </si>
  <si>
    <t>'02.04.</t>
  </si>
  <si>
    <t>'93.10.</t>
  </si>
  <si>
    <t>'17.08.</t>
  </si>
  <si>
    <t>'97.02.</t>
  </si>
  <si>
    <t>'94.04.</t>
  </si>
  <si>
    <t>'84.10.</t>
  </si>
  <si>
    <t>'91.11.</t>
  </si>
  <si>
    <t>'06.08.</t>
  </si>
  <si>
    <t>'90.03.</t>
  </si>
  <si>
    <t>'92.03.</t>
  </si>
  <si>
    <t>'90.12.</t>
  </si>
  <si>
    <t>'94.03.</t>
  </si>
  <si>
    <t>'22.06.</t>
  </si>
  <si>
    <t>'02.11.</t>
  </si>
  <si>
    <t>'06.05.</t>
  </si>
  <si>
    <t>'92.01.</t>
  </si>
  <si>
    <t>'93.05.</t>
  </si>
  <si>
    <t>'09.08.</t>
  </si>
  <si>
    <t>'15.03.</t>
  </si>
  <si>
    <t>'20.01.</t>
  </si>
  <si>
    <t>'07.02.</t>
  </si>
  <si>
    <t>'19.06.</t>
  </si>
  <si>
    <t>'20.05.</t>
  </si>
  <si>
    <t>'09.11.</t>
  </si>
  <si>
    <t>'10.11.</t>
  </si>
  <si>
    <t>'05.10.</t>
  </si>
  <si>
    <t>'16.01.</t>
  </si>
  <si>
    <t>'07.05.</t>
  </si>
  <si>
    <t>'99.09.</t>
  </si>
  <si>
    <t>'15.10.</t>
  </si>
  <si>
    <t>'18.11.</t>
  </si>
  <si>
    <t>'01.04.</t>
  </si>
  <si>
    <t>'17.11.</t>
  </si>
  <si>
    <t>'07.12.</t>
  </si>
  <si>
    <t>'99.11.</t>
  </si>
  <si>
    <t>'99.06.</t>
  </si>
  <si>
    <t>동명</t>
  </si>
  <si>
    <t>'19.04</t>
  </si>
  <si>
    <t>97.05.</t>
    <phoneticPr fontId="2" type="noConversion"/>
  </si>
  <si>
    <t>00.03.</t>
    <phoneticPr fontId="2" type="noConversion"/>
  </si>
  <si>
    <t>93.03.</t>
    <phoneticPr fontId="2" type="noConversion"/>
  </si>
  <si>
    <t>95.11.</t>
    <phoneticPr fontId="2" type="noConversion"/>
  </si>
  <si>
    <t>97.07.</t>
    <phoneticPr fontId="2" type="noConversion"/>
  </si>
  <si>
    <t>서신동 동아,한일</t>
    <phoneticPr fontId="2" type="noConversion"/>
  </si>
  <si>
    <t>98.06.</t>
    <phoneticPr fontId="2" type="noConversion"/>
  </si>
  <si>
    <t>95.12.</t>
    <phoneticPr fontId="2" type="noConversion"/>
  </si>
  <si>
    <t>95.08.</t>
    <phoneticPr fontId="2" type="noConversion"/>
  </si>
  <si>
    <t>20.12.</t>
    <phoneticPr fontId="2" type="noConversion"/>
  </si>
  <si>
    <t>서신동 서신아이파크e편한세상</t>
    <phoneticPr fontId="2" type="noConversion"/>
  </si>
  <si>
    <t>99.10.</t>
    <phoneticPr fontId="2" type="noConversion"/>
  </si>
  <si>
    <t>96.04.</t>
    <phoneticPr fontId="2" type="noConversion"/>
  </si>
  <si>
    <t>서신동 성원</t>
    <phoneticPr fontId="2" type="noConversion"/>
  </si>
  <si>
    <t>서신동 롯데</t>
    <phoneticPr fontId="2" type="noConversion"/>
  </si>
  <si>
    <t>서신동 광진선수촌</t>
    <phoneticPr fontId="2" type="noConversion"/>
  </si>
  <si>
    <t>98.01.</t>
    <phoneticPr fontId="2" type="noConversion"/>
  </si>
  <si>
    <t>중노송동 한옥마을서해그랑블</t>
    <phoneticPr fontId="2" type="noConversion"/>
  </si>
  <si>
    <t>18.03.</t>
    <phoneticPr fontId="2" type="noConversion"/>
  </si>
  <si>
    <t>중화산동2가 한신코아</t>
    <phoneticPr fontId="2" type="noConversion"/>
  </si>
  <si>
    <t>90.11.</t>
    <phoneticPr fontId="2" type="noConversion"/>
  </si>
  <si>
    <t>03.10.</t>
    <phoneticPr fontId="2" type="noConversion"/>
  </si>
  <si>
    <t>15.06.</t>
    <phoneticPr fontId="2" type="noConversion"/>
  </si>
  <si>
    <t>평화동1가 한성</t>
    <phoneticPr fontId="2" type="noConversion"/>
  </si>
  <si>
    <t>96.12.</t>
    <phoneticPr fontId="2" type="noConversion"/>
  </si>
  <si>
    <t>평화동1가 평화주공2단지</t>
    <phoneticPr fontId="2" type="noConversion"/>
  </si>
  <si>
    <t>92.04.</t>
    <phoneticPr fontId="2" type="noConversion"/>
  </si>
  <si>
    <t>평화동1가 코오롱</t>
    <phoneticPr fontId="2" type="noConversion"/>
  </si>
  <si>
    <t>95.01.</t>
    <phoneticPr fontId="2" type="noConversion"/>
  </si>
  <si>
    <t>평화동2가 평화동신</t>
    <phoneticPr fontId="2" type="noConversion"/>
  </si>
  <si>
    <t>96.06.</t>
    <phoneticPr fontId="2" type="noConversion"/>
  </si>
  <si>
    <t>02.10.</t>
    <phoneticPr fontId="2" type="noConversion"/>
  </si>
  <si>
    <t>97.02.</t>
    <phoneticPr fontId="2" type="noConversion"/>
  </si>
  <si>
    <t>90.03.</t>
    <phoneticPr fontId="2" type="noConversion"/>
  </si>
  <si>
    <t>서신동 중흥</t>
    <phoneticPr fontId="2" type="noConversion"/>
  </si>
  <si>
    <t>98.08.</t>
    <phoneticPr fontId="2" type="noConversion"/>
  </si>
  <si>
    <t>서신동 서신광진</t>
    <phoneticPr fontId="2" type="noConversion"/>
  </si>
  <si>
    <t>95.12.</t>
    <phoneticPr fontId="2" type="noConversion"/>
  </si>
  <si>
    <t>중화산동2가 중화산영무예다음</t>
    <phoneticPr fontId="2" type="noConversion"/>
  </si>
  <si>
    <t>평화동2가 삼성강남</t>
    <phoneticPr fontId="2" type="noConversion"/>
  </si>
  <si>
    <t>93.10.</t>
    <phoneticPr fontId="2" type="noConversion"/>
  </si>
  <si>
    <t>효자동1가 삼성효자맨션</t>
    <phoneticPr fontId="2" type="noConversion"/>
  </si>
  <si>
    <t>효자동1가 상산타운</t>
    <phoneticPr fontId="2" type="noConversion"/>
  </si>
  <si>
    <t>94.04.</t>
    <phoneticPr fontId="2" type="noConversion"/>
  </si>
  <si>
    <t>97.04.</t>
    <phoneticPr fontId="2" type="noConversion"/>
  </si>
  <si>
    <t>효자동1가 효자현대</t>
    <phoneticPr fontId="2" type="noConversion"/>
  </si>
  <si>
    <t>효자동1가 제일효자타운</t>
    <phoneticPr fontId="2" type="noConversion"/>
  </si>
  <si>
    <t>효자동1가 효자롯데</t>
    <phoneticPr fontId="2" type="noConversion"/>
  </si>
  <si>
    <t>삼천동1가 대왕장미타운</t>
    <phoneticPr fontId="2" type="noConversion"/>
  </si>
  <si>
    <t>삼천동1가 삼천흥건2차</t>
    <phoneticPr fontId="2" type="noConversion"/>
  </si>
  <si>
    <t>00.03.</t>
    <phoneticPr fontId="2" type="noConversion"/>
  </si>
  <si>
    <t>삼천동1가 삼천하이츠</t>
    <phoneticPr fontId="2" type="noConversion"/>
  </si>
  <si>
    <t>삼천동1가 삼천남양</t>
    <phoneticPr fontId="2" type="noConversion"/>
  </si>
  <si>
    <t>98.12.</t>
    <phoneticPr fontId="2" type="noConversion"/>
  </si>
  <si>
    <t>삼천동1가 삼천주공5단지</t>
    <phoneticPr fontId="2" type="noConversion"/>
  </si>
  <si>
    <t>삼천동1가 신일강변</t>
    <phoneticPr fontId="2" type="noConversion"/>
  </si>
  <si>
    <t>97.01.</t>
    <phoneticPr fontId="2" type="noConversion"/>
  </si>
  <si>
    <t>서신동 제일비사벌</t>
    <phoneticPr fontId="2" type="noConversion"/>
  </si>
  <si>
    <t>서신동 동아,한일</t>
    <phoneticPr fontId="2" type="noConversion"/>
  </si>
  <si>
    <t>서신동 서신남양대명타운</t>
    <phoneticPr fontId="2" type="noConversion"/>
  </si>
  <si>
    <t>서신동 감나무골대우,대창</t>
    <phoneticPr fontId="2" type="noConversion"/>
  </si>
  <si>
    <t>서신동 서신쌍용</t>
    <phoneticPr fontId="2" type="noConversion"/>
  </si>
  <si>
    <t>서신동 서신신일</t>
    <phoneticPr fontId="2" type="noConversion"/>
  </si>
  <si>
    <t>중화산동2가 우성근영타운</t>
    <phoneticPr fontId="2" type="noConversion"/>
  </si>
  <si>
    <t>96.07.</t>
    <phoneticPr fontId="2" type="noConversion"/>
  </si>
  <si>
    <t>중화산동2가 현대에코르</t>
    <phoneticPr fontId="2" type="noConversion"/>
  </si>
  <si>
    <t>평화동2가 평화동신</t>
    <phoneticPr fontId="2" type="noConversion"/>
  </si>
  <si>
    <t>98.06.</t>
    <phoneticPr fontId="2" type="noConversion"/>
  </si>
  <si>
    <t>평화동2가 전주평화주공5단지</t>
    <phoneticPr fontId="2" type="noConversion"/>
  </si>
  <si>
    <t>95.06.</t>
    <phoneticPr fontId="2" type="noConversion"/>
  </si>
  <si>
    <t>평화동2가 우미</t>
    <phoneticPr fontId="2" type="noConversion"/>
  </si>
  <si>
    <t>평화동2가 평화주공그린타운2단지</t>
    <phoneticPr fontId="2" type="noConversion"/>
  </si>
  <si>
    <t>평화동2가 평화주공그린타운1단지</t>
    <phoneticPr fontId="2" type="noConversion"/>
  </si>
  <si>
    <t>02.01.</t>
    <phoneticPr fontId="2" type="noConversion"/>
  </si>
  <si>
    <t>평화동2가 송정써미트</t>
    <phoneticPr fontId="2" type="noConversion"/>
  </si>
  <si>
    <t>05.11.</t>
    <phoneticPr fontId="2" type="noConversion"/>
  </si>
  <si>
    <t>평화동2가 호반리젠시빌</t>
    <phoneticPr fontId="2" type="noConversion"/>
  </si>
  <si>
    <t>02.04.</t>
    <phoneticPr fontId="2" type="noConversion"/>
  </si>
  <si>
    <t>효자동1가 한강</t>
    <phoneticPr fontId="2" type="noConversion"/>
  </si>
  <si>
    <t>93.09.</t>
    <phoneticPr fontId="2" type="noConversion"/>
  </si>
  <si>
    <t>90.12.</t>
    <phoneticPr fontId="2" type="noConversion"/>
  </si>
  <si>
    <t>효자동1가 대명까치맨션</t>
    <phoneticPr fontId="2" type="noConversion"/>
  </si>
  <si>
    <t>93.05.</t>
    <phoneticPr fontId="2" type="noConversion"/>
  </si>
  <si>
    <t>효자동3가 청솔</t>
    <phoneticPr fontId="2" type="noConversion"/>
  </si>
  <si>
    <t>01.04.</t>
    <phoneticPr fontId="2" type="noConversion"/>
  </si>
  <si>
    <t>효자동3가 호반베르디움</t>
    <phoneticPr fontId="2" type="noConversion"/>
  </si>
  <si>
    <t>07.12.</t>
    <phoneticPr fontId="2" type="noConversion"/>
  </si>
  <si>
    <t>효자동3가 서곡대림</t>
    <phoneticPr fontId="2" type="noConversion"/>
  </si>
  <si>
    <t>99.10.</t>
    <phoneticPr fontId="2" type="noConversion"/>
  </si>
  <si>
    <t>효자동3가 서곡주공</t>
    <phoneticPr fontId="2" type="noConversion"/>
  </si>
  <si>
    <t>00.03.</t>
    <phoneticPr fontId="2" type="noConversion"/>
  </si>
  <si>
    <t>효자동3가 서곡주공</t>
    <phoneticPr fontId="2" type="noConversion"/>
  </si>
  <si>
    <t>아르팰리스휴먼시아8단지('10/4.3)_x000D_
LH세븐팰리스('13/4.3)_x000D_
휴먼시아아이린('09/4.0)</t>
    <phoneticPr fontId="2" type="noConversion"/>
  </si>
  <si>
    <t>아르팰리스휴먼시아8단지(31평/4.0)_x000D_
효자엘드수목토1차(30평/3.3)</t>
    <phoneticPr fontId="2" type="noConversion"/>
  </si>
  <si>
    <t>상산타운(31평/2.4)_x000D_
KJ라미안(33평/2.4)_x000D_
제일효자타운(32평/2.4)_x000D_
효자롯데(31평/2.3)_x000D_
쌍용모악파크(31평/2.1)</t>
    <phoneticPr fontId="2" type="noConversion"/>
  </si>
  <si>
    <t>효자대림('02/1.9)_x000D_
삼성효자맨션('97/1.9)_x000D_
삼호('91/1.7)</t>
    <phoneticPr fontId="2" type="noConversion"/>
  </si>
  <si>
    <t>효자롯데(26평/1.9)_x000D_
효자대림(33평/1.9)_x000D_
삼성효자맨션(33평/1.9)_x000D_
효자현대(26평/1.8)_x000D_
삼호(31평/1.7)_x000D_
삼호(27평/1.6)</t>
    <phoneticPr fontId="2" type="noConversion"/>
  </si>
  <si>
    <t>효자롯데('90/1.9)_x000D_
효자현대('90/1.8)_x000D_
삼호('91/1.6)</t>
    <phoneticPr fontId="2" type="noConversion"/>
  </si>
  <si>
    <t>태평동</t>
    <phoneticPr fontId="2" type="noConversion"/>
  </si>
  <si>
    <t>서신동</t>
    <phoneticPr fontId="2" type="noConversion"/>
  </si>
  <si>
    <t>서신아이파크e편한세상(33평/6.2)</t>
  </si>
  <si>
    <t>서신아이파크e편한세상('20/6.2)</t>
  </si>
  <si>
    <t>전주효천우미린더프레스티지(33평/5.8)_x000D_
전주효천우미린더퍼스트(33평/5.6)</t>
    <phoneticPr fontId="2" type="noConversion"/>
  </si>
  <si>
    <t>전주효천우미린더프레스티지('20/5.8)_x000D_
전주효천우미린더퍼스트('19/5.6)</t>
    <phoneticPr fontId="2" type="noConversion"/>
  </si>
  <si>
    <t>서신아이파크e편한세상(25평/4.3)</t>
  </si>
  <si>
    <t>서신아이파크e편한세상('20/4.3)</t>
  </si>
  <si>
    <t>아르팰리스휴먼시아8단지(35평/4.3)_x000D_
LH세븐팰리스(33평/4.3)_x000D_
휴먼시아아이린(33평/4.0)</t>
    <phoneticPr fontId="2" type="noConversion"/>
  </si>
  <si>
    <t>아르팰리스휴먼시아8단지('10/4.0)_x000D_
효자엘드수목토1차('05/3.3)</t>
    <phoneticPr fontId="2" type="noConversion"/>
  </si>
  <si>
    <t>감나무골대우,대창(32평/2.6)_x000D_
광진선수촌(31평/2.6)_x000D_
제일비사벌(31평/2.6)_x000D_
서신남양대명타운(31평/2.5)</t>
    <phoneticPr fontId="2" type="noConversion"/>
  </si>
  <si>
    <t>감나무골대우,대창('99/2.6)_x000D_
광진선수촌('98/2.6)_x000D_
제일비사벌('95/2.6)_x000D_
서신남양대명타운('95/2.5)</t>
    <phoneticPr fontId="2" type="noConversion"/>
  </si>
  <si>
    <t>상산타운('94/2.4)_x000D_
KJ라미안('03/2.4)_x000D_
제일효자타운('93/2.4)_x000D_
효자롯데('90/2.3)_x000D_
쌍용모악파크('94/2.1)</t>
    <phoneticPr fontId="2" type="noConversion"/>
  </si>
  <si>
    <t>롯데(31평/2.0)</t>
  </si>
  <si>
    <t>롯데('93/2.0)</t>
  </si>
  <si>
    <t>서신아이파크e편한세상('20/1.6)</t>
  </si>
  <si>
    <t>중흥(23평/1.9)_x000D_
동아,한일(24평/1.8)_x000D_
서신신일(23평/1.7)_x000D_
서신아이파크e편한세상(16평/1.6)_x000D_
서신광진(23평/1.5)_x000D_
성원(24평/1.5)</t>
    <phoneticPr fontId="2" type="noConversion"/>
  </si>
  <si>
    <t>중흥('98/1.9)_x000D_
동아,한일('97/1.8)_x000D_
서신신일('95/1.7)_x000D_
서신광진('95/1.5)_x000D_
성원('95/1.5)</t>
    <phoneticPr fontId="2" type="noConversion"/>
  </si>
  <si>
    <t>서신쌍용(25평/1.3)</t>
  </si>
  <si>
    <t>서신쌍용('96/1.3)</t>
  </si>
  <si>
    <t>제일효자타운('93/1.5)_x000D_
상산타운('94/1.4)_x000D_
한강('97/1.4)_x000D_
금호('92/1.4)_x000D_
쌍용모악파크('94/1.3)_x000D_
삼성효자맨션('97/1.2)</t>
    <phoneticPr fontId="2" type="noConversion"/>
  </si>
  <si>
    <t>제일효자타운(23평/1.5)_x000D_
상산타운(25평/1.4)_x000D_
한강(23평/1.4)_x000D_
금호(27평/1.4)_x000D_
쌍용모악파크(22평/1.3)_x000D_
삼성효자맨션(23평/1.2)_x000D_
한강(19평/1.1)_x000D_
대명까치맨션(34평/1.1)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</si>
</sst>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2">
    <numFmt numFmtId="176" formatCode="#,##0_ "/>
    <numFmt numFmtId="177" formatCode="yyyy&quot;년&quot;\ m&quot;월&quot;\ d&quot;일&quot;;@"/>
    <numFmt numFmtId="178" formatCode="General&quot;^&quot;"/>
    <numFmt numFmtId="179" formatCode="&quot;~&quot;General"/>
    <numFmt numFmtId="180" formatCode="General&quot;~&quot;"/>
    <numFmt numFmtId="181" formatCode="0_ "/>
    <numFmt numFmtId="182" formatCode="0.0%"/>
    <numFmt numFmtId="183" formatCode="0.0"/>
    <numFmt numFmtId="184" formatCode="0_);[Red]\(0\)"/>
    <numFmt numFmtId="185" formatCode="&quot;@&quot;#,##0_ "/>
    <numFmt numFmtId="186" formatCode="#,###&quot;^&quot;"/>
    <numFmt numFmtId="187" formatCode="#,##0_);[Red]\(#,##0\)"/>
  </numFmts>
  <fonts count="17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9"/>
      <color theme="1"/>
      <name val="맑은 고딕"/>
      <family val="2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b/>
      <sz val="9"/>
      <name val="맑은 고딕"/>
      <family val="3"/>
      <charset val="129"/>
      <scheme val="minor"/>
    </font>
    <font>
      <sz val="9"/>
      <name val="맑은 고딕"/>
      <family val="3"/>
      <charset val="129"/>
      <scheme val="minor"/>
    </font>
    <font>
      <sz val="9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1"/>
      <color rgb="FFFF000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  <scheme val="minor"/>
    </font>
    <font>
      <sz val="9"/>
      <color indexed="8"/>
      <name val="맑은 고딕"/>
      <family val="3"/>
      <charset val="129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indexed="9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2">
    <xf numFmtId="0" fontId="0" fillId="0" borderId="0">
      <alignment vertical="center"/>
    </xf>
    <xf numFmtId="9" fontId="1" fillId="0" borderId="0">
      <alignment vertical="center"/>
    </xf>
  </cellStyleXfs>
  <cellXfs count="120">
    <xf numFmtId="0" fontId="0" fillId="0" borderId="0" xfId="0" applyAlignment="1">
      <alignment vertical="center"/>
    </xf>
    <xf numFmtId="0" fontId="4" fillId="2" borderId="0" xfId="0" applyFont="1" applyFill="1" applyAlignment="1">
      <alignment horizontal="right" vertical="center"/>
    </xf>
    <xf numFmtId="0" fontId="4" fillId="2" borderId="0" xfId="0" applyFont="1" applyFill="1" applyAlignment="1">
      <alignment horizontal="center" vertical="center"/>
    </xf>
    <xf numFmtId="49" fontId="4" fillId="2" borderId="0" xfId="0" applyNumberFormat="1" applyFont="1" applyFill="1" applyAlignment="1">
      <alignment horizontal="center" vertical="center"/>
    </xf>
    <xf numFmtId="9" fontId="4" fillId="2" borderId="1" xfId="1" applyFont="1" applyFill="1" applyBorder="1" applyAlignment="1">
      <alignment vertical="center"/>
    </xf>
    <xf numFmtId="49" fontId="4" fillId="2" borderId="1" xfId="0" applyNumberFormat="1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right" vertical="center"/>
    </xf>
    <xf numFmtId="0" fontId="5" fillId="2" borderId="0" xfId="0" applyFont="1" applyFill="1" applyAlignment="1">
      <alignment vertical="center"/>
    </xf>
    <xf numFmtId="0" fontId="6" fillId="2" borderId="1" xfId="0" applyFont="1" applyFill="1" applyBorder="1" applyAlignment="1">
      <alignment vertical="center"/>
    </xf>
    <xf numFmtId="0" fontId="4" fillId="2" borderId="1" xfId="0" applyFont="1" applyFill="1" applyBorder="1" applyAlignment="1">
      <alignment vertical="center"/>
    </xf>
    <xf numFmtId="0" fontId="4" fillId="2" borderId="1" xfId="0" quotePrefix="1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 wrapText="1"/>
    </xf>
    <xf numFmtId="0" fontId="4" fillId="3" borderId="1" xfId="0" applyFont="1" applyFill="1" applyBorder="1" applyAlignment="1">
      <alignment horizontal="center" vertical="center"/>
    </xf>
    <xf numFmtId="49" fontId="4" fillId="3" borderId="1" xfId="0" applyNumberFormat="1" applyFont="1" applyFill="1" applyBorder="1" applyAlignment="1">
      <alignment horizontal="center" vertical="center" wrapText="1"/>
    </xf>
    <xf numFmtId="0" fontId="4" fillId="0" borderId="1" xfId="0" applyFont="1" applyBorder="1" applyAlignment="1">
      <alignment vertical="center"/>
    </xf>
    <xf numFmtId="0" fontId="4" fillId="3" borderId="1" xfId="0" applyFont="1" applyFill="1" applyBorder="1" applyAlignment="1">
      <alignment horizontal="center" vertical="center" wrapText="1"/>
    </xf>
    <xf numFmtId="49" fontId="3" fillId="3" borderId="1" xfId="0" applyNumberFormat="1" applyFont="1" applyFill="1" applyBorder="1" applyAlignment="1">
      <alignment horizontal="center" vertical="center" wrapText="1"/>
    </xf>
    <xf numFmtId="1" fontId="4" fillId="2" borderId="1" xfId="0" applyNumberFormat="1" applyFont="1" applyFill="1" applyBorder="1" applyAlignment="1">
      <alignment vertical="center"/>
    </xf>
    <xf numFmtId="0" fontId="7" fillId="3" borderId="1" xfId="0" quotePrefix="1" applyFont="1" applyFill="1" applyBorder="1" applyAlignment="1">
      <alignment horizontal="center" vertical="center"/>
    </xf>
    <xf numFmtId="0" fontId="8" fillId="3" borderId="1" xfId="0" applyFont="1" applyFill="1" applyBorder="1" applyAlignment="1">
      <alignment vertical="center"/>
    </xf>
    <xf numFmtId="0" fontId="3" fillId="2" borderId="1" xfId="0" applyFont="1" applyFill="1" applyBorder="1" applyAlignment="1">
      <alignment horizontal="center" vertical="center" wrapText="1"/>
    </xf>
    <xf numFmtId="0" fontId="9" fillId="3" borderId="1" xfId="0" applyFont="1" applyFill="1" applyBorder="1" applyAlignment="1">
      <alignment horizontal="center" vertical="center" wrapText="1"/>
    </xf>
    <xf numFmtId="0" fontId="4" fillId="4" borderId="1" xfId="0" applyFont="1" applyFill="1" applyBorder="1" applyAlignment="1">
      <alignment horizontal="center" vertical="center"/>
    </xf>
    <xf numFmtId="1" fontId="4" fillId="4" borderId="1" xfId="0" applyNumberFormat="1" applyFont="1" applyFill="1" applyBorder="1" applyAlignment="1">
      <alignment horizontal="center" vertical="center"/>
    </xf>
    <xf numFmtId="0" fontId="5" fillId="2" borderId="0" xfId="0" applyFont="1" applyFill="1" applyAlignment="1" applyProtection="1">
      <alignment vertical="center"/>
      <protection locked="0"/>
    </xf>
    <xf numFmtId="0" fontId="4" fillId="2" borderId="0" xfId="0" applyFont="1" applyFill="1" applyAlignment="1" applyProtection="1">
      <alignment vertical="center"/>
      <protection locked="0"/>
    </xf>
    <xf numFmtId="0" fontId="4" fillId="2" borderId="0" xfId="0" applyFont="1" applyFill="1" applyAlignment="1" applyProtection="1">
      <alignment horizontal="right" vertical="center"/>
      <protection locked="0"/>
    </xf>
    <xf numFmtId="0" fontId="4" fillId="2" borderId="0" xfId="0" applyFont="1" applyFill="1" applyAlignment="1" applyProtection="1">
      <alignment horizontal="center" vertical="center"/>
      <protection locked="0"/>
    </xf>
    <xf numFmtId="49" fontId="4" fillId="2" borderId="0" xfId="0" applyNumberFormat="1" applyFont="1" applyFill="1" applyAlignment="1" applyProtection="1">
      <alignment horizontal="center" vertical="center"/>
      <protection locked="0"/>
    </xf>
    <xf numFmtId="0" fontId="4" fillId="2" borderId="0" xfId="0" applyFont="1" applyFill="1" applyAlignment="1" applyProtection="1">
      <alignment horizontal="left" vertical="center"/>
      <protection locked="0"/>
    </xf>
    <xf numFmtId="0" fontId="8" fillId="3" borderId="1" xfId="0" quotePrefix="1" applyFont="1" applyFill="1" applyBorder="1" applyAlignment="1" applyProtection="1">
      <alignment horizontal="center" vertical="center"/>
      <protection locked="0"/>
    </xf>
    <xf numFmtId="0" fontId="8" fillId="3" borderId="1" xfId="0" applyFont="1" applyFill="1" applyBorder="1" applyAlignment="1" applyProtection="1">
      <alignment vertical="center"/>
      <protection locked="0"/>
    </xf>
    <xf numFmtId="0" fontId="7" fillId="3" borderId="1" xfId="0" applyFont="1" applyFill="1" applyBorder="1" applyAlignment="1" applyProtection="1">
      <alignment horizontal="center" vertical="center"/>
      <protection locked="0"/>
    </xf>
    <xf numFmtId="0" fontId="4" fillId="3" borderId="1" xfId="0" applyFont="1" applyFill="1" applyBorder="1" applyAlignment="1" applyProtection="1">
      <alignment horizontal="center" vertical="center" wrapText="1"/>
      <protection locked="0"/>
    </xf>
    <xf numFmtId="49" fontId="4" fillId="3" borderId="1" xfId="0" applyNumberFormat="1" applyFont="1" applyFill="1" applyBorder="1" applyAlignment="1" applyProtection="1">
      <alignment horizontal="center" vertical="center" wrapText="1"/>
      <protection locked="0"/>
    </xf>
    <xf numFmtId="49" fontId="3" fillId="3" borderId="1" xfId="0" applyNumberFormat="1" applyFont="1" applyFill="1" applyBorder="1" applyAlignment="1" applyProtection="1">
      <alignment horizontal="center" vertical="center" wrapText="1"/>
      <protection locked="0"/>
    </xf>
    <xf numFmtId="0" fontId="9" fillId="3" borderId="1" xfId="0" applyFont="1" applyFill="1" applyBorder="1" applyAlignment="1" applyProtection="1">
      <alignment horizontal="center" vertical="center" wrapText="1"/>
      <protection locked="0"/>
    </xf>
    <xf numFmtId="0" fontId="4" fillId="2" borderId="0" xfId="0" applyFont="1" applyFill="1" applyAlignment="1">
      <alignment vertical="center"/>
    </xf>
    <xf numFmtId="0" fontId="4" fillId="2" borderId="7" xfId="0" applyFont="1" applyFill="1" applyBorder="1" applyAlignment="1">
      <alignment vertical="center"/>
    </xf>
    <xf numFmtId="0" fontId="4" fillId="4" borderId="0" xfId="0" applyFont="1" applyFill="1" applyAlignment="1">
      <alignment vertical="center"/>
    </xf>
    <xf numFmtId="0" fontId="3" fillId="3" borderId="5" xfId="0" applyFont="1" applyFill="1" applyBorder="1" applyAlignment="1">
      <alignment vertical="center" wrapText="1"/>
    </xf>
    <xf numFmtId="0" fontId="3" fillId="3" borderId="6" xfId="0" applyFont="1" applyFill="1" applyBorder="1" applyAlignment="1">
      <alignment horizontal="center" vertical="center" wrapText="1"/>
    </xf>
    <xf numFmtId="0" fontId="4" fillId="4" borderId="0" xfId="0" applyFont="1" applyFill="1" applyAlignment="1">
      <alignment horizontal="center" vertical="center"/>
    </xf>
    <xf numFmtId="0" fontId="4" fillId="4" borderId="1" xfId="0" applyFont="1" applyFill="1" applyBorder="1" applyAlignment="1" applyProtection="1">
      <alignment horizontal="center" vertical="center"/>
      <protection locked="0"/>
    </xf>
    <xf numFmtId="0" fontId="4" fillId="4" borderId="1" xfId="0" applyFont="1" applyFill="1" applyBorder="1" applyAlignment="1">
      <alignment vertical="center"/>
    </xf>
    <xf numFmtId="0" fontId="4" fillId="2" borderId="8" xfId="0" applyFont="1" applyFill="1" applyBorder="1" applyAlignment="1" applyProtection="1">
      <alignment horizontal="center" vertical="center"/>
      <protection locked="0"/>
    </xf>
    <xf numFmtId="0" fontId="4" fillId="2" borderId="8" xfId="0" applyFont="1" applyFill="1" applyBorder="1" applyAlignment="1">
      <alignment vertical="center"/>
    </xf>
    <xf numFmtId="49" fontId="4" fillId="2" borderId="1" xfId="0" quotePrefix="1" applyNumberFormat="1" applyFont="1" applyFill="1" applyBorder="1" applyAlignment="1">
      <alignment horizontal="center" vertical="center"/>
    </xf>
    <xf numFmtId="0" fontId="4" fillId="2" borderId="8" xfId="0" applyFont="1" applyFill="1" applyBorder="1" applyAlignment="1">
      <alignment horizontal="center" vertical="center"/>
    </xf>
    <xf numFmtId="0" fontId="4" fillId="2" borderId="9" xfId="0" applyFont="1" applyFill="1" applyBorder="1" applyAlignment="1">
      <alignment vertical="center"/>
    </xf>
    <xf numFmtId="0" fontId="11" fillId="0" borderId="0" xfId="0" applyFont="1" applyAlignment="1">
      <alignment vertical="center" wrapText="1"/>
    </xf>
    <xf numFmtId="0" fontId="12" fillId="3" borderId="2" xfId="0" applyFont="1" applyFill="1" applyBorder="1" applyAlignment="1">
      <alignment horizontal="centerContinuous" vertical="center" wrapText="1"/>
    </xf>
    <xf numFmtId="0" fontId="12" fillId="3" borderId="3" xfId="0" applyFont="1" applyFill="1" applyBorder="1" applyAlignment="1">
      <alignment horizontal="centerContinuous" vertical="center" wrapText="1"/>
    </xf>
    <xf numFmtId="0" fontId="12" fillId="3" borderId="4" xfId="0" applyFont="1" applyFill="1" applyBorder="1" applyAlignment="1">
      <alignment horizontal="centerContinuous" vertical="center" wrapText="1"/>
    </xf>
    <xf numFmtId="0" fontId="12" fillId="3" borderId="1" xfId="0" applyFont="1" applyFill="1" applyBorder="1" applyAlignment="1">
      <alignment horizontal="center" vertical="center" wrapText="1"/>
    </xf>
    <xf numFmtId="0" fontId="12" fillId="5" borderId="3" xfId="0" applyFont="1" applyFill="1" applyBorder="1" applyAlignment="1">
      <alignment horizontal="center" vertical="center" wrapText="1"/>
    </xf>
    <xf numFmtId="0" fontId="4" fillId="5" borderId="1" xfId="0" applyFont="1" applyFill="1" applyBorder="1" applyAlignment="1">
      <alignment vertical="center" wrapText="1"/>
    </xf>
    <xf numFmtId="0" fontId="12" fillId="6" borderId="7" xfId="0" applyFont="1" applyFill="1" applyBorder="1" applyAlignment="1">
      <alignment horizontal="center" vertical="center" wrapText="1"/>
    </xf>
    <xf numFmtId="0" fontId="4" fillId="6" borderId="1" xfId="0" applyFont="1" applyFill="1" applyBorder="1" applyAlignment="1">
      <alignment vertical="center" wrapText="1"/>
    </xf>
    <xf numFmtId="0" fontId="12" fillId="6" borderId="3" xfId="0" applyFont="1" applyFill="1" applyBorder="1" applyAlignment="1">
      <alignment horizontal="center" vertical="center" wrapText="1"/>
    </xf>
    <xf numFmtId="0" fontId="12" fillId="7" borderId="3" xfId="0" applyFont="1" applyFill="1" applyBorder="1" applyAlignment="1">
      <alignment horizontal="center" vertical="center" wrapText="1"/>
    </xf>
    <xf numFmtId="0" fontId="4" fillId="7" borderId="1" xfId="0" applyFont="1" applyFill="1" applyBorder="1" applyAlignment="1">
      <alignment vertical="center" wrapText="1"/>
    </xf>
    <xf numFmtId="0" fontId="12" fillId="8" borderId="3" xfId="0" applyFont="1" applyFill="1" applyBorder="1" applyAlignment="1">
      <alignment horizontal="center" vertical="center" wrapText="1"/>
    </xf>
    <xf numFmtId="0" fontId="4" fillId="8" borderId="1" xfId="0" applyFont="1" applyFill="1" applyBorder="1" applyAlignment="1">
      <alignment vertical="center" wrapText="1"/>
    </xf>
    <xf numFmtId="0" fontId="3" fillId="3" borderId="2" xfId="0" applyFont="1" applyFill="1" applyBorder="1" applyAlignment="1">
      <alignment horizontal="center" vertical="center" wrapText="1"/>
    </xf>
    <xf numFmtId="0" fontId="3" fillId="3" borderId="3" xfId="0" applyFont="1" applyFill="1" applyBorder="1" applyAlignment="1">
      <alignment horizontal="center" vertical="center" wrapText="1"/>
    </xf>
    <xf numFmtId="0" fontId="3" fillId="3" borderId="4" xfId="0" applyFont="1" applyFill="1" applyBorder="1" applyAlignment="1">
      <alignment horizontal="center" vertical="center" wrapText="1"/>
    </xf>
    <xf numFmtId="0" fontId="4" fillId="3" borderId="2" xfId="0" applyFont="1" applyFill="1" applyBorder="1" applyAlignment="1">
      <alignment horizontal="centerContinuous" vertical="center"/>
    </xf>
    <xf numFmtId="0" fontId="4" fillId="3" borderId="3" xfId="0" applyFont="1" applyFill="1" applyBorder="1" applyAlignment="1">
      <alignment horizontal="centerContinuous" vertical="center"/>
    </xf>
    <xf numFmtId="0" fontId="4" fillId="3" borderId="4" xfId="0" applyFont="1" applyFill="1" applyBorder="1" applyAlignment="1">
      <alignment horizontal="centerContinuous" vertical="center"/>
    </xf>
    <xf numFmtId="0" fontId="13" fillId="0" borderId="0" xfId="0" applyFont="1" applyAlignment="1">
      <alignment vertical="center"/>
    </xf>
    <xf numFmtId="0" fontId="14" fillId="4" borderId="0" xfId="0" applyFont="1" applyFill="1" applyAlignment="1">
      <alignment vertical="center"/>
    </xf>
    <xf numFmtId="0" fontId="0" fillId="9" borderId="0" xfId="0" applyFill="1" applyAlignment="1">
      <alignment vertical="center"/>
    </xf>
    <xf numFmtId="0" fontId="3" fillId="3" borderId="1" xfId="0" applyFont="1" applyFill="1" applyBorder="1" applyAlignment="1" applyProtection="1">
      <alignment horizontal="center" vertical="center" wrapText="1"/>
      <protection locked="0"/>
    </xf>
    <xf numFmtId="0" fontId="4" fillId="3" borderId="1" xfId="0" applyFont="1" applyFill="1" applyBorder="1" applyAlignment="1" applyProtection="1">
      <alignment horizontal="center" vertical="center"/>
      <protection locked="0"/>
    </xf>
    <xf numFmtId="0" fontId="10" fillId="0" borderId="0" xfId="0" applyFont="1" applyAlignment="1">
      <alignment vertical="center" wrapText="1"/>
    </xf>
    <xf numFmtId="0" fontId="4" fillId="2" borderId="1" xfId="0" applyFont="1" applyFill="1" applyBorder="1" applyAlignment="1">
      <alignment horizontal="center" vertical="center"/>
    </xf>
    <xf numFmtId="0" fontId="16" fillId="2" borderId="1" xfId="0" applyFont="1" applyFill="1" applyBorder="1" applyAlignment="1">
      <alignment vertical="center"/>
    </xf>
    <xf numFmtId="0" fontId="16" fillId="2" borderId="1" xfId="0" quotePrefix="1" applyFont="1" applyFill="1" applyBorder="1" applyAlignment="1">
      <alignment horizontal="center" vertical="center"/>
    </xf>
    <xf numFmtId="176" fontId="4" fillId="4" borderId="1" xfId="0" applyNumberFormat="1" applyFont="1" applyFill="1" applyBorder="1" applyAlignment="1" applyProtection="1">
      <alignment vertical="center"/>
      <protection locked="0"/>
    </xf>
    <xf numFmtId="177" fontId="6" fillId="2" borderId="0" xfId="0" quotePrefix="1" applyNumberFormat="1" applyFont="1" applyFill="1" applyAlignment="1" applyProtection="1">
      <alignment horizontal="left" vertical="center"/>
      <protection locked="0"/>
    </xf>
    <xf numFmtId="178" fontId="4" fillId="3" borderId="1" xfId="0" applyNumberFormat="1" applyFont="1" applyFill="1" applyBorder="1" applyAlignment="1" applyProtection="1">
      <alignment horizontal="center" vertical="center"/>
      <protection locked="0"/>
    </xf>
    <xf numFmtId="179" fontId="4" fillId="3" borderId="1" xfId="0" applyNumberFormat="1" applyFont="1" applyFill="1" applyBorder="1" applyAlignment="1">
      <alignment horizontal="center" vertical="center"/>
    </xf>
    <xf numFmtId="180" fontId="4" fillId="3" borderId="1" xfId="0" applyNumberFormat="1" applyFont="1" applyFill="1" applyBorder="1" applyAlignment="1">
      <alignment horizontal="center" vertical="center"/>
    </xf>
    <xf numFmtId="186" fontId="16" fillId="2" borderId="1" xfId="0" applyNumberFormat="1" applyFont="1" applyFill="1" applyBorder="1" applyAlignment="1">
      <alignment horizontal="right" vertical="center"/>
    </xf>
    <xf numFmtId="183" fontId="4" fillId="2" borderId="1" xfId="0" applyNumberFormat="1" applyFont="1" applyFill="1" applyBorder="1" applyAlignment="1">
      <alignment vertical="center"/>
    </xf>
    <xf numFmtId="184" fontId="4" fillId="2" borderId="1" xfId="0" applyNumberFormat="1" applyFont="1" applyFill="1" applyBorder="1" applyAlignment="1">
      <alignment vertical="center"/>
    </xf>
    <xf numFmtId="186" fontId="4" fillId="2" borderId="1" xfId="0" applyNumberFormat="1" applyFont="1" applyFill="1" applyBorder="1" applyAlignment="1">
      <alignment horizontal="right" vertical="center"/>
    </xf>
    <xf numFmtId="187" fontId="4" fillId="0" borderId="1" xfId="0" applyNumberFormat="1" applyFont="1" applyBorder="1" applyAlignment="1">
      <alignment vertical="center"/>
    </xf>
    <xf numFmtId="187" fontId="4" fillId="2" borderId="1" xfId="0" applyNumberFormat="1" applyFont="1" applyFill="1" applyBorder="1" applyAlignment="1">
      <alignment vertical="center"/>
    </xf>
    <xf numFmtId="185" fontId="4" fillId="2" borderId="1" xfId="0" applyNumberFormat="1" applyFont="1" applyFill="1" applyBorder="1" applyAlignment="1">
      <alignment vertical="center"/>
    </xf>
    <xf numFmtId="178" fontId="4" fillId="2" borderId="1" xfId="0" applyNumberFormat="1" applyFont="1" applyFill="1" applyBorder="1" applyAlignment="1">
      <alignment horizontal="right" vertical="center"/>
    </xf>
    <xf numFmtId="181" fontId="4" fillId="2" borderId="0" xfId="0" applyNumberFormat="1" applyFont="1" applyFill="1" applyAlignment="1">
      <alignment vertical="center"/>
    </xf>
    <xf numFmtId="176" fontId="4" fillId="2" borderId="1" xfId="0" applyNumberFormat="1" applyFont="1" applyFill="1" applyBorder="1" applyAlignment="1">
      <alignment vertical="center"/>
    </xf>
    <xf numFmtId="182" fontId="4" fillId="2" borderId="1" xfId="1" applyNumberFormat="1" applyFont="1" applyFill="1" applyBorder="1" applyAlignment="1">
      <alignment vertical="center"/>
    </xf>
    <xf numFmtId="183" fontId="12" fillId="6" borderId="10" xfId="0" applyNumberFormat="1" applyFont="1" applyFill="1" applyBorder="1" applyAlignment="1">
      <alignment horizontal="center" vertical="center" wrapText="1"/>
    </xf>
    <xf numFmtId="183" fontId="12" fillId="6" borderId="9" xfId="0" applyNumberFormat="1" applyFont="1" applyFill="1" applyBorder="1" applyAlignment="1">
      <alignment horizontal="center" vertical="center" wrapText="1"/>
    </xf>
    <xf numFmtId="183" fontId="12" fillId="6" borderId="2" xfId="0" applyNumberFormat="1" applyFont="1" applyFill="1" applyBorder="1" applyAlignment="1">
      <alignment horizontal="center" vertical="center" wrapText="1"/>
    </xf>
    <xf numFmtId="183" fontId="12" fillId="6" borderId="4" xfId="0" applyNumberFormat="1" applyFont="1" applyFill="1" applyBorder="1" applyAlignment="1">
      <alignment horizontal="center" vertical="center" wrapText="1"/>
    </xf>
    <xf numFmtId="183" fontId="12" fillId="5" borderId="2" xfId="0" applyNumberFormat="1" applyFont="1" applyFill="1" applyBorder="1" applyAlignment="1">
      <alignment horizontal="center" vertical="center" wrapText="1"/>
    </xf>
    <xf numFmtId="183" fontId="12" fillId="5" borderId="4" xfId="0" applyNumberFormat="1" applyFont="1" applyFill="1" applyBorder="1" applyAlignment="1">
      <alignment horizontal="center" vertical="center" wrapText="1"/>
    </xf>
    <xf numFmtId="183" fontId="12" fillId="7" borderId="2" xfId="0" applyNumberFormat="1" applyFont="1" applyFill="1" applyBorder="1" applyAlignment="1">
      <alignment horizontal="center" vertical="center" wrapText="1"/>
    </xf>
    <xf numFmtId="183" fontId="12" fillId="7" borderId="4" xfId="0" applyNumberFormat="1" applyFont="1" applyFill="1" applyBorder="1" applyAlignment="1">
      <alignment horizontal="center" vertical="center" wrapText="1"/>
    </xf>
    <xf numFmtId="183" fontId="12" fillId="8" borderId="2" xfId="0" applyNumberFormat="1" applyFont="1" applyFill="1" applyBorder="1" applyAlignment="1">
      <alignment horizontal="center" vertical="center" wrapText="1"/>
    </xf>
    <xf numFmtId="183" fontId="12" fillId="8" borderId="4" xfId="0" applyNumberFormat="1" applyFont="1" applyFill="1" applyBorder="1" applyAlignment="1">
      <alignment horizontal="center" vertical="center" wrapText="1"/>
    </xf>
    <xf numFmtId="178" fontId="4" fillId="2" borderId="0" xfId="0" applyNumberFormat="1" applyFont="1" applyFill="1" applyAlignment="1">
      <alignment horizontal="right" vertical="center"/>
    </xf>
    <xf numFmtId="178" fontId="4" fillId="3" borderId="1" xfId="0" applyNumberFormat="1" applyFont="1" applyFill="1" applyBorder="1" applyAlignment="1">
      <alignment horizontal="center" vertical="center"/>
    </xf>
    <xf numFmtId="184" fontId="4" fillId="2" borderId="1" xfId="0" applyNumberFormat="1" applyFont="1" applyFill="1" applyBorder="1" applyAlignment="1">
      <alignment horizontal="center" vertical="center"/>
    </xf>
    <xf numFmtId="184" fontId="3" fillId="2" borderId="1" xfId="0" applyNumberFormat="1" applyFont="1" applyFill="1" applyBorder="1" applyAlignment="1">
      <alignment horizontal="center" vertical="center" wrapText="1"/>
    </xf>
    <xf numFmtId="0" fontId="3" fillId="3" borderId="1" xfId="0" applyFont="1" applyFill="1" applyBorder="1" applyAlignment="1" applyProtection="1">
      <alignment horizontal="center" vertical="center" wrapText="1"/>
      <protection locked="0"/>
    </xf>
    <xf numFmtId="0" fontId="0" fillId="0" borderId="4" xfId="0" applyBorder="1" applyAlignment="1" applyProtection="1">
      <protection locked="0"/>
    </xf>
    <xf numFmtId="0" fontId="4" fillId="3" borderId="1" xfId="0" applyFont="1" applyFill="1" applyBorder="1" applyAlignment="1" applyProtection="1">
      <alignment horizontal="center" vertical="center"/>
      <protection locked="0"/>
    </xf>
    <xf numFmtId="0" fontId="4" fillId="3" borderId="1" xfId="0" applyFont="1" applyFill="1" applyBorder="1" applyAlignment="1" applyProtection="1">
      <alignment horizontal="left" vertical="center"/>
      <protection locked="0"/>
    </xf>
    <xf numFmtId="0" fontId="0" fillId="0" borderId="3" xfId="0" applyBorder="1" applyAlignment="1" applyProtection="1">
      <protection locked="0"/>
    </xf>
    <xf numFmtId="0" fontId="4" fillId="2" borderId="1" xfId="0" applyFont="1" applyFill="1" applyBorder="1" applyAlignment="1" applyProtection="1">
      <alignment horizontal="center" vertical="center"/>
      <protection locked="0"/>
    </xf>
    <xf numFmtId="0" fontId="10" fillId="0" borderId="0" xfId="0" applyFont="1" applyAlignment="1">
      <alignment horizontal="center" vertical="center" wrapText="1"/>
    </xf>
    <xf numFmtId="0" fontId="10" fillId="0" borderId="0" xfId="0" applyFont="1" applyAlignment="1">
      <alignment vertical="center" wrapText="1"/>
    </xf>
    <xf numFmtId="0" fontId="4" fillId="2" borderId="1" xfId="0" applyFont="1" applyFill="1" applyBorder="1" applyAlignment="1">
      <alignment horizontal="center" vertical="center"/>
    </xf>
    <xf numFmtId="0" fontId="0" fillId="0" borderId="3" xfId="0" applyBorder="1" applyAlignment="1"/>
    <xf numFmtId="0" fontId="0" fillId="0" borderId="4" xfId="0" applyBorder="1" applyAlignment="1"/>
  </cellXfs>
  <cellStyles count="2">
    <cellStyle name="백분율" xfId="1" builtinId="5"/>
    <cellStyle name="표준" xfId="0" builtinId="0"/>
  </cellStyles>
  <dxfs count="30028"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59996337778862885"/>
        </patternFill>
      </fill>
    </dxf>
    <dxf>
      <fill>
        <patternFill>
          <bgColor theme="7" tint="0.39994506668294322"/>
        </patternFill>
      </fill>
    </dxf>
    <dxf>
      <fill>
        <patternFill>
          <bgColor rgb="FF00B0F0"/>
        </patternFill>
      </fill>
    </dxf>
    <dxf>
      <fill>
        <patternFill>
          <bgColor theme="4" tint="0.59996337778862885"/>
        </patternFill>
      </fill>
    </dxf>
    <dxf>
      <fill>
        <patternFill>
          <bgColor rgb="FF92D050"/>
        </patternFill>
      </fill>
    </dxf>
    <dxf>
      <fill>
        <patternFill>
          <bgColor theme="9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95250</xdr:colOff>
          <xdr:row>0</xdr:row>
          <xdr:rowOff>47625</xdr:rowOff>
        </xdr:from>
        <xdr:to>
          <xdr:col>4</xdr:col>
          <xdr:colOff>247650</xdr:colOff>
          <xdr:row>1</xdr:row>
          <xdr:rowOff>104775</xdr:rowOff>
        </xdr:to>
        <xdr:sp macro="" textlink="">
          <xdr:nvSpPr>
            <xdr:cNvPr id="388097" name="Button 1025" hidden="1">
              <a:extLst>
                <a:ext uri="{63B3BB69-23CF-44E3-9099-C40C66FF867C}">
                  <a14:compatExt spid="_x0000_s388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전체단지추출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342900</xdr:colOff>
          <xdr:row>0</xdr:row>
          <xdr:rowOff>47625</xdr:rowOff>
        </xdr:from>
        <xdr:to>
          <xdr:col>7</xdr:col>
          <xdr:colOff>304800</xdr:colOff>
          <xdr:row>1</xdr:row>
          <xdr:rowOff>104775</xdr:rowOff>
        </xdr:to>
        <xdr:sp macro="" textlink="">
          <xdr:nvSpPr>
            <xdr:cNvPr id="388098" name="Button 1026" hidden="1">
              <a:extLst>
                <a:ext uri="{63B3BB69-23CF-44E3-9099-C40C66FF867C}">
                  <a14:compatExt spid="_x0000_s388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후보단지추출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95250</xdr:colOff>
          <xdr:row>0</xdr:row>
          <xdr:rowOff>47625</xdr:rowOff>
        </xdr:from>
        <xdr:to>
          <xdr:col>4</xdr:col>
          <xdr:colOff>247650</xdr:colOff>
          <xdr:row>1</xdr:row>
          <xdr:rowOff>104775</xdr:rowOff>
        </xdr:to>
        <xdr:sp macro="" textlink="">
          <xdr:nvSpPr>
            <xdr:cNvPr id="582657" name="Button 1" hidden="1">
              <a:extLst>
                <a:ext uri="{63B3BB69-23CF-44E3-9099-C40C66FF867C}">
                  <a14:compatExt spid="_x0000_s5826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전체단지추출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85725</xdr:colOff>
          <xdr:row>0</xdr:row>
          <xdr:rowOff>85725</xdr:rowOff>
        </xdr:from>
        <xdr:to>
          <xdr:col>3</xdr:col>
          <xdr:colOff>1533525</xdr:colOff>
          <xdr:row>2</xdr:row>
          <xdr:rowOff>57150</xdr:rowOff>
        </xdr:to>
        <xdr:sp macro="" textlink="">
          <xdr:nvSpPr>
            <xdr:cNvPr id="387073" name="Button 1" hidden="1">
              <a:extLst>
                <a:ext uri="{63B3BB69-23CF-44E3-9099-C40C66FF867C}">
                  <a14:compatExt spid="_x0000_s387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동별가격표 생성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285750</xdr:colOff>
          <xdr:row>0</xdr:row>
          <xdr:rowOff>76200</xdr:rowOff>
        </xdr:from>
        <xdr:to>
          <xdr:col>8</xdr:col>
          <xdr:colOff>76200</xdr:colOff>
          <xdr:row>0</xdr:row>
          <xdr:rowOff>361950</xdr:rowOff>
        </xdr:to>
        <xdr:sp macro="" textlink="">
          <xdr:nvSpPr>
            <xdr:cNvPr id="591873" name="Button 1" hidden="1">
              <a:extLst>
                <a:ext uri="{63B3BB69-23CF-44E3-9099-C40C66FF867C}">
                  <a14:compatExt spid="_x0000_s5918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Delete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133350</xdr:colOff>
          <xdr:row>0</xdr:row>
          <xdr:rowOff>85725</xdr:rowOff>
        </xdr:from>
        <xdr:to>
          <xdr:col>5</xdr:col>
          <xdr:colOff>609600</xdr:colOff>
          <xdr:row>0</xdr:row>
          <xdr:rowOff>361950</xdr:rowOff>
        </xdr:to>
        <xdr:sp macro="" textlink="">
          <xdr:nvSpPr>
            <xdr:cNvPr id="591874" name="Button 2" hidden="1">
              <a:extLst>
                <a:ext uri="{63B3BB69-23CF-44E3-9099-C40C66FF867C}">
                  <a14:compatExt spid="_x0000_s5918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면적정보입력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361950</xdr:colOff>
          <xdr:row>0</xdr:row>
          <xdr:rowOff>47625</xdr:rowOff>
        </xdr:from>
        <xdr:to>
          <xdr:col>14</xdr:col>
          <xdr:colOff>152400</xdr:colOff>
          <xdr:row>1</xdr:row>
          <xdr:rowOff>114300</xdr:rowOff>
        </xdr:to>
        <xdr:sp macro="" textlink="">
          <xdr:nvSpPr>
            <xdr:cNvPr id="355329" name="Button 1" hidden="1">
              <a:extLst>
                <a:ext uri="{63B3BB69-23CF-44E3-9099-C40C66FF867C}">
                  <a14:compatExt spid="_x0000_s3553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면적정보입력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371475</xdr:colOff>
          <xdr:row>0</xdr:row>
          <xdr:rowOff>47625</xdr:rowOff>
        </xdr:from>
        <xdr:to>
          <xdr:col>14</xdr:col>
          <xdr:colOff>152400</xdr:colOff>
          <xdr:row>1</xdr:row>
          <xdr:rowOff>114300</xdr:rowOff>
        </xdr:to>
        <xdr:sp macro="" textlink="">
          <xdr:nvSpPr>
            <xdr:cNvPr id="355330" name="Button 2" hidden="1">
              <a:extLst>
                <a:ext uri="{63B3BB69-23CF-44E3-9099-C40C66FF867C}">
                  <a14:compatExt spid="_x0000_s3553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면적정보입력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6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ctrlProp" Target="../ctrlProps/ctrlProp8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6.v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7.v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8.v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7.xml"/><Relationship Id="rId1" Type="http://schemas.openxmlformats.org/officeDocument/2006/relationships/vmlDrawing" Target="../drawings/vmlDrawing9.v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8.xml"/><Relationship Id="rId1" Type="http://schemas.openxmlformats.org/officeDocument/2006/relationships/vmlDrawing" Target="../drawings/vmlDrawing10.v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9.xml"/><Relationship Id="rId1" Type="http://schemas.openxmlformats.org/officeDocument/2006/relationships/vmlDrawing" Target="../drawings/vmlDrawing11.v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0.xml"/><Relationship Id="rId1" Type="http://schemas.openxmlformats.org/officeDocument/2006/relationships/vmlDrawing" Target="../drawings/vmlDrawing12.v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1.xml"/><Relationship Id="rId1" Type="http://schemas.openxmlformats.org/officeDocument/2006/relationships/vmlDrawing" Target="../drawings/vmlDrawing13.v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2.xml"/><Relationship Id="rId1" Type="http://schemas.openxmlformats.org/officeDocument/2006/relationships/vmlDrawing" Target="../drawings/vmlDrawing14.v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3.xml"/><Relationship Id="rId1" Type="http://schemas.openxmlformats.org/officeDocument/2006/relationships/vmlDrawing" Target="../drawings/vmlDrawing15.v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comments" Target="../comments14.xml"/><Relationship Id="rId1" Type="http://schemas.openxmlformats.org/officeDocument/2006/relationships/vmlDrawing" Target="../drawings/vmlDrawing16.v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comments" Target="../comments15.xml"/><Relationship Id="rId1" Type="http://schemas.openxmlformats.org/officeDocument/2006/relationships/vmlDrawing" Target="../drawings/vmlDrawing17.v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comments" Target="../comments16.xml"/><Relationship Id="rId1" Type="http://schemas.openxmlformats.org/officeDocument/2006/relationships/vmlDrawing" Target="../drawings/vmlDrawing18.v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comments" Target="../comments17.xml"/><Relationship Id="rId1" Type="http://schemas.openxmlformats.org/officeDocument/2006/relationships/vmlDrawing" Target="../drawings/vmlDrawing19.v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comments" Target="../comments18.xml"/><Relationship Id="rId1" Type="http://schemas.openxmlformats.org/officeDocument/2006/relationships/vmlDrawing" Target="../drawings/vmlDrawing20.v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9.xml"/><Relationship Id="rId1" Type="http://schemas.openxmlformats.org/officeDocument/2006/relationships/vmlDrawing" Target="../drawings/vmlDrawing2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3">
    <tabColor theme="5" tint="0.59999389629810485"/>
    <pageSetUpPr fitToPage="1"/>
  </sheetPr>
  <dimension ref="A1:BH539"/>
  <sheetViews>
    <sheetView zoomScaleNormal="100" zoomScaleSheetLayoutView="85" workbookViewId="0">
      <pane xSplit="1" ySplit="3" topLeftCell="B19" activePane="bottomRight" state="frozen"/>
      <selection activeCell="U15" sqref="U15"/>
      <selection pane="topRight" activeCell="U15" sqref="U15"/>
      <selection pane="bottomLeft" activeCell="U15" sqref="U15"/>
      <selection pane="bottomRight" activeCell="O53" sqref="O53"/>
    </sheetView>
  </sheetViews>
  <sheetFormatPr defaultColWidth="9" defaultRowHeight="14.1" customHeight="1" x14ac:dyDescent="0.3"/>
  <cols>
    <col min="1" max="1" width="22.5" style="72" bestFit="1" customWidth="1"/>
    <col min="2" max="2" width="5.625" style="72" bestFit="1" customWidth="1"/>
    <col min="3" max="3" width="6.625" style="72" bestFit="1" customWidth="1"/>
    <col min="4" max="4" width="5.625" style="72" bestFit="1" customWidth="1"/>
    <col min="5" max="5" width="4.625" style="72" bestFit="1" customWidth="1"/>
    <col min="6" max="6" width="5.625" style="72" bestFit="1" customWidth="1"/>
    <col min="7" max="7" width="4.625" style="72" bestFit="1" customWidth="1"/>
    <col min="8" max="8" width="6.625" style="72" bestFit="1" customWidth="1"/>
    <col min="9" max="9" width="7.75" style="72" bestFit="1" customWidth="1"/>
    <col min="10" max="10" width="4" style="72" bestFit="1" customWidth="1"/>
    <col min="11" max="11" width="6.875" style="72" bestFit="1" customWidth="1"/>
    <col min="12" max="12" width="4" style="72" bestFit="1" customWidth="1"/>
    <col min="13" max="13" width="6.875" style="72" bestFit="1" customWidth="1"/>
    <col min="14" max="14" width="4.625" style="72" bestFit="1" customWidth="1"/>
    <col min="15" max="16" width="7.625" style="72" bestFit="1" customWidth="1"/>
    <col min="17" max="19" width="3.25" style="72" bestFit="1" customWidth="1"/>
    <col min="20" max="20" width="10.125" style="72" customWidth="1"/>
    <col min="21" max="21" width="25" style="72" customWidth="1"/>
    <col min="22" max="22" width="2.25" style="72" customWidth="1"/>
    <col min="23" max="23" width="5.625" style="72" bestFit="1" customWidth="1"/>
    <col min="24" max="24" width="4.5" style="72" customWidth="1"/>
    <col min="25" max="25" width="6.25" style="72" bestFit="1" customWidth="1"/>
    <col min="26" max="26" width="7.75" style="72" bestFit="1" customWidth="1"/>
    <col min="27" max="27" width="7" style="72" bestFit="1" customWidth="1"/>
    <col min="28" max="28" width="6.875" style="72" bestFit="1" customWidth="1"/>
    <col min="29" max="29" width="4.625" style="72" bestFit="1" customWidth="1"/>
    <col min="30" max="30" width="7.625" style="72" bestFit="1" customWidth="1"/>
    <col min="31" max="31" width="3.25" style="72" bestFit="1" customWidth="1"/>
    <col min="32" max="32" width="4.625" style="72" bestFit="1" customWidth="1"/>
    <col min="33" max="33" width="2.125" style="72" customWidth="1"/>
    <col min="34" max="34" width="22.5" style="72" bestFit="1" customWidth="1"/>
    <col min="35" max="35" width="4.625" style="72" bestFit="1" customWidth="1"/>
    <col min="36" max="40" width="4.625" style="72" customWidth="1"/>
    <col min="41" max="41" width="9.125" style="72" bestFit="1" customWidth="1"/>
    <col min="42" max="43" width="7.625" style="72" bestFit="1" customWidth="1"/>
    <col min="44" max="44" width="9.125" style="72" bestFit="1" customWidth="1"/>
    <col min="45" max="45" width="6.125" style="72" bestFit="1" customWidth="1"/>
    <col min="46" max="46" width="8.625" style="72" bestFit="1" customWidth="1"/>
    <col min="47" max="47" width="9.125" style="72" bestFit="1" customWidth="1"/>
    <col min="48" max="48" width="7.625" style="72" bestFit="1" customWidth="1"/>
    <col min="49" max="51" width="9" style="25" customWidth="1"/>
    <col min="52" max="52" width="1.25" style="25" customWidth="1"/>
    <col min="53" max="54" width="9" style="25" customWidth="1"/>
    <col min="55" max="16384" width="9" style="25"/>
  </cols>
  <sheetData>
    <row r="1" spans="1:60" ht="17.25" customHeight="1" x14ac:dyDescent="0.3">
      <c r="A1" s="24" t="s">
        <v>0</v>
      </c>
      <c r="B1" s="25"/>
      <c r="C1" s="26"/>
      <c r="D1" s="25"/>
      <c r="E1" s="25"/>
      <c r="F1" s="25"/>
      <c r="G1" s="25"/>
      <c r="H1" s="26"/>
      <c r="I1" s="25"/>
      <c r="J1" s="111" t="s">
        <v>1</v>
      </c>
      <c r="K1" s="110"/>
      <c r="L1" s="43" t="s">
        <v>2</v>
      </c>
      <c r="M1"/>
      <c r="N1" s="111" t="s">
        <v>3</v>
      </c>
      <c r="O1" s="110"/>
      <c r="P1" s="79">
        <v>0</v>
      </c>
      <c r="Q1" s="112" t="s">
        <v>4</v>
      </c>
      <c r="R1" s="113"/>
      <c r="S1" s="110"/>
      <c r="T1" s="28"/>
      <c r="U1" s="25"/>
      <c r="V1" s="25"/>
      <c r="W1" s="25"/>
      <c r="X1" s="37" t="s">
        <v>5</v>
      </c>
      <c r="Y1" s="37"/>
      <c r="Z1" s="37"/>
      <c r="AA1" s="39">
        <v>70000</v>
      </c>
      <c r="AB1" s="25"/>
      <c r="AC1" s="25"/>
      <c r="AD1" s="25"/>
      <c r="AE1" s="27"/>
      <c r="AF1" s="28"/>
      <c r="AG1" s="25"/>
      <c r="AH1" s="24" t="s">
        <v>0</v>
      </c>
      <c r="AI1" s="25"/>
      <c r="AJ1" s="114" t="s">
        <v>6</v>
      </c>
      <c r="AK1" s="113"/>
      <c r="AL1" s="113"/>
      <c r="AM1" s="113"/>
      <c r="AN1" s="110"/>
      <c r="AO1" s="22">
        <v>80</v>
      </c>
      <c r="AP1" s="22">
        <v>50000</v>
      </c>
      <c r="AQ1" s="23">
        <v>15000</v>
      </c>
      <c r="AR1" s="22">
        <v>5000</v>
      </c>
      <c r="AS1" s="2"/>
      <c r="AT1" s="2"/>
      <c r="AU1" s="22">
        <v>300</v>
      </c>
      <c r="AV1" s="25"/>
      <c r="AX1" s="74" t="s">
        <v>7</v>
      </c>
      <c r="AY1" s="74" t="s">
        <v>8</v>
      </c>
      <c r="AZ1" s="45"/>
      <c r="BH1" s="25" t="s">
        <v>9</v>
      </c>
    </row>
    <row r="2" spans="1:60" ht="12" customHeight="1" x14ac:dyDescent="0.3">
      <c r="A2" s="80">
        <v>44197</v>
      </c>
      <c r="B2" s="27"/>
      <c r="C2" s="26"/>
      <c r="D2" s="25"/>
      <c r="E2" s="25"/>
      <c r="F2" s="25"/>
      <c r="G2" s="25"/>
      <c r="H2" s="26"/>
      <c r="I2" s="25"/>
      <c r="J2" s="25"/>
      <c r="K2" s="25"/>
      <c r="L2" s="25"/>
      <c r="M2" s="25"/>
      <c r="N2" s="25"/>
      <c r="O2" s="25"/>
      <c r="P2" s="25"/>
      <c r="Q2" s="28"/>
      <c r="R2" s="28"/>
      <c r="S2" s="27"/>
      <c r="T2" s="28"/>
      <c r="U2" s="29"/>
      <c r="V2" s="25"/>
      <c r="W2" s="25"/>
      <c r="X2" s="38" t="s">
        <v>10</v>
      </c>
      <c r="Y2" s="38"/>
      <c r="Z2" s="37"/>
      <c r="AA2" s="39">
        <v>10000</v>
      </c>
      <c r="AB2" s="25"/>
      <c r="AC2" s="25"/>
      <c r="AD2" s="25"/>
      <c r="AE2" s="27"/>
      <c r="AF2" s="28"/>
      <c r="AG2" s="25"/>
      <c r="AH2" s="30" t="s">
        <v>11</v>
      </c>
      <c r="AI2" s="31"/>
      <c r="AJ2" s="32" t="s">
        <v>12</v>
      </c>
      <c r="AK2" s="32" t="s">
        <v>13</v>
      </c>
      <c r="AL2" s="32" t="s">
        <v>13</v>
      </c>
      <c r="AM2" s="32" t="s">
        <v>13</v>
      </c>
      <c r="AN2" s="32" t="s">
        <v>14</v>
      </c>
      <c r="AO2" s="109" t="s">
        <v>15</v>
      </c>
      <c r="AP2" s="113"/>
      <c r="AQ2" s="110"/>
      <c r="AR2" s="109" t="s">
        <v>16</v>
      </c>
      <c r="AS2" s="110"/>
      <c r="AT2" s="109" t="s">
        <v>17</v>
      </c>
      <c r="AU2" s="110"/>
      <c r="AV2" s="73" t="s">
        <v>18</v>
      </c>
      <c r="AX2" s="44">
        <v>2020</v>
      </c>
      <c r="AY2" s="44">
        <v>9</v>
      </c>
      <c r="AZ2" s="46"/>
      <c r="BH2" s="25" t="s">
        <v>19</v>
      </c>
    </row>
    <row r="3" spans="1:60" ht="26.25" customHeight="1" x14ac:dyDescent="0.3">
      <c r="A3" s="73" t="s">
        <v>20</v>
      </c>
      <c r="B3" s="73" t="s">
        <v>21</v>
      </c>
      <c r="C3" s="73" t="s">
        <v>22</v>
      </c>
      <c r="D3" s="73" t="s">
        <v>23</v>
      </c>
      <c r="E3" s="73" t="s">
        <v>24</v>
      </c>
      <c r="F3" s="73" t="s">
        <v>25</v>
      </c>
      <c r="G3" s="73" t="s">
        <v>26</v>
      </c>
      <c r="H3" s="74" t="s">
        <v>27</v>
      </c>
      <c r="I3" s="33" t="s">
        <v>28</v>
      </c>
      <c r="J3" s="33" t="s">
        <v>29</v>
      </c>
      <c r="K3" s="33" t="s">
        <v>30</v>
      </c>
      <c r="L3" s="33" t="s">
        <v>29</v>
      </c>
      <c r="M3" s="74" t="s">
        <v>31</v>
      </c>
      <c r="N3" s="73" t="s">
        <v>32</v>
      </c>
      <c r="O3" s="33" t="s">
        <v>33</v>
      </c>
      <c r="P3" s="33" t="s">
        <v>34</v>
      </c>
      <c r="Q3" s="34" t="s">
        <v>35</v>
      </c>
      <c r="R3" s="34" t="s">
        <v>36</v>
      </c>
      <c r="S3" s="73" t="s">
        <v>37</v>
      </c>
      <c r="T3" s="35" t="s">
        <v>38</v>
      </c>
      <c r="U3" s="74" t="s">
        <v>39</v>
      </c>
      <c r="V3" s="25"/>
      <c r="W3" s="73" t="s">
        <v>40</v>
      </c>
      <c r="X3" s="73" t="s">
        <v>24</v>
      </c>
      <c r="Y3" s="81" t="s">
        <v>27</v>
      </c>
      <c r="Z3" s="74" t="s">
        <v>41</v>
      </c>
      <c r="AA3" s="74" t="s">
        <v>42</v>
      </c>
      <c r="AB3" s="74" t="s">
        <v>31</v>
      </c>
      <c r="AC3" s="73" t="s">
        <v>32</v>
      </c>
      <c r="AD3" s="74" t="s">
        <v>43</v>
      </c>
      <c r="AE3" s="73" t="s">
        <v>37</v>
      </c>
      <c r="AF3" s="34" t="s">
        <v>44</v>
      </c>
      <c r="AG3" s="25"/>
      <c r="AH3" s="73" t="s">
        <v>20</v>
      </c>
      <c r="AI3" s="73" t="s">
        <v>24</v>
      </c>
      <c r="AJ3" s="73" t="s">
        <v>45</v>
      </c>
      <c r="AK3" s="73" t="s">
        <v>46</v>
      </c>
      <c r="AL3" s="73" t="s">
        <v>47</v>
      </c>
      <c r="AM3" s="73" t="s">
        <v>48</v>
      </c>
      <c r="AN3" s="73" t="s">
        <v>49</v>
      </c>
      <c r="AO3" s="73" t="s">
        <v>50</v>
      </c>
      <c r="AP3" s="73" t="s">
        <v>51</v>
      </c>
      <c r="AQ3" s="73" t="s">
        <v>52</v>
      </c>
      <c r="AR3" s="73" t="s">
        <v>53</v>
      </c>
      <c r="AS3" s="73" t="s">
        <v>54</v>
      </c>
      <c r="AT3" s="36" t="s">
        <v>55</v>
      </c>
      <c r="AU3" s="73" t="s">
        <v>56</v>
      </c>
      <c r="AV3" s="73" t="s">
        <v>18</v>
      </c>
      <c r="AX3" s="12" t="s">
        <v>57</v>
      </c>
      <c r="AY3" s="12" t="s">
        <v>58</v>
      </c>
      <c r="AZ3" s="48"/>
      <c r="BA3" s="49"/>
      <c r="BB3" s="82">
        <v>2010</v>
      </c>
      <c r="BC3" s="82">
        <v>2000</v>
      </c>
      <c r="BD3" s="82">
        <v>1990</v>
      </c>
      <c r="BE3" s="83">
        <v>1990</v>
      </c>
      <c r="BF3" s="37"/>
    </row>
    <row r="4" spans="1:60" s="37" customFormat="1" ht="12" x14ac:dyDescent="0.3">
      <c r="A4" s="77" t="s">
        <v>2000</v>
      </c>
      <c r="B4" s="78" t="s">
        <v>1952</v>
      </c>
      <c r="C4" s="84">
        <v>340</v>
      </c>
      <c r="D4" s="85">
        <v>78.8</v>
      </c>
      <c r="E4" s="86">
        <v>24</v>
      </c>
      <c r="F4" s="85">
        <v>59.9</v>
      </c>
      <c r="G4" s="17">
        <v>18</v>
      </c>
      <c r="H4" s="87">
        <v>176</v>
      </c>
      <c r="I4" s="88">
        <v>12500</v>
      </c>
      <c r="J4" s="88" t="s">
        <v>71</v>
      </c>
      <c r="K4" s="88">
        <v>13000</v>
      </c>
      <c r="L4" s="88" t="s">
        <v>71</v>
      </c>
      <c r="M4" s="89">
        <f>I4-K4</f>
        <v>-500</v>
      </c>
      <c r="N4" s="4">
        <f>IF(ISERROR(K4/I4),"",K4/I4)</f>
        <v>1.04</v>
      </c>
      <c r="O4" s="90">
        <f>I4/E4</f>
        <v>520.83333333333337</v>
      </c>
      <c r="P4" s="90">
        <f>K4/E4</f>
        <v>541.66666666666663</v>
      </c>
      <c r="Q4" s="76">
        <v>3</v>
      </c>
      <c r="R4" s="76">
        <v>1</v>
      </c>
      <c r="S4" s="76" t="s">
        <v>61</v>
      </c>
      <c r="T4" s="5">
        <v>78</v>
      </c>
      <c r="U4" s="9"/>
      <c r="W4" s="85">
        <f>D4</f>
        <v>78.8</v>
      </c>
      <c r="X4" s="86">
        <f>E4</f>
        <v>24</v>
      </c>
      <c r="Y4" s="91">
        <f>H4</f>
        <v>176</v>
      </c>
      <c r="Z4" s="89">
        <f>I4</f>
        <v>12500</v>
      </c>
      <c r="AA4" s="89">
        <f>K4</f>
        <v>13000</v>
      </c>
      <c r="AB4" s="89">
        <f t="shared" ref="AB4:AD6" si="0">M4</f>
        <v>-500</v>
      </c>
      <c r="AC4" s="4">
        <f t="shared" si="0"/>
        <v>1.04</v>
      </c>
      <c r="AD4" s="90">
        <f t="shared" si="0"/>
        <v>520.83333333333337</v>
      </c>
      <c r="AE4" s="76" t="str">
        <f>S4</f>
        <v>계</v>
      </c>
      <c r="AF4" s="76" t="str">
        <f>Q4&amp;"/"&amp;R4</f>
        <v>3/1</v>
      </c>
      <c r="AH4" s="20" t="str">
        <f t="shared" ref="AH4:AH58" si="1">IF(A4="","",A4)</f>
        <v>삼천동1가 대왕장미타운</v>
      </c>
      <c r="AI4" s="86">
        <f t="shared" ref="AI4:AI58" si="2">IF(E4="","",E4)</f>
        <v>24</v>
      </c>
      <c r="AJ4" s="76" t="str">
        <f>IF(AI4="","",$AJ$2)</f>
        <v>A-</v>
      </c>
      <c r="AK4" s="76" t="s">
        <v>13</v>
      </c>
      <c r="AL4" s="76" t="s">
        <v>62</v>
      </c>
      <c r="AM4" s="76" t="s">
        <v>63</v>
      </c>
      <c r="AN4" s="76" t="str">
        <f>IF(AI4="","",$AN$2)</f>
        <v>C</v>
      </c>
      <c r="AO4" s="76" t="str">
        <f>IF(N4="","",IF(N4&gt;=$AO$1/100,"O","X"))</f>
        <v>O</v>
      </c>
      <c r="AP4" s="76" t="str">
        <f>IF(I4="","",IF(I4&lt;=$AP$1,"O","X"))</f>
        <v>O</v>
      </c>
      <c r="AQ4" s="76" t="str">
        <f>IF(O4="","",IF(O4&lt;=$AQ$1,"O","X"))</f>
        <v>O</v>
      </c>
      <c r="AR4" s="76" t="str">
        <f>IF(M4="","",IF(M4&lt;=$AR$1,"O","X"))</f>
        <v>O</v>
      </c>
      <c r="AS4" s="76" t="s">
        <v>2</v>
      </c>
      <c r="AT4" s="76" t="str">
        <f>IF(OR(F4="",AI4=""),"",IF(AND((F4&lt;=85),(AI4&gt;=15)),"O","X"))</f>
        <v>O</v>
      </c>
      <c r="AU4" s="76" t="str">
        <f>IF(C4="","",IF(C4&gt;=$AU$1,"O","X"))</f>
        <v>O</v>
      </c>
      <c r="AV4" s="76" t="str">
        <f>IF(AO4="","",IF(AND(AO4="O",AP4="O",AR4="O",AT4="O",AU4="O"),"후보","X"))</f>
        <v>후보</v>
      </c>
    </row>
    <row r="5" spans="1:60" s="37" customFormat="1" ht="12" x14ac:dyDescent="0.3">
      <c r="A5" s="77" t="s">
        <v>2001</v>
      </c>
      <c r="B5" s="78" t="s">
        <v>2002</v>
      </c>
      <c r="C5" s="84">
        <v>508</v>
      </c>
      <c r="D5" s="85">
        <v>107.4</v>
      </c>
      <c r="E5" s="86">
        <v>32</v>
      </c>
      <c r="F5" s="85">
        <v>84.9</v>
      </c>
      <c r="G5" s="17">
        <v>26</v>
      </c>
      <c r="H5" s="87">
        <v>336</v>
      </c>
      <c r="I5" s="88">
        <v>28000</v>
      </c>
      <c r="J5" s="88" t="s">
        <v>72</v>
      </c>
      <c r="K5" s="88">
        <v>25000</v>
      </c>
      <c r="L5" s="88" t="s">
        <v>89</v>
      </c>
      <c r="M5" s="89">
        <f>I5-K5</f>
        <v>3000</v>
      </c>
      <c r="N5" s="4">
        <f>IF(ISERROR(K5/I5),"",K5/I5)</f>
        <v>0.8928571428571429</v>
      </c>
      <c r="O5" s="90">
        <f>I5/E5</f>
        <v>875</v>
      </c>
      <c r="P5" s="90">
        <f>K5/E5</f>
        <v>781.25</v>
      </c>
      <c r="Q5" s="76">
        <v>3</v>
      </c>
      <c r="R5" s="76">
        <v>2</v>
      </c>
      <c r="S5" s="76" t="s">
        <v>61</v>
      </c>
      <c r="T5" s="5">
        <v>107</v>
      </c>
      <c r="U5" s="9"/>
      <c r="W5" s="85">
        <f t="shared" ref="W5:X5" si="3">D5</f>
        <v>107.4</v>
      </c>
      <c r="X5" s="86">
        <f t="shared" si="3"/>
        <v>32</v>
      </c>
      <c r="Y5" s="91">
        <f t="shared" ref="Y5:Z5" si="4">H5</f>
        <v>336</v>
      </c>
      <c r="Z5" s="89">
        <f t="shared" si="4"/>
        <v>28000</v>
      </c>
      <c r="AA5" s="89">
        <f>K5</f>
        <v>25000</v>
      </c>
      <c r="AB5" s="89">
        <f t="shared" si="0"/>
        <v>3000</v>
      </c>
      <c r="AC5" s="4">
        <f t="shared" si="0"/>
        <v>0.8928571428571429</v>
      </c>
      <c r="AD5" s="90">
        <f t="shared" si="0"/>
        <v>875</v>
      </c>
      <c r="AE5" s="76" t="str">
        <f>S5</f>
        <v>계</v>
      </c>
      <c r="AF5" s="76" t="str">
        <f>Q5&amp;"/"&amp;R5</f>
        <v>3/2</v>
      </c>
      <c r="AH5" s="20" t="str">
        <f t="shared" si="1"/>
        <v>삼천동1가 삼천흥건2차</v>
      </c>
      <c r="AI5" s="86">
        <f t="shared" si="2"/>
        <v>32</v>
      </c>
      <c r="AJ5" s="76" t="str">
        <f>IF(AI5="","",$AJ$2)</f>
        <v>A-</v>
      </c>
      <c r="AK5" s="76" t="s">
        <v>13</v>
      </c>
      <c r="AL5" s="76" t="s">
        <v>62</v>
      </c>
      <c r="AM5" s="76" t="s">
        <v>63</v>
      </c>
      <c r="AN5" s="76" t="str">
        <f>IF(AI5="","",$AN$2)</f>
        <v>C</v>
      </c>
      <c r="AO5" s="76" t="str">
        <f>IF(N5="","",IF(N5&gt;=$AO$1/100,"O","X"))</f>
        <v>O</v>
      </c>
      <c r="AP5" s="76" t="str">
        <f>IF(I5="","",IF(I5&lt;=$AP$1,"O","X"))</f>
        <v>O</v>
      </c>
      <c r="AQ5" s="76" t="str">
        <f>IF(O5="","",IF(O5&lt;=$AQ$1,"O","X"))</f>
        <v>O</v>
      </c>
      <c r="AR5" s="76" t="str">
        <f>IF(M5="","",IF(M5&lt;=$AR$1,"O","X"))</f>
        <v>O</v>
      </c>
      <c r="AS5" s="76" t="s">
        <v>2</v>
      </c>
      <c r="AT5" s="76" t="str">
        <f>IF(OR(F5="",AI5=""),"",IF(AND((F5&lt;=85),(AI5&gt;=15)),"O","X"))</f>
        <v>O</v>
      </c>
      <c r="AU5" s="76" t="str">
        <f>IF(C5="","",IF(C5&gt;=$AU$1,"O","X"))</f>
        <v>O</v>
      </c>
      <c r="AV5" s="76" t="str">
        <f>IF(AO5="","",IF(AND(AO5="O",AP5="O",AR5="O",AT5="O",AU5="O"),"후보","X"))</f>
        <v>후보</v>
      </c>
    </row>
    <row r="6" spans="1:60" s="37" customFormat="1" ht="12" x14ac:dyDescent="0.3">
      <c r="A6" s="77" t="s">
        <v>2003</v>
      </c>
      <c r="B6" s="78" t="s">
        <v>1996</v>
      </c>
      <c r="C6" s="84">
        <v>540</v>
      </c>
      <c r="D6" s="85">
        <v>77.5</v>
      </c>
      <c r="E6" s="86">
        <v>23</v>
      </c>
      <c r="F6" s="85">
        <v>59.9</v>
      </c>
      <c r="G6" s="17">
        <v>18</v>
      </c>
      <c r="H6" s="87">
        <v>360</v>
      </c>
      <c r="I6" s="88">
        <v>15500</v>
      </c>
      <c r="J6" s="88" t="s">
        <v>90</v>
      </c>
      <c r="K6" s="88">
        <v>15500</v>
      </c>
      <c r="L6" s="88" t="s">
        <v>72</v>
      </c>
      <c r="M6" s="89">
        <f>I6-K6</f>
        <v>0</v>
      </c>
      <c r="N6" s="4">
        <f>IF(ISERROR(K6/I6),"",K6/I6)</f>
        <v>1</v>
      </c>
      <c r="O6" s="90">
        <f>I6/E6</f>
        <v>673.91304347826087</v>
      </c>
      <c r="P6" s="90">
        <f>K6/E6</f>
        <v>673.91304347826087</v>
      </c>
      <c r="Q6" s="76">
        <v>3</v>
      </c>
      <c r="R6" s="76">
        <v>1</v>
      </c>
      <c r="S6" s="76" t="s">
        <v>61</v>
      </c>
      <c r="T6" s="5">
        <v>77</v>
      </c>
      <c r="U6" s="9"/>
      <c r="W6" s="85">
        <f>D6</f>
        <v>77.5</v>
      </c>
      <c r="X6" s="86">
        <f>E6</f>
        <v>23</v>
      </c>
      <c r="Y6" s="91">
        <f>H6</f>
        <v>360</v>
      </c>
      <c r="Z6" s="89">
        <f>I6</f>
        <v>15500</v>
      </c>
      <c r="AA6" s="89">
        <f>K6</f>
        <v>15500</v>
      </c>
      <c r="AB6" s="89">
        <f t="shared" si="0"/>
        <v>0</v>
      </c>
      <c r="AC6" s="4">
        <f t="shared" si="0"/>
        <v>1</v>
      </c>
      <c r="AD6" s="90">
        <f t="shared" si="0"/>
        <v>673.91304347826087</v>
      </c>
      <c r="AE6" s="76" t="str">
        <f>S6</f>
        <v>계</v>
      </c>
      <c r="AF6" s="76" t="str">
        <f>Q6&amp;"/"&amp;R6</f>
        <v>3/1</v>
      </c>
      <c r="AH6" s="20" t="str">
        <f t="shared" si="1"/>
        <v>삼천동1가 삼천하이츠</v>
      </c>
      <c r="AI6" s="86">
        <f t="shared" si="2"/>
        <v>23</v>
      </c>
      <c r="AJ6" s="76" t="str">
        <f>IF(AI6="","",$AJ$2)</f>
        <v>A-</v>
      </c>
      <c r="AK6" s="76" t="s">
        <v>13</v>
      </c>
      <c r="AL6" s="76" t="s">
        <v>62</v>
      </c>
      <c r="AM6" s="76" t="s">
        <v>63</v>
      </c>
      <c r="AN6" s="76" t="str">
        <f>IF(AI6="","",$AN$2)</f>
        <v>C</v>
      </c>
      <c r="AO6" s="76" t="str">
        <f>IF(N6="","",IF(N6&gt;=$AO$1/100,"O","X"))</f>
        <v>O</v>
      </c>
      <c r="AP6" s="76" t="str">
        <f>IF(I6="","",IF(I6&lt;=$AP$1,"O","X"))</f>
        <v>O</v>
      </c>
      <c r="AQ6" s="76" t="str">
        <f>IF(O6="","",IF(O6&lt;=$AQ$1,"O","X"))</f>
        <v>O</v>
      </c>
      <c r="AR6" s="76" t="str">
        <f>IF(M6="","",IF(M6&lt;=$AR$1,"O","X"))</f>
        <v>O</v>
      </c>
      <c r="AS6" s="76" t="s">
        <v>2</v>
      </c>
      <c r="AT6" s="76" t="str">
        <f>IF(OR(F6="",AI6=""),"",IF(AND((F6&lt;=85),(AI6&gt;=15)),"O","X"))</f>
        <v>O</v>
      </c>
      <c r="AU6" s="76" t="str">
        <f>IF(C6="","",IF(C6&gt;=$AU$1,"O","X"))</f>
        <v>O</v>
      </c>
      <c r="AV6" s="76" t="str">
        <f>IF(AO6="","",IF(AND(AO6="O",AP6="O",AR6="O",AT6="O",AU6="O"),"후보","X"))</f>
        <v>후보</v>
      </c>
    </row>
    <row r="7" spans="1:60" s="37" customFormat="1" ht="12" x14ac:dyDescent="0.3">
      <c r="A7" s="77" t="s">
        <v>2004</v>
      </c>
      <c r="B7" s="78" t="s">
        <v>2005</v>
      </c>
      <c r="C7" s="84">
        <v>637</v>
      </c>
      <c r="D7" s="85">
        <v>76.7</v>
      </c>
      <c r="E7" s="86">
        <v>23</v>
      </c>
      <c r="F7" s="85">
        <v>60</v>
      </c>
      <c r="G7" s="17">
        <v>18</v>
      </c>
      <c r="H7" s="87">
        <v>637</v>
      </c>
      <c r="I7" s="88">
        <v>16000</v>
      </c>
      <c r="J7" s="88" t="s">
        <v>89</v>
      </c>
      <c r="K7" s="88">
        <v>17000</v>
      </c>
      <c r="L7" s="88" t="s">
        <v>89</v>
      </c>
      <c r="M7" s="89">
        <f>I7-K7</f>
        <v>-1000</v>
      </c>
      <c r="N7" s="4">
        <f>IF(ISERROR(K7/I7),"",K7/I7)</f>
        <v>1.0625</v>
      </c>
      <c r="O7" s="90">
        <f>I7/E7</f>
        <v>695.6521739130435</v>
      </c>
      <c r="P7" s="90">
        <f>K7/E7</f>
        <v>739.13043478260875</v>
      </c>
      <c r="Q7" s="76">
        <v>3</v>
      </c>
      <c r="R7" s="76">
        <v>1</v>
      </c>
      <c r="S7" s="76" t="s">
        <v>61</v>
      </c>
      <c r="T7" s="5">
        <v>76</v>
      </c>
      <c r="U7" s="9"/>
      <c r="W7" s="85">
        <f>D7</f>
        <v>76.7</v>
      </c>
      <c r="X7" s="86">
        <f>E7</f>
        <v>23</v>
      </c>
      <c r="Y7" s="91">
        <f>H7</f>
        <v>637</v>
      </c>
      <c r="Z7" s="89">
        <f>I7</f>
        <v>16000</v>
      </c>
      <c r="AA7" s="89">
        <f>K7</f>
        <v>17000</v>
      </c>
      <c r="AB7" s="89">
        <f>M7</f>
        <v>-1000</v>
      </c>
      <c r="AC7" s="4">
        <f>N7</f>
        <v>1.0625</v>
      </c>
      <c r="AD7" s="90">
        <f>O7</f>
        <v>695.6521739130435</v>
      </c>
      <c r="AE7" s="76" t="str">
        <f>S7</f>
        <v>계</v>
      </c>
      <c r="AF7" s="76" t="str">
        <f>Q7&amp;"/"&amp;R7</f>
        <v>3/1</v>
      </c>
      <c r="AH7" s="20" t="str">
        <f t="shared" si="1"/>
        <v>삼천동1가 삼천남양</v>
      </c>
      <c r="AI7" s="86">
        <f t="shared" si="2"/>
        <v>23</v>
      </c>
      <c r="AJ7" s="76" t="str">
        <f>IF(AI7="","",$AJ$2)</f>
        <v>A-</v>
      </c>
      <c r="AK7" s="76" t="s">
        <v>13</v>
      </c>
      <c r="AL7" s="76" t="s">
        <v>62</v>
      </c>
      <c r="AM7" s="76" t="s">
        <v>63</v>
      </c>
      <c r="AN7" s="76" t="str">
        <f>IF(AI7="","",$AN$2)</f>
        <v>C</v>
      </c>
      <c r="AO7" s="76" t="str">
        <f>IF(N7="","",IF(N7&gt;=$AO$1/100,"O","X"))</f>
        <v>O</v>
      </c>
      <c r="AP7" s="76" t="str">
        <f>IF(I7="","",IF(I7&lt;=$AP$1,"O","X"))</f>
        <v>O</v>
      </c>
      <c r="AQ7" s="76" t="str">
        <f>IF(O7="","",IF(O7&lt;=$AQ$1,"O","X"))</f>
        <v>O</v>
      </c>
      <c r="AR7" s="76" t="str">
        <f>IF(M7="","",IF(M7&lt;=$AR$1,"O","X"))</f>
        <v>O</v>
      </c>
      <c r="AS7" s="76" t="s">
        <v>2</v>
      </c>
      <c r="AT7" s="76" t="str">
        <f>IF(OR(F7="",AI7=""),"",IF(AND((F7&lt;=85),(AI7&gt;=15)),"O","X"))</f>
        <v>O</v>
      </c>
      <c r="AU7" s="76" t="str">
        <f>IF(C7="","",IF(C7&gt;=$AU$1,"O","X"))</f>
        <v>O</v>
      </c>
      <c r="AV7" s="76" t="str">
        <f>IF(AO7="","",IF(AND(AO7="O",AP7="O",AR7="O",AT7="O",AU7="O"),"후보","X"))</f>
        <v>후보</v>
      </c>
    </row>
    <row r="8" spans="1:60" s="37" customFormat="1" ht="12" x14ac:dyDescent="0.3">
      <c r="A8" s="77" t="s">
        <v>2006</v>
      </c>
      <c r="B8" s="78" t="s">
        <v>2002</v>
      </c>
      <c r="C8" s="84">
        <v>414</v>
      </c>
      <c r="D8" s="85">
        <v>80.3</v>
      </c>
      <c r="E8" s="86">
        <v>24</v>
      </c>
      <c r="F8" s="85">
        <v>59.4</v>
      </c>
      <c r="G8" s="17">
        <v>18</v>
      </c>
      <c r="H8" s="87">
        <v>378</v>
      </c>
      <c r="I8" s="88">
        <v>18000</v>
      </c>
      <c r="J8" s="88" t="s">
        <v>131</v>
      </c>
      <c r="K8" s="88">
        <v>17000</v>
      </c>
      <c r="L8" s="88" t="s">
        <v>71</v>
      </c>
      <c r="M8" s="89">
        <f>I8-K8</f>
        <v>1000</v>
      </c>
      <c r="N8" s="4">
        <f>IF(ISERROR(K8/I8),"",K8/I8)</f>
        <v>0.94444444444444442</v>
      </c>
      <c r="O8" s="90">
        <f>I8/E8</f>
        <v>750</v>
      </c>
      <c r="P8" s="90">
        <f>K8/E8</f>
        <v>708.33333333333337</v>
      </c>
      <c r="Q8" s="76">
        <v>3</v>
      </c>
      <c r="R8" s="76">
        <v>1</v>
      </c>
      <c r="S8" s="76" t="s">
        <v>61</v>
      </c>
      <c r="T8" s="5" t="s">
        <v>132</v>
      </c>
      <c r="U8" s="9"/>
      <c r="W8" s="85">
        <f>D8</f>
        <v>80.3</v>
      </c>
      <c r="X8" s="86">
        <f>E8</f>
        <v>24</v>
      </c>
      <c r="Y8" s="91">
        <f>H8</f>
        <v>378</v>
      </c>
      <c r="Z8" s="89">
        <f>I8</f>
        <v>18000</v>
      </c>
      <c r="AA8" s="89">
        <f>K8</f>
        <v>17000</v>
      </c>
      <c r="AB8" s="89">
        <f t="shared" ref="AB8:AD15" si="5">M8</f>
        <v>1000</v>
      </c>
      <c r="AC8" s="4">
        <f t="shared" si="5"/>
        <v>0.94444444444444442</v>
      </c>
      <c r="AD8" s="90">
        <f t="shared" si="5"/>
        <v>750</v>
      </c>
      <c r="AE8" s="76" t="str">
        <f>S8</f>
        <v>계</v>
      </c>
      <c r="AF8" s="76" t="str">
        <f>Q8&amp;"/"&amp;R8</f>
        <v>3/1</v>
      </c>
      <c r="AH8" s="20" t="str">
        <f t="shared" si="1"/>
        <v>삼천동1가 삼천주공5단지</v>
      </c>
      <c r="AI8" s="86">
        <f t="shared" si="2"/>
        <v>24</v>
      </c>
      <c r="AJ8" s="76" t="str">
        <f>IF(AI8="","",$AJ$2)</f>
        <v>A-</v>
      </c>
      <c r="AK8" s="76" t="s">
        <v>13</v>
      </c>
      <c r="AL8" s="76" t="s">
        <v>62</v>
      </c>
      <c r="AM8" s="76" t="s">
        <v>63</v>
      </c>
      <c r="AN8" s="76" t="str">
        <f>IF(AI8="","",$AN$2)</f>
        <v>C</v>
      </c>
      <c r="AO8" s="76" t="str">
        <f>IF(N8="","",IF(N8&gt;=$AO$1/100,"O","X"))</f>
        <v>O</v>
      </c>
      <c r="AP8" s="76" t="str">
        <f>IF(I8="","",IF(I8&lt;=$AP$1,"O","X"))</f>
        <v>O</v>
      </c>
      <c r="AQ8" s="76" t="str">
        <f>IF(O8="","",IF(O8&lt;=$AQ$1,"O","X"))</f>
        <v>O</v>
      </c>
      <c r="AR8" s="76" t="str">
        <f>IF(M8="","",IF(M8&lt;=$AR$1,"O","X"))</f>
        <v>O</v>
      </c>
      <c r="AS8" s="76" t="s">
        <v>2</v>
      </c>
      <c r="AT8" s="76" t="str">
        <f>IF(OR(F8="",AI8=""),"",IF(AND((F8&lt;=85),(AI8&gt;=15)),"O","X"))</f>
        <v>O</v>
      </c>
      <c r="AU8" s="76" t="str">
        <f>IF(C8="","",IF(C8&gt;=$AU$1,"O","X"))</f>
        <v>O</v>
      </c>
      <c r="AV8" s="76" t="str">
        <f>IF(AO8="","",IF(AND(AO8="O",AP8="O",AR8="O",AT8="O",AU8="O"),"후보","X"))</f>
        <v>후보</v>
      </c>
    </row>
    <row r="9" spans="1:60" s="37" customFormat="1" ht="12" x14ac:dyDescent="0.3">
      <c r="A9" s="77" t="s">
        <v>2007</v>
      </c>
      <c r="B9" s="78" t="s">
        <v>2008</v>
      </c>
      <c r="C9" s="84">
        <v>900</v>
      </c>
      <c r="D9" s="85">
        <v>108.3</v>
      </c>
      <c r="E9" s="86">
        <v>33</v>
      </c>
      <c r="F9" s="85">
        <v>84.9</v>
      </c>
      <c r="G9" s="17">
        <v>26</v>
      </c>
      <c r="H9" s="87">
        <v>360</v>
      </c>
      <c r="I9" s="88">
        <v>22000</v>
      </c>
      <c r="J9" s="88" t="s">
        <v>80</v>
      </c>
      <c r="K9" s="88">
        <v>22000</v>
      </c>
      <c r="L9" s="88" t="s">
        <v>71</v>
      </c>
      <c r="M9" s="89">
        <f>I9-K9</f>
        <v>0</v>
      </c>
      <c r="N9" s="4">
        <f>IF(ISERROR(K9/I9),"",K9/I9)</f>
        <v>1</v>
      </c>
      <c r="O9" s="90">
        <f>I9/E9</f>
        <v>666.66666666666663</v>
      </c>
      <c r="P9" s="90">
        <f>K9/E9</f>
        <v>666.66666666666663</v>
      </c>
      <c r="Q9" s="76">
        <v>3</v>
      </c>
      <c r="R9" s="76">
        <v>2</v>
      </c>
      <c r="S9" s="76" t="s">
        <v>61</v>
      </c>
      <c r="T9" s="5">
        <v>108</v>
      </c>
      <c r="U9" s="9"/>
      <c r="W9" s="85">
        <f>D9</f>
        <v>108.3</v>
      </c>
      <c r="X9" s="86">
        <f>E9</f>
        <v>33</v>
      </c>
      <c r="Y9" s="91">
        <f>H9</f>
        <v>360</v>
      </c>
      <c r="Z9" s="89">
        <f>I9</f>
        <v>22000</v>
      </c>
      <c r="AA9" s="89">
        <f>K9</f>
        <v>22000</v>
      </c>
      <c r="AB9" s="89">
        <f t="shared" si="5"/>
        <v>0</v>
      </c>
      <c r="AC9" s="4">
        <f t="shared" si="5"/>
        <v>1</v>
      </c>
      <c r="AD9" s="90">
        <f t="shared" si="5"/>
        <v>666.66666666666663</v>
      </c>
      <c r="AE9" s="76" t="str">
        <f>S9</f>
        <v>계</v>
      </c>
      <c r="AF9" s="76" t="str">
        <f>Q9&amp;"/"&amp;R9</f>
        <v>3/2</v>
      </c>
      <c r="AH9" s="20" t="str">
        <f t="shared" si="1"/>
        <v>삼천동1가 신일강변</v>
      </c>
      <c r="AI9" s="86">
        <f t="shared" si="2"/>
        <v>33</v>
      </c>
      <c r="AJ9" s="76" t="str">
        <f>IF(AI9="","",$AJ$2)</f>
        <v>A-</v>
      </c>
      <c r="AK9" s="76" t="s">
        <v>13</v>
      </c>
      <c r="AL9" s="76" t="s">
        <v>62</v>
      </c>
      <c r="AM9" s="76" t="s">
        <v>63</v>
      </c>
      <c r="AN9" s="76" t="str">
        <f>IF(AI9="","",$AN$2)</f>
        <v>C</v>
      </c>
      <c r="AO9" s="76" t="str">
        <f>IF(N9="","",IF(N9&gt;=$AO$1/100,"O","X"))</f>
        <v>O</v>
      </c>
      <c r="AP9" s="76" t="str">
        <f>IF(I9="","",IF(I9&lt;=$AP$1,"O","X"))</f>
        <v>O</v>
      </c>
      <c r="AQ9" s="76" t="str">
        <f>IF(O9="","",IF(O9&lt;=$AQ$1,"O","X"))</f>
        <v>O</v>
      </c>
      <c r="AR9" s="76" t="str">
        <f>IF(M9="","",IF(M9&lt;=$AR$1,"O","X"))</f>
        <v>O</v>
      </c>
      <c r="AS9" s="76" t="s">
        <v>2</v>
      </c>
      <c r="AT9" s="76" t="str">
        <f>IF(OR(F9="",AI9=""),"",IF(AND((F9&lt;=85),(AI9&gt;=15)),"O","X"))</f>
        <v>O</v>
      </c>
      <c r="AU9" s="76" t="str">
        <f>IF(C9="","",IF(C9&gt;=$AU$1,"O","X"))</f>
        <v>O</v>
      </c>
      <c r="AV9" s="76" t="str">
        <f>IF(AO9="","",IF(AND(AO9="O",AP9="O",AR9="O",AT9="O",AU9="O"),"후보","X"))</f>
        <v>후보</v>
      </c>
    </row>
    <row r="10" spans="1:60" s="37" customFormat="1" ht="12" x14ac:dyDescent="0.3">
      <c r="A10" s="77" t="s">
        <v>2009</v>
      </c>
      <c r="B10" s="78" t="s">
        <v>1955</v>
      </c>
      <c r="C10" s="84">
        <v>510</v>
      </c>
      <c r="D10" s="85">
        <v>102.5</v>
      </c>
      <c r="E10" s="86">
        <v>31</v>
      </c>
      <c r="F10" s="85">
        <v>84.8</v>
      </c>
      <c r="G10" s="17">
        <v>26</v>
      </c>
      <c r="H10" s="87">
        <v>270</v>
      </c>
      <c r="I10" s="88">
        <v>25800</v>
      </c>
      <c r="J10" s="88" t="s">
        <v>111</v>
      </c>
      <c r="K10" s="88">
        <v>25000</v>
      </c>
      <c r="L10" s="88" t="s">
        <v>71</v>
      </c>
      <c r="M10" s="89">
        <f>I10-K10</f>
        <v>800</v>
      </c>
      <c r="N10" s="4">
        <f>IF(ISERROR(K10/I10),"",K10/I10)</f>
        <v>0.96899224806201545</v>
      </c>
      <c r="O10" s="90">
        <f>I10/E10</f>
        <v>832.25806451612902</v>
      </c>
      <c r="P10" s="90">
        <f>K10/E10</f>
        <v>806.45161290322585</v>
      </c>
      <c r="Q10" s="76">
        <v>3</v>
      </c>
      <c r="R10" s="76">
        <v>2</v>
      </c>
      <c r="S10" s="76" t="s">
        <v>61</v>
      </c>
      <c r="T10" s="5" t="s">
        <v>165</v>
      </c>
      <c r="U10" s="9"/>
      <c r="W10" s="85">
        <f>D10</f>
        <v>102.5</v>
      </c>
      <c r="X10" s="86">
        <f>E10</f>
        <v>31</v>
      </c>
      <c r="Y10" s="91">
        <f>H10</f>
        <v>270</v>
      </c>
      <c r="Z10" s="89">
        <f>I10</f>
        <v>25800</v>
      </c>
      <c r="AA10" s="89">
        <f>K10</f>
        <v>25000</v>
      </c>
      <c r="AB10" s="89">
        <f t="shared" si="5"/>
        <v>800</v>
      </c>
      <c r="AC10" s="4">
        <f t="shared" si="5"/>
        <v>0.96899224806201545</v>
      </c>
      <c r="AD10" s="90">
        <f t="shared" si="5"/>
        <v>832.25806451612902</v>
      </c>
      <c r="AE10" s="76" t="str">
        <f>S10</f>
        <v>계</v>
      </c>
      <c r="AF10" s="76" t="str">
        <f>Q10&amp;"/"&amp;R10</f>
        <v>3/2</v>
      </c>
      <c r="AH10" s="20" t="str">
        <f t="shared" si="1"/>
        <v>서신동 제일비사벌</v>
      </c>
      <c r="AI10" s="86">
        <f t="shared" si="2"/>
        <v>31</v>
      </c>
      <c r="AJ10" s="76" t="str">
        <f>IF(AI10="","",$AJ$2)</f>
        <v>A-</v>
      </c>
      <c r="AK10" s="76" t="s">
        <v>13</v>
      </c>
      <c r="AL10" s="76" t="s">
        <v>62</v>
      </c>
      <c r="AM10" s="76" t="s">
        <v>63</v>
      </c>
      <c r="AN10" s="76" t="str">
        <f>IF(AI10="","",$AN$2)</f>
        <v>C</v>
      </c>
      <c r="AO10" s="76" t="str">
        <f>IF(N10="","",IF(N10&gt;=$AO$1/100,"O","X"))</f>
        <v>O</v>
      </c>
      <c r="AP10" s="76" t="str">
        <f>IF(I10="","",IF(I10&lt;=$AP$1,"O","X"))</f>
        <v>O</v>
      </c>
      <c r="AQ10" s="76" t="str">
        <f>IF(O10="","",IF(O10&lt;=$AQ$1,"O","X"))</f>
        <v>O</v>
      </c>
      <c r="AR10" s="76" t="str">
        <f>IF(M10="","",IF(M10&lt;=$AR$1,"O","X"))</f>
        <v>O</v>
      </c>
      <c r="AS10" s="76" t="s">
        <v>2</v>
      </c>
      <c r="AT10" s="76" t="str">
        <f>IF(OR(F10="",AI10=""),"",IF(AND((F10&lt;=85),(AI10&gt;=15)),"O","X"))</f>
        <v>O</v>
      </c>
      <c r="AU10" s="76" t="str">
        <f>IF(C10="","",IF(C10&gt;=$AU$1,"O","X"))</f>
        <v>O</v>
      </c>
      <c r="AV10" s="76" t="str">
        <f>IF(AO10="","",IF(AND(AO10="O",AP10="O",AR10="O",AT10="O",AU10="O"),"후보","X"))</f>
        <v>후보</v>
      </c>
    </row>
    <row r="11" spans="1:60" s="37" customFormat="1" ht="12" x14ac:dyDescent="0.3">
      <c r="A11" s="77" t="s">
        <v>1986</v>
      </c>
      <c r="B11" s="78" t="s">
        <v>1987</v>
      </c>
      <c r="C11" s="84">
        <v>630</v>
      </c>
      <c r="D11" s="85">
        <v>75.900000000000006</v>
      </c>
      <c r="E11" s="86">
        <v>23</v>
      </c>
      <c r="F11" s="85">
        <v>60</v>
      </c>
      <c r="G11" s="17">
        <v>18</v>
      </c>
      <c r="H11" s="87">
        <v>420</v>
      </c>
      <c r="I11" s="88">
        <v>18500</v>
      </c>
      <c r="J11" s="88" t="s">
        <v>131</v>
      </c>
      <c r="K11" s="88">
        <v>18000</v>
      </c>
      <c r="L11" s="88" t="s">
        <v>111</v>
      </c>
      <c r="M11" s="89">
        <f>I11-K11</f>
        <v>500</v>
      </c>
      <c r="N11" s="4">
        <f>IF(ISERROR(K11/I11),"",K11/I11)</f>
        <v>0.97297297297297303</v>
      </c>
      <c r="O11" s="90">
        <f>I11/E11</f>
        <v>804.3478260869565</v>
      </c>
      <c r="P11" s="90">
        <f>K11/E11</f>
        <v>782.60869565217388</v>
      </c>
      <c r="Q11" s="76">
        <v>3</v>
      </c>
      <c r="R11" s="76">
        <v>1</v>
      </c>
      <c r="S11" s="76" t="s">
        <v>61</v>
      </c>
      <c r="T11" s="5" t="s">
        <v>101</v>
      </c>
      <c r="U11" s="9"/>
      <c r="W11" s="85">
        <f>D11</f>
        <v>75.900000000000006</v>
      </c>
      <c r="X11" s="86">
        <f>E11</f>
        <v>23</v>
      </c>
      <c r="Y11" s="91">
        <f>H11</f>
        <v>420</v>
      </c>
      <c r="Z11" s="89">
        <f>I11</f>
        <v>18500</v>
      </c>
      <c r="AA11" s="89">
        <f>K11</f>
        <v>18000</v>
      </c>
      <c r="AB11" s="89">
        <f t="shared" si="5"/>
        <v>500</v>
      </c>
      <c r="AC11" s="4">
        <f t="shared" si="5"/>
        <v>0.97297297297297303</v>
      </c>
      <c r="AD11" s="90">
        <f t="shared" si="5"/>
        <v>804.3478260869565</v>
      </c>
      <c r="AE11" s="76" t="str">
        <f>S11</f>
        <v>계</v>
      </c>
      <c r="AF11" s="76" t="str">
        <f>Q11&amp;"/"&amp;R11</f>
        <v>3/1</v>
      </c>
      <c r="AH11" s="20" t="str">
        <f t="shared" si="1"/>
        <v>서신동 중흥</v>
      </c>
      <c r="AI11" s="86">
        <f t="shared" si="2"/>
        <v>23</v>
      </c>
      <c r="AJ11" s="76" t="str">
        <f>IF(AI11="","",$AJ$2)</f>
        <v>A-</v>
      </c>
      <c r="AK11" s="76" t="s">
        <v>13</v>
      </c>
      <c r="AL11" s="76" t="s">
        <v>62</v>
      </c>
      <c r="AM11" s="76" t="s">
        <v>63</v>
      </c>
      <c r="AN11" s="76" t="str">
        <f>IF(AI11="","",$AN$2)</f>
        <v>C</v>
      </c>
      <c r="AO11" s="76" t="str">
        <f>IF(N11="","",IF(N11&gt;=$AO$1/100,"O","X"))</f>
        <v>O</v>
      </c>
      <c r="AP11" s="76" t="str">
        <f>IF(I11="","",IF(I11&lt;=$AP$1,"O","X"))</f>
        <v>O</v>
      </c>
      <c r="AQ11" s="76" t="str">
        <f>IF(O11="","",IF(O11&lt;=$AQ$1,"O","X"))</f>
        <v>O</v>
      </c>
      <c r="AR11" s="76" t="str">
        <f>IF(M11="","",IF(M11&lt;=$AR$1,"O","X"))</f>
        <v>O</v>
      </c>
      <c r="AS11" s="76" t="s">
        <v>2</v>
      </c>
      <c r="AT11" s="76" t="str">
        <f>IF(OR(F11="",AI11=""),"",IF(AND((F11&lt;=85),(AI11&gt;=15)),"O","X"))</f>
        <v>O</v>
      </c>
      <c r="AU11" s="76" t="str">
        <f>IF(C11="","",IF(C11&gt;=$AU$1,"O","X"))</f>
        <v>O</v>
      </c>
      <c r="AV11" s="76" t="str">
        <f>IF(AO11="","",IF(AND(AO11="O",AP11="O",AR11="O",AT11="O",AU11="O"),"후보","X"))</f>
        <v>후보</v>
      </c>
    </row>
    <row r="12" spans="1:60" s="37" customFormat="1" ht="12" x14ac:dyDescent="0.3">
      <c r="A12" s="77" t="s">
        <v>1986</v>
      </c>
      <c r="B12" s="78" t="s">
        <v>1987</v>
      </c>
      <c r="C12" s="84">
        <v>630</v>
      </c>
      <c r="D12" s="85">
        <v>75.5</v>
      </c>
      <c r="E12" s="86">
        <v>23</v>
      </c>
      <c r="F12" s="85">
        <v>60</v>
      </c>
      <c r="G12" s="17">
        <v>18</v>
      </c>
      <c r="H12" s="87">
        <v>210</v>
      </c>
      <c r="I12" s="88">
        <v>19000</v>
      </c>
      <c r="J12" s="88" t="s">
        <v>104</v>
      </c>
      <c r="K12" s="88">
        <v>16000</v>
      </c>
      <c r="L12" s="88" t="s">
        <v>85</v>
      </c>
      <c r="M12" s="89">
        <f>I12-K12</f>
        <v>3000</v>
      </c>
      <c r="N12" s="4">
        <f>IF(ISERROR(K12/I12),"",K12/I12)</f>
        <v>0.84210526315789469</v>
      </c>
      <c r="O12" s="90">
        <f>I12/E12</f>
        <v>826.08695652173913</v>
      </c>
      <c r="P12" s="90">
        <f>K12/E12</f>
        <v>695.6521739130435</v>
      </c>
      <c r="Q12" s="76">
        <v>3</v>
      </c>
      <c r="R12" s="76">
        <v>1</v>
      </c>
      <c r="S12" s="76" t="s">
        <v>61</v>
      </c>
      <c r="T12" s="5" t="s">
        <v>100</v>
      </c>
      <c r="U12" s="9"/>
      <c r="W12" s="85">
        <f>D12</f>
        <v>75.5</v>
      </c>
      <c r="X12" s="86">
        <f>E12</f>
        <v>23</v>
      </c>
      <c r="Y12" s="91">
        <f>H12</f>
        <v>210</v>
      </c>
      <c r="Z12" s="89">
        <f>I12</f>
        <v>19000</v>
      </c>
      <c r="AA12" s="89">
        <f>K12</f>
        <v>16000</v>
      </c>
      <c r="AB12" s="89">
        <f t="shared" si="5"/>
        <v>3000</v>
      </c>
      <c r="AC12" s="4">
        <f t="shared" si="5"/>
        <v>0.84210526315789469</v>
      </c>
      <c r="AD12" s="90">
        <f t="shared" si="5"/>
        <v>826.08695652173913</v>
      </c>
      <c r="AE12" s="76" t="str">
        <f>S12</f>
        <v>계</v>
      </c>
      <c r="AF12" s="76" t="str">
        <f>Q12&amp;"/"&amp;R12</f>
        <v>3/1</v>
      </c>
      <c r="AH12" s="20" t="str">
        <f t="shared" si="1"/>
        <v>서신동 중흥</v>
      </c>
      <c r="AI12" s="86">
        <f t="shared" si="2"/>
        <v>23</v>
      </c>
      <c r="AJ12" s="76" t="str">
        <f>IF(AI12="","",$AJ$2)</f>
        <v>A-</v>
      </c>
      <c r="AK12" s="76" t="s">
        <v>13</v>
      </c>
      <c r="AL12" s="76" t="s">
        <v>62</v>
      </c>
      <c r="AM12" s="76" t="s">
        <v>63</v>
      </c>
      <c r="AN12" s="76" t="str">
        <f>IF(AI12="","",$AN$2)</f>
        <v>C</v>
      </c>
      <c r="AO12" s="76" t="str">
        <f>IF(N12="","",IF(N12&gt;=$AO$1/100,"O","X"))</f>
        <v>O</v>
      </c>
      <c r="AP12" s="76" t="str">
        <f>IF(I12="","",IF(I12&lt;=$AP$1,"O","X"))</f>
        <v>O</v>
      </c>
      <c r="AQ12" s="76" t="str">
        <f>IF(O12="","",IF(O12&lt;=$AQ$1,"O","X"))</f>
        <v>O</v>
      </c>
      <c r="AR12" s="76" t="str">
        <f>IF(M12="","",IF(M12&lt;=$AR$1,"O","X"))</f>
        <v>O</v>
      </c>
      <c r="AS12" s="76" t="s">
        <v>2</v>
      </c>
      <c r="AT12" s="76" t="str">
        <f>IF(OR(F12="",AI12=""),"",IF(AND((F12&lt;=85),(AI12&gt;=15)),"O","X"))</f>
        <v>O</v>
      </c>
      <c r="AU12" s="76" t="str">
        <f>IF(C12="","",IF(C12&gt;=$AU$1,"O","X"))</f>
        <v>O</v>
      </c>
      <c r="AV12" s="76" t="str">
        <f>IF(AO12="","",IF(AND(AO12="O",AP12="O",AR12="O",AT12="O",AU12="O"),"후보","X"))</f>
        <v>후보</v>
      </c>
    </row>
    <row r="13" spans="1:60" s="37" customFormat="1" ht="12" x14ac:dyDescent="0.3">
      <c r="A13" s="77" t="s">
        <v>1957</v>
      </c>
      <c r="B13" s="78" t="s">
        <v>1956</v>
      </c>
      <c r="C13" s="84">
        <v>1408</v>
      </c>
      <c r="D13" s="85">
        <v>77.599999999999994</v>
      </c>
      <c r="E13" s="86">
        <v>23</v>
      </c>
      <c r="F13" s="85">
        <v>59.7</v>
      </c>
      <c r="G13" s="17">
        <v>18</v>
      </c>
      <c r="H13" s="87">
        <v>144</v>
      </c>
      <c r="I13" s="88">
        <v>18000</v>
      </c>
      <c r="J13" s="88" t="s">
        <v>80</v>
      </c>
      <c r="K13" s="88">
        <v>18000</v>
      </c>
      <c r="L13" s="88" t="s">
        <v>83</v>
      </c>
      <c r="M13" s="89">
        <f>I13-K13</f>
        <v>0</v>
      </c>
      <c r="N13" s="4">
        <f>IF(ISERROR(K13/I13),"",K13/I13)</f>
        <v>1</v>
      </c>
      <c r="O13" s="90">
        <f>I13/E13</f>
        <v>782.60869565217388</v>
      </c>
      <c r="P13" s="90">
        <f>K13/E13</f>
        <v>782.60869565217388</v>
      </c>
      <c r="Q13" s="76">
        <v>2</v>
      </c>
      <c r="R13" s="76">
        <v>1</v>
      </c>
      <c r="S13" s="76" t="s">
        <v>61</v>
      </c>
      <c r="T13" s="5">
        <v>77</v>
      </c>
      <c r="U13" s="9"/>
      <c r="W13" s="85">
        <f t="shared" ref="W13:X15" si="6">D13</f>
        <v>77.599999999999994</v>
      </c>
      <c r="X13" s="86">
        <f t="shared" si="6"/>
        <v>23</v>
      </c>
      <c r="Y13" s="91">
        <f t="shared" ref="Y13:Z15" si="7">H13</f>
        <v>144</v>
      </c>
      <c r="Z13" s="89">
        <f t="shared" si="7"/>
        <v>18000</v>
      </c>
      <c r="AA13" s="89">
        <f>K13</f>
        <v>18000</v>
      </c>
      <c r="AB13" s="89">
        <f t="shared" si="5"/>
        <v>0</v>
      </c>
      <c r="AC13" s="4">
        <f t="shared" si="5"/>
        <v>1</v>
      </c>
      <c r="AD13" s="90">
        <f t="shared" si="5"/>
        <v>782.60869565217388</v>
      </c>
      <c r="AE13" s="76" t="str">
        <f>S13</f>
        <v>계</v>
      </c>
      <c r="AF13" s="76" t="str">
        <f>Q13&amp;"/"&amp;R13</f>
        <v>2/1</v>
      </c>
      <c r="AH13" s="20" t="str">
        <f t="shared" si="1"/>
        <v>서신동 동아,한일</v>
      </c>
      <c r="AI13" s="86">
        <f t="shared" si="2"/>
        <v>23</v>
      </c>
      <c r="AJ13" s="76" t="str">
        <f>IF(AI13="","",$AJ$2)</f>
        <v>A-</v>
      </c>
      <c r="AK13" s="76" t="s">
        <v>13</v>
      </c>
      <c r="AL13" s="76" t="s">
        <v>62</v>
      </c>
      <c r="AM13" s="76" t="s">
        <v>63</v>
      </c>
      <c r="AN13" s="76" t="str">
        <f>IF(AI13="","",$AN$2)</f>
        <v>C</v>
      </c>
      <c r="AO13" s="76" t="str">
        <f>IF(N13="","",IF(N13&gt;=$AO$1/100,"O","X"))</f>
        <v>O</v>
      </c>
      <c r="AP13" s="76" t="str">
        <f>IF(I13="","",IF(I13&lt;=$AP$1,"O","X"))</f>
        <v>O</v>
      </c>
      <c r="AQ13" s="76" t="str">
        <f>IF(O13="","",IF(O13&lt;=$AQ$1,"O","X"))</f>
        <v>O</v>
      </c>
      <c r="AR13" s="76" t="str">
        <f>IF(M13="","",IF(M13&lt;=$AR$1,"O","X"))</f>
        <v>O</v>
      </c>
      <c r="AS13" s="76" t="s">
        <v>2</v>
      </c>
      <c r="AT13" s="76" t="str">
        <f>IF(OR(F13="",AI13=""),"",IF(AND((F13&lt;=85),(AI13&gt;=15)),"O","X"))</f>
        <v>O</v>
      </c>
      <c r="AU13" s="76" t="str">
        <f>IF(C13="","",IF(C13&gt;=$AU$1,"O","X"))</f>
        <v>O</v>
      </c>
      <c r="AV13" s="76" t="str">
        <f>IF(AO13="","",IF(AND(AO13="O",AP13="O",AR13="O",AT13="O",AU13="O"),"후보","X"))</f>
        <v>후보</v>
      </c>
    </row>
    <row r="14" spans="1:60" s="37" customFormat="1" ht="12" x14ac:dyDescent="0.3">
      <c r="A14" s="77" t="s">
        <v>1957</v>
      </c>
      <c r="B14" s="78" t="s">
        <v>1956</v>
      </c>
      <c r="C14" s="84">
        <v>1408</v>
      </c>
      <c r="D14" s="85">
        <v>78.2</v>
      </c>
      <c r="E14" s="86">
        <v>24</v>
      </c>
      <c r="F14" s="85">
        <v>59.9</v>
      </c>
      <c r="G14" s="17">
        <v>18</v>
      </c>
      <c r="H14" s="87">
        <v>704</v>
      </c>
      <c r="I14" s="88">
        <v>17500</v>
      </c>
      <c r="J14" s="88" t="s">
        <v>172</v>
      </c>
      <c r="K14" s="88">
        <v>16500</v>
      </c>
      <c r="L14" s="88" t="s">
        <v>72</v>
      </c>
      <c r="M14" s="89">
        <f>I14-K14</f>
        <v>1000</v>
      </c>
      <c r="N14" s="4">
        <f>IF(ISERROR(K14/I14),"",K14/I14)</f>
        <v>0.94285714285714284</v>
      </c>
      <c r="O14" s="90">
        <f>I14/E14</f>
        <v>729.16666666666663</v>
      </c>
      <c r="P14" s="90">
        <f>K14/E14</f>
        <v>687.5</v>
      </c>
      <c r="Q14" s="76">
        <v>3</v>
      </c>
      <c r="R14" s="76">
        <v>1</v>
      </c>
      <c r="S14" s="76" t="s">
        <v>61</v>
      </c>
      <c r="T14" s="5" t="s">
        <v>173</v>
      </c>
      <c r="U14" s="9"/>
      <c r="W14" s="85">
        <f t="shared" si="6"/>
        <v>78.2</v>
      </c>
      <c r="X14" s="86">
        <f t="shared" si="6"/>
        <v>24</v>
      </c>
      <c r="Y14" s="91">
        <f t="shared" si="7"/>
        <v>704</v>
      </c>
      <c r="Z14" s="89">
        <f t="shared" si="7"/>
        <v>17500</v>
      </c>
      <c r="AA14" s="89">
        <f>K14</f>
        <v>16500</v>
      </c>
      <c r="AB14" s="89">
        <f t="shared" si="5"/>
        <v>1000</v>
      </c>
      <c r="AC14" s="4">
        <f t="shared" si="5"/>
        <v>0.94285714285714284</v>
      </c>
      <c r="AD14" s="90">
        <f t="shared" si="5"/>
        <v>729.16666666666663</v>
      </c>
      <c r="AE14" s="76" t="str">
        <f>S14</f>
        <v>계</v>
      </c>
      <c r="AF14" s="76" t="str">
        <f>Q14&amp;"/"&amp;R14</f>
        <v>3/1</v>
      </c>
      <c r="AH14" s="20" t="str">
        <f t="shared" si="1"/>
        <v>서신동 동아,한일</v>
      </c>
      <c r="AI14" s="86">
        <f t="shared" si="2"/>
        <v>24</v>
      </c>
      <c r="AJ14" s="76" t="str">
        <f>IF(AI14="","",$AJ$2)</f>
        <v>A-</v>
      </c>
      <c r="AK14" s="76" t="s">
        <v>13</v>
      </c>
      <c r="AL14" s="76" t="s">
        <v>62</v>
      </c>
      <c r="AM14" s="76" t="s">
        <v>63</v>
      </c>
      <c r="AN14" s="76" t="str">
        <f>IF(AI14="","",$AN$2)</f>
        <v>C</v>
      </c>
      <c r="AO14" s="76" t="str">
        <f>IF(N14="","",IF(N14&gt;=$AO$1/100,"O","X"))</f>
        <v>O</v>
      </c>
      <c r="AP14" s="76" t="str">
        <f>IF(I14="","",IF(I14&lt;=$AP$1,"O","X"))</f>
        <v>O</v>
      </c>
      <c r="AQ14" s="76" t="str">
        <f>IF(O14="","",IF(O14&lt;=$AQ$1,"O","X"))</f>
        <v>O</v>
      </c>
      <c r="AR14" s="76" t="str">
        <f>IF(M14="","",IF(M14&lt;=$AR$1,"O","X"))</f>
        <v>O</v>
      </c>
      <c r="AS14" s="76" t="s">
        <v>2</v>
      </c>
      <c r="AT14" s="76" t="str">
        <f>IF(OR(F14="",AI14=""),"",IF(AND((F14&lt;=85),(AI14&gt;=15)),"O","X"))</f>
        <v>O</v>
      </c>
      <c r="AU14" s="76" t="str">
        <f>IF(C14="","",IF(C14&gt;=$AU$1,"O","X"))</f>
        <v>O</v>
      </c>
      <c r="AV14" s="76" t="str">
        <f>IF(AO14="","",IF(AND(AO14="O",AP14="O",AR14="O",AT14="O",AU14="O"),"후보","X"))</f>
        <v>후보</v>
      </c>
    </row>
    <row r="15" spans="1:60" s="37" customFormat="1" ht="12" x14ac:dyDescent="0.3">
      <c r="A15" s="77" t="s">
        <v>2010</v>
      </c>
      <c r="B15" s="78" t="s">
        <v>1956</v>
      </c>
      <c r="C15" s="84">
        <v>1408</v>
      </c>
      <c r="D15" s="85">
        <v>78.3</v>
      </c>
      <c r="E15" s="86">
        <v>24</v>
      </c>
      <c r="F15" s="85">
        <v>60</v>
      </c>
      <c r="G15" s="17">
        <v>18</v>
      </c>
      <c r="H15" s="87">
        <v>560</v>
      </c>
      <c r="I15" s="88">
        <v>17500</v>
      </c>
      <c r="J15" s="88" t="s">
        <v>84</v>
      </c>
      <c r="K15" s="88">
        <v>18000</v>
      </c>
      <c r="L15" s="88" t="s">
        <v>104</v>
      </c>
      <c r="M15" s="89">
        <f>I15-K15</f>
        <v>-500</v>
      </c>
      <c r="N15" s="4">
        <f>IF(ISERROR(K15/I15),"",K15/I15)</f>
        <v>1.0285714285714285</v>
      </c>
      <c r="O15" s="90">
        <f>I15/E15</f>
        <v>729.16666666666663</v>
      </c>
      <c r="P15" s="90">
        <f>K15/E15</f>
        <v>750</v>
      </c>
      <c r="Q15" s="76">
        <v>3</v>
      </c>
      <c r="R15" s="76">
        <v>1</v>
      </c>
      <c r="S15" s="76" t="s">
        <v>61</v>
      </c>
      <c r="T15" s="5" t="s">
        <v>174</v>
      </c>
      <c r="U15" s="9"/>
      <c r="W15" s="85">
        <f t="shared" si="6"/>
        <v>78.3</v>
      </c>
      <c r="X15" s="86">
        <f t="shared" si="6"/>
        <v>24</v>
      </c>
      <c r="Y15" s="91">
        <f t="shared" si="7"/>
        <v>560</v>
      </c>
      <c r="Z15" s="89">
        <f t="shared" si="7"/>
        <v>17500</v>
      </c>
      <c r="AA15" s="89">
        <f>K15</f>
        <v>18000</v>
      </c>
      <c r="AB15" s="89">
        <f t="shared" si="5"/>
        <v>-500</v>
      </c>
      <c r="AC15" s="4">
        <f t="shared" si="5"/>
        <v>1.0285714285714285</v>
      </c>
      <c r="AD15" s="90">
        <f t="shared" si="5"/>
        <v>729.16666666666663</v>
      </c>
      <c r="AE15" s="76" t="str">
        <f>S15</f>
        <v>계</v>
      </c>
      <c r="AF15" s="76" t="str">
        <f>Q15&amp;"/"&amp;R15</f>
        <v>3/1</v>
      </c>
      <c r="AH15" s="20" t="str">
        <f t="shared" si="1"/>
        <v>서신동 동아,한일</v>
      </c>
      <c r="AI15" s="86">
        <f t="shared" si="2"/>
        <v>24</v>
      </c>
      <c r="AJ15" s="76" t="str">
        <f>IF(AI15="","",$AJ$2)</f>
        <v>A-</v>
      </c>
      <c r="AK15" s="76" t="s">
        <v>13</v>
      </c>
      <c r="AL15" s="76" t="s">
        <v>62</v>
      </c>
      <c r="AM15" s="76" t="s">
        <v>63</v>
      </c>
      <c r="AN15" s="76" t="str">
        <f>IF(AI15="","",$AN$2)</f>
        <v>C</v>
      </c>
      <c r="AO15" s="76" t="str">
        <f>IF(N15="","",IF(N15&gt;=$AO$1/100,"O","X"))</f>
        <v>O</v>
      </c>
      <c r="AP15" s="76" t="str">
        <f>IF(I15="","",IF(I15&lt;=$AP$1,"O","X"))</f>
        <v>O</v>
      </c>
      <c r="AQ15" s="76" t="str">
        <f>IF(O15="","",IF(O15&lt;=$AQ$1,"O","X"))</f>
        <v>O</v>
      </c>
      <c r="AR15" s="76" t="str">
        <f>IF(M15="","",IF(M15&lt;=$AR$1,"O","X"))</f>
        <v>O</v>
      </c>
      <c r="AS15" s="76" t="s">
        <v>2</v>
      </c>
      <c r="AT15" s="76" t="str">
        <f>IF(OR(F15="",AI15=""),"",IF(AND((F15&lt;=85),(AI15&gt;=15)),"O","X"))</f>
        <v>O</v>
      </c>
      <c r="AU15" s="76" t="str">
        <f>IF(C15="","",IF(C15&gt;=$AU$1,"O","X"))</f>
        <v>O</v>
      </c>
      <c r="AV15" s="76" t="str">
        <f>IF(AO15="","",IF(AND(AO15="O",AP15="O",AR15="O",AT15="O",AU15="O"),"후보","X"))</f>
        <v>후보</v>
      </c>
    </row>
    <row r="16" spans="1:60" s="37" customFormat="1" ht="12" x14ac:dyDescent="0.3">
      <c r="A16" s="77" t="s">
        <v>2011</v>
      </c>
      <c r="B16" s="78" t="s">
        <v>1959</v>
      </c>
      <c r="C16" s="84">
        <v>510</v>
      </c>
      <c r="D16" s="85">
        <v>103.3</v>
      </c>
      <c r="E16" s="86">
        <v>31</v>
      </c>
      <c r="F16" s="85">
        <v>85</v>
      </c>
      <c r="G16" s="17">
        <v>26</v>
      </c>
      <c r="H16" s="87">
        <v>510</v>
      </c>
      <c r="I16" s="88">
        <v>24000</v>
      </c>
      <c r="J16" s="88" t="s">
        <v>131</v>
      </c>
      <c r="K16" s="88">
        <v>23000</v>
      </c>
      <c r="L16" s="88" t="s">
        <v>181</v>
      </c>
      <c r="M16" s="89">
        <f>I16-K16</f>
        <v>1000</v>
      </c>
      <c r="N16" s="4">
        <f>IF(ISERROR(K16/I16),"",K16/I16)</f>
        <v>0.95833333333333337</v>
      </c>
      <c r="O16" s="90">
        <f>I16/E16</f>
        <v>774.19354838709683</v>
      </c>
      <c r="P16" s="90">
        <f>K16/E16</f>
        <v>741.93548387096769</v>
      </c>
      <c r="Q16" s="76">
        <v>3</v>
      </c>
      <c r="R16" s="76">
        <v>2</v>
      </c>
      <c r="S16" s="76" t="s">
        <v>61</v>
      </c>
      <c r="T16" s="5">
        <v>103</v>
      </c>
      <c r="U16" s="9"/>
      <c r="W16" s="85">
        <f>D16</f>
        <v>103.3</v>
      </c>
      <c r="X16" s="86">
        <f>E16</f>
        <v>31</v>
      </c>
      <c r="Y16" s="91">
        <f>H16</f>
        <v>510</v>
      </c>
      <c r="Z16" s="89">
        <f>I16</f>
        <v>24000</v>
      </c>
      <c r="AA16" s="89">
        <f>K16</f>
        <v>23000</v>
      </c>
      <c r="AB16" s="89">
        <f>M16</f>
        <v>1000</v>
      </c>
      <c r="AC16" s="4">
        <f>N16</f>
        <v>0.95833333333333337</v>
      </c>
      <c r="AD16" s="90">
        <f>O16</f>
        <v>774.19354838709683</v>
      </c>
      <c r="AE16" s="76" t="str">
        <f>S16</f>
        <v>계</v>
      </c>
      <c r="AF16" s="76" t="str">
        <f>Q16&amp;"/"&amp;R16</f>
        <v>3/2</v>
      </c>
      <c r="AH16" s="20" t="str">
        <f t="shared" si="1"/>
        <v>서신동 서신남양대명타운</v>
      </c>
      <c r="AI16" s="86">
        <f t="shared" si="2"/>
        <v>31</v>
      </c>
      <c r="AJ16" s="76" t="str">
        <f>IF(AI16="","",$AJ$2)</f>
        <v>A-</v>
      </c>
      <c r="AK16" s="76" t="s">
        <v>13</v>
      </c>
      <c r="AL16" s="76" t="s">
        <v>62</v>
      </c>
      <c r="AM16" s="76" t="s">
        <v>63</v>
      </c>
      <c r="AN16" s="76" t="str">
        <f>IF(AI16="","",$AN$2)</f>
        <v>C</v>
      </c>
      <c r="AO16" s="76" t="str">
        <f>IF(N16="","",IF(N16&gt;=$AO$1/100,"O","X"))</f>
        <v>O</v>
      </c>
      <c r="AP16" s="76" t="str">
        <f>IF(I16="","",IF(I16&lt;=$AP$1,"O","X"))</f>
        <v>O</v>
      </c>
      <c r="AQ16" s="76" t="str">
        <f>IF(O16="","",IF(O16&lt;=$AQ$1,"O","X"))</f>
        <v>O</v>
      </c>
      <c r="AR16" s="76" t="str">
        <f>IF(M16="","",IF(M16&lt;=$AR$1,"O","X"))</f>
        <v>O</v>
      </c>
      <c r="AS16" s="76" t="s">
        <v>2</v>
      </c>
      <c r="AT16" s="76" t="str">
        <f>IF(OR(F16="",AI16=""),"",IF(AND((F16&lt;=85),(AI16&gt;=15)),"O","X"))</f>
        <v>O</v>
      </c>
      <c r="AU16" s="76" t="str">
        <f>IF(C16="","",IF(C16&gt;=$AU$1,"O","X"))</f>
        <v>O</v>
      </c>
      <c r="AV16" s="76" t="str">
        <f>IF(AO16="","",IF(AND(AO16="O",AP16="O",AR16="O",AT16="O",AU16="O"),"후보","X"))</f>
        <v>후보</v>
      </c>
    </row>
    <row r="17" spans="1:48" s="37" customFormat="1" ht="12" x14ac:dyDescent="0.3">
      <c r="A17" s="77" t="s">
        <v>1988</v>
      </c>
      <c r="B17" s="78" t="s">
        <v>1989</v>
      </c>
      <c r="C17" s="84">
        <v>826</v>
      </c>
      <c r="D17" s="85">
        <v>74.8</v>
      </c>
      <c r="E17" s="86">
        <v>23</v>
      </c>
      <c r="F17" s="85">
        <v>60</v>
      </c>
      <c r="G17" s="17">
        <v>18</v>
      </c>
      <c r="H17" s="87">
        <v>826</v>
      </c>
      <c r="I17" s="88">
        <v>15000</v>
      </c>
      <c r="J17" s="88" t="s">
        <v>71</v>
      </c>
      <c r="K17" s="88">
        <v>14500</v>
      </c>
      <c r="L17" s="88" t="s">
        <v>131</v>
      </c>
      <c r="M17" s="89">
        <f>I17-K17</f>
        <v>500</v>
      </c>
      <c r="N17" s="4">
        <f>IF(ISERROR(K17/I17),"",K17/I17)</f>
        <v>0.96666666666666667</v>
      </c>
      <c r="O17" s="90">
        <f>I17/E17</f>
        <v>652.17391304347825</v>
      </c>
      <c r="P17" s="90">
        <f>K17/E17</f>
        <v>630.43478260869563</v>
      </c>
      <c r="Q17" s="76">
        <v>3</v>
      </c>
      <c r="R17" s="76">
        <v>1</v>
      </c>
      <c r="S17" s="76" t="s">
        <v>61</v>
      </c>
      <c r="T17" s="5">
        <v>74</v>
      </c>
      <c r="U17" s="9"/>
      <c r="W17" s="85">
        <f>D17</f>
        <v>74.8</v>
      </c>
      <c r="X17" s="86">
        <f>E17</f>
        <v>23</v>
      </c>
      <c r="Y17" s="91">
        <f>H17</f>
        <v>826</v>
      </c>
      <c r="Z17" s="89">
        <f>I17</f>
        <v>15000</v>
      </c>
      <c r="AA17" s="89">
        <f>K17</f>
        <v>14500</v>
      </c>
      <c r="AB17" s="89">
        <f>M17</f>
        <v>500</v>
      </c>
      <c r="AC17" s="4">
        <f>N17</f>
        <v>0.96666666666666667</v>
      </c>
      <c r="AD17" s="90">
        <f>O17</f>
        <v>652.17391304347825</v>
      </c>
      <c r="AE17" s="76" t="str">
        <f>S17</f>
        <v>계</v>
      </c>
      <c r="AF17" s="76" t="str">
        <f>Q17&amp;"/"&amp;R17</f>
        <v>3/1</v>
      </c>
      <c r="AH17" s="20" t="str">
        <f t="shared" si="1"/>
        <v>서신동 서신광진</v>
      </c>
      <c r="AI17" s="86">
        <f t="shared" si="2"/>
        <v>23</v>
      </c>
      <c r="AJ17" s="76" t="str">
        <f>IF(AI17="","",$AJ$2)</f>
        <v>A-</v>
      </c>
      <c r="AK17" s="76" t="s">
        <v>13</v>
      </c>
      <c r="AL17" s="76" t="s">
        <v>62</v>
      </c>
      <c r="AM17" s="76" t="s">
        <v>63</v>
      </c>
      <c r="AN17" s="76" t="str">
        <f>IF(AI17="","",$AN$2)</f>
        <v>C</v>
      </c>
      <c r="AO17" s="76" t="str">
        <f>IF(N17="","",IF(N17&gt;=$AO$1/100,"O","X"))</f>
        <v>O</v>
      </c>
      <c r="AP17" s="76" t="str">
        <f>IF(I17="","",IF(I17&lt;=$AP$1,"O","X"))</f>
        <v>O</v>
      </c>
      <c r="AQ17" s="76" t="str">
        <f>IF(O17="","",IF(O17&lt;=$AQ$1,"O","X"))</f>
        <v>O</v>
      </c>
      <c r="AR17" s="76" t="str">
        <f>IF(M17="","",IF(M17&lt;=$AR$1,"O","X"))</f>
        <v>O</v>
      </c>
      <c r="AS17" s="76" t="s">
        <v>2</v>
      </c>
      <c r="AT17" s="76" t="str">
        <f>IF(OR(F17="",AI17=""),"",IF(AND((F17&lt;=85),(AI17&gt;=15)),"O","X"))</f>
        <v>O</v>
      </c>
      <c r="AU17" s="76" t="str">
        <f>IF(C17="","",IF(C17&gt;=$AU$1,"O","X"))</f>
        <v>O</v>
      </c>
      <c r="AV17" s="76" t="str">
        <f>IF(AO17="","",IF(AND(AO17="O",AP17="O",AR17="O",AT17="O",AU17="O"),"후보","X"))</f>
        <v>후보</v>
      </c>
    </row>
    <row r="18" spans="1:48" s="37" customFormat="1" ht="12" x14ac:dyDescent="0.3">
      <c r="A18" s="77" t="s">
        <v>1962</v>
      </c>
      <c r="B18" s="78" t="s">
        <v>1961</v>
      </c>
      <c r="C18" s="84">
        <v>1390</v>
      </c>
      <c r="D18" s="85">
        <v>52.5</v>
      </c>
      <c r="E18" s="86">
        <v>16</v>
      </c>
      <c r="F18" s="85">
        <v>35</v>
      </c>
      <c r="G18" s="17">
        <v>11</v>
      </c>
      <c r="H18" s="87">
        <v>48</v>
      </c>
      <c r="I18" s="88">
        <v>15500</v>
      </c>
      <c r="J18" s="88" t="s">
        <v>89</v>
      </c>
      <c r="K18" s="88">
        <v>14500</v>
      </c>
      <c r="L18" s="88" t="s">
        <v>111</v>
      </c>
      <c r="M18" s="89">
        <f t="shared" ref="M18" si="8">I18-K18</f>
        <v>1000</v>
      </c>
      <c r="N18" s="4">
        <f t="shared" ref="N18" si="9">IF(ISERROR(K18/I18),"",K18/I18)</f>
        <v>0.93548387096774188</v>
      </c>
      <c r="O18" s="90">
        <f t="shared" ref="O18" si="10">I18/E18</f>
        <v>968.75</v>
      </c>
      <c r="P18" s="90">
        <f t="shared" ref="P18" si="11">K18/E18</f>
        <v>906.25</v>
      </c>
      <c r="Q18" s="76">
        <v>1</v>
      </c>
      <c r="R18" s="76">
        <v>1</v>
      </c>
      <c r="S18" s="76" t="s">
        <v>61</v>
      </c>
      <c r="T18" s="5">
        <v>52</v>
      </c>
      <c r="U18" s="9"/>
      <c r="W18" s="85">
        <f t="shared" ref="W18:X18" si="12">D18</f>
        <v>52.5</v>
      </c>
      <c r="X18" s="86">
        <f t="shared" si="12"/>
        <v>16</v>
      </c>
      <c r="Y18" s="91">
        <f t="shared" ref="Y18:Z18" si="13">H18</f>
        <v>48</v>
      </c>
      <c r="Z18" s="89">
        <f t="shared" si="13"/>
        <v>15500</v>
      </c>
      <c r="AA18" s="89">
        <f t="shared" ref="AA18" si="14">K18</f>
        <v>14500</v>
      </c>
      <c r="AB18" s="89">
        <f t="shared" ref="AB18:AD19" si="15">M18</f>
        <v>1000</v>
      </c>
      <c r="AC18" s="4">
        <f t="shared" si="15"/>
        <v>0.93548387096774188</v>
      </c>
      <c r="AD18" s="90">
        <f t="shared" si="15"/>
        <v>968.75</v>
      </c>
      <c r="AE18" s="76" t="str">
        <f t="shared" ref="AE18" si="16">S18</f>
        <v>계</v>
      </c>
      <c r="AF18" s="76" t="str">
        <f t="shared" ref="AF18" si="17">Q18&amp;"/"&amp;R18</f>
        <v>1/1</v>
      </c>
      <c r="AH18" s="20" t="str">
        <f t="shared" si="1"/>
        <v>서신동 서신아이파크e편한세상</v>
      </c>
      <c r="AI18" s="86">
        <f t="shared" si="2"/>
        <v>16</v>
      </c>
      <c r="AJ18" s="76" t="str">
        <f t="shared" ref="AJ18" si="18">IF(AI18="","",$AJ$2)</f>
        <v>A-</v>
      </c>
      <c r="AK18" s="76" t="s">
        <v>13</v>
      </c>
      <c r="AL18" s="76" t="s">
        <v>62</v>
      </c>
      <c r="AM18" s="76" t="s">
        <v>63</v>
      </c>
      <c r="AN18" s="76" t="str">
        <f t="shared" ref="AN18" si="19">IF(AI18="","",$AN$2)</f>
        <v>C</v>
      </c>
      <c r="AO18" s="76" t="str">
        <f t="shared" ref="AO18" si="20">IF(N18="","",IF(N18&gt;=$AO$1/100,"O","X"))</f>
        <v>O</v>
      </c>
      <c r="AP18" s="76" t="str">
        <f t="shared" ref="AP18" si="21">IF(I18="","",IF(I18&lt;=$AP$1,"O","X"))</f>
        <v>O</v>
      </c>
      <c r="AQ18" s="76" t="str">
        <f t="shared" ref="AQ18" si="22">IF(O18="","",IF(O18&lt;=$AQ$1,"O","X"))</f>
        <v>O</v>
      </c>
      <c r="AR18" s="76" t="str">
        <f t="shared" ref="AR18" si="23">IF(M18="","",IF(M18&lt;=$AR$1,"O","X"))</f>
        <v>O</v>
      </c>
      <c r="AS18" s="76" t="s">
        <v>2</v>
      </c>
      <c r="AT18" s="76" t="str">
        <f t="shared" ref="AT18" si="24">IF(OR(F18="",AI18=""),"",IF(AND((F18&lt;=85),(AI18&gt;=15)),"O","X"))</f>
        <v>O</v>
      </c>
      <c r="AU18" s="76" t="str">
        <f t="shared" ref="AU18" si="25">IF(C18="","",IF(C18&gt;=$AU$1,"O","X"))</f>
        <v>O</v>
      </c>
      <c r="AV18" s="76" t="str">
        <f t="shared" ref="AV18" si="26">IF(AO18="","",IF(AND(AO18="O",AP18="O",AR18="O",AT18="O",AU18="O"),"후보","X"))</f>
        <v>후보</v>
      </c>
    </row>
    <row r="19" spans="1:48" s="37" customFormat="1" ht="12" x14ac:dyDescent="0.3">
      <c r="A19" s="77" t="s">
        <v>2012</v>
      </c>
      <c r="B19" s="78" t="s">
        <v>1963</v>
      </c>
      <c r="C19" s="84">
        <v>390</v>
      </c>
      <c r="D19" s="85">
        <v>106.8</v>
      </c>
      <c r="E19" s="86">
        <v>32</v>
      </c>
      <c r="F19" s="85">
        <v>84.6</v>
      </c>
      <c r="G19" s="17">
        <v>26</v>
      </c>
      <c r="H19" s="87">
        <v>248</v>
      </c>
      <c r="I19" s="88">
        <v>26000</v>
      </c>
      <c r="J19" s="88" t="s">
        <v>189</v>
      </c>
      <c r="K19" s="88">
        <v>28000</v>
      </c>
      <c r="L19" s="88" t="s">
        <v>75</v>
      </c>
      <c r="M19" s="89">
        <f>I19-K19</f>
        <v>-2000</v>
      </c>
      <c r="N19" s="4">
        <f>IF(ISERROR(K19/I19),"",K19/I19)</f>
        <v>1.0769230769230769</v>
      </c>
      <c r="O19" s="90">
        <f>I19/E19</f>
        <v>812.5</v>
      </c>
      <c r="P19" s="90">
        <f>K19/E19</f>
        <v>875</v>
      </c>
      <c r="Q19" s="76">
        <v>3</v>
      </c>
      <c r="R19" s="76">
        <v>2</v>
      </c>
      <c r="S19" s="76" t="s">
        <v>61</v>
      </c>
      <c r="T19" s="5">
        <v>106</v>
      </c>
      <c r="U19" s="9"/>
      <c r="W19" s="85">
        <f>D19</f>
        <v>106.8</v>
      </c>
      <c r="X19" s="86">
        <f>E19</f>
        <v>32</v>
      </c>
      <c r="Y19" s="91">
        <f>H19</f>
        <v>248</v>
      </c>
      <c r="Z19" s="89">
        <f>I19</f>
        <v>26000</v>
      </c>
      <c r="AA19" s="89">
        <f>K19</f>
        <v>28000</v>
      </c>
      <c r="AB19" s="89">
        <f t="shared" si="15"/>
        <v>-2000</v>
      </c>
      <c r="AC19" s="4">
        <f t="shared" si="15"/>
        <v>1.0769230769230769</v>
      </c>
      <c r="AD19" s="90">
        <f t="shared" si="15"/>
        <v>812.5</v>
      </c>
      <c r="AE19" s="76" t="str">
        <f>S19</f>
        <v>계</v>
      </c>
      <c r="AF19" s="76" t="str">
        <f>Q19&amp;"/"&amp;R19</f>
        <v>3/2</v>
      </c>
      <c r="AH19" s="20" t="str">
        <f t="shared" si="1"/>
        <v>서신동 감나무골대우,대창</v>
      </c>
      <c r="AI19" s="86">
        <f t="shared" si="2"/>
        <v>32</v>
      </c>
      <c r="AJ19" s="76" t="str">
        <f>IF(AI19="","",$AJ$2)</f>
        <v>A-</v>
      </c>
      <c r="AK19" s="76" t="s">
        <v>13</v>
      </c>
      <c r="AL19" s="76" t="s">
        <v>62</v>
      </c>
      <c r="AM19" s="76" t="s">
        <v>63</v>
      </c>
      <c r="AN19" s="76" t="str">
        <f>IF(AI19="","",$AN$2)</f>
        <v>C</v>
      </c>
      <c r="AO19" s="76" t="str">
        <f>IF(N19="","",IF(N19&gt;=$AO$1/100,"O","X"))</f>
        <v>O</v>
      </c>
      <c r="AP19" s="76" t="str">
        <f>IF(I19="","",IF(I19&lt;=$AP$1,"O","X"))</f>
        <v>O</v>
      </c>
      <c r="AQ19" s="76" t="str">
        <f>IF(O19="","",IF(O19&lt;=$AQ$1,"O","X"))</f>
        <v>O</v>
      </c>
      <c r="AR19" s="76" t="str">
        <f>IF(M19="","",IF(M19&lt;=$AR$1,"O","X"))</f>
        <v>O</v>
      </c>
      <c r="AS19" s="76" t="s">
        <v>2</v>
      </c>
      <c r="AT19" s="76" t="str">
        <f>IF(OR(F19="",AI19=""),"",IF(AND((F19&lt;=85),(AI19&gt;=15)),"O","X"))</f>
        <v>O</v>
      </c>
      <c r="AU19" s="76" t="str">
        <f>IF(C19="","",IF(C19&gt;=$AU$1,"O","X"))</f>
        <v>O</v>
      </c>
      <c r="AV19" s="76" t="str">
        <f>IF(AO19="","",IF(AND(AO19="O",AP19="O",AR19="O",AT19="O",AU19="O"),"후보","X"))</f>
        <v>후보</v>
      </c>
    </row>
    <row r="20" spans="1:48" s="37" customFormat="1" ht="12" x14ac:dyDescent="0.3">
      <c r="A20" s="77" t="s">
        <v>2013</v>
      </c>
      <c r="B20" s="78" t="s">
        <v>1964</v>
      </c>
      <c r="C20" s="84">
        <v>531</v>
      </c>
      <c r="D20" s="85">
        <v>82.3</v>
      </c>
      <c r="E20" s="86">
        <v>25</v>
      </c>
      <c r="F20" s="85">
        <v>59</v>
      </c>
      <c r="G20" s="17">
        <v>18</v>
      </c>
      <c r="H20" s="87">
        <v>531</v>
      </c>
      <c r="I20" s="88">
        <v>12700</v>
      </c>
      <c r="J20" s="88" t="s">
        <v>131</v>
      </c>
      <c r="K20" s="88">
        <v>11000</v>
      </c>
      <c r="L20" s="88" t="s">
        <v>85</v>
      </c>
      <c r="M20" s="89">
        <f>I20-K20</f>
        <v>1700</v>
      </c>
      <c r="N20" s="4">
        <f>IF(ISERROR(K20/I20),"",K20/I20)</f>
        <v>0.86614173228346458</v>
      </c>
      <c r="O20" s="90">
        <f>I20/E20</f>
        <v>508</v>
      </c>
      <c r="P20" s="90">
        <f>K20/E20</f>
        <v>440</v>
      </c>
      <c r="Q20" s="76">
        <v>2</v>
      </c>
      <c r="R20" s="76">
        <v>1</v>
      </c>
      <c r="S20" s="76" t="s">
        <v>68</v>
      </c>
      <c r="T20" s="5">
        <v>82</v>
      </c>
      <c r="U20" s="9"/>
      <c r="W20" s="85">
        <f>D20</f>
        <v>82.3</v>
      </c>
      <c r="X20" s="86">
        <f>E20</f>
        <v>25</v>
      </c>
      <c r="Y20" s="91">
        <f>H20</f>
        <v>531</v>
      </c>
      <c r="Z20" s="89">
        <f>I20</f>
        <v>12700</v>
      </c>
      <c r="AA20" s="89">
        <f>K20</f>
        <v>11000</v>
      </c>
      <c r="AB20" s="89">
        <f>M20</f>
        <v>1700</v>
      </c>
      <c r="AC20" s="4">
        <f>N20</f>
        <v>0.86614173228346458</v>
      </c>
      <c r="AD20" s="90">
        <f>O20</f>
        <v>508</v>
      </c>
      <c r="AE20" s="76" t="str">
        <f>S20</f>
        <v>복</v>
      </c>
      <c r="AF20" s="76" t="str">
        <f>Q20&amp;"/"&amp;R20</f>
        <v>2/1</v>
      </c>
      <c r="AH20" s="20" t="str">
        <f t="shared" si="1"/>
        <v>서신동 서신쌍용</v>
      </c>
      <c r="AI20" s="86">
        <f t="shared" si="2"/>
        <v>25</v>
      </c>
      <c r="AJ20" s="76" t="str">
        <f>IF(AI20="","",$AJ$2)</f>
        <v>A-</v>
      </c>
      <c r="AK20" s="76" t="s">
        <v>13</v>
      </c>
      <c r="AL20" s="76" t="s">
        <v>62</v>
      </c>
      <c r="AM20" s="76" t="s">
        <v>63</v>
      </c>
      <c r="AN20" s="76" t="str">
        <f>IF(AI20="","",$AN$2)</f>
        <v>C</v>
      </c>
      <c r="AO20" s="76" t="str">
        <f>IF(N20="","",IF(N20&gt;=$AO$1/100,"O","X"))</f>
        <v>O</v>
      </c>
      <c r="AP20" s="76" t="str">
        <f>IF(I20="","",IF(I20&lt;=$AP$1,"O","X"))</f>
        <v>O</v>
      </c>
      <c r="AQ20" s="76" t="str">
        <f>IF(O20="","",IF(O20&lt;=$AQ$1,"O","X"))</f>
        <v>O</v>
      </c>
      <c r="AR20" s="76" t="str">
        <f>IF(M20="","",IF(M20&lt;=$AR$1,"O","X"))</f>
        <v>O</v>
      </c>
      <c r="AS20" s="76" t="s">
        <v>2</v>
      </c>
      <c r="AT20" s="76" t="str">
        <f>IF(OR(F20="",AI20=""),"",IF(AND((F20&lt;=85),(AI20&gt;=15)),"O","X"))</f>
        <v>O</v>
      </c>
      <c r="AU20" s="76" t="str">
        <f>IF(C20="","",IF(C20&gt;=$AU$1,"O","X"))</f>
        <v>O</v>
      </c>
      <c r="AV20" s="76" t="str">
        <f>IF(AO20="","",IF(AND(AO20="O",AP20="O",AR20="O",AT20="O",AU20="O"),"후보","X"))</f>
        <v>후보</v>
      </c>
    </row>
    <row r="21" spans="1:48" s="37" customFormat="1" ht="12" x14ac:dyDescent="0.3">
      <c r="A21" s="77" t="s">
        <v>1965</v>
      </c>
      <c r="B21" s="78" t="s">
        <v>1959</v>
      </c>
      <c r="C21" s="84">
        <v>630</v>
      </c>
      <c r="D21" s="85">
        <v>78.8</v>
      </c>
      <c r="E21" s="86">
        <v>24</v>
      </c>
      <c r="F21" s="85">
        <v>60</v>
      </c>
      <c r="G21" s="17">
        <v>18</v>
      </c>
      <c r="H21" s="87">
        <v>630</v>
      </c>
      <c r="I21" s="88">
        <v>15000</v>
      </c>
      <c r="J21" s="88" t="s">
        <v>131</v>
      </c>
      <c r="K21" s="88">
        <v>16000</v>
      </c>
      <c r="L21" s="88" t="s">
        <v>84</v>
      </c>
      <c r="M21" s="89">
        <f>I21-K21</f>
        <v>-1000</v>
      </c>
      <c r="N21" s="4">
        <f>IF(ISERROR(K21/I21),"",K21/I21)</f>
        <v>1.0666666666666667</v>
      </c>
      <c r="O21" s="90">
        <f>I21/E21</f>
        <v>625</v>
      </c>
      <c r="P21" s="90">
        <f>K21/E21</f>
        <v>666.66666666666663</v>
      </c>
      <c r="Q21" s="76">
        <v>3</v>
      </c>
      <c r="R21" s="76">
        <v>1</v>
      </c>
      <c r="S21" s="76" t="s">
        <v>61</v>
      </c>
      <c r="T21" s="5">
        <v>78</v>
      </c>
      <c r="U21" s="9"/>
      <c r="W21" s="85">
        <f>D21</f>
        <v>78.8</v>
      </c>
      <c r="X21" s="86">
        <f>E21</f>
        <v>24</v>
      </c>
      <c r="Y21" s="91">
        <f>H21</f>
        <v>630</v>
      </c>
      <c r="Z21" s="89">
        <f>I21</f>
        <v>15000</v>
      </c>
      <c r="AA21" s="89">
        <f>K21</f>
        <v>16000</v>
      </c>
      <c r="AB21" s="89">
        <f>M21</f>
        <v>-1000</v>
      </c>
      <c r="AC21" s="4">
        <f>N21</f>
        <v>1.0666666666666667</v>
      </c>
      <c r="AD21" s="90">
        <f>O21</f>
        <v>625</v>
      </c>
      <c r="AE21" s="76" t="str">
        <f>S21</f>
        <v>계</v>
      </c>
      <c r="AF21" s="76" t="str">
        <f>Q21&amp;"/"&amp;R21</f>
        <v>3/1</v>
      </c>
      <c r="AH21" s="20" t="str">
        <f t="shared" si="1"/>
        <v>서신동 성원</v>
      </c>
      <c r="AI21" s="86">
        <f t="shared" si="2"/>
        <v>24</v>
      </c>
      <c r="AJ21" s="76" t="str">
        <f>IF(AI21="","",$AJ$2)</f>
        <v>A-</v>
      </c>
      <c r="AK21" s="76" t="s">
        <v>13</v>
      </c>
      <c r="AL21" s="76" t="s">
        <v>62</v>
      </c>
      <c r="AM21" s="76" t="s">
        <v>63</v>
      </c>
      <c r="AN21" s="76" t="str">
        <f>IF(AI21="","",$AN$2)</f>
        <v>C</v>
      </c>
      <c r="AO21" s="76" t="str">
        <f>IF(N21="","",IF(N21&gt;=$AO$1/100,"O","X"))</f>
        <v>O</v>
      </c>
      <c r="AP21" s="76" t="str">
        <f>IF(I21="","",IF(I21&lt;=$AP$1,"O","X"))</f>
        <v>O</v>
      </c>
      <c r="AQ21" s="76" t="str">
        <f>IF(O21="","",IF(O21&lt;=$AQ$1,"O","X"))</f>
        <v>O</v>
      </c>
      <c r="AR21" s="76" t="str">
        <f>IF(M21="","",IF(M21&lt;=$AR$1,"O","X"))</f>
        <v>O</v>
      </c>
      <c r="AS21" s="76" t="s">
        <v>2</v>
      </c>
      <c r="AT21" s="76" t="str">
        <f>IF(OR(F21="",AI21=""),"",IF(AND((F21&lt;=85),(AI21&gt;=15)),"O","X"))</f>
        <v>O</v>
      </c>
      <c r="AU21" s="76" t="str">
        <f>IF(C21="","",IF(C21&gt;=$AU$1,"O","X"))</f>
        <v>O</v>
      </c>
      <c r="AV21" s="76" t="str">
        <f>IF(AO21="","",IF(AND(AO21="O",AP21="O",AR21="O",AT21="O",AU21="O"),"후보","X"))</f>
        <v>후보</v>
      </c>
    </row>
    <row r="22" spans="1:48" s="37" customFormat="1" ht="12" x14ac:dyDescent="0.3">
      <c r="A22" s="77" t="s">
        <v>2014</v>
      </c>
      <c r="B22" s="78" t="s">
        <v>1960</v>
      </c>
      <c r="C22" s="84">
        <v>930</v>
      </c>
      <c r="D22" s="85">
        <v>76</v>
      </c>
      <c r="E22" s="86">
        <v>23</v>
      </c>
      <c r="F22" s="85">
        <v>60</v>
      </c>
      <c r="G22" s="17">
        <v>18</v>
      </c>
      <c r="H22" s="87">
        <v>930</v>
      </c>
      <c r="I22" s="88">
        <v>16500</v>
      </c>
      <c r="J22" s="88" t="s">
        <v>72</v>
      </c>
      <c r="K22" s="88">
        <v>16500</v>
      </c>
      <c r="L22" s="88" t="s">
        <v>80</v>
      </c>
      <c r="M22" s="89">
        <f>I22-K22</f>
        <v>0</v>
      </c>
      <c r="N22" s="4">
        <f>IF(ISERROR(K22/I22),"",K22/I22)</f>
        <v>1</v>
      </c>
      <c r="O22" s="90">
        <f>I22/E22</f>
        <v>717.39130434782612</v>
      </c>
      <c r="P22" s="90">
        <f>K22/E22</f>
        <v>717.39130434782612</v>
      </c>
      <c r="Q22" s="76">
        <v>3</v>
      </c>
      <c r="R22" s="76">
        <v>1</v>
      </c>
      <c r="S22" s="76" t="s">
        <v>61</v>
      </c>
      <c r="T22" s="5">
        <v>76</v>
      </c>
      <c r="U22" s="9"/>
      <c r="W22" s="85">
        <f>D22</f>
        <v>76</v>
      </c>
      <c r="X22" s="86">
        <f>E22</f>
        <v>23</v>
      </c>
      <c r="Y22" s="91">
        <f>H22</f>
        <v>930</v>
      </c>
      <c r="Z22" s="89">
        <f>I22</f>
        <v>16500</v>
      </c>
      <c r="AA22" s="89">
        <f>K22</f>
        <v>16500</v>
      </c>
      <c r="AB22" s="89">
        <f>M22</f>
        <v>0</v>
      </c>
      <c r="AC22" s="4">
        <f>N22</f>
        <v>1</v>
      </c>
      <c r="AD22" s="90">
        <f>O22</f>
        <v>717.39130434782612</v>
      </c>
      <c r="AE22" s="76" t="str">
        <f>S22</f>
        <v>계</v>
      </c>
      <c r="AF22" s="76" t="str">
        <f>Q22&amp;"/"&amp;R22</f>
        <v>3/1</v>
      </c>
      <c r="AH22" s="20" t="str">
        <f t="shared" si="1"/>
        <v>서신동 서신신일</v>
      </c>
      <c r="AI22" s="86">
        <f t="shared" si="2"/>
        <v>23</v>
      </c>
      <c r="AJ22" s="76" t="str">
        <f>IF(AI22="","",$AJ$2)</f>
        <v>A-</v>
      </c>
      <c r="AK22" s="76" t="s">
        <v>13</v>
      </c>
      <c r="AL22" s="76" t="s">
        <v>62</v>
      </c>
      <c r="AM22" s="76" t="s">
        <v>63</v>
      </c>
      <c r="AN22" s="76" t="str">
        <f>IF(AI22="","",$AN$2)</f>
        <v>C</v>
      </c>
      <c r="AO22" s="76" t="str">
        <f>IF(N22="","",IF(N22&gt;=$AO$1/100,"O","X"))</f>
        <v>O</v>
      </c>
      <c r="AP22" s="76" t="str">
        <f>IF(I22="","",IF(I22&lt;=$AP$1,"O","X"))</f>
        <v>O</v>
      </c>
      <c r="AQ22" s="76" t="str">
        <f>IF(O22="","",IF(O22&lt;=$AQ$1,"O","X"))</f>
        <v>O</v>
      </c>
      <c r="AR22" s="76" t="str">
        <f>IF(M22="","",IF(M22&lt;=$AR$1,"O","X"))</f>
        <v>O</v>
      </c>
      <c r="AS22" s="76" t="s">
        <v>2</v>
      </c>
      <c r="AT22" s="76" t="str">
        <f>IF(OR(F22="",AI22=""),"",IF(AND((F22&lt;=85),(AI22&gt;=15)),"O","X"))</f>
        <v>O</v>
      </c>
      <c r="AU22" s="76" t="str">
        <f>IF(C22="","",IF(C22&gt;=$AU$1,"O","X"))</f>
        <v>O</v>
      </c>
      <c r="AV22" s="76" t="str">
        <f>IF(AO22="","",IF(AND(AO22="O",AP22="O",AR22="O",AT22="O",AU22="O"),"후보","X"))</f>
        <v>후보</v>
      </c>
    </row>
    <row r="23" spans="1:48" s="37" customFormat="1" ht="12" x14ac:dyDescent="0.3">
      <c r="A23" s="77" t="s">
        <v>1966</v>
      </c>
      <c r="B23" s="78" t="s">
        <v>1954</v>
      </c>
      <c r="C23" s="84">
        <v>396</v>
      </c>
      <c r="D23" s="85">
        <v>103.4</v>
      </c>
      <c r="E23" s="86">
        <v>31</v>
      </c>
      <c r="F23" s="85">
        <v>84.7</v>
      </c>
      <c r="G23" s="17">
        <v>26</v>
      </c>
      <c r="H23" s="87">
        <v>276</v>
      </c>
      <c r="I23" s="88">
        <v>18500</v>
      </c>
      <c r="J23" s="88" t="s">
        <v>71</v>
      </c>
      <c r="K23" s="88">
        <v>16000</v>
      </c>
      <c r="L23" s="88" t="s">
        <v>131</v>
      </c>
      <c r="M23" s="89">
        <f>I23-K23</f>
        <v>2500</v>
      </c>
      <c r="N23" s="4">
        <f>IF(ISERROR(K23/I23),"",K23/I23)</f>
        <v>0.86486486486486491</v>
      </c>
      <c r="O23" s="90">
        <f>I23/E23</f>
        <v>596.77419354838707</v>
      </c>
      <c r="P23" s="90">
        <f>K23/E23</f>
        <v>516.12903225806451</v>
      </c>
      <c r="Q23" s="76">
        <v>3</v>
      </c>
      <c r="R23" s="76">
        <v>2</v>
      </c>
      <c r="S23" s="76" t="s">
        <v>61</v>
      </c>
      <c r="T23" s="5">
        <v>103</v>
      </c>
      <c r="U23" s="9"/>
      <c r="W23" s="85">
        <f t="shared" ref="W23:X23" si="27">D23</f>
        <v>103.4</v>
      </c>
      <c r="X23" s="86">
        <f t="shared" si="27"/>
        <v>31</v>
      </c>
      <c r="Y23" s="91">
        <f t="shared" ref="Y23:Z23" si="28">H23</f>
        <v>276</v>
      </c>
      <c r="Z23" s="89">
        <f t="shared" si="28"/>
        <v>18500</v>
      </c>
      <c r="AA23" s="89">
        <f>K23</f>
        <v>16000</v>
      </c>
      <c r="AB23" s="89">
        <f t="shared" ref="AB23:AD23" si="29">M23</f>
        <v>2500</v>
      </c>
      <c r="AC23" s="4">
        <f t="shared" si="29"/>
        <v>0.86486486486486491</v>
      </c>
      <c r="AD23" s="90">
        <f t="shared" si="29"/>
        <v>596.77419354838707</v>
      </c>
      <c r="AE23" s="76" t="str">
        <f>S23</f>
        <v>계</v>
      </c>
      <c r="AF23" s="76" t="str">
        <f>Q23&amp;"/"&amp;R23</f>
        <v>3/2</v>
      </c>
      <c r="AH23" s="20" t="str">
        <f t="shared" si="1"/>
        <v>서신동 롯데</v>
      </c>
      <c r="AI23" s="86">
        <f t="shared" si="2"/>
        <v>31</v>
      </c>
      <c r="AJ23" s="76" t="str">
        <f>IF(AI23="","",$AJ$2)</f>
        <v>A-</v>
      </c>
      <c r="AK23" s="76" t="s">
        <v>13</v>
      </c>
      <c r="AL23" s="76" t="s">
        <v>62</v>
      </c>
      <c r="AM23" s="76" t="s">
        <v>63</v>
      </c>
      <c r="AN23" s="76" t="str">
        <f>IF(AI23="","",$AN$2)</f>
        <v>C</v>
      </c>
      <c r="AO23" s="76" t="str">
        <f>IF(N23="","",IF(N23&gt;=$AO$1/100,"O","X"))</f>
        <v>O</v>
      </c>
      <c r="AP23" s="76" t="str">
        <f>IF(I23="","",IF(I23&lt;=$AP$1,"O","X"))</f>
        <v>O</v>
      </c>
      <c r="AQ23" s="76" t="str">
        <f>IF(O23="","",IF(O23&lt;=$AQ$1,"O","X"))</f>
        <v>O</v>
      </c>
      <c r="AR23" s="76" t="str">
        <f>IF(M23="","",IF(M23&lt;=$AR$1,"O","X"))</f>
        <v>O</v>
      </c>
      <c r="AS23" s="76" t="s">
        <v>2</v>
      </c>
      <c r="AT23" s="76" t="str">
        <f>IF(OR(F23="",AI23=""),"",IF(AND((F23&lt;=85),(AI23&gt;=15)),"O","X"))</f>
        <v>O</v>
      </c>
      <c r="AU23" s="76" t="str">
        <f>IF(C23="","",IF(C23&gt;=$AU$1,"O","X"))</f>
        <v>O</v>
      </c>
      <c r="AV23" s="76" t="str">
        <f>IF(AO23="","",IF(AND(AO23="O",AP23="O",AR23="O",AT23="O",AU23="O"),"후보","X"))</f>
        <v>후보</v>
      </c>
    </row>
    <row r="24" spans="1:48" s="37" customFormat="1" ht="12" x14ac:dyDescent="0.3">
      <c r="A24" s="77" t="s">
        <v>1967</v>
      </c>
      <c r="B24" s="78" t="s">
        <v>1968</v>
      </c>
      <c r="C24" s="84">
        <v>390</v>
      </c>
      <c r="D24" s="85">
        <v>104.1</v>
      </c>
      <c r="E24" s="86">
        <v>31</v>
      </c>
      <c r="F24" s="85">
        <v>84.9</v>
      </c>
      <c r="G24" s="17">
        <v>26</v>
      </c>
      <c r="H24" s="87">
        <v>390</v>
      </c>
      <c r="I24" s="88">
        <v>26000</v>
      </c>
      <c r="J24" s="88" t="s">
        <v>85</v>
      </c>
      <c r="K24" s="88">
        <v>24000</v>
      </c>
      <c r="L24" s="88" t="s">
        <v>72</v>
      </c>
      <c r="M24" s="89">
        <f>I24-K24</f>
        <v>2000</v>
      </c>
      <c r="N24" s="4">
        <f>IF(ISERROR(K24/I24),"",K24/I24)</f>
        <v>0.92307692307692313</v>
      </c>
      <c r="O24" s="90">
        <f>I24/E24</f>
        <v>838.70967741935488</v>
      </c>
      <c r="P24" s="90">
        <f>K24/E24</f>
        <v>774.19354838709683</v>
      </c>
      <c r="Q24" s="76">
        <v>3</v>
      </c>
      <c r="R24" s="76">
        <v>2</v>
      </c>
      <c r="S24" s="76" t="s">
        <v>61</v>
      </c>
      <c r="T24" s="5">
        <v>104</v>
      </c>
      <c r="U24" s="9"/>
      <c r="W24" s="85">
        <f>D24</f>
        <v>104.1</v>
      </c>
      <c r="X24" s="86">
        <f>E24</f>
        <v>31</v>
      </c>
      <c r="Y24" s="91">
        <f>H24</f>
        <v>390</v>
      </c>
      <c r="Z24" s="89">
        <f>I24</f>
        <v>26000</v>
      </c>
      <c r="AA24" s="89">
        <f>K24</f>
        <v>24000</v>
      </c>
      <c r="AB24" s="89">
        <f>M24</f>
        <v>2000</v>
      </c>
      <c r="AC24" s="4">
        <f>N24</f>
        <v>0.92307692307692313</v>
      </c>
      <c r="AD24" s="90">
        <f>O24</f>
        <v>838.70967741935488</v>
      </c>
      <c r="AE24" s="76" t="str">
        <f>S24</f>
        <v>계</v>
      </c>
      <c r="AF24" s="76" t="str">
        <f>Q24&amp;"/"&amp;R24</f>
        <v>3/2</v>
      </c>
      <c r="AH24" s="20" t="str">
        <f t="shared" si="1"/>
        <v>서신동 광진선수촌</v>
      </c>
      <c r="AI24" s="86">
        <f t="shared" si="2"/>
        <v>31</v>
      </c>
      <c r="AJ24" s="76" t="str">
        <f>IF(AI24="","",$AJ$2)</f>
        <v>A-</v>
      </c>
      <c r="AK24" s="76" t="s">
        <v>13</v>
      </c>
      <c r="AL24" s="76" t="s">
        <v>62</v>
      </c>
      <c r="AM24" s="76" t="s">
        <v>63</v>
      </c>
      <c r="AN24" s="76" t="str">
        <f>IF(AI24="","",$AN$2)</f>
        <v>C</v>
      </c>
      <c r="AO24" s="76" t="str">
        <f>IF(N24="","",IF(N24&gt;=$AO$1/100,"O","X"))</f>
        <v>O</v>
      </c>
      <c r="AP24" s="76" t="str">
        <f>IF(I24="","",IF(I24&lt;=$AP$1,"O","X"))</f>
        <v>O</v>
      </c>
      <c r="AQ24" s="76" t="str">
        <f>IF(O24="","",IF(O24&lt;=$AQ$1,"O","X"))</f>
        <v>O</v>
      </c>
      <c r="AR24" s="76" t="str">
        <f>IF(M24="","",IF(M24&lt;=$AR$1,"O","X"))</f>
        <v>O</v>
      </c>
      <c r="AS24" s="76" t="s">
        <v>2</v>
      </c>
      <c r="AT24" s="76" t="str">
        <f>IF(OR(F24="",AI24=""),"",IF(AND((F24&lt;=85),(AI24&gt;=15)),"O","X"))</f>
        <v>O</v>
      </c>
      <c r="AU24" s="76" t="str">
        <f>IF(C24="","",IF(C24&gt;=$AU$1,"O","X"))</f>
        <v>O</v>
      </c>
      <c r="AV24" s="76" t="str">
        <f>IF(AO24="","",IF(AND(AO24="O",AP24="O",AR24="O",AT24="O",AU24="O"),"후보","X"))</f>
        <v>후보</v>
      </c>
    </row>
    <row r="25" spans="1:48" s="37" customFormat="1" ht="12" x14ac:dyDescent="0.3">
      <c r="A25" s="77" t="s">
        <v>1969</v>
      </c>
      <c r="B25" s="78" t="s">
        <v>1970</v>
      </c>
      <c r="C25" s="84">
        <v>821</v>
      </c>
      <c r="D25" s="85">
        <v>111.1</v>
      </c>
      <c r="E25" s="86">
        <v>34</v>
      </c>
      <c r="F25" s="85">
        <v>85</v>
      </c>
      <c r="G25" s="17">
        <v>26</v>
      </c>
      <c r="H25" s="87">
        <v>262</v>
      </c>
      <c r="I25" s="88">
        <v>36500</v>
      </c>
      <c r="J25" s="88" t="s">
        <v>104</v>
      </c>
      <c r="K25" s="88">
        <v>34000</v>
      </c>
      <c r="L25" s="88" t="s">
        <v>131</v>
      </c>
      <c r="M25" s="89">
        <f t="shared" ref="M25" si="30">I25-K25</f>
        <v>2500</v>
      </c>
      <c r="N25" s="4">
        <f t="shared" ref="N25" si="31">IF(ISERROR(K25/I25),"",K25/I25)</f>
        <v>0.93150684931506844</v>
      </c>
      <c r="O25" s="90">
        <f t="shared" ref="O25" si="32">I25/E25</f>
        <v>1073.5294117647059</v>
      </c>
      <c r="P25" s="90">
        <f t="shared" ref="P25" si="33">K25/E25</f>
        <v>1000</v>
      </c>
      <c r="Q25" s="76">
        <v>3</v>
      </c>
      <c r="R25" s="76">
        <v>2</v>
      </c>
      <c r="S25" s="76" t="s">
        <v>61</v>
      </c>
      <c r="T25" s="5" t="s">
        <v>221</v>
      </c>
      <c r="U25" s="9"/>
      <c r="W25" s="85">
        <f t="shared" ref="W25:X29" si="34">D25</f>
        <v>111.1</v>
      </c>
      <c r="X25" s="86">
        <f t="shared" si="34"/>
        <v>34</v>
      </c>
      <c r="Y25" s="91">
        <f t="shared" ref="Y25:Z29" si="35">H25</f>
        <v>262</v>
      </c>
      <c r="Z25" s="89">
        <f t="shared" si="35"/>
        <v>36500</v>
      </c>
      <c r="AA25" s="89">
        <f t="shared" ref="AA25" si="36">K25</f>
        <v>34000</v>
      </c>
      <c r="AB25" s="89">
        <f t="shared" ref="AB25:AD40" si="37">M25</f>
        <v>2500</v>
      </c>
      <c r="AC25" s="4">
        <f t="shared" si="37"/>
        <v>0.93150684931506844</v>
      </c>
      <c r="AD25" s="90">
        <f t="shared" si="37"/>
        <v>1073.5294117647059</v>
      </c>
      <c r="AE25" s="76" t="str">
        <f t="shared" ref="AE25" si="38">S25</f>
        <v>계</v>
      </c>
      <c r="AF25" s="76" t="str">
        <f t="shared" ref="AF25" si="39">Q25&amp;"/"&amp;R25</f>
        <v>3/2</v>
      </c>
      <c r="AH25" s="20" t="str">
        <f t="shared" si="1"/>
        <v>중노송동 한옥마을서해그랑블</v>
      </c>
      <c r="AI25" s="86">
        <f t="shared" si="2"/>
        <v>34</v>
      </c>
      <c r="AJ25" s="76" t="str">
        <f t="shared" ref="AJ25" si="40">IF(AI25="","",$AJ$2)</f>
        <v>A-</v>
      </c>
      <c r="AK25" s="76" t="s">
        <v>13</v>
      </c>
      <c r="AL25" s="76" t="s">
        <v>62</v>
      </c>
      <c r="AM25" s="76" t="s">
        <v>63</v>
      </c>
      <c r="AN25" s="76" t="str">
        <f t="shared" ref="AN25" si="41">IF(AI25="","",$AN$2)</f>
        <v>C</v>
      </c>
      <c r="AO25" s="76" t="str">
        <f t="shared" ref="AO25" si="42">IF(N25="","",IF(N25&gt;=$AO$1/100,"O","X"))</f>
        <v>O</v>
      </c>
      <c r="AP25" s="76" t="str">
        <f t="shared" ref="AP25" si="43">IF(I25="","",IF(I25&lt;=$AP$1,"O","X"))</f>
        <v>O</v>
      </c>
      <c r="AQ25" s="76" t="str">
        <f t="shared" ref="AQ25" si="44">IF(O25="","",IF(O25&lt;=$AQ$1,"O","X"))</f>
        <v>O</v>
      </c>
      <c r="AR25" s="76" t="str">
        <f t="shared" ref="AR25" si="45">IF(M25="","",IF(M25&lt;=$AR$1,"O","X"))</f>
        <v>O</v>
      </c>
      <c r="AS25" s="76" t="s">
        <v>2</v>
      </c>
      <c r="AT25" s="76" t="str">
        <f t="shared" ref="AT25" si="46">IF(OR(F25="",AI25=""),"",IF(AND((F25&lt;=85),(AI25&gt;=15)),"O","X"))</f>
        <v>O</v>
      </c>
      <c r="AU25" s="76" t="str">
        <f t="shared" ref="AU25" si="47">IF(C25="","",IF(C25&gt;=$AU$1,"O","X"))</f>
        <v>O</v>
      </c>
      <c r="AV25" s="76" t="str">
        <f t="shared" ref="AV25" si="48">IF(AO25="","",IF(AND(AO25="O",AP25="O",AR25="O",AT25="O",AU25="O"),"후보","X"))</f>
        <v>후보</v>
      </c>
    </row>
    <row r="26" spans="1:48" s="37" customFormat="1" ht="12" x14ac:dyDescent="0.3">
      <c r="A26" s="77" t="s">
        <v>2015</v>
      </c>
      <c r="B26" s="78" t="s">
        <v>2016</v>
      </c>
      <c r="C26" s="84">
        <v>651</v>
      </c>
      <c r="D26" s="85">
        <v>105.2</v>
      </c>
      <c r="E26" s="86">
        <v>32</v>
      </c>
      <c r="F26" s="85">
        <v>85</v>
      </c>
      <c r="G26" s="17">
        <v>26</v>
      </c>
      <c r="H26" s="87">
        <v>312</v>
      </c>
      <c r="I26" s="88">
        <v>17500</v>
      </c>
      <c r="J26" s="88" t="s">
        <v>75</v>
      </c>
      <c r="K26" s="88">
        <v>19000</v>
      </c>
      <c r="L26" s="88" t="s">
        <v>83</v>
      </c>
      <c r="M26" s="89">
        <f>I26-K26</f>
        <v>-1500</v>
      </c>
      <c r="N26" s="4">
        <f>IF(ISERROR(K26/I26),"",K26/I26)</f>
        <v>1.0857142857142856</v>
      </c>
      <c r="O26" s="90">
        <f>I26/E26</f>
        <v>546.875</v>
      </c>
      <c r="P26" s="90">
        <f>K26/E26</f>
        <v>593.75</v>
      </c>
      <c r="Q26" s="76">
        <v>3</v>
      </c>
      <c r="R26" s="76">
        <v>2</v>
      </c>
      <c r="S26" s="76" t="s">
        <v>61</v>
      </c>
      <c r="T26" s="5">
        <v>105</v>
      </c>
      <c r="U26" s="9"/>
      <c r="W26" s="85">
        <f t="shared" si="34"/>
        <v>105.2</v>
      </c>
      <c r="X26" s="86">
        <f t="shared" si="34"/>
        <v>32</v>
      </c>
      <c r="Y26" s="91">
        <f t="shared" si="35"/>
        <v>312</v>
      </c>
      <c r="Z26" s="89">
        <f t="shared" si="35"/>
        <v>17500</v>
      </c>
      <c r="AA26" s="89">
        <f>K26</f>
        <v>19000</v>
      </c>
      <c r="AB26" s="89">
        <f t="shared" si="37"/>
        <v>-1500</v>
      </c>
      <c r="AC26" s="4">
        <f t="shared" si="37"/>
        <v>1.0857142857142856</v>
      </c>
      <c r="AD26" s="90">
        <f t="shared" si="37"/>
        <v>546.875</v>
      </c>
      <c r="AE26" s="76" t="str">
        <f>S26</f>
        <v>계</v>
      </c>
      <c r="AF26" s="76" t="str">
        <f>Q26&amp;"/"&amp;R26</f>
        <v>3/2</v>
      </c>
      <c r="AH26" s="20" t="str">
        <f t="shared" si="1"/>
        <v>중화산동2가 우성근영타운</v>
      </c>
      <c r="AI26" s="86">
        <f t="shared" si="2"/>
        <v>32</v>
      </c>
      <c r="AJ26" s="76" t="str">
        <f>IF(AI26="","",$AJ$2)</f>
        <v>A-</v>
      </c>
      <c r="AK26" s="76" t="s">
        <v>13</v>
      </c>
      <c r="AL26" s="76" t="s">
        <v>62</v>
      </c>
      <c r="AM26" s="76" t="s">
        <v>63</v>
      </c>
      <c r="AN26" s="76" t="str">
        <f>IF(AI26="","",$AN$2)</f>
        <v>C</v>
      </c>
      <c r="AO26" s="76" t="str">
        <f>IF(N26="","",IF(N26&gt;=$AO$1/100,"O","X"))</f>
        <v>O</v>
      </c>
      <c r="AP26" s="76" t="str">
        <f>IF(I26="","",IF(I26&lt;=$AP$1,"O","X"))</f>
        <v>O</v>
      </c>
      <c r="AQ26" s="76" t="str">
        <f>IF(O26="","",IF(O26&lt;=$AQ$1,"O","X"))</f>
        <v>O</v>
      </c>
      <c r="AR26" s="76" t="str">
        <f>IF(M26="","",IF(M26&lt;=$AR$1,"O","X"))</f>
        <v>O</v>
      </c>
      <c r="AS26" s="76" t="s">
        <v>2</v>
      </c>
      <c r="AT26" s="76" t="str">
        <f>IF(OR(F26="",AI26=""),"",IF(AND((F26&lt;=85),(AI26&gt;=15)),"O","X"))</f>
        <v>O</v>
      </c>
      <c r="AU26" s="76" t="str">
        <f>IF(C26="","",IF(C26&gt;=$AU$1,"O","X"))</f>
        <v>O</v>
      </c>
      <c r="AV26" s="76" t="str">
        <f>IF(AO26="","",IF(AND(AO26="O",AP26="O",AR26="O",AT26="O",AU26="O"),"후보","X"))</f>
        <v>후보</v>
      </c>
    </row>
    <row r="27" spans="1:48" s="37" customFormat="1" ht="12" x14ac:dyDescent="0.3">
      <c r="A27" s="77" t="s">
        <v>1971</v>
      </c>
      <c r="B27" s="78" t="s">
        <v>1972</v>
      </c>
      <c r="C27" s="84">
        <v>444</v>
      </c>
      <c r="D27" s="85">
        <v>103.5</v>
      </c>
      <c r="E27" s="86">
        <v>31</v>
      </c>
      <c r="F27" s="85">
        <v>84.9</v>
      </c>
      <c r="G27" s="17">
        <v>26</v>
      </c>
      <c r="H27" s="87">
        <v>215</v>
      </c>
      <c r="I27" s="88">
        <v>17500</v>
      </c>
      <c r="J27" s="88" t="s">
        <v>71</v>
      </c>
      <c r="K27" s="88">
        <v>16000</v>
      </c>
      <c r="L27" s="88" t="s">
        <v>71</v>
      </c>
      <c r="M27" s="89">
        <f>I27-K27</f>
        <v>1500</v>
      </c>
      <c r="N27" s="4">
        <f>IF(ISERROR(K27/I27),"",K27/I27)</f>
        <v>0.91428571428571426</v>
      </c>
      <c r="O27" s="90">
        <f>I27/E27</f>
        <v>564.51612903225805</v>
      </c>
      <c r="P27" s="90">
        <f>K27/E27</f>
        <v>516.12903225806451</v>
      </c>
      <c r="Q27" s="76">
        <v>3</v>
      </c>
      <c r="R27" s="76">
        <v>2</v>
      </c>
      <c r="S27" s="76" t="s">
        <v>61</v>
      </c>
      <c r="T27" s="5">
        <v>103</v>
      </c>
      <c r="U27" s="9"/>
      <c r="W27" s="85">
        <f t="shared" si="34"/>
        <v>103.5</v>
      </c>
      <c r="X27" s="86">
        <f t="shared" si="34"/>
        <v>31</v>
      </c>
      <c r="Y27" s="91">
        <f t="shared" si="35"/>
        <v>215</v>
      </c>
      <c r="Z27" s="89">
        <f t="shared" si="35"/>
        <v>17500</v>
      </c>
      <c r="AA27" s="89">
        <f>K27</f>
        <v>16000</v>
      </c>
      <c r="AB27" s="89">
        <f t="shared" si="37"/>
        <v>1500</v>
      </c>
      <c r="AC27" s="4">
        <f t="shared" si="37"/>
        <v>0.91428571428571426</v>
      </c>
      <c r="AD27" s="90">
        <f t="shared" si="37"/>
        <v>564.51612903225805</v>
      </c>
      <c r="AE27" s="76" t="str">
        <f>S27</f>
        <v>계</v>
      </c>
      <c r="AF27" s="76" t="str">
        <f>Q27&amp;"/"&amp;R27</f>
        <v>3/2</v>
      </c>
      <c r="AH27" s="20" t="str">
        <f t="shared" si="1"/>
        <v>중화산동2가 한신코아</v>
      </c>
      <c r="AI27" s="86">
        <f t="shared" si="2"/>
        <v>31</v>
      </c>
      <c r="AJ27" s="76" t="str">
        <f>IF(AI27="","",$AJ$2)</f>
        <v>A-</v>
      </c>
      <c r="AK27" s="76" t="s">
        <v>13</v>
      </c>
      <c r="AL27" s="76" t="s">
        <v>62</v>
      </c>
      <c r="AM27" s="76" t="s">
        <v>63</v>
      </c>
      <c r="AN27" s="76" t="str">
        <f>IF(AI27="","",$AN$2)</f>
        <v>C</v>
      </c>
      <c r="AO27" s="76" t="str">
        <f>IF(N27="","",IF(N27&gt;=$AO$1/100,"O","X"))</f>
        <v>O</v>
      </c>
      <c r="AP27" s="76" t="str">
        <f>IF(I27="","",IF(I27&lt;=$AP$1,"O","X"))</f>
        <v>O</v>
      </c>
      <c r="AQ27" s="76" t="str">
        <f>IF(O27="","",IF(O27&lt;=$AQ$1,"O","X"))</f>
        <v>O</v>
      </c>
      <c r="AR27" s="76" t="str">
        <f>IF(M27="","",IF(M27&lt;=$AR$1,"O","X"))</f>
        <v>O</v>
      </c>
      <c r="AS27" s="76" t="s">
        <v>2</v>
      </c>
      <c r="AT27" s="76" t="str">
        <f>IF(OR(F27="",AI27=""),"",IF(AND((F27&lt;=85),(AI27&gt;=15)),"O","X"))</f>
        <v>O</v>
      </c>
      <c r="AU27" s="76" t="str">
        <f>IF(C27="","",IF(C27&gt;=$AU$1,"O","X"))</f>
        <v>O</v>
      </c>
      <c r="AV27" s="76" t="str">
        <f>IF(AO27="","",IF(AND(AO27="O",AP27="O",AR27="O",AT27="O",AU27="O"),"후보","X"))</f>
        <v>후보</v>
      </c>
    </row>
    <row r="28" spans="1:48" s="37" customFormat="1" ht="12" x14ac:dyDescent="0.3">
      <c r="A28" s="77" t="s">
        <v>2017</v>
      </c>
      <c r="B28" s="78" t="s">
        <v>1973</v>
      </c>
      <c r="C28" s="84">
        <v>992</v>
      </c>
      <c r="D28" s="85">
        <v>112.6</v>
      </c>
      <c r="E28" s="86">
        <v>34</v>
      </c>
      <c r="F28" s="85">
        <v>84.8</v>
      </c>
      <c r="G28" s="17">
        <v>26</v>
      </c>
      <c r="H28" s="87">
        <v>387</v>
      </c>
      <c r="I28" s="88">
        <v>37000</v>
      </c>
      <c r="J28" s="88" t="s">
        <v>89</v>
      </c>
      <c r="K28" s="88">
        <v>34000</v>
      </c>
      <c r="L28" s="88" t="s">
        <v>89</v>
      </c>
      <c r="M28" s="89">
        <f>I28-K28</f>
        <v>3000</v>
      </c>
      <c r="N28" s="4">
        <f>IF(ISERROR(K28/I28),"",K28/I28)</f>
        <v>0.91891891891891897</v>
      </c>
      <c r="O28" s="90">
        <f>I28/E28</f>
        <v>1088.2352941176471</v>
      </c>
      <c r="P28" s="90">
        <f>K28/E28</f>
        <v>1000</v>
      </c>
      <c r="Q28" s="76">
        <v>3</v>
      </c>
      <c r="R28" s="76">
        <v>2</v>
      </c>
      <c r="S28" s="76" t="s">
        <v>61</v>
      </c>
      <c r="T28" s="5" t="s">
        <v>247</v>
      </c>
      <c r="U28" s="9"/>
      <c r="W28" s="85">
        <f t="shared" si="34"/>
        <v>112.6</v>
      </c>
      <c r="X28" s="86">
        <f t="shared" si="34"/>
        <v>34</v>
      </c>
      <c r="Y28" s="91">
        <f t="shared" si="35"/>
        <v>387</v>
      </c>
      <c r="Z28" s="89">
        <f t="shared" si="35"/>
        <v>37000</v>
      </c>
      <c r="AA28" s="89">
        <f>K28</f>
        <v>34000</v>
      </c>
      <c r="AB28" s="89">
        <f t="shared" si="37"/>
        <v>3000</v>
      </c>
      <c r="AC28" s="4">
        <f t="shared" si="37"/>
        <v>0.91891891891891897</v>
      </c>
      <c r="AD28" s="90">
        <f t="shared" si="37"/>
        <v>1088.2352941176471</v>
      </c>
      <c r="AE28" s="76" t="str">
        <f>S28</f>
        <v>계</v>
      </c>
      <c r="AF28" s="76" t="str">
        <f>Q28&amp;"/"&amp;R28</f>
        <v>3/2</v>
      </c>
      <c r="AH28" s="20" t="str">
        <f t="shared" si="1"/>
        <v>중화산동2가 현대에코르</v>
      </c>
      <c r="AI28" s="86">
        <f t="shared" si="2"/>
        <v>34</v>
      </c>
      <c r="AJ28" s="76" t="str">
        <f>IF(AI28="","",$AJ$2)</f>
        <v>A-</v>
      </c>
      <c r="AK28" s="76" t="s">
        <v>13</v>
      </c>
      <c r="AL28" s="76" t="s">
        <v>62</v>
      </c>
      <c r="AM28" s="76" t="s">
        <v>63</v>
      </c>
      <c r="AN28" s="76" t="str">
        <f>IF(AI28="","",$AN$2)</f>
        <v>C</v>
      </c>
      <c r="AO28" s="76" t="str">
        <f>IF(N28="","",IF(N28&gt;=$AO$1/100,"O","X"))</f>
        <v>O</v>
      </c>
      <c r="AP28" s="76" t="str">
        <f>IF(I28="","",IF(I28&lt;=$AP$1,"O","X"))</f>
        <v>O</v>
      </c>
      <c r="AQ28" s="76" t="str">
        <f>IF(O28="","",IF(O28&lt;=$AQ$1,"O","X"))</f>
        <v>O</v>
      </c>
      <c r="AR28" s="76" t="str">
        <f>IF(M28="","",IF(M28&lt;=$AR$1,"O","X"))</f>
        <v>O</v>
      </c>
      <c r="AS28" s="76" t="s">
        <v>2</v>
      </c>
      <c r="AT28" s="76" t="str">
        <f>IF(OR(F28="",AI28=""),"",IF(AND((F28&lt;=85),(AI28&gt;=15)),"O","X"))</f>
        <v>O</v>
      </c>
      <c r="AU28" s="76" t="str">
        <f>IF(C28="","",IF(C28&gt;=$AU$1,"O","X"))</f>
        <v>O</v>
      </c>
      <c r="AV28" s="76" t="str">
        <f>IF(AO28="","",IF(AND(AO28="O",AP28="O",AR28="O",AT28="O",AU28="O"),"후보","X"))</f>
        <v>후보</v>
      </c>
    </row>
    <row r="29" spans="1:48" s="37" customFormat="1" ht="12" x14ac:dyDescent="0.3">
      <c r="A29" s="77" t="s">
        <v>2017</v>
      </c>
      <c r="B29" s="78" t="s">
        <v>1973</v>
      </c>
      <c r="C29" s="84">
        <v>992</v>
      </c>
      <c r="D29" s="85">
        <v>112.7</v>
      </c>
      <c r="E29" s="86">
        <v>34</v>
      </c>
      <c r="F29" s="85">
        <v>84.8</v>
      </c>
      <c r="G29" s="17">
        <v>26</v>
      </c>
      <c r="H29" s="87">
        <v>211</v>
      </c>
      <c r="I29" s="88">
        <v>37000</v>
      </c>
      <c r="J29" s="88" t="s">
        <v>248</v>
      </c>
      <c r="K29" s="88">
        <v>37000</v>
      </c>
      <c r="L29" s="88" t="s">
        <v>90</v>
      </c>
      <c r="M29" s="89">
        <f>I29-K29</f>
        <v>0</v>
      </c>
      <c r="N29" s="4">
        <f>IF(ISERROR(K29/I29),"",K29/I29)</f>
        <v>1</v>
      </c>
      <c r="O29" s="90">
        <f>I29/E29</f>
        <v>1088.2352941176471</v>
      </c>
      <c r="P29" s="90">
        <f>K29/E29</f>
        <v>1088.2352941176471</v>
      </c>
      <c r="Q29" s="76">
        <v>3</v>
      </c>
      <c r="R29" s="76">
        <v>2</v>
      </c>
      <c r="S29" s="76" t="s">
        <v>61</v>
      </c>
      <c r="T29" s="5" t="s">
        <v>249</v>
      </c>
      <c r="U29" s="9"/>
      <c r="W29" s="85">
        <f t="shared" si="34"/>
        <v>112.7</v>
      </c>
      <c r="X29" s="86">
        <f t="shared" si="34"/>
        <v>34</v>
      </c>
      <c r="Y29" s="91">
        <f t="shared" si="35"/>
        <v>211</v>
      </c>
      <c r="Z29" s="89">
        <f t="shared" si="35"/>
        <v>37000</v>
      </c>
      <c r="AA29" s="89">
        <f>K29</f>
        <v>37000</v>
      </c>
      <c r="AB29" s="89">
        <f t="shared" si="37"/>
        <v>0</v>
      </c>
      <c r="AC29" s="4">
        <f t="shared" si="37"/>
        <v>1</v>
      </c>
      <c r="AD29" s="90">
        <f t="shared" si="37"/>
        <v>1088.2352941176471</v>
      </c>
      <c r="AE29" s="76" t="str">
        <f>S29</f>
        <v>계</v>
      </c>
      <c r="AF29" s="76" t="str">
        <f>Q29&amp;"/"&amp;R29</f>
        <v>3/2</v>
      </c>
      <c r="AH29" s="20" t="str">
        <f t="shared" si="1"/>
        <v>중화산동2가 현대에코르</v>
      </c>
      <c r="AI29" s="86">
        <f t="shared" si="2"/>
        <v>34</v>
      </c>
      <c r="AJ29" s="76" t="str">
        <f>IF(AI29="","",$AJ$2)</f>
        <v>A-</v>
      </c>
      <c r="AK29" s="76" t="s">
        <v>13</v>
      </c>
      <c r="AL29" s="76" t="s">
        <v>62</v>
      </c>
      <c r="AM29" s="76" t="s">
        <v>63</v>
      </c>
      <c r="AN29" s="76" t="str">
        <f>IF(AI29="","",$AN$2)</f>
        <v>C</v>
      </c>
      <c r="AO29" s="76" t="str">
        <f>IF(N29="","",IF(N29&gt;=$AO$1/100,"O","X"))</f>
        <v>O</v>
      </c>
      <c r="AP29" s="76" t="str">
        <f>IF(I29="","",IF(I29&lt;=$AP$1,"O","X"))</f>
        <v>O</v>
      </c>
      <c r="AQ29" s="76" t="str">
        <f>IF(O29="","",IF(O29&lt;=$AQ$1,"O","X"))</f>
        <v>O</v>
      </c>
      <c r="AR29" s="76" t="str">
        <f>IF(M29="","",IF(M29&lt;=$AR$1,"O","X"))</f>
        <v>O</v>
      </c>
      <c r="AS29" s="76" t="s">
        <v>2</v>
      </c>
      <c r="AT29" s="76" t="str">
        <f>IF(OR(F29="",AI29=""),"",IF(AND((F29&lt;=85),(AI29&gt;=15)),"O","X"))</f>
        <v>O</v>
      </c>
      <c r="AU29" s="76" t="str">
        <f>IF(C29="","",IF(C29&gt;=$AU$1,"O","X"))</f>
        <v>O</v>
      </c>
      <c r="AV29" s="76" t="str">
        <f>IF(AO29="","",IF(AND(AO29="O",AP29="O",AR29="O",AT29="O",AU29="O"),"후보","X"))</f>
        <v>후보</v>
      </c>
    </row>
    <row r="30" spans="1:48" s="37" customFormat="1" ht="12" x14ac:dyDescent="0.3">
      <c r="A30" s="77" t="s">
        <v>1990</v>
      </c>
      <c r="B30" s="78" t="s">
        <v>1974</v>
      </c>
      <c r="C30" s="84">
        <v>336</v>
      </c>
      <c r="D30" s="85">
        <v>108.8</v>
      </c>
      <c r="E30" s="86">
        <v>33</v>
      </c>
      <c r="F30" s="85">
        <v>83.7</v>
      </c>
      <c r="G30" s="17">
        <v>25</v>
      </c>
      <c r="H30" s="87">
        <v>84</v>
      </c>
      <c r="I30" s="88">
        <v>37500</v>
      </c>
      <c r="J30" s="88" t="s">
        <v>89</v>
      </c>
      <c r="K30" s="88">
        <v>33000</v>
      </c>
      <c r="L30" s="88" t="s">
        <v>85</v>
      </c>
      <c r="M30" s="89">
        <f>I30-K30</f>
        <v>4500</v>
      </c>
      <c r="N30" s="4">
        <f>IF(ISERROR(K30/I30),"",K30/I30)</f>
        <v>0.88</v>
      </c>
      <c r="O30" s="90">
        <f>I30/E30</f>
        <v>1136.3636363636363</v>
      </c>
      <c r="P30" s="90">
        <f>K30/E30</f>
        <v>1000</v>
      </c>
      <c r="Q30" s="76">
        <v>3</v>
      </c>
      <c r="R30" s="76">
        <v>2</v>
      </c>
      <c r="S30" s="76" t="s">
        <v>61</v>
      </c>
      <c r="T30" s="5" t="s">
        <v>264</v>
      </c>
      <c r="U30" s="9"/>
      <c r="W30" s="85">
        <f>D30</f>
        <v>108.8</v>
      </c>
      <c r="X30" s="86">
        <f>E30</f>
        <v>33</v>
      </c>
      <c r="Y30" s="91">
        <f>H30</f>
        <v>84</v>
      </c>
      <c r="Z30" s="89">
        <f>I30</f>
        <v>37500</v>
      </c>
      <c r="AA30" s="89">
        <f>K30</f>
        <v>33000</v>
      </c>
      <c r="AB30" s="89">
        <f t="shared" si="37"/>
        <v>4500</v>
      </c>
      <c r="AC30" s="4">
        <f t="shared" si="37"/>
        <v>0.88</v>
      </c>
      <c r="AD30" s="90">
        <f t="shared" si="37"/>
        <v>1136.3636363636363</v>
      </c>
      <c r="AE30" s="76" t="str">
        <f>S30</f>
        <v>계</v>
      </c>
      <c r="AF30" s="76" t="str">
        <f>Q30&amp;"/"&amp;R30</f>
        <v>3/2</v>
      </c>
      <c r="AH30" s="20" t="str">
        <f t="shared" si="1"/>
        <v>중화산동2가 중화산영무예다음</v>
      </c>
      <c r="AI30" s="86">
        <f t="shared" si="2"/>
        <v>33</v>
      </c>
      <c r="AJ30" s="76" t="str">
        <f>IF(AI30="","",$AJ$2)</f>
        <v>A-</v>
      </c>
      <c r="AK30" s="76" t="s">
        <v>13</v>
      </c>
      <c r="AL30" s="76" t="s">
        <v>62</v>
      </c>
      <c r="AM30" s="76" t="s">
        <v>63</v>
      </c>
      <c r="AN30" s="76" t="str">
        <f>IF(AI30="","",$AN$2)</f>
        <v>C</v>
      </c>
      <c r="AO30" s="76" t="str">
        <f>IF(N30="","",IF(N30&gt;=$AO$1/100,"O","X"))</f>
        <v>O</v>
      </c>
      <c r="AP30" s="76" t="str">
        <f>IF(I30="","",IF(I30&lt;=$AP$1,"O","X"))</f>
        <v>O</v>
      </c>
      <c r="AQ30" s="76" t="str">
        <f>IF(O30="","",IF(O30&lt;=$AQ$1,"O","X"))</f>
        <v>O</v>
      </c>
      <c r="AR30" s="76" t="str">
        <f>IF(M30="","",IF(M30&lt;=$AR$1,"O","X"))</f>
        <v>O</v>
      </c>
      <c r="AS30" s="76" t="s">
        <v>2</v>
      </c>
      <c r="AT30" s="76" t="str">
        <f>IF(OR(F30="",AI30=""),"",IF(AND((F30&lt;=85),(AI30&gt;=15)),"O","X"))</f>
        <v>O</v>
      </c>
      <c r="AU30" s="76" t="str">
        <f>IF(C30="","",IF(C30&gt;=$AU$1,"O","X"))</f>
        <v>O</v>
      </c>
      <c r="AV30" s="76" t="str">
        <f>IF(AO30="","",IF(AND(AO30="O",AP30="O",AR30="O",AT30="O",AU30="O"),"후보","X"))</f>
        <v>후보</v>
      </c>
    </row>
    <row r="31" spans="1:48" s="37" customFormat="1" ht="12" x14ac:dyDescent="0.3">
      <c r="A31" s="77" t="s">
        <v>1975</v>
      </c>
      <c r="B31" s="78" t="s">
        <v>1976</v>
      </c>
      <c r="C31" s="84">
        <v>496</v>
      </c>
      <c r="D31" s="85">
        <v>98.3</v>
      </c>
      <c r="E31" s="86">
        <v>30</v>
      </c>
      <c r="F31" s="85">
        <v>77.599999999999994</v>
      </c>
      <c r="G31" s="17">
        <v>23</v>
      </c>
      <c r="H31" s="87">
        <v>100</v>
      </c>
      <c r="I31" s="88">
        <v>13500</v>
      </c>
      <c r="J31" s="88" t="s">
        <v>83</v>
      </c>
      <c r="K31" s="88">
        <v>13000</v>
      </c>
      <c r="L31" s="88" t="s">
        <v>84</v>
      </c>
      <c r="M31" s="89">
        <f>I31-K31</f>
        <v>500</v>
      </c>
      <c r="N31" s="4">
        <f>IF(ISERROR(K31/I31),"",K31/I31)</f>
        <v>0.96296296296296291</v>
      </c>
      <c r="O31" s="90">
        <f>I31/E31</f>
        <v>450</v>
      </c>
      <c r="P31" s="90">
        <f>K31/E31</f>
        <v>433.33333333333331</v>
      </c>
      <c r="Q31" s="76">
        <v>3</v>
      </c>
      <c r="R31" s="76">
        <v>2</v>
      </c>
      <c r="S31" s="76" t="s">
        <v>61</v>
      </c>
      <c r="T31" s="5" t="s">
        <v>283</v>
      </c>
      <c r="U31" s="9"/>
      <c r="W31" s="85">
        <f t="shared" ref="W31:X31" si="49">D31</f>
        <v>98.3</v>
      </c>
      <c r="X31" s="86">
        <f t="shared" si="49"/>
        <v>30</v>
      </c>
      <c r="Y31" s="91">
        <f t="shared" ref="Y31:Z31" si="50">H31</f>
        <v>100</v>
      </c>
      <c r="Z31" s="89">
        <f t="shared" si="50"/>
        <v>13500</v>
      </c>
      <c r="AA31" s="89">
        <f>K31</f>
        <v>13000</v>
      </c>
      <c r="AB31" s="89">
        <f t="shared" si="37"/>
        <v>500</v>
      </c>
      <c r="AC31" s="4">
        <f t="shared" si="37"/>
        <v>0.96296296296296291</v>
      </c>
      <c r="AD31" s="90">
        <f t="shared" si="37"/>
        <v>450</v>
      </c>
      <c r="AE31" s="76" t="str">
        <f>S31</f>
        <v>계</v>
      </c>
      <c r="AF31" s="76" t="str">
        <f>Q31&amp;"/"&amp;R31</f>
        <v>3/2</v>
      </c>
      <c r="AH31" s="20" t="str">
        <f t="shared" si="1"/>
        <v>평화동1가 한성</v>
      </c>
      <c r="AI31" s="86">
        <f t="shared" si="2"/>
        <v>30</v>
      </c>
      <c r="AJ31" s="76" t="str">
        <f>IF(AI31="","",$AJ$2)</f>
        <v>A-</v>
      </c>
      <c r="AK31" s="76" t="s">
        <v>13</v>
      </c>
      <c r="AL31" s="76" t="s">
        <v>62</v>
      </c>
      <c r="AM31" s="76" t="s">
        <v>63</v>
      </c>
      <c r="AN31" s="76" t="str">
        <f>IF(AI31="","",$AN$2)</f>
        <v>C</v>
      </c>
      <c r="AO31" s="76" t="str">
        <f>IF(N31="","",IF(N31&gt;=$AO$1/100,"O","X"))</f>
        <v>O</v>
      </c>
      <c r="AP31" s="76" t="str">
        <f>IF(I31="","",IF(I31&lt;=$AP$1,"O","X"))</f>
        <v>O</v>
      </c>
      <c r="AQ31" s="76" t="str">
        <f>IF(O31="","",IF(O31&lt;=$AQ$1,"O","X"))</f>
        <v>O</v>
      </c>
      <c r="AR31" s="76" t="str">
        <f>IF(M31="","",IF(M31&lt;=$AR$1,"O","X"))</f>
        <v>O</v>
      </c>
      <c r="AS31" s="76" t="s">
        <v>2</v>
      </c>
      <c r="AT31" s="76" t="str">
        <f>IF(OR(F31="",AI31=""),"",IF(AND((F31&lt;=85),(AI31&gt;=15)),"O","X"))</f>
        <v>O</v>
      </c>
      <c r="AU31" s="76" t="str">
        <f>IF(C31="","",IF(C31&gt;=$AU$1,"O","X"))</f>
        <v>O</v>
      </c>
      <c r="AV31" s="76" t="str">
        <f>IF(AO31="","",IF(AND(AO31="O",AP31="O",AR31="O",AT31="O",AU31="O"),"후보","X"))</f>
        <v>후보</v>
      </c>
    </row>
    <row r="32" spans="1:48" s="37" customFormat="1" ht="12" x14ac:dyDescent="0.3">
      <c r="A32" s="77" t="s">
        <v>1977</v>
      </c>
      <c r="B32" s="78" t="s">
        <v>1978</v>
      </c>
      <c r="C32" s="84">
        <v>1350</v>
      </c>
      <c r="D32" s="85">
        <v>50.4</v>
      </c>
      <c r="E32" s="86">
        <v>15</v>
      </c>
      <c r="F32" s="85">
        <v>38.6</v>
      </c>
      <c r="G32" s="17">
        <v>12</v>
      </c>
      <c r="H32" s="87">
        <v>900</v>
      </c>
      <c r="I32" s="88">
        <v>5300</v>
      </c>
      <c r="J32" s="88" t="s">
        <v>85</v>
      </c>
      <c r="K32" s="88">
        <v>5000</v>
      </c>
      <c r="L32" s="88" t="s">
        <v>72</v>
      </c>
      <c r="M32" s="89">
        <f>I32-K32</f>
        <v>300</v>
      </c>
      <c r="N32" s="4">
        <f>IF(ISERROR(K32/I32),"",K32/I32)</f>
        <v>0.94339622641509435</v>
      </c>
      <c r="O32" s="90">
        <f>I32/E32</f>
        <v>353.33333333333331</v>
      </c>
      <c r="P32" s="90">
        <f>K32/E32</f>
        <v>333.33333333333331</v>
      </c>
      <c r="Q32" s="76">
        <v>2</v>
      </c>
      <c r="R32" s="76">
        <v>1</v>
      </c>
      <c r="S32" s="76" t="s">
        <v>68</v>
      </c>
      <c r="T32" s="5">
        <v>50</v>
      </c>
      <c r="U32" s="9"/>
      <c r="W32" s="85">
        <f>D32</f>
        <v>50.4</v>
      </c>
      <c r="X32" s="86">
        <f>E32</f>
        <v>15</v>
      </c>
      <c r="Y32" s="91">
        <f>H32</f>
        <v>900</v>
      </c>
      <c r="Z32" s="89">
        <f>I32</f>
        <v>5300</v>
      </c>
      <c r="AA32" s="89">
        <f>K32</f>
        <v>5000</v>
      </c>
      <c r="AB32" s="89">
        <f t="shared" si="37"/>
        <v>300</v>
      </c>
      <c r="AC32" s="4">
        <f t="shared" si="37"/>
        <v>0.94339622641509435</v>
      </c>
      <c r="AD32" s="90">
        <f t="shared" si="37"/>
        <v>353.33333333333331</v>
      </c>
      <c r="AE32" s="76" t="str">
        <f>S32</f>
        <v>복</v>
      </c>
      <c r="AF32" s="76" t="str">
        <f>Q32&amp;"/"&amp;R32</f>
        <v>2/1</v>
      </c>
      <c r="AH32" s="20" t="str">
        <f t="shared" si="1"/>
        <v>평화동1가 평화주공2단지</v>
      </c>
      <c r="AI32" s="86">
        <f t="shared" si="2"/>
        <v>15</v>
      </c>
      <c r="AJ32" s="76" t="str">
        <f>IF(AI32="","",$AJ$2)</f>
        <v>A-</v>
      </c>
      <c r="AK32" s="76" t="s">
        <v>13</v>
      </c>
      <c r="AL32" s="76" t="s">
        <v>62</v>
      </c>
      <c r="AM32" s="76" t="s">
        <v>63</v>
      </c>
      <c r="AN32" s="76" t="str">
        <f>IF(AI32="","",$AN$2)</f>
        <v>C</v>
      </c>
      <c r="AO32" s="76" t="str">
        <f>IF(N32="","",IF(N32&gt;=$AO$1/100,"O","X"))</f>
        <v>O</v>
      </c>
      <c r="AP32" s="76" t="str">
        <f>IF(I32="","",IF(I32&lt;=$AP$1,"O","X"))</f>
        <v>O</v>
      </c>
      <c r="AQ32" s="76" t="str">
        <f>IF(O32="","",IF(O32&lt;=$AQ$1,"O","X"))</f>
        <v>O</v>
      </c>
      <c r="AR32" s="76" t="str">
        <f>IF(M32="","",IF(M32&lt;=$AR$1,"O","X"))</f>
        <v>O</v>
      </c>
      <c r="AS32" s="76" t="s">
        <v>2</v>
      </c>
      <c r="AT32" s="76" t="str">
        <f>IF(OR(F32="",AI32=""),"",IF(AND((F32&lt;=85),(AI32&gt;=15)),"O","X"))</f>
        <v>O</v>
      </c>
      <c r="AU32" s="76" t="str">
        <f>IF(C32="","",IF(C32&gt;=$AU$1,"O","X"))</f>
        <v>O</v>
      </c>
      <c r="AV32" s="76" t="str">
        <f>IF(AO32="","",IF(AND(AO32="O",AP32="O",AR32="O",AT32="O",AU32="O"),"후보","X"))</f>
        <v>후보</v>
      </c>
    </row>
    <row r="33" spans="1:48" s="37" customFormat="1" ht="12" x14ac:dyDescent="0.3">
      <c r="A33" s="77" t="s">
        <v>1977</v>
      </c>
      <c r="B33" s="78" t="s">
        <v>1978</v>
      </c>
      <c r="C33" s="84">
        <v>1350</v>
      </c>
      <c r="D33" s="85">
        <v>58.6</v>
      </c>
      <c r="E33" s="86">
        <v>18</v>
      </c>
      <c r="F33" s="85">
        <v>44.9</v>
      </c>
      <c r="G33" s="17">
        <v>14</v>
      </c>
      <c r="H33" s="87">
        <v>450</v>
      </c>
      <c r="I33" s="88">
        <v>6200</v>
      </c>
      <c r="J33" s="88" t="s">
        <v>181</v>
      </c>
      <c r="K33" s="88">
        <v>8000</v>
      </c>
      <c r="L33" s="88" t="s">
        <v>131</v>
      </c>
      <c r="M33" s="89">
        <f>I33-K33</f>
        <v>-1800</v>
      </c>
      <c r="N33" s="4">
        <f>IF(ISERROR(K33/I33),"",K33/I33)</f>
        <v>1.2903225806451613</v>
      </c>
      <c r="O33" s="90">
        <f>I33/E33</f>
        <v>344.44444444444446</v>
      </c>
      <c r="P33" s="90">
        <f>K33/E33</f>
        <v>444.44444444444446</v>
      </c>
      <c r="Q33" s="76">
        <v>2</v>
      </c>
      <c r="R33" s="76">
        <v>1</v>
      </c>
      <c r="S33" s="76" t="s">
        <v>68</v>
      </c>
      <c r="T33" s="5">
        <v>58</v>
      </c>
      <c r="U33" s="9"/>
      <c r="W33" s="85">
        <f>D33</f>
        <v>58.6</v>
      </c>
      <c r="X33" s="86">
        <f>E33</f>
        <v>18</v>
      </c>
      <c r="Y33" s="91">
        <f>H33</f>
        <v>450</v>
      </c>
      <c r="Z33" s="89">
        <f>I33</f>
        <v>6200</v>
      </c>
      <c r="AA33" s="89">
        <f>K33</f>
        <v>8000</v>
      </c>
      <c r="AB33" s="89">
        <f t="shared" si="37"/>
        <v>-1800</v>
      </c>
      <c r="AC33" s="4">
        <f t="shared" si="37"/>
        <v>1.2903225806451613</v>
      </c>
      <c r="AD33" s="90">
        <f t="shared" si="37"/>
        <v>344.44444444444446</v>
      </c>
      <c r="AE33" s="76" t="str">
        <f>S33</f>
        <v>복</v>
      </c>
      <c r="AF33" s="76" t="str">
        <f>Q33&amp;"/"&amp;R33</f>
        <v>2/1</v>
      </c>
      <c r="AH33" s="20" t="str">
        <f t="shared" si="1"/>
        <v>평화동1가 평화주공2단지</v>
      </c>
      <c r="AI33" s="86">
        <f t="shared" si="2"/>
        <v>18</v>
      </c>
      <c r="AJ33" s="76" t="str">
        <f>IF(AI33="","",$AJ$2)</f>
        <v>A-</v>
      </c>
      <c r="AK33" s="76" t="s">
        <v>13</v>
      </c>
      <c r="AL33" s="76" t="s">
        <v>62</v>
      </c>
      <c r="AM33" s="76" t="s">
        <v>63</v>
      </c>
      <c r="AN33" s="76" t="str">
        <f>IF(AI33="","",$AN$2)</f>
        <v>C</v>
      </c>
      <c r="AO33" s="76" t="str">
        <f>IF(N33="","",IF(N33&gt;=$AO$1/100,"O","X"))</f>
        <v>O</v>
      </c>
      <c r="AP33" s="76" t="str">
        <f>IF(I33="","",IF(I33&lt;=$AP$1,"O","X"))</f>
        <v>O</v>
      </c>
      <c r="AQ33" s="76" t="str">
        <f>IF(O33="","",IF(O33&lt;=$AQ$1,"O","X"))</f>
        <v>O</v>
      </c>
      <c r="AR33" s="76" t="str">
        <f>IF(M33="","",IF(M33&lt;=$AR$1,"O","X"))</f>
        <v>O</v>
      </c>
      <c r="AS33" s="76" t="s">
        <v>2</v>
      </c>
      <c r="AT33" s="76" t="str">
        <f>IF(OR(F33="",AI33=""),"",IF(AND((F33&lt;=85),(AI33&gt;=15)),"O","X"))</f>
        <v>O</v>
      </c>
      <c r="AU33" s="76" t="str">
        <f>IF(C33="","",IF(C33&gt;=$AU$1,"O","X"))</f>
        <v>O</v>
      </c>
      <c r="AV33" s="76" t="str">
        <f>IF(AO33="","",IF(AND(AO33="O",AP33="O",AR33="O",AT33="O",AU33="O"),"후보","X"))</f>
        <v>후보</v>
      </c>
    </row>
    <row r="34" spans="1:48" s="37" customFormat="1" ht="12" x14ac:dyDescent="0.3">
      <c r="A34" s="77" t="s">
        <v>1979</v>
      </c>
      <c r="B34" s="78" t="s">
        <v>1980</v>
      </c>
      <c r="C34" s="84">
        <v>1259</v>
      </c>
      <c r="D34" s="85">
        <v>105.6</v>
      </c>
      <c r="E34" s="86">
        <v>32</v>
      </c>
      <c r="F34" s="85">
        <v>84.8</v>
      </c>
      <c r="G34" s="17">
        <v>26</v>
      </c>
      <c r="H34" s="87">
        <v>718</v>
      </c>
      <c r="I34" s="88">
        <v>18000</v>
      </c>
      <c r="J34" s="88" t="s">
        <v>189</v>
      </c>
      <c r="K34" s="88">
        <v>21000</v>
      </c>
      <c r="L34" s="88" t="s">
        <v>181</v>
      </c>
      <c r="M34" s="89">
        <f>I34-K34</f>
        <v>-3000</v>
      </c>
      <c r="N34" s="4">
        <f>IF(ISERROR(K34/I34),"",K34/I34)</f>
        <v>1.1666666666666667</v>
      </c>
      <c r="O34" s="90">
        <f>I34/E34</f>
        <v>562.5</v>
      </c>
      <c r="P34" s="90">
        <f>K34/E34</f>
        <v>656.25</v>
      </c>
      <c r="Q34" s="76">
        <v>3</v>
      </c>
      <c r="R34" s="76">
        <v>2</v>
      </c>
      <c r="S34" s="76" t="s">
        <v>61</v>
      </c>
      <c r="T34" s="5">
        <v>105</v>
      </c>
      <c r="U34" s="9"/>
      <c r="W34" s="85">
        <f t="shared" ref="W34:X37" si="51">D34</f>
        <v>105.6</v>
      </c>
      <c r="X34" s="86">
        <f t="shared" si="51"/>
        <v>32</v>
      </c>
      <c r="Y34" s="91">
        <f t="shared" ref="Y34:Z37" si="52">H34</f>
        <v>718</v>
      </c>
      <c r="Z34" s="89">
        <f t="shared" si="52"/>
        <v>18000</v>
      </c>
      <c r="AA34" s="89">
        <f>K34</f>
        <v>21000</v>
      </c>
      <c r="AB34" s="89">
        <f t="shared" si="37"/>
        <v>-3000</v>
      </c>
      <c r="AC34" s="4">
        <f t="shared" si="37"/>
        <v>1.1666666666666667</v>
      </c>
      <c r="AD34" s="90">
        <f t="shared" si="37"/>
        <v>562.5</v>
      </c>
      <c r="AE34" s="76" t="str">
        <f>S34</f>
        <v>계</v>
      </c>
      <c r="AF34" s="76" t="str">
        <f>Q34&amp;"/"&amp;R34</f>
        <v>3/2</v>
      </c>
      <c r="AH34" s="20" t="str">
        <f t="shared" si="1"/>
        <v>평화동1가 코오롱</v>
      </c>
      <c r="AI34" s="86">
        <f t="shared" si="2"/>
        <v>32</v>
      </c>
      <c r="AJ34" s="76" t="str">
        <f>IF(AI34="","",$AJ$2)</f>
        <v>A-</v>
      </c>
      <c r="AK34" s="76" t="s">
        <v>13</v>
      </c>
      <c r="AL34" s="76" t="s">
        <v>62</v>
      </c>
      <c r="AM34" s="76" t="s">
        <v>63</v>
      </c>
      <c r="AN34" s="76" t="str">
        <f>IF(AI34="","",$AN$2)</f>
        <v>C</v>
      </c>
      <c r="AO34" s="76" t="str">
        <f>IF(N34="","",IF(N34&gt;=$AO$1/100,"O","X"))</f>
        <v>O</v>
      </c>
      <c r="AP34" s="76" t="str">
        <f>IF(I34="","",IF(I34&lt;=$AP$1,"O","X"))</f>
        <v>O</v>
      </c>
      <c r="AQ34" s="76" t="str">
        <f>IF(O34="","",IF(O34&lt;=$AQ$1,"O","X"))</f>
        <v>O</v>
      </c>
      <c r="AR34" s="76" t="str">
        <f>IF(M34="","",IF(M34&lt;=$AR$1,"O","X"))</f>
        <v>O</v>
      </c>
      <c r="AS34" s="76" t="s">
        <v>2</v>
      </c>
      <c r="AT34" s="76" t="str">
        <f>IF(OR(F34="",AI34=""),"",IF(AND((F34&lt;=85),(AI34&gt;=15)),"O","X"))</f>
        <v>O</v>
      </c>
      <c r="AU34" s="76" t="str">
        <f>IF(C34="","",IF(C34&gt;=$AU$1,"O","X"))</f>
        <v>O</v>
      </c>
      <c r="AV34" s="76" t="str">
        <f>IF(AO34="","",IF(AND(AO34="O",AP34="O",AR34="O",AT34="O",AU34="O"),"후보","X"))</f>
        <v>후보</v>
      </c>
    </row>
    <row r="35" spans="1:48" s="37" customFormat="1" ht="12" x14ac:dyDescent="0.3">
      <c r="A35" s="77" t="s">
        <v>1981</v>
      </c>
      <c r="B35" s="78" t="s">
        <v>1958</v>
      </c>
      <c r="C35" s="84">
        <v>1558</v>
      </c>
      <c r="D35" s="85">
        <v>78.599999999999994</v>
      </c>
      <c r="E35" s="86">
        <v>24</v>
      </c>
      <c r="F35" s="85">
        <v>59.6</v>
      </c>
      <c r="G35" s="17">
        <v>18</v>
      </c>
      <c r="H35" s="87">
        <v>840</v>
      </c>
      <c r="I35" s="88">
        <v>13000</v>
      </c>
      <c r="J35" s="88" t="s">
        <v>89</v>
      </c>
      <c r="K35" s="88">
        <v>15000</v>
      </c>
      <c r="L35" s="88" t="s">
        <v>189</v>
      </c>
      <c r="M35" s="89">
        <f>I35-K35</f>
        <v>-2000</v>
      </c>
      <c r="N35" s="4">
        <f>IF(ISERROR(K35/I35),"",K35/I35)</f>
        <v>1.1538461538461537</v>
      </c>
      <c r="O35" s="90">
        <f>I35/E35</f>
        <v>541.66666666666663</v>
      </c>
      <c r="P35" s="90">
        <f>K35/E35</f>
        <v>625</v>
      </c>
      <c r="Q35" s="76">
        <v>3</v>
      </c>
      <c r="R35" s="76">
        <v>1</v>
      </c>
      <c r="S35" s="76" t="s">
        <v>61</v>
      </c>
      <c r="T35" s="5">
        <v>78</v>
      </c>
      <c r="U35" s="9"/>
      <c r="W35" s="85">
        <f t="shared" si="51"/>
        <v>78.599999999999994</v>
      </c>
      <c r="X35" s="86">
        <f t="shared" si="51"/>
        <v>24</v>
      </c>
      <c r="Y35" s="91">
        <f t="shared" si="52"/>
        <v>840</v>
      </c>
      <c r="Z35" s="89">
        <f t="shared" si="52"/>
        <v>13000</v>
      </c>
      <c r="AA35" s="89">
        <f>K35</f>
        <v>15000</v>
      </c>
      <c r="AB35" s="89">
        <f t="shared" si="37"/>
        <v>-2000</v>
      </c>
      <c r="AC35" s="4">
        <f t="shared" si="37"/>
        <v>1.1538461538461537</v>
      </c>
      <c r="AD35" s="90">
        <f t="shared" si="37"/>
        <v>541.66666666666663</v>
      </c>
      <c r="AE35" s="76" t="str">
        <f>S35</f>
        <v>계</v>
      </c>
      <c r="AF35" s="76" t="str">
        <f>Q35&amp;"/"&amp;R35</f>
        <v>3/1</v>
      </c>
      <c r="AH35" s="20" t="str">
        <f t="shared" si="1"/>
        <v>평화동2가 평화동신</v>
      </c>
      <c r="AI35" s="86">
        <f t="shared" si="2"/>
        <v>24</v>
      </c>
      <c r="AJ35" s="76" t="str">
        <f>IF(AI35="","",$AJ$2)</f>
        <v>A-</v>
      </c>
      <c r="AK35" s="76" t="s">
        <v>13</v>
      </c>
      <c r="AL35" s="76" t="s">
        <v>62</v>
      </c>
      <c r="AM35" s="76" t="s">
        <v>63</v>
      </c>
      <c r="AN35" s="76" t="str">
        <f>IF(AI35="","",$AN$2)</f>
        <v>C</v>
      </c>
      <c r="AO35" s="76" t="str">
        <f>IF(N35="","",IF(N35&gt;=$AO$1/100,"O","X"))</f>
        <v>O</v>
      </c>
      <c r="AP35" s="76" t="str">
        <f>IF(I35="","",IF(I35&lt;=$AP$1,"O","X"))</f>
        <v>O</v>
      </c>
      <c r="AQ35" s="76" t="str">
        <f>IF(O35="","",IF(O35&lt;=$AQ$1,"O","X"))</f>
        <v>O</v>
      </c>
      <c r="AR35" s="76" t="str">
        <f>IF(M35="","",IF(M35&lt;=$AR$1,"O","X"))</f>
        <v>O</v>
      </c>
      <c r="AS35" s="76" t="s">
        <v>2</v>
      </c>
      <c r="AT35" s="76" t="str">
        <f>IF(OR(F35="",AI35=""),"",IF(AND((F35&lt;=85),(AI35&gt;=15)),"O","X"))</f>
        <v>O</v>
      </c>
      <c r="AU35" s="76" t="str">
        <f>IF(C35="","",IF(C35&gt;=$AU$1,"O","X"))</f>
        <v>O</v>
      </c>
      <c r="AV35" s="76" t="str">
        <f>IF(AO35="","",IF(AND(AO35="O",AP35="O",AR35="O",AT35="O",AU35="O"),"후보","X"))</f>
        <v>후보</v>
      </c>
    </row>
    <row r="36" spans="1:48" s="37" customFormat="1" ht="12" x14ac:dyDescent="0.3">
      <c r="A36" s="77" t="s">
        <v>1981</v>
      </c>
      <c r="B36" s="78" t="s">
        <v>1958</v>
      </c>
      <c r="C36" s="84">
        <v>1558</v>
      </c>
      <c r="D36" s="85">
        <v>95.9</v>
      </c>
      <c r="E36" s="86">
        <v>29</v>
      </c>
      <c r="F36" s="85">
        <v>75.599999999999994</v>
      </c>
      <c r="G36" s="17">
        <v>23</v>
      </c>
      <c r="H36" s="87">
        <v>200</v>
      </c>
      <c r="I36" s="88">
        <v>15200</v>
      </c>
      <c r="J36" s="88" t="s">
        <v>83</v>
      </c>
      <c r="K36" s="88">
        <v>16500</v>
      </c>
      <c r="L36" s="88" t="s">
        <v>248</v>
      </c>
      <c r="M36" s="89">
        <f>I36-K36</f>
        <v>-1300</v>
      </c>
      <c r="N36" s="4">
        <f>IF(ISERROR(K36/I36),"",K36/I36)</f>
        <v>1.0855263157894737</v>
      </c>
      <c r="O36" s="90">
        <f>I36/E36</f>
        <v>524.13793103448279</v>
      </c>
      <c r="P36" s="90">
        <f>K36/E36</f>
        <v>568.9655172413793</v>
      </c>
      <c r="Q36" s="76">
        <v>3</v>
      </c>
      <c r="R36" s="76">
        <v>2</v>
      </c>
      <c r="S36" s="76" t="s">
        <v>61</v>
      </c>
      <c r="T36" s="5">
        <v>95</v>
      </c>
      <c r="U36" s="9"/>
      <c r="W36" s="85">
        <f t="shared" si="51"/>
        <v>95.9</v>
      </c>
      <c r="X36" s="86">
        <f t="shared" si="51"/>
        <v>29</v>
      </c>
      <c r="Y36" s="91">
        <f t="shared" si="52"/>
        <v>200</v>
      </c>
      <c r="Z36" s="89">
        <f t="shared" si="52"/>
        <v>15200</v>
      </c>
      <c r="AA36" s="89">
        <f>K36</f>
        <v>16500</v>
      </c>
      <c r="AB36" s="89">
        <f t="shared" si="37"/>
        <v>-1300</v>
      </c>
      <c r="AC36" s="4">
        <f t="shared" si="37"/>
        <v>1.0855263157894737</v>
      </c>
      <c r="AD36" s="90">
        <f t="shared" si="37"/>
        <v>524.13793103448279</v>
      </c>
      <c r="AE36" s="76" t="str">
        <f>S36</f>
        <v>계</v>
      </c>
      <c r="AF36" s="76" t="str">
        <f>Q36&amp;"/"&amp;R36</f>
        <v>3/2</v>
      </c>
      <c r="AH36" s="20" t="str">
        <f t="shared" si="1"/>
        <v>평화동2가 평화동신</v>
      </c>
      <c r="AI36" s="86">
        <f t="shared" si="2"/>
        <v>29</v>
      </c>
      <c r="AJ36" s="76" t="str">
        <f>IF(AI36="","",$AJ$2)</f>
        <v>A-</v>
      </c>
      <c r="AK36" s="76" t="s">
        <v>13</v>
      </c>
      <c r="AL36" s="76" t="s">
        <v>62</v>
      </c>
      <c r="AM36" s="76" t="s">
        <v>63</v>
      </c>
      <c r="AN36" s="76" t="str">
        <f>IF(AI36="","",$AN$2)</f>
        <v>C</v>
      </c>
      <c r="AO36" s="76" t="str">
        <f>IF(N36="","",IF(N36&gt;=$AO$1/100,"O","X"))</f>
        <v>O</v>
      </c>
      <c r="AP36" s="76" t="str">
        <f>IF(I36="","",IF(I36&lt;=$AP$1,"O","X"))</f>
        <v>O</v>
      </c>
      <c r="AQ36" s="76" t="str">
        <f>IF(O36="","",IF(O36&lt;=$AQ$1,"O","X"))</f>
        <v>O</v>
      </c>
      <c r="AR36" s="76" t="str">
        <f>IF(M36="","",IF(M36&lt;=$AR$1,"O","X"))</f>
        <v>O</v>
      </c>
      <c r="AS36" s="76" t="s">
        <v>2</v>
      </c>
      <c r="AT36" s="76" t="str">
        <f>IF(OR(F36="",AI36=""),"",IF(AND((F36&lt;=85),(AI36&gt;=15)),"O","X"))</f>
        <v>O</v>
      </c>
      <c r="AU36" s="76" t="str">
        <f>IF(C36="","",IF(C36&gt;=$AU$1,"O","X"))</f>
        <v>O</v>
      </c>
      <c r="AV36" s="76" t="str">
        <f>IF(AO36="","",IF(AND(AO36="O",AP36="O",AR36="O",AT36="O",AU36="O"),"후보","X"))</f>
        <v>후보</v>
      </c>
    </row>
    <row r="37" spans="1:48" s="37" customFormat="1" ht="12" x14ac:dyDescent="0.3">
      <c r="A37" s="77" t="s">
        <v>2018</v>
      </c>
      <c r="B37" s="78" t="s">
        <v>2019</v>
      </c>
      <c r="C37" s="84">
        <v>1558</v>
      </c>
      <c r="D37" s="85">
        <v>106.5</v>
      </c>
      <c r="E37" s="86">
        <v>32</v>
      </c>
      <c r="F37" s="85">
        <v>84.8</v>
      </c>
      <c r="G37" s="17">
        <v>26</v>
      </c>
      <c r="H37" s="87">
        <v>440</v>
      </c>
      <c r="I37" s="88">
        <v>18500</v>
      </c>
      <c r="J37" s="88" t="s">
        <v>248</v>
      </c>
      <c r="K37" s="88">
        <v>15000</v>
      </c>
      <c r="L37" s="88" t="s">
        <v>310</v>
      </c>
      <c r="M37" s="89">
        <f>I37-K37</f>
        <v>3500</v>
      </c>
      <c r="N37" s="4">
        <f>IF(ISERROR(K37/I37),"",K37/I37)</f>
        <v>0.81081081081081086</v>
      </c>
      <c r="O37" s="90">
        <f>I37/E37</f>
        <v>578.125</v>
      </c>
      <c r="P37" s="90">
        <f>K37/E37</f>
        <v>468.75</v>
      </c>
      <c r="Q37" s="76">
        <v>3</v>
      </c>
      <c r="R37" s="76">
        <v>2</v>
      </c>
      <c r="S37" s="76" t="s">
        <v>61</v>
      </c>
      <c r="T37" s="5">
        <v>106</v>
      </c>
      <c r="U37" s="9"/>
      <c r="W37" s="85">
        <f t="shared" si="51"/>
        <v>106.5</v>
      </c>
      <c r="X37" s="86">
        <f t="shared" si="51"/>
        <v>32</v>
      </c>
      <c r="Y37" s="91">
        <f t="shared" si="52"/>
        <v>440</v>
      </c>
      <c r="Z37" s="89">
        <f t="shared" si="52"/>
        <v>18500</v>
      </c>
      <c r="AA37" s="89">
        <f>K37</f>
        <v>15000</v>
      </c>
      <c r="AB37" s="89">
        <f t="shared" si="37"/>
        <v>3500</v>
      </c>
      <c r="AC37" s="4">
        <f t="shared" si="37"/>
        <v>0.81081081081081086</v>
      </c>
      <c r="AD37" s="90">
        <f t="shared" si="37"/>
        <v>578.125</v>
      </c>
      <c r="AE37" s="76" t="str">
        <f>S37</f>
        <v>계</v>
      </c>
      <c r="AF37" s="76" t="str">
        <f>Q37&amp;"/"&amp;R37</f>
        <v>3/2</v>
      </c>
      <c r="AH37" s="20" t="str">
        <f t="shared" si="1"/>
        <v>평화동2가 평화동신</v>
      </c>
      <c r="AI37" s="86">
        <f t="shared" si="2"/>
        <v>32</v>
      </c>
      <c r="AJ37" s="76" t="str">
        <f>IF(AI37="","",$AJ$2)</f>
        <v>A-</v>
      </c>
      <c r="AK37" s="76" t="s">
        <v>13</v>
      </c>
      <c r="AL37" s="76" t="s">
        <v>62</v>
      </c>
      <c r="AM37" s="76" t="s">
        <v>63</v>
      </c>
      <c r="AN37" s="76" t="str">
        <f>IF(AI37="","",$AN$2)</f>
        <v>C</v>
      </c>
      <c r="AO37" s="76" t="str">
        <f>IF(N37="","",IF(N37&gt;=$AO$1/100,"O","X"))</f>
        <v>O</v>
      </c>
      <c r="AP37" s="76" t="str">
        <f>IF(I37="","",IF(I37&lt;=$AP$1,"O","X"))</f>
        <v>O</v>
      </c>
      <c r="AQ37" s="76" t="str">
        <f>IF(O37="","",IF(O37&lt;=$AQ$1,"O","X"))</f>
        <v>O</v>
      </c>
      <c r="AR37" s="76" t="str">
        <f>IF(M37="","",IF(M37&lt;=$AR$1,"O","X"))</f>
        <v>O</v>
      </c>
      <c r="AS37" s="76" t="s">
        <v>2</v>
      </c>
      <c r="AT37" s="76" t="str">
        <f>IF(OR(F37="",AI37=""),"",IF(AND((F37&lt;=85),(AI37&gt;=15)),"O","X"))</f>
        <v>O</v>
      </c>
      <c r="AU37" s="76" t="str">
        <f>IF(C37="","",IF(C37&gt;=$AU$1,"O","X"))</f>
        <v>O</v>
      </c>
      <c r="AV37" s="76" t="str">
        <f>IF(AO37="","",IF(AND(AO37="O",AP37="O",AR37="O",AT37="O",AU37="O"),"후보","X"))</f>
        <v>후보</v>
      </c>
    </row>
    <row r="38" spans="1:48" s="37" customFormat="1" ht="12" x14ac:dyDescent="0.3">
      <c r="A38" s="77" t="s">
        <v>2020</v>
      </c>
      <c r="B38" s="78" t="s">
        <v>2021</v>
      </c>
      <c r="C38" s="84">
        <v>838</v>
      </c>
      <c r="D38" s="85">
        <v>79.2</v>
      </c>
      <c r="E38" s="86">
        <v>24</v>
      </c>
      <c r="F38" s="85">
        <v>58.1</v>
      </c>
      <c r="G38" s="17">
        <v>18</v>
      </c>
      <c r="H38" s="87">
        <v>749</v>
      </c>
      <c r="I38" s="88">
        <v>10500</v>
      </c>
      <c r="J38" s="88" t="s">
        <v>85</v>
      </c>
      <c r="K38" s="88">
        <v>11000</v>
      </c>
      <c r="L38" s="88" t="s">
        <v>80</v>
      </c>
      <c r="M38" s="89">
        <f>I38-K38</f>
        <v>-500</v>
      </c>
      <c r="N38" s="4">
        <f>IF(ISERROR(K38/I38),"",K38/I38)</f>
        <v>1.0476190476190477</v>
      </c>
      <c r="O38" s="90">
        <f>I38/E38</f>
        <v>437.5</v>
      </c>
      <c r="P38" s="90">
        <f>K38/E38</f>
        <v>458.33333333333331</v>
      </c>
      <c r="Q38" s="76">
        <v>3</v>
      </c>
      <c r="R38" s="76">
        <v>1</v>
      </c>
      <c r="S38" s="76" t="s">
        <v>68</v>
      </c>
      <c r="T38" s="5">
        <v>79</v>
      </c>
      <c r="U38" s="9"/>
      <c r="W38" s="85">
        <f>D38</f>
        <v>79.2</v>
      </c>
      <c r="X38" s="86">
        <f>E38</f>
        <v>24</v>
      </c>
      <c r="Y38" s="91">
        <f>H38</f>
        <v>749</v>
      </c>
      <c r="Z38" s="89">
        <f>I38</f>
        <v>10500</v>
      </c>
      <c r="AA38" s="89">
        <f>K38</f>
        <v>11000</v>
      </c>
      <c r="AB38" s="89">
        <f t="shared" si="37"/>
        <v>-500</v>
      </c>
      <c r="AC38" s="4">
        <f t="shared" si="37"/>
        <v>1.0476190476190477</v>
      </c>
      <c r="AD38" s="90">
        <f t="shared" si="37"/>
        <v>437.5</v>
      </c>
      <c r="AE38" s="76" t="str">
        <f>S38</f>
        <v>복</v>
      </c>
      <c r="AF38" s="76" t="str">
        <f>Q38&amp;"/"&amp;R38</f>
        <v>3/1</v>
      </c>
      <c r="AH38" s="20" t="str">
        <f t="shared" si="1"/>
        <v>평화동2가 전주평화주공5단지</v>
      </c>
      <c r="AI38" s="86">
        <f t="shared" si="2"/>
        <v>24</v>
      </c>
      <c r="AJ38" s="76" t="str">
        <f>IF(AI38="","",$AJ$2)</f>
        <v>A-</v>
      </c>
      <c r="AK38" s="76" t="s">
        <v>13</v>
      </c>
      <c r="AL38" s="76" t="s">
        <v>62</v>
      </c>
      <c r="AM38" s="76" t="s">
        <v>63</v>
      </c>
      <c r="AN38" s="76" t="str">
        <f>IF(AI38="","",$AN$2)</f>
        <v>C</v>
      </c>
      <c r="AO38" s="76" t="str">
        <f>IF(N38="","",IF(N38&gt;=$AO$1/100,"O","X"))</f>
        <v>O</v>
      </c>
      <c r="AP38" s="76" t="str">
        <f>IF(I38="","",IF(I38&lt;=$AP$1,"O","X"))</f>
        <v>O</v>
      </c>
      <c r="AQ38" s="76" t="str">
        <f>IF(O38="","",IF(O38&lt;=$AQ$1,"O","X"))</f>
        <v>O</v>
      </c>
      <c r="AR38" s="76" t="str">
        <f>IF(M38="","",IF(M38&lt;=$AR$1,"O","X"))</f>
        <v>O</v>
      </c>
      <c r="AS38" s="76" t="s">
        <v>2</v>
      </c>
      <c r="AT38" s="76" t="str">
        <f>IF(OR(F38="",AI38=""),"",IF(AND((F38&lt;=85),(AI38&gt;=15)),"O","X"))</f>
        <v>O</v>
      </c>
      <c r="AU38" s="76" t="str">
        <f>IF(C38="","",IF(C38&gt;=$AU$1,"O","X"))</f>
        <v>O</v>
      </c>
      <c r="AV38" s="76" t="str">
        <f>IF(AO38="","",IF(AND(AO38="O",AP38="O",AR38="O",AT38="O",AU38="O"),"후보","X"))</f>
        <v>후보</v>
      </c>
    </row>
    <row r="39" spans="1:48" s="37" customFormat="1" ht="12" x14ac:dyDescent="0.3">
      <c r="A39" s="77" t="s">
        <v>2022</v>
      </c>
      <c r="B39" s="78" t="s">
        <v>1982</v>
      </c>
      <c r="C39" s="84">
        <v>603</v>
      </c>
      <c r="D39" s="85">
        <v>80.3</v>
      </c>
      <c r="E39" s="86">
        <v>24</v>
      </c>
      <c r="F39" s="85">
        <v>60</v>
      </c>
      <c r="G39" s="17">
        <v>18</v>
      </c>
      <c r="H39" s="87">
        <v>450</v>
      </c>
      <c r="I39" s="88">
        <v>10500</v>
      </c>
      <c r="J39" s="88" t="s">
        <v>248</v>
      </c>
      <c r="K39" s="88">
        <v>11000</v>
      </c>
      <c r="L39" s="88" t="s">
        <v>310</v>
      </c>
      <c r="M39" s="89">
        <f>I39-K39</f>
        <v>-500</v>
      </c>
      <c r="N39" s="4">
        <f>IF(ISERROR(K39/I39),"",K39/I39)</f>
        <v>1.0476190476190477</v>
      </c>
      <c r="O39" s="90">
        <f>I39/E39</f>
        <v>437.5</v>
      </c>
      <c r="P39" s="90">
        <f>K39/E39</f>
        <v>458.33333333333331</v>
      </c>
      <c r="Q39" s="76">
        <v>3</v>
      </c>
      <c r="R39" s="76">
        <v>1</v>
      </c>
      <c r="S39" s="76" t="s">
        <v>68</v>
      </c>
      <c r="T39" s="5" t="s">
        <v>132</v>
      </c>
      <c r="U39" s="9"/>
      <c r="W39" s="85">
        <f>D39</f>
        <v>80.3</v>
      </c>
      <c r="X39" s="86">
        <f>E39</f>
        <v>24</v>
      </c>
      <c r="Y39" s="91">
        <f>H39</f>
        <v>450</v>
      </c>
      <c r="Z39" s="89">
        <f>I39</f>
        <v>10500</v>
      </c>
      <c r="AA39" s="89">
        <f>K39</f>
        <v>11000</v>
      </c>
      <c r="AB39" s="89">
        <f t="shared" si="37"/>
        <v>-500</v>
      </c>
      <c r="AC39" s="4">
        <f t="shared" si="37"/>
        <v>1.0476190476190477</v>
      </c>
      <c r="AD39" s="90">
        <f t="shared" si="37"/>
        <v>437.5</v>
      </c>
      <c r="AE39" s="76" t="str">
        <f>S39</f>
        <v>복</v>
      </c>
      <c r="AF39" s="76" t="str">
        <f>Q39&amp;"/"&amp;R39</f>
        <v>3/1</v>
      </c>
      <c r="AH39" s="20" t="str">
        <f t="shared" si="1"/>
        <v>평화동2가 우미</v>
      </c>
      <c r="AI39" s="86">
        <f t="shared" si="2"/>
        <v>24</v>
      </c>
      <c r="AJ39" s="76" t="str">
        <f>IF(AI39="","",$AJ$2)</f>
        <v>A-</v>
      </c>
      <c r="AK39" s="76" t="s">
        <v>13</v>
      </c>
      <c r="AL39" s="76" t="s">
        <v>62</v>
      </c>
      <c r="AM39" s="76" t="s">
        <v>63</v>
      </c>
      <c r="AN39" s="76" t="str">
        <f>IF(AI39="","",$AN$2)</f>
        <v>C</v>
      </c>
      <c r="AO39" s="76" t="str">
        <f>IF(N39="","",IF(N39&gt;=$AO$1/100,"O","X"))</f>
        <v>O</v>
      </c>
      <c r="AP39" s="76" t="str">
        <f>IF(I39="","",IF(I39&lt;=$AP$1,"O","X"))</f>
        <v>O</v>
      </c>
      <c r="AQ39" s="76" t="str">
        <f>IF(O39="","",IF(O39&lt;=$AQ$1,"O","X"))</f>
        <v>O</v>
      </c>
      <c r="AR39" s="76" t="str">
        <f>IF(M39="","",IF(M39&lt;=$AR$1,"O","X"))</f>
        <v>O</v>
      </c>
      <c r="AS39" s="76" t="s">
        <v>2</v>
      </c>
      <c r="AT39" s="76" t="str">
        <f>IF(OR(F39="",AI39=""),"",IF(AND((F39&lt;=85),(AI39&gt;=15)),"O","X"))</f>
        <v>O</v>
      </c>
      <c r="AU39" s="76" t="str">
        <f>IF(C39="","",IF(C39&gt;=$AU$1,"O","X"))</f>
        <v>O</v>
      </c>
      <c r="AV39" s="76" t="str">
        <f>IF(AO39="","",IF(AND(AO39="O",AP39="O",AR39="O",AT39="O",AU39="O"),"후보","X"))</f>
        <v>후보</v>
      </c>
    </row>
    <row r="40" spans="1:48" s="37" customFormat="1" ht="12" x14ac:dyDescent="0.3">
      <c r="A40" s="77" t="s">
        <v>2023</v>
      </c>
      <c r="B40" s="78" t="s">
        <v>1983</v>
      </c>
      <c r="C40" s="84">
        <v>1329</v>
      </c>
      <c r="D40" s="85">
        <v>62.9</v>
      </c>
      <c r="E40" s="86">
        <v>19</v>
      </c>
      <c r="F40" s="85">
        <v>46.2</v>
      </c>
      <c r="G40" s="17">
        <v>14</v>
      </c>
      <c r="H40" s="87">
        <v>329</v>
      </c>
      <c r="I40" s="88">
        <v>11500</v>
      </c>
      <c r="J40" s="88" t="s">
        <v>85</v>
      </c>
      <c r="K40" s="88">
        <v>11000</v>
      </c>
      <c r="L40" s="88" t="s">
        <v>248</v>
      </c>
      <c r="M40" s="89">
        <f>I40-K40</f>
        <v>500</v>
      </c>
      <c r="N40" s="4">
        <f>IF(ISERROR(K40/I40),"",K40/I40)</f>
        <v>0.95652173913043481</v>
      </c>
      <c r="O40" s="90">
        <f>I40/E40</f>
        <v>605.26315789473688</v>
      </c>
      <c r="P40" s="90">
        <f>K40/E40</f>
        <v>578.9473684210526</v>
      </c>
      <c r="Q40" s="76">
        <v>2</v>
      </c>
      <c r="R40" s="76">
        <v>1</v>
      </c>
      <c r="S40" s="76" t="s">
        <v>68</v>
      </c>
      <c r="T40" s="5">
        <v>62</v>
      </c>
      <c r="U40" s="9"/>
      <c r="W40" s="85">
        <f t="shared" ref="W40:X43" si="53">D40</f>
        <v>62.9</v>
      </c>
      <c r="X40" s="86">
        <f t="shared" si="53"/>
        <v>19</v>
      </c>
      <c r="Y40" s="91">
        <f t="shared" ref="Y40:Z43" si="54">H40</f>
        <v>329</v>
      </c>
      <c r="Z40" s="89">
        <f t="shared" si="54"/>
        <v>11500</v>
      </c>
      <c r="AA40" s="89">
        <f>K40</f>
        <v>11000</v>
      </c>
      <c r="AB40" s="89">
        <f t="shared" si="37"/>
        <v>500</v>
      </c>
      <c r="AC40" s="4">
        <f t="shared" si="37"/>
        <v>0.95652173913043481</v>
      </c>
      <c r="AD40" s="90">
        <f t="shared" si="37"/>
        <v>605.26315789473688</v>
      </c>
      <c r="AE40" s="76" t="str">
        <f>S40</f>
        <v>복</v>
      </c>
      <c r="AF40" s="76" t="str">
        <f>Q40&amp;"/"&amp;R40</f>
        <v>2/1</v>
      </c>
      <c r="AH40" s="20" t="str">
        <f t="shared" si="1"/>
        <v>평화동2가 평화주공그린타운2단지</v>
      </c>
      <c r="AI40" s="86">
        <f t="shared" si="2"/>
        <v>19</v>
      </c>
      <c r="AJ40" s="76" t="str">
        <f>IF(AI40="","",$AJ$2)</f>
        <v>A-</v>
      </c>
      <c r="AK40" s="76" t="s">
        <v>13</v>
      </c>
      <c r="AL40" s="76" t="s">
        <v>62</v>
      </c>
      <c r="AM40" s="76" t="s">
        <v>63</v>
      </c>
      <c r="AN40" s="76" t="str">
        <f>IF(AI40="","",$AN$2)</f>
        <v>C</v>
      </c>
      <c r="AO40" s="76" t="str">
        <f>IF(N40="","",IF(N40&gt;=$AO$1/100,"O","X"))</f>
        <v>O</v>
      </c>
      <c r="AP40" s="76" t="str">
        <f>IF(I40="","",IF(I40&lt;=$AP$1,"O","X"))</f>
        <v>O</v>
      </c>
      <c r="AQ40" s="76" t="str">
        <f>IF(O40="","",IF(O40&lt;=$AQ$1,"O","X"))</f>
        <v>O</v>
      </c>
      <c r="AR40" s="76" t="str">
        <f>IF(M40="","",IF(M40&lt;=$AR$1,"O","X"))</f>
        <v>O</v>
      </c>
      <c r="AS40" s="76" t="s">
        <v>2</v>
      </c>
      <c r="AT40" s="76" t="str">
        <f>IF(OR(F40="",AI40=""),"",IF(AND((F40&lt;=85),(AI40&gt;=15)),"O","X"))</f>
        <v>O</v>
      </c>
      <c r="AU40" s="76" t="str">
        <f>IF(C40="","",IF(C40&gt;=$AU$1,"O","X"))</f>
        <v>O</v>
      </c>
      <c r="AV40" s="76" t="str">
        <f>IF(AO40="","",IF(AND(AO40="O",AP40="O",AR40="O",AT40="O",AU40="O"),"후보","X"))</f>
        <v>후보</v>
      </c>
    </row>
    <row r="41" spans="1:48" s="37" customFormat="1" ht="12" x14ac:dyDescent="0.3">
      <c r="A41" s="77" t="s">
        <v>2024</v>
      </c>
      <c r="B41" s="78" t="s">
        <v>2025</v>
      </c>
      <c r="C41" s="84">
        <v>730</v>
      </c>
      <c r="D41" s="85">
        <v>78.3</v>
      </c>
      <c r="E41" s="86">
        <v>24</v>
      </c>
      <c r="F41" s="85">
        <v>59.9</v>
      </c>
      <c r="G41" s="17">
        <v>18</v>
      </c>
      <c r="H41" s="87">
        <v>366</v>
      </c>
      <c r="I41" s="88">
        <v>14500</v>
      </c>
      <c r="J41" s="88" t="s">
        <v>248</v>
      </c>
      <c r="K41" s="88">
        <v>15200</v>
      </c>
      <c r="L41" s="88" t="s">
        <v>84</v>
      </c>
      <c r="M41" s="89">
        <f t="shared" ref="M41" si="55">I41-K41</f>
        <v>-700</v>
      </c>
      <c r="N41" s="4">
        <f t="shared" ref="N41" si="56">IF(ISERROR(K41/I41),"",K41/I41)</f>
        <v>1.0482758620689656</v>
      </c>
      <c r="O41" s="90">
        <f t="shared" ref="O41" si="57">I41/E41</f>
        <v>604.16666666666663</v>
      </c>
      <c r="P41" s="90">
        <f t="shared" ref="P41" si="58">K41/E41</f>
        <v>633.33333333333337</v>
      </c>
      <c r="Q41" s="76">
        <v>3</v>
      </c>
      <c r="R41" s="76">
        <v>1</v>
      </c>
      <c r="S41" s="76" t="s">
        <v>61</v>
      </c>
      <c r="T41" s="5" t="s">
        <v>173</v>
      </c>
      <c r="U41" s="9"/>
      <c r="W41" s="85">
        <f t="shared" si="53"/>
        <v>78.3</v>
      </c>
      <c r="X41" s="86">
        <f t="shared" si="53"/>
        <v>24</v>
      </c>
      <c r="Y41" s="91">
        <f t="shared" si="54"/>
        <v>366</v>
      </c>
      <c r="Z41" s="89">
        <f t="shared" si="54"/>
        <v>14500</v>
      </c>
      <c r="AA41" s="89">
        <f t="shared" ref="AA41" si="59">K41</f>
        <v>15200</v>
      </c>
      <c r="AB41" s="89">
        <f t="shared" ref="AB41:AD43" si="60">M41</f>
        <v>-700</v>
      </c>
      <c r="AC41" s="4">
        <f t="shared" si="60"/>
        <v>1.0482758620689656</v>
      </c>
      <c r="AD41" s="90">
        <f t="shared" si="60"/>
        <v>604.16666666666663</v>
      </c>
      <c r="AE41" s="76" t="str">
        <f t="shared" ref="AE41" si="61">S41</f>
        <v>계</v>
      </c>
      <c r="AF41" s="76" t="str">
        <f t="shared" ref="AF41" si="62">Q41&amp;"/"&amp;R41</f>
        <v>3/1</v>
      </c>
      <c r="AH41" s="20" t="str">
        <f t="shared" si="1"/>
        <v>평화동2가 평화주공그린타운1단지</v>
      </c>
      <c r="AI41" s="86">
        <f t="shared" si="2"/>
        <v>24</v>
      </c>
      <c r="AJ41" s="76" t="str">
        <f t="shared" ref="AJ41" si="63">IF(AI41="","",$AJ$2)</f>
        <v>A-</v>
      </c>
      <c r="AK41" s="76" t="s">
        <v>13</v>
      </c>
      <c r="AL41" s="76" t="s">
        <v>62</v>
      </c>
      <c r="AM41" s="76" t="s">
        <v>63</v>
      </c>
      <c r="AN41" s="76" t="str">
        <f t="shared" ref="AN41" si="64">IF(AI41="","",$AN$2)</f>
        <v>C</v>
      </c>
      <c r="AO41" s="76" t="str">
        <f t="shared" ref="AO41" si="65">IF(N41="","",IF(N41&gt;=$AO$1/100,"O","X"))</f>
        <v>O</v>
      </c>
      <c r="AP41" s="76" t="str">
        <f t="shared" ref="AP41" si="66">IF(I41="","",IF(I41&lt;=$AP$1,"O","X"))</f>
        <v>O</v>
      </c>
      <c r="AQ41" s="76" t="str">
        <f t="shared" ref="AQ41" si="67">IF(O41="","",IF(O41&lt;=$AQ$1,"O","X"))</f>
        <v>O</v>
      </c>
      <c r="AR41" s="76" t="str">
        <f t="shared" ref="AR41" si="68">IF(M41="","",IF(M41&lt;=$AR$1,"O","X"))</f>
        <v>O</v>
      </c>
      <c r="AS41" s="76" t="s">
        <v>2</v>
      </c>
      <c r="AT41" s="76" t="str">
        <f t="shared" ref="AT41" si="69">IF(OR(F41="",AI41=""),"",IF(AND((F41&lt;=85),(AI41&gt;=15)),"O","X"))</f>
        <v>O</v>
      </c>
      <c r="AU41" s="76" t="str">
        <f t="shared" ref="AU41" si="70">IF(C41="","",IF(C41&gt;=$AU$1,"O","X"))</f>
        <v>O</v>
      </c>
      <c r="AV41" s="76" t="str">
        <f t="shared" ref="AV41" si="71">IF(AO41="","",IF(AND(AO41="O",AP41="O",AR41="O",AT41="O",AU41="O"),"후보","X"))</f>
        <v>후보</v>
      </c>
    </row>
    <row r="42" spans="1:48" s="37" customFormat="1" ht="12" x14ac:dyDescent="0.3">
      <c r="A42" s="77" t="s">
        <v>2026</v>
      </c>
      <c r="B42" s="78" t="s">
        <v>2027</v>
      </c>
      <c r="C42" s="84">
        <v>888</v>
      </c>
      <c r="D42" s="85">
        <v>115.4</v>
      </c>
      <c r="E42" s="86">
        <v>35</v>
      </c>
      <c r="F42" s="85">
        <v>84.6</v>
      </c>
      <c r="G42" s="17">
        <v>26</v>
      </c>
      <c r="H42" s="87">
        <v>735</v>
      </c>
      <c r="I42" s="88">
        <v>23000</v>
      </c>
      <c r="J42" s="88" t="s">
        <v>80</v>
      </c>
      <c r="K42" s="88">
        <v>24500</v>
      </c>
      <c r="L42" s="88" t="s">
        <v>72</v>
      </c>
      <c r="M42" s="89">
        <f>I42-K42</f>
        <v>-1500</v>
      </c>
      <c r="N42" s="4">
        <f>IF(ISERROR(K42/I42),"",K42/I42)</f>
        <v>1.0652173913043479</v>
      </c>
      <c r="O42" s="90">
        <f>I42/E42</f>
        <v>657.14285714285711</v>
      </c>
      <c r="P42" s="90">
        <f>K42/E42</f>
        <v>700</v>
      </c>
      <c r="Q42" s="76">
        <v>3</v>
      </c>
      <c r="R42" s="76">
        <v>2</v>
      </c>
      <c r="S42" s="76" t="s">
        <v>61</v>
      </c>
      <c r="T42" s="5" t="s">
        <v>342</v>
      </c>
      <c r="U42" s="9"/>
      <c r="W42" s="85">
        <f t="shared" si="53"/>
        <v>115.4</v>
      </c>
      <c r="X42" s="86">
        <f t="shared" si="53"/>
        <v>35</v>
      </c>
      <c r="Y42" s="91">
        <f t="shared" si="54"/>
        <v>735</v>
      </c>
      <c r="Z42" s="89">
        <f t="shared" si="54"/>
        <v>23000</v>
      </c>
      <c r="AA42" s="89">
        <f>K42</f>
        <v>24500</v>
      </c>
      <c r="AB42" s="89">
        <f t="shared" si="60"/>
        <v>-1500</v>
      </c>
      <c r="AC42" s="4">
        <f t="shared" si="60"/>
        <v>1.0652173913043479</v>
      </c>
      <c r="AD42" s="90">
        <f t="shared" si="60"/>
        <v>657.14285714285711</v>
      </c>
      <c r="AE42" s="76" t="str">
        <f>S42</f>
        <v>계</v>
      </c>
      <c r="AF42" s="76" t="str">
        <f>Q42&amp;"/"&amp;R42</f>
        <v>3/2</v>
      </c>
      <c r="AH42" s="20" t="str">
        <f t="shared" si="1"/>
        <v>평화동2가 송정써미트</v>
      </c>
      <c r="AI42" s="86">
        <f t="shared" si="2"/>
        <v>35</v>
      </c>
      <c r="AJ42" s="76" t="str">
        <f>IF(AI42="","",$AJ$2)</f>
        <v>A-</v>
      </c>
      <c r="AK42" s="76" t="s">
        <v>13</v>
      </c>
      <c r="AL42" s="76" t="s">
        <v>62</v>
      </c>
      <c r="AM42" s="76" t="s">
        <v>63</v>
      </c>
      <c r="AN42" s="76" t="str">
        <f>IF(AI42="","",$AN$2)</f>
        <v>C</v>
      </c>
      <c r="AO42" s="76" t="str">
        <f>IF(N42="","",IF(N42&gt;=$AO$1/100,"O","X"))</f>
        <v>O</v>
      </c>
      <c r="AP42" s="76" t="str">
        <f>IF(I42="","",IF(I42&lt;=$AP$1,"O","X"))</f>
        <v>O</v>
      </c>
      <c r="AQ42" s="76" t="str">
        <f>IF(O42="","",IF(O42&lt;=$AQ$1,"O","X"))</f>
        <v>O</v>
      </c>
      <c r="AR42" s="76" t="str">
        <f>IF(M42="","",IF(M42&lt;=$AR$1,"O","X"))</f>
        <v>O</v>
      </c>
      <c r="AS42" s="76" t="s">
        <v>2</v>
      </c>
      <c r="AT42" s="76" t="str">
        <f>IF(OR(F42="",AI42=""),"",IF(AND((F42&lt;=85),(AI42&gt;=15)),"O","X"))</f>
        <v>O</v>
      </c>
      <c r="AU42" s="76" t="str">
        <f>IF(C42="","",IF(C42&gt;=$AU$1,"O","X"))</f>
        <v>O</v>
      </c>
      <c r="AV42" s="76" t="str">
        <f>IF(AO42="","",IF(AND(AO42="O",AP42="O",AR42="O",AT42="O",AU42="O"),"후보","X"))</f>
        <v>후보</v>
      </c>
    </row>
    <row r="43" spans="1:48" s="37" customFormat="1" ht="12" x14ac:dyDescent="0.3">
      <c r="A43" s="77" t="s">
        <v>2026</v>
      </c>
      <c r="B43" s="78" t="s">
        <v>2027</v>
      </c>
      <c r="C43" s="84">
        <v>888</v>
      </c>
      <c r="D43" s="85">
        <v>115.4</v>
      </c>
      <c r="E43" s="86">
        <v>35</v>
      </c>
      <c r="F43" s="85">
        <v>84.6</v>
      </c>
      <c r="G43" s="17">
        <v>26</v>
      </c>
      <c r="H43" s="87">
        <v>136</v>
      </c>
      <c r="I43" s="88">
        <v>23000</v>
      </c>
      <c r="J43" s="88" t="s">
        <v>80</v>
      </c>
      <c r="K43" s="88">
        <v>24500</v>
      </c>
      <c r="L43" s="88" t="s">
        <v>72</v>
      </c>
      <c r="M43" s="89">
        <f>I43-K43</f>
        <v>-1500</v>
      </c>
      <c r="N43" s="4">
        <f>IF(ISERROR(K43/I43),"",K43/I43)</f>
        <v>1.0652173913043479</v>
      </c>
      <c r="O43" s="90">
        <f>I43/E43</f>
        <v>657.14285714285711</v>
      </c>
      <c r="P43" s="90">
        <f>K43/E43</f>
        <v>700</v>
      </c>
      <c r="Q43" s="76">
        <v>3</v>
      </c>
      <c r="R43" s="76">
        <v>2</v>
      </c>
      <c r="S43" s="76" t="s">
        <v>61</v>
      </c>
      <c r="T43" s="5" t="s">
        <v>343</v>
      </c>
      <c r="U43" s="9"/>
      <c r="W43" s="85">
        <f t="shared" si="53"/>
        <v>115.4</v>
      </c>
      <c r="X43" s="86">
        <f t="shared" si="53"/>
        <v>35</v>
      </c>
      <c r="Y43" s="91">
        <f t="shared" si="54"/>
        <v>136</v>
      </c>
      <c r="Z43" s="89">
        <f t="shared" si="54"/>
        <v>23000</v>
      </c>
      <c r="AA43" s="89">
        <f>K43</f>
        <v>24500</v>
      </c>
      <c r="AB43" s="89">
        <f t="shared" si="60"/>
        <v>-1500</v>
      </c>
      <c r="AC43" s="4">
        <f t="shared" si="60"/>
        <v>1.0652173913043479</v>
      </c>
      <c r="AD43" s="90">
        <f t="shared" si="60"/>
        <v>657.14285714285711</v>
      </c>
      <c r="AE43" s="76" t="str">
        <f>S43</f>
        <v>계</v>
      </c>
      <c r="AF43" s="76" t="str">
        <f>Q43&amp;"/"&amp;R43</f>
        <v>3/2</v>
      </c>
      <c r="AH43" s="20" t="str">
        <f t="shared" si="1"/>
        <v>평화동2가 송정써미트</v>
      </c>
      <c r="AI43" s="86">
        <f t="shared" si="2"/>
        <v>35</v>
      </c>
      <c r="AJ43" s="76" t="str">
        <f>IF(AI43="","",$AJ$2)</f>
        <v>A-</v>
      </c>
      <c r="AK43" s="76" t="s">
        <v>13</v>
      </c>
      <c r="AL43" s="76" t="s">
        <v>62</v>
      </c>
      <c r="AM43" s="76" t="s">
        <v>63</v>
      </c>
      <c r="AN43" s="76" t="str">
        <f>IF(AI43="","",$AN$2)</f>
        <v>C</v>
      </c>
      <c r="AO43" s="76" t="str">
        <f>IF(N43="","",IF(N43&gt;=$AO$1/100,"O","X"))</f>
        <v>O</v>
      </c>
      <c r="AP43" s="76" t="str">
        <f>IF(I43="","",IF(I43&lt;=$AP$1,"O","X"))</f>
        <v>O</v>
      </c>
      <c r="AQ43" s="76" t="str">
        <f>IF(O43="","",IF(O43&lt;=$AQ$1,"O","X"))</f>
        <v>O</v>
      </c>
      <c r="AR43" s="76" t="str">
        <f>IF(M43="","",IF(M43&lt;=$AR$1,"O","X"))</f>
        <v>O</v>
      </c>
      <c r="AS43" s="76" t="s">
        <v>2</v>
      </c>
      <c r="AT43" s="76" t="str">
        <f>IF(OR(F43="",AI43=""),"",IF(AND((F43&lt;=85),(AI43&gt;=15)),"O","X"))</f>
        <v>O</v>
      </c>
      <c r="AU43" s="76" t="str">
        <f>IF(C43="","",IF(C43&gt;=$AU$1,"O","X"))</f>
        <v>O</v>
      </c>
      <c r="AV43" s="76" t="str">
        <f>IF(AO43="","",IF(AND(AO43="O",AP43="O",AR43="O",AT43="O",AU43="O"),"후보","X"))</f>
        <v>후보</v>
      </c>
    </row>
    <row r="44" spans="1:48" s="37" customFormat="1" ht="12" x14ac:dyDescent="0.3">
      <c r="A44" s="77" t="s">
        <v>2028</v>
      </c>
      <c r="B44" s="78" t="s">
        <v>2029</v>
      </c>
      <c r="C44" s="84">
        <v>639</v>
      </c>
      <c r="D44" s="85">
        <v>111.6</v>
      </c>
      <c r="E44" s="86">
        <v>34</v>
      </c>
      <c r="F44" s="85">
        <v>84.8</v>
      </c>
      <c r="G44" s="17">
        <v>26</v>
      </c>
      <c r="H44" s="87">
        <v>639</v>
      </c>
      <c r="I44" s="88">
        <v>26000</v>
      </c>
      <c r="J44" s="88" t="s">
        <v>75</v>
      </c>
      <c r="K44" s="88">
        <v>22000</v>
      </c>
      <c r="L44" s="88" t="s">
        <v>80</v>
      </c>
      <c r="M44" s="89">
        <f>I44-K44</f>
        <v>4000</v>
      </c>
      <c r="N44" s="4">
        <f>IF(ISERROR(K44/I44),"",K44/I44)</f>
        <v>0.84615384615384615</v>
      </c>
      <c r="O44" s="90">
        <f>I44/E44</f>
        <v>764.70588235294122</v>
      </c>
      <c r="P44" s="90">
        <f>K44/E44</f>
        <v>647.05882352941171</v>
      </c>
      <c r="Q44" s="76">
        <v>3</v>
      </c>
      <c r="R44" s="76">
        <v>2</v>
      </c>
      <c r="S44" s="76" t="s">
        <v>61</v>
      </c>
      <c r="T44" s="5">
        <v>111</v>
      </c>
      <c r="U44" s="9"/>
      <c r="W44" s="85">
        <f>D44</f>
        <v>111.6</v>
      </c>
      <c r="X44" s="86">
        <f>E44</f>
        <v>34</v>
      </c>
      <c r="Y44" s="91">
        <f>H44</f>
        <v>639</v>
      </c>
      <c r="Z44" s="89">
        <f>I44</f>
        <v>26000</v>
      </c>
      <c r="AA44" s="89">
        <f>K44</f>
        <v>22000</v>
      </c>
      <c r="AB44" s="89">
        <f>M44</f>
        <v>4000</v>
      </c>
      <c r="AC44" s="4">
        <f>N44</f>
        <v>0.84615384615384615</v>
      </c>
      <c r="AD44" s="90">
        <f>O44</f>
        <v>764.70588235294122</v>
      </c>
      <c r="AE44" s="76" t="str">
        <f>S44</f>
        <v>계</v>
      </c>
      <c r="AF44" s="76" t="str">
        <f>Q44&amp;"/"&amp;R44</f>
        <v>3/2</v>
      </c>
      <c r="AH44" s="20" t="str">
        <f t="shared" si="1"/>
        <v>평화동2가 호반리젠시빌</v>
      </c>
      <c r="AI44" s="86">
        <f t="shared" si="2"/>
        <v>34</v>
      </c>
      <c r="AJ44" s="76" t="str">
        <f>IF(AI44="","",$AJ$2)</f>
        <v>A-</v>
      </c>
      <c r="AK44" s="76" t="s">
        <v>13</v>
      </c>
      <c r="AL44" s="76" t="s">
        <v>62</v>
      </c>
      <c r="AM44" s="76" t="s">
        <v>63</v>
      </c>
      <c r="AN44" s="76" t="str">
        <f>IF(AI44="","",$AN$2)</f>
        <v>C</v>
      </c>
      <c r="AO44" s="76" t="str">
        <f>IF(N44="","",IF(N44&gt;=$AO$1/100,"O","X"))</f>
        <v>O</v>
      </c>
      <c r="AP44" s="76" t="str">
        <f>IF(I44="","",IF(I44&lt;=$AP$1,"O","X"))</f>
        <v>O</v>
      </c>
      <c r="AQ44" s="76" t="str">
        <f>IF(O44="","",IF(O44&lt;=$AQ$1,"O","X"))</f>
        <v>O</v>
      </c>
      <c r="AR44" s="76" t="str">
        <f>IF(M44="","",IF(M44&lt;=$AR$1,"O","X"))</f>
        <v>O</v>
      </c>
      <c r="AS44" s="76" t="s">
        <v>2</v>
      </c>
      <c r="AT44" s="76" t="str">
        <f>IF(OR(F44="",AI44=""),"",IF(AND((F44&lt;=85),(AI44&gt;=15)),"O","X"))</f>
        <v>O</v>
      </c>
      <c r="AU44" s="76" t="str">
        <f>IF(C44="","",IF(C44&gt;=$AU$1,"O","X"))</f>
        <v>O</v>
      </c>
      <c r="AV44" s="76" t="str">
        <f>IF(AO44="","",IF(AND(AO44="O",AP44="O",AR44="O",AT44="O",AU44="O"),"후보","X"))</f>
        <v>후보</v>
      </c>
    </row>
    <row r="45" spans="1:48" s="37" customFormat="1" ht="12" x14ac:dyDescent="0.3">
      <c r="A45" s="77" t="s">
        <v>1991</v>
      </c>
      <c r="B45" s="78" t="s">
        <v>1992</v>
      </c>
      <c r="C45" s="84">
        <v>422</v>
      </c>
      <c r="D45" s="85">
        <v>80</v>
      </c>
      <c r="E45" s="86">
        <v>24</v>
      </c>
      <c r="F45" s="85">
        <v>60</v>
      </c>
      <c r="G45" s="17">
        <v>18</v>
      </c>
      <c r="H45" s="87">
        <v>422</v>
      </c>
      <c r="I45" s="88">
        <v>9000</v>
      </c>
      <c r="J45" s="88" t="s">
        <v>72</v>
      </c>
      <c r="K45" s="88">
        <v>9000</v>
      </c>
      <c r="L45" s="88" t="s">
        <v>85</v>
      </c>
      <c r="M45" s="89">
        <f>I45-K45</f>
        <v>0</v>
      </c>
      <c r="N45" s="4">
        <f>IF(ISERROR(K45/I45),"",K45/I45)</f>
        <v>1</v>
      </c>
      <c r="O45" s="90">
        <f>I45/E45</f>
        <v>375</v>
      </c>
      <c r="P45" s="90">
        <f>K45/E45</f>
        <v>375</v>
      </c>
      <c r="Q45" s="76">
        <v>3</v>
      </c>
      <c r="R45" s="76">
        <v>1</v>
      </c>
      <c r="S45" s="76" t="s">
        <v>68</v>
      </c>
      <c r="T45" s="5">
        <v>79</v>
      </c>
      <c r="U45" s="9"/>
      <c r="W45" s="85">
        <f>D45</f>
        <v>80</v>
      </c>
      <c r="X45" s="86">
        <f>E45</f>
        <v>24</v>
      </c>
      <c r="Y45" s="91">
        <f>H45</f>
        <v>422</v>
      </c>
      <c r="Z45" s="89">
        <f>I45</f>
        <v>9000</v>
      </c>
      <c r="AA45" s="89">
        <f>K45</f>
        <v>9000</v>
      </c>
      <c r="AB45" s="89">
        <f>M45</f>
        <v>0</v>
      </c>
      <c r="AC45" s="4">
        <f>N45</f>
        <v>1</v>
      </c>
      <c r="AD45" s="90">
        <f>O45</f>
        <v>375</v>
      </c>
      <c r="AE45" s="76" t="str">
        <f>S45</f>
        <v>복</v>
      </c>
      <c r="AF45" s="76" t="str">
        <f>Q45&amp;"/"&amp;R45</f>
        <v>3/1</v>
      </c>
      <c r="AH45" s="20" t="str">
        <f t="shared" si="1"/>
        <v>평화동2가 삼성강남</v>
      </c>
      <c r="AI45" s="86">
        <f t="shared" si="2"/>
        <v>24</v>
      </c>
      <c r="AJ45" s="76" t="str">
        <f>IF(AI45="","",$AJ$2)</f>
        <v>A-</v>
      </c>
      <c r="AK45" s="76" t="s">
        <v>13</v>
      </c>
      <c r="AL45" s="76" t="s">
        <v>62</v>
      </c>
      <c r="AM45" s="76" t="s">
        <v>63</v>
      </c>
      <c r="AN45" s="76" t="str">
        <f>IF(AI45="","",$AN$2)</f>
        <v>C</v>
      </c>
      <c r="AO45" s="76" t="str">
        <f>IF(N45="","",IF(N45&gt;=$AO$1/100,"O","X"))</f>
        <v>O</v>
      </c>
      <c r="AP45" s="76" t="str">
        <f>IF(I45="","",IF(I45&lt;=$AP$1,"O","X"))</f>
        <v>O</v>
      </c>
      <c r="AQ45" s="76" t="str">
        <f>IF(O45="","",IF(O45&lt;=$AQ$1,"O","X"))</f>
        <v>O</v>
      </c>
      <c r="AR45" s="76" t="str">
        <f>IF(M45="","",IF(M45&lt;=$AR$1,"O","X"))</f>
        <v>O</v>
      </c>
      <c r="AS45" s="76" t="s">
        <v>2</v>
      </c>
      <c r="AT45" s="76" t="str">
        <f>IF(OR(F45="",AI45=""),"",IF(AND((F45&lt;=85),(AI45&gt;=15)),"O","X"))</f>
        <v>O</v>
      </c>
      <c r="AU45" s="76" t="str">
        <f>IF(C45="","",IF(C45&gt;=$AU$1,"O","X"))</f>
        <v>O</v>
      </c>
      <c r="AV45" s="76" t="str">
        <f>IF(AO45="","",IF(AND(AO45="O",AP45="O",AR45="O",AT45="O",AU45="O"),"후보","X"))</f>
        <v>후보</v>
      </c>
    </row>
    <row r="46" spans="1:48" s="37" customFormat="1" ht="12" x14ac:dyDescent="0.3">
      <c r="A46" s="77" t="s">
        <v>1993</v>
      </c>
      <c r="B46" s="78" t="s">
        <v>1984</v>
      </c>
      <c r="C46" s="84">
        <v>467</v>
      </c>
      <c r="D46" s="85">
        <v>107.5</v>
      </c>
      <c r="E46" s="86">
        <v>33</v>
      </c>
      <c r="F46" s="85">
        <v>83.6</v>
      </c>
      <c r="G46" s="17">
        <v>25</v>
      </c>
      <c r="H46" s="87">
        <v>188</v>
      </c>
      <c r="I46" s="88">
        <v>18500</v>
      </c>
      <c r="J46" s="88" t="s">
        <v>80</v>
      </c>
      <c r="K46" s="88">
        <v>19000</v>
      </c>
      <c r="L46" s="88" t="s">
        <v>90</v>
      </c>
      <c r="M46" s="89">
        <f>I46-K46</f>
        <v>-500</v>
      </c>
      <c r="N46" s="4">
        <f>IF(ISERROR(K46/I46),"",K46/I46)</f>
        <v>1.027027027027027</v>
      </c>
      <c r="O46" s="90">
        <f>I46/E46</f>
        <v>560.60606060606062</v>
      </c>
      <c r="P46" s="90">
        <f>K46/E46</f>
        <v>575.75757575757575</v>
      </c>
      <c r="Q46" s="76">
        <v>3</v>
      </c>
      <c r="R46" s="76">
        <v>2</v>
      </c>
      <c r="S46" s="76" t="s">
        <v>68</v>
      </c>
      <c r="T46" s="5">
        <v>107</v>
      </c>
      <c r="U46" s="9"/>
      <c r="W46" s="85">
        <f t="shared" ref="W46:X47" si="72">D46</f>
        <v>107.5</v>
      </c>
      <c r="X46" s="86">
        <f t="shared" si="72"/>
        <v>33</v>
      </c>
      <c r="Y46" s="91">
        <f t="shared" ref="Y46:Z47" si="73">H46</f>
        <v>188</v>
      </c>
      <c r="Z46" s="89">
        <f t="shared" si="73"/>
        <v>18500</v>
      </c>
      <c r="AA46" s="89">
        <f>K46</f>
        <v>19000</v>
      </c>
      <c r="AB46" s="89">
        <f t="shared" ref="AB46:AD52" si="74">M46</f>
        <v>-500</v>
      </c>
      <c r="AC46" s="4">
        <f t="shared" si="74"/>
        <v>1.027027027027027</v>
      </c>
      <c r="AD46" s="90">
        <f t="shared" si="74"/>
        <v>560.60606060606062</v>
      </c>
      <c r="AE46" s="76" t="str">
        <f>S46</f>
        <v>복</v>
      </c>
      <c r="AF46" s="76" t="str">
        <f>Q46&amp;"/"&amp;R46</f>
        <v>3/2</v>
      </c>
      <c r="AH46" s="20" t="str">
        <f t="shared" si="1"/>
        <v>효자동1가 삼성효자맨션</v>
      </c>
      <c r="AI46" s="86">
        <f t="shared" si="2"/>
        <v>33</v>
      </c>
      <c r="AJ46" s="76" t="str">
        <f>IF(AI46="","",$AJ$2)</f>
        <v>A-</v>
      </c>
      <c r="AK46" s="76" t="s">
        <v>13</v>
      </c>
      <c r="AL46" s="76" t="s">
        <v>62</v>
      </c>
      <c r="AM46" s="76" t="s">
        <v>63</v>
      </c>
      <c r="AN46" s="76" t="str">
        <f>IF(AI46="","",$AN$2)</f>
        <v>C</v>
      </c>
      <c r="AO46" s="76" t="str">
        <f>IF(N46="","",IF(N46&gt;=$AO$1/100,"O","X"))</f>
        <v>O</v>
      </c>
      <c r="AP46" s="76" t="str">
        <f>IF(I46="","",IF(I46&lt;=$AP$1,"O","X"))</f>
        <v>O</v>
      </c>
      <c r="AQ46" s="76" t="str">
        <f>IF(O46="","",IF(O46&lt;=$AQ$1,"O","X"))</f>
        <v>O</v>
      </c>
      <c r="AR46" s="76" t="str">
        <f>IF(M46="","",IF(M46&lt;=$AR$1,"O","X"))</f>
        <v>O</v>
      </c>
      <c r="AS46" s="76" t="s">
        <v>2</v>
      </c>
      <c r="AT46" s="76" t="str">
        <f>IF(OR(F46="",AI46=""),"",IF(AND((F46&lt;=85),(AI46&gt;=15)),"O","X"))</f>
        <v>O</v>
      </c>
      <c r="AU46" s="76" t="str">
        <f>IF(C46="","",IF(C46&gt;=$AU$1,"O","X"))</f>
        <v>O</v>
      </c>
      <c r="AV46" s="76" t="str">
        <f>IF(AO46="","",IF(AND(AO46="O",AP46="O",AR46="O",AT46="O",AU46="O"),"후보","X"))</f>
        <v>후보</v>
      </c>
    </row>
    <row r="47" spans="1:48" s="37" customFormat="1" ht="12" x14ac:dyDescent="0.3">
      <c r="A47" s="77" t="s">
        <v>1994</v>
      </c>
      <c r="B47" s="78" t="s">
        <v>1995</v>
      </c>
      <c r="C47" s="84">
        <v>1155</v>
      </c>
      <c r="D47" s="85">
        <v>83.1</v>
      </c>
      <c r="E47" s="86">
        <v>25</v>
      </c>
      <c r="F47" s="85">
        <v>59.8</v>
      </c>
      <c r="G47" s="17">
        <v>18</v>
      </c>
      <c r="H47" s="87">
        <v>435</v>
      </c>
      <c r="I47" s="88">
        <v>14000</v>
      </c>
      <c r="J47" s="88" t="s">
        <v>80</v>
      </c>
      <c r="K47" s="88">
        <v>12000</v>
      </c>
      <c r="L47" s="88" t="s">
        <v>71</v>
      </c>
      <c r="M47" s="89">
        <f>I47-K47</f>
        <v>2000</v>
      </c>
      <c r="N47" s="4">
        <f>IF(ISERROR(K47/I47),"",K47/I47)</f>
        <v>0.8571428571428571</v>
      </c>
      <c r="O47" s="90">
        <f>I47/E47</f>
        <v>560</v>
      </c>
      <c r="P47" s="90">
        <f>K47/E47</f>
        <v>480</v>
      </c>
      <c r="Q47" s="76">
        <v>3</v>
      </c>
      <c r="R47" s="76">
        <v>1</v>
      </c>
      <c r="S47" s="76" t="s">
        <v>68</v>
      </c>
      <c r="T47" s="5">
        <v>83</v>
      </c>
      <c r="U47" s="9"/>
      <c r="W47" s="85">
        <f t="shared" si="72"/>
        <v>83.1</v>
      </c>
      <c r="X47" s="86">
        <f t="shared" si="72"/>
        <v>25</v>
      </c>
      <c r="Y47" s="91">
        <f t="shared" si="73"/>
        <v>435</v>
      </c>
      <c r="Z47" s="89">
        <f t="shared" si="73"/>
        <v>14000</v>
      </c>
      <c r="AA47" s="89">
        <f>K47</f>
        <v>12000</v>
      </c>
      <c r="AB47" s="89">
        <f t="shared" si="74"/>
        <v>2000</v>
      </c>
      <c r="AC47" s="4">
        <f t="shared" si="74"/>
        <v>0.8571428571428571</v>
      </c>
      <c r="AD47" s="90">
        <f t="shared" si="74"/>
        <v>560</v>
      </c>
      <c r="AE47" s="76" t="str">
        <f>S47</f>
        <v>복</v>
      </c>
      <c r="AF47" s="76" t="str">
        <f>Q47&amp;"/"&amp;R47</f>
        <v>3/1</v>
      </c>
      <c r="AH47" s="20" t="str">
        <f t="shared" si="1"/>
        <v>효자동1가 상산타운</v>
      </c>
      <c r="AI47" s="86">
        <f t="shared" si="2"/>
        <v>25</v>
      </c>
      <c r="AJ47" s="76" t="str">
        <f>IF(AI47="","",$AJ$2)</f>
        <v>A-</v>
      </c>
      <c r="AK47" s="76" t="s">
        <v>13</v>
      </c>
      <c r="AL47" s="76" t="s">
        <v>62</v>
      </c>
      <c r="AM47" s="76" t="s">
        <v>63</v>
      </c>
      <c r="AN47" s="76" t="str">
        <f>IF(AI47="","",$AN$2)</f>
        <v>C</v>
      </c>
      <c r="AO47" s="76" t="str">
        <f>IF(N47="","",IF(N47&gt;=$AO$1/100,"O","X"))</f>
        <v>O</v>
      </c>
      <c r="AP47" s="76" t="str">
        <f>IF(I47="","",IF(I47&lt;=$AP$1,"O","X"))</f>
        <v>O</v>
      </c>
      <c r="AQ47" s="76" t="str">
        <f>IF(O47="","",IF(O47&lt;=$AQ$1,"O","X"))</f>
        <v>O</v>
      </c>
      <c r="AR47" s="76" t="str">
        <f>IF(M47="","",IF(M47&lt;=$AR$1,"O","X"))</f>
        <v>O</v>
      </c>
      <c r="AS47" s="76" t="s">
        <v>2</v>
      </c>
      <c r="AT47" s="76" t="str">
        <f>IF(OR(F47="",AI47=""),"",IF(AND((F47&lt;=85),(AI47&gt;=15)),"O","X"))</f>
        <v>O</v>
      </c>
      <c r="AU47" s="76" t="str">
        <f>IF(C47="","",IF(C47&gt;=$AU$1,"O","X"))</f>
        <v>O</v>
      </c>
      <c r="AV47" s="76" t="str">
        <f>IF(AO47="","",IF(AND(AO47="O",AP47="O",AR47="O",AT47="O",AU47="O"),"후보","X"))</f>
        <v>후보</v>
      </c>
    </row>
    <row r="48" spans="1:48" s="37" customFormat="1" ht="12" x14ac:dyDescent="0.3">
      <c r="A48" s="77" t="s">
        <v>2030</v>
      </c>
      <c r="B48" s="78" t="s">
        <v>1996</v>
      </c>
      <c r="C48" s="84">
        <v>498</v>
      </c>
      <c r="D48" s="85">
        <v>77.099999999999994</v>
      </c>
      <c r="E48" s="86">
        <v>23</v>
      </c>
      <c r="F48" s="85">
        <v>59.9</v>
      </c>
      <c r="G48" s="17">
        <v>18</v>
      </c>
      <c r="H48" s="87">
        <v>448</v>
      </c>
      <c r="I48" s="88">
        <v>14000</v>
      </c>
      <c r="J48" s="88" t="s">
        <v>89</v>
      </c>
      <c r="K48" s="88">
        <v>14500</v>
      </c>
      <c r="L48" s="88" t="s">
        <v>84</v>
      </c>
      <c r="M48" s="89">
        <f>I48-K48</f>
        <v>-500</v>
      </c>
      <c r="N48" s="4">
        <f>IF(ISERROR(K48/I48),"",K48/I48)</f>
        <v>1.0357142857142858</v>
      </c>
      <c r="O48" s="90">
        <f>I48/E48</f>
        <v>608.695652173913</v>
      </c>
      <c r="P48" s="90">
        <f>K48/E48</f>
        <v>630.43478260869563</v>
      </c>
      <c r="Q48" s="76">
        <v>3</v>
      </c>
      <c r="R48" s="76">
        <v>1</v>
      </c>
      <c r="S48" s="76" t="s">
        <v>61</v>
      </c>
      <c r="T48" s="5">
        <v>77</v>
      </c>
      <c r="U48" s="9"/>
      <c r="W48" s="85">
        <f>D48</f>
        <v>77.099999999999994</v>
      </c>
      <c r="X48" s="86">
        <f>E48</f>
        <v>23</v>
      </c>
      <c r="Y48" s="91">
        <f>H48</f>
        <v>448</v>
      </c>
      <c r="Z48" s="89">
        <f>I48</f>
        <v>14000</v>
      </c>
      <c r="AA48" s="89">
        <f>K48</f>
        <v>14500</v>
      </c>
      <c r="AB48" s="89">
        <f t="shared" si="74"/>
        <v>-500</v>
      </c>
      <c r="AC48" s="4">
        <f t="shared" si="74"/>
        <v>1.0357142857142858</v>
      </c>
      <c r="AD48" s="90">
        <f t="shared" si="74"/>
        <v>608.695652173913</v>
      </c>
      <c r="AE48" s="76" t="str">
        <f>S48</f>
        <v>계</v>
      </c>
      <c r="AF48" s="76" t="str">
        <f>Q48&amp;"/"&amp;R48</f>
        <v>3/1</v>
      </c>
      <c r="AH48" s="20" t="str">
        <f t="shared" si="1"/>
        <v>효자동1가 한강</v>
      </c>
      <c r="AI48" s="86">
        <f t="shared" si="2"/>
        <v>23</v>
      </c>
      <c r="AJ48" s="76" t="str">
        <f>IF(AI48="","",$AJ$2)</f>
        <v>A-</v>
      </c>
      <c r="AK48" s="76" t="s">
        <v>13</v>
      </c>
      <c r="AL48" s="76" t="s">
        <v>62</v>
      </c>
      <c r="AM48" s="76" t="s">
        <v>63</v>
      </c>
      <c r="AN48" s="76" t="str">
        <f>IF(AI48="","",$AN$2)</f>
        <v>C</v>
      </c>
      <c r="AO48" s="76" t="str">
        <f>IF(N48="","",IF(N48&gt;=$AO$1/100,"O","X"))</f>
        <v>O</v>
      </c>
      <c r="AP48" s="76" t="str">
        <f>IF(I48="","",IF(I48&lt;=$AP$1,"O","X"))</f>
        <v>O</v>
      </c>
      <c r="AQ48" s="76" t="str">
        <f>IF(O48="","",IF(O48&lt;=$AQ$1,"O","X"))</f>
        <v>O</v>
      </c>
      <c r="AR48" s="76" t="str">
        <f>IF(M48="","",IF(M48&lt;=$AR$1,"O","X"))</f>
        <v>O</v>
      </c>
      <c r="AS48" s="76" t="s">
        <v>2</v>
      </c>
      <c r="AT48" s="76" t="str">
        <f>IF(OR(F48="",AI48=""),"",IF(AND((F48&lt;=85),(AI48&gt;=15)),"O","X"))</f>
        <v>O</v>
      </c>
      <c r="AU48" s="76" t="str">
        <f>IF(C48="","",IF(C48&gt;=$AU$1,"O","X"))</f>
        <v>O</v>
      </c>
      <c r="AV48" s="76" t="str">
        <f>IF(AO48="","",IF(AND(AO48="O",AP48="O",AR48="O",AT48="O",AU48="O"),"후보","X"))</f>
        <v>후보</v>
      </c>
    </row>
    <row r="49" spans="1:48" s="37" customFormat="1" ht="12" x14ac:dyDescent="0.3">
      <c r="A49" s="77" t="s">
        <v>1997</v>
      </c>
      <c r="B49" s="78" t="s">
        <v>1985</v>
      </c>
      <c r="C49" s="84">
        <v>582</v>
      </c>
      <c r="D49" s="85">
        <v>86.4</v>
      </c>
      <c r="E49" s="86">
        <v>26</v>
      </c>
      <c r="F49" s="85">
        <v>70.5</v>
      </c>
      <c r="G49" s="17">
        <v>21</v>
      </c>
      <c r="H49" s="87">
        <v>192</v>
      </c>
      <c r="I49" s="88">
        <v>18200</v>
      </c>
      <c r="J49" s="88" t="s">
        <v>89</v>
      </c>
      <c r="K49" s="88">
        <v>18000</v>
      </c>
      <c r="L49" s="88" t="s">
        <v>71</v>
      </c>
      <c r="M49" s="89">
        <f>I49-K49</f>
        <v>200</v>
      </c>
      <c r="N49" s="4">
        <f>IF(ISERROR(K49/I49),"",K49/I49)</f>
        <v>0.98901098901098905</v>
      </c>
      <c r="O49" s="90">
        <f>I49/E49</f>
        <v>700</v>
      </c>
      <c r="P49" s="90">
        <f>K49/E49</f>
        <v>692.30769230769226</v>
      </c>
      <c r="Q49" s="76">
        <v>3</v>
      </c>
      <c r="R49" s="76">
        <v>1</v>
      </c>
      <c r="S49" s="76" t="s">
        <v>61</v>
      </c>
      <c r="T49" s="5" t="s">
        <v>383</v>
      </c>
      <c r="U49" s="9"/>
      <c r="W49" s="85">
        <f t="shared" ref="W49:X49" si="75">D49</f>
        <v>86.4</v>
      </c>
      <c r="X49" s="86">
        <f t="shared" si="75"/>
        <v>26</v>
      </c>
      <c r="Y49" s="91">
        <f t="shared" ref="Y49:Z49" si="76">H49</f>
        <v>192</v>
      </c>
      <c r="Z49" s="89">
        <f t="shared" si="76"/>
        <v>18200</v>
      </c>
      <c r="AA49" s="89">
        <f>K49</f>
        <v>18000</v>
      </c>
      <c r="AB49" s="89">
        <f t="shared" si="74"/>
        <v>200</v>
      </c>
      <c r="AC49" s="4">
        <f t="shared" si="74"/>
        <v>0.98901098901098905</v>
      </c>
      <c r="AD49" s="90">
        <f t="shared" si="74"/>
        <v>700</v>
      </c>
      <c r="AE49" s="76" t="str">
        <f>S49</f>
        <v>계</v>
      </c>
      <c r="AF49" s="76" t="str">
        <f>Q49&amp;"/"&amp;R49</f>
        <v>3/1</v>
      </c>
      <c r="AH49" s="20" t="str">
        <f t="shared" si="1"/>
        <v>효자동1가 효자현대</v>
      </c>
      <c r="AI49" s="86">
        <f t="shared" si="2"/>
        <v>26</v>
      </c>
      <c r="AJ49" s="76" t="str">
        <f>IF(AI49="","",$AJ$2)</f>
        <v>A-</v>
      </c>
      <c r="AK49" s="76" t="s">
        <v>13</v>
      </c>
      <c r="AL49" s="76" t="s">
        <v>62</v>
      </c>
      <c r="AM49" s="76" t="s">
        <v>63</v>
      </c>
      <c r="AN49" s="76" t="str">
        <f>IF(AI49="","",$AN$2)</f>
        <v>C</v>
      </c>
      <c r="AO49" s="76" t="str">
        <f>IF(N49="","",IF(N49&gt;=$AO$1/100,"O","X"))</f>
        <v>O</v>
      </c>
      <c r="AP49" s="76" t="str">
        <f>IF(I49="","",IF(I49&lt;=$AP$1,"O","X"))</f>
        <v>O</v>
      </c>
      <c r="AQ49" s="76" t="str">
        <f>IF(O49="","",IF(O49&lt;=$AQ$1,"O","X"))</f>
        <v>O</v>
      </c>
      <c r="AR49" s="76" t="str">
        <f>IF(M49="","",IF(M49&lt;=$AR$1,"O","X"))</f>
        <v>O</v>
      </c>
      <c r="AS49" s="76" t="s">
        <v>2</v>
      </c>
      <c r="AT49" s="76" t="str">
        <f>IF(OR(F49="",AI49=""),"",IF(AND((F49&lt;=85),(AI49&gt;=15)),"O","X"))</f>
        <v>O</v>
      </c>
      <c r="AU49" s="76" t="str">
        <f>IF(C49="","",IF(C49&gt;=$AU$1,"O","X"))</f>
        <v>O</v>
      </c>
      <c r="AV49" s="76" t="str">
        <f>IF(AO49="","",IF(AND(AO49="O",AP49="O",AR49="O",AT49="O",AU49="O"),"후보","X"))</f>
        <v>후보</v>
      </c>
    </row>
    <row r="50" spans="1:48" s="37" customFormat="1" ht="12" x14ac:dyDescent="0.3">
      <c r="A50" s="77" t="s">
        <v>1998</v>
      </c>
      <c r="B50" s="78" t="s">
        <v>2031</v>
      </c>
      <c r="C50" s="84">
        <v>360</v>
      </c>
      <c r="D50" s="85">
        <v>76</v>
      </c>
      <c r="E50" s="86">
        <v>23</v>
      </c>
      <c r="F50" s="85">
        <v>60</v>
      </c>
      <c r="G50" s="17">
        <v>18</v>
      </c>
      <c r="H50" s="87">
        <v>180</v>
      </c>
      <c r="I50" s="88">
        <v>14300</v>
      </c>
      <c r="J50" s="88" t="s">
        <v>71</v>
      </c>
      <c r="K50" s="88">
        <v>15000</v>
      </c>
      <c r="L50" s="88" t="s">
        <v>83</v>
      </c>
      <c r="M50" s="89">
        <f>I50-K50</f>
        <v>-700</v>
      </c>
      <c r="N50" s="4">
        <f>IF(ISERROR(K50/I50),"",K50/I50)</f>
        <v>1.048951048951049</v>
      </c>
      <c r="O50" s="90">
        <f>I50/E50</f>
        <v>621.73913043478262</v>
      </c>
      <c r="P50" s="90">
        <f>K50/E50</f>
        <v>652.17391304347825</v>
      </c>
      <c r="Q50" s="76">
        <v>3</v>
      </c>
      <c r="R50" s="76">
        <v>1</v>
      </c>
      <c r="S50" s="76" t="s">
        <v>61</v>
      </c>
      <c r="T50" s="5">
        <v>75</v>
      </c>
      <c r="U50" s="9"/>
      <c r="W50" s="85">
        <f>D50</f>
        <v>76</v>
      </c>
      <c r="X50" s="86">
        <f>E50</f>
        <v>23</v>
      </c>
      <c r="Y50" s="91">
        <f>H50</f>
        <v>180</v>
      </c>
      <c r="Z50" s="89">
        <f>I50</f>
        <v>14300</v>
      </c>
      <c r="AA50" s="89">
        <f>K50</f>
        <v>15000</v>
      </c>
      <c r="AB50" s="89">
        <f t="shared" si="74"/>
        <v>-700</v>
      </c>
      <c r="AC50" s="4">
        <f t="shared" si="74"/>
        <v>1.048951048951049</v>
      </c>
      <c r="AD50" s="90">
        <f t="shared" si="74"/>
        <v>621.73913043478262</v>
      </c>
      <c r="AE50" s="76" t="str">
        <f>S50</f>
        <v>계</v>
      </c>
      <c r="AF50" s="76" t="str">
        <f>Q50&amp;"/"&amp;R50</f>
        <v>3/1</v>
      </c>
      <c r="AH50" s="20" t="str">
        <f t="shared" si="1"/>
        <v>효자동1가 제일효자타운</v>
      </c>
      <c r="AI50" s="86">
        <f t="shared" si="2"/>
        <v>23</v>
      </c>
      <c r="AJ50" s="76" t="str">
        <f>IF(AI50="","",$AJ$2)</f>
        <v>A-</v>
      </c>
      <c r="AK50" s="76" t="s">
        <v>13</v>
      </c>
      <c r="AL50" s="76" t="s">
        <v>62</v>
      </c>
      <c r="AM50" s="76" t="s">
        <v>63</v>
      </c>
      <c r="AN50" s="76" t="str">
        <f>IF(AI50="","",$AN$2)</f>
        <v>C</v>
      </c>
      <c r="AO50" s="76" t="str">
        <f>IF(N50="","",IF(N50&gt;=$AO$1/100,"O","X"))</f>
        <v>O</v>
      </c>
      <c r="AP50" s="76" t="str">
        <f>IF(I50="","",IF(I50&lt;=$AP$1,"O","X"))</f>
        <v>O</v>
      </c>
      <c r="AQ50" s="76" t="str">
        <f>IF(O50="","",IF(O50&lt;=$AQ$1,"O","X"))</f>
        <v>O</v>
      </c>
      <c r="AR50" s="76" t="str">
        <f>IF(M50="","",IF(M50&lt;=$AR$1,"O","X"))</f>
        <v>O</v>
      </c>
      <c r="AS50" s="76" t="s">
        <v>2</v>
      </c>
      <c r="AT50" s="76" t="str">
        <f>IF(OR(F50="",AI50=""),"",IF(AND((F50&lt;=85),(AI50&gt;=15)),"O","X"))</f>
        <v>O</v>
      </c>
      <c r="AU50" s="76" t="str">
        <f>IF(C50="","",IF(C50&gt;=$AU$1,"O","X"))</f>
        <v>O</v>
      </c>
      <c r="AV50" s="76" t="str">
        <f>IF(AO50="","",IF(AND(AO50="O",AP50="O",AR50="O",AT50="O",AU50="O"),"후보","X"))</f>
        <v>후보</v>
      </c>
    </row>
    <row r="51" spans="1:48" s="37" customFormat="1" ht="12" x14ac:dyDescent="0.3">
      <c r="A51" s="77" t="s">
        <v>1999</v>
      </c>
      <c r="B51" s="78" t="s">
        <v>2032</v>
      </c>
      <c r="C51" s="84">
        <v>666</v>
      </c>
      <c r="D51" s="85">
        <v>86.7</v>
      </c>
      <c r="E51" s="86">
        <v>26</v>
      </c>
      <c r="F51" s="85">
        <v>70.8</v>
      </c>
      <c r="G51" s="17">
        <v>21</v>
      </c>
      <c r="H51" s="87">
        <v>228</v>
      </c>
      <c r="I51" s="88">
        <v>19000</v>
      </c>
      <c r="J51" s="88" t="s">
        <v>90</v>
      </c>
      <c r="K51" s="88">
        <v>17500</v>
      </c>
      <c r="L51" s="88" t="s">
        <v>90</v>
      </c>
      <c r="M51" s="89">
        <f>I51-K51</f>
        <v>1500</v>
      </c>
      <c r="N51" s="4">
        <f>IF(ISERROR(K51/I51),"",K51/I51)</f>
        <v>0.92105263157894735</v>
      </c>
      <c r="O51" s="90">
        <f>I51/E51</f>
        <v>730.76923076923072</v>
      </c>
      <c r="P51" s="90">
        <f>K51/E51</f>
        <v>673.07692307692309</v>
      </c>
      <c r="Q51" s="76">
        <v>3</v>
      </c>
      <c r="R51" s="76">
        <v>1</v>
      </c>
      <c r="S51" s="76" t="s">
        <v>68</v>
      </c>
      <c r="T51" s="5">
        <v>86</v>
      </c>
      <c r="U51" s="9"/>
      <c r="W51" s="85">
        <f t="shared" ref="W51:X51" si="77">D51</f>
        <v>86.7</v>
      </c>
      <c r="X51" s="86">
        <f t="shared" si="77"/>
        <v>26</v>
      </c>
      <c r="Y51" s="91">
        <f t="shared" ref="Y51:Z51" si="78">H51</f>
        <v>228</v>
      </c>
      <c r="Z51" s="89">
        <f t="shared" si="78"/>
        <v>19000</v>
      </c>
      <c r="AA51" s="89">
        <f>K51</f>
        <v>17500</v>
      </c>
      <c r="AB51" s="89">
        <f t="shared" si="74"/>
        <v>1500</v>
      </c>
      <c r="AC51" s="4">
        <f t="shared" si="74"/>
        <v>0.92105263157894735</v>
      </c>
      <c r="AD51" s="90">
        <f t="shared" si="74"/>
        <v>730.76923076923072</v>
      </c>
      <c r="AE51" s="76" t="str">
        <f>S51</f>
        <v>복</v>
      </c>
      <c r="AF51" s="76" t="str">
        <f>Q51&amp;"/"&amp;R51</f>
        <v>3/1</v>
      </c>
      <c r="AH51" s="20" t="str">
        <f t="shared" si="1"/>
        <v>효자동1가 효자롯데</v>
      </c>
      <c r="AI51" s="86">
        <f t="shared" si="2"/>
        <v>26</v>
      </c>
      <c r="AJ51" s="76" t="str">
        <f>IF(AI51="","",$AJ$2)</f>
        <v>A-</v>
      </c>
      <c r="AK51" s="76" t="s">
        <v>13</v>
      </c>
      <c r="AL51" s="76" t="s">
        <v>62</v>
      </c>
      <c r="AM51" s="76" t="s">
        <v>63</v>
      </c>
      <c r="AN51" s="76" t="str">
        <f>IF(AI51="","",$AN$2)</f>
        <v>C</v>
      </c>
      <c r="AO51" s="76" t="str">
        <f>IF(N51="","",IF(N51&gt;=$AO$1/100,"O","X"))</f>
        <v>O</v>
      </c>
      <c r="AP51" s="76" t="str">
        <f>IF(I51="","",IF(I51&lt;=$AP$1,"O","X"))</f>
        <v>O</v>
      </c>
      <c r="AQ51" s="76" t="str">
        <f>IF(O51="","",IF(O51&lt;=$AQ$1,"O","X"))</f>
        <v>O</v>
      </c>
      <c r="AR51" s="76" t="str">
        <f>IF(M51="","",IF(M51&lt;=$AR$1,"O","X"))</f>
        <v>O</v>
      </c>
      <c r="AS51" s="76" t="s">
        <v>2</v>
      </c>
      <c r="AT51" s="76" t="str">
        <f>IF(OR(F51="",AI51=""),"",IF(AND((F51&lt;=85),(AI51&gt;=15)),"O","X"))</f>
        <v>O</v>
      </c>
      <c r="AU51" s="76" t="str">
        <f>IF(C51="","",IF(C51&gt;=$AU$1,"O","X"))</f>
        <v>O</v>
      </c>
      <c r="AV51" s="76" t="str">
        <f>IF(AO51="","",IF(AND(AO51="O",AP51="O",AR51="O",AT51="O",AU51="O"),"후보","X"))</f>
        <v>후보</v>
      </c>
    </row>
    <row r="52" spans="1:48" s="37" customFormat="1" ht="12" x14ac:dyDescent="0.3">
      <c r="A52" s="77" t="s">
        <v>2033</v>
      </c>
      <c r="B52" s="78" t="s">
        <v>2034</v>
      </c>
      <c r="C52" s="84">
        <v>499</v>
      </c>
      <c r="D52" s="85">
        <v>113</v>
      </c>
      <c r="E52" s="86">
        <v>34</v>
      </c>
      <c r="F52" s="85">
        <v>84.7</v>
      </c>
      <c r="G52" s="17">
        <v>26</v>
      </c>
      <c r="H52" s="87">
        <v>177</v>
      </c>
      <c r="I52" s="88">
        <v>10500</v>
      </c>
      <c r="J52" s="88" t="s">
        <v>83</v>
      </c>
      <c r="K52" s="88">
        <v>10000</v>
      </c>
      <c r="L52" s="88" t="s">
        <v>181</v>
      </c>
      <c r="M52" s="89">
        <f>I52-K52</f>
        <v>500</v>
      </c>
      <c r="N52" s="4">
        <f>IF(ISERROR(K52/I52),"",K52/I52)</f>
        <v>0.95238095238095233</v>
      </c>
      <c r="O52" s="90">
        <f>I52/E52</f>
        <v>308.8235294117647</v>
      </c>
      <c r="P52" s="90">
        <f>K52/E52</f>
        <v>294.11764705882354</v>
      </c>
      <c r="Q52" s="76">
        <v>3</v>
      </c>
      <c r="R52" s="76">
        <v>2</v>
      </c>
      <c r="S52" s="76" t="s">
        <v>68</v>
      </c>
      <c r="T52" s="5">
        <v>112</v>
      </c>
      <c r="U52" s="9"/>
      <c r="W52" s="85">
        <f>D52</f>
        <v>113</v>
      </c>
      <c r="X52" s="86">
        <f>E52</f>
        <v>34</v>
      </c>
      <c r="Y52" s="91">
        <f>H52</f>
        <v>177</v>
      </c>
      <c r="Z52" s="89">
        <f>I52</f>
        <v>10500</v>
      </c>
      <c r="AA52" s="89">
        <f>K52</f>
        <v>10000</v>
      </c>
      <c r="AB52" s="89">
        <f t="shared" si="74"/>
        <v>500</v>
      </c>
      <c r="AC52" s="4">
        <f t="shared" si="74"/>
        <v>0.95238095238095233</v>
      </c>
      <c r="AD52" s="90">
        <f t="shared" si="74"/>
        <v>308.8235294117647</v>
      </c>
      <c r="AE52" s="76" t="str">
        <f>S52</f>
        <v>복</v>
      </c>
      <c r="AF52" s="76" t="str">
        <f>Q52&amp;"/"&amp;R52</f>
        <v>3/2</v>
      </c>
      <c r="AH52" s="20" t="str">
        <f t="shared" si="1"/>
        <v>효자동1가 대명까치맨션</v>
      </c>
      <c r="AI52" s="86">
        <f t="shared" si="2"/>
        <v>34</v>
      </c>
      <c r="AJ52" s="76" t="str">
        <f>IF(AI52="","",$AJ$2)</f>
        <v>A-</v>
      </c>
      <c r="AK52" s="76" t="s">
        <v>13</v>
      </c>
      <c r="AL52" s="76" t="s">
        <v>62</v>
      </c>
      <c r="AM52" s="76" t="s">
        <v>63</v>
      </c>
      <c r="AN52" s="76" t="str">
        <f>IF(AI52="","",$AN$2)</f>
        <v>C</v>
      </c>
      <c r="AO52" s="76" t="str">
        <f>IF(N52="","",IF(N52&gt;=$AO$1/100,"O","X"))</f>
        <v>O</v>
      </c>
      <c r="AP52" s="76" t="str">
        <f>IF(I52="","",IF(I52&lt;=$AP$1,"O","X"))</f>
        <v>O</v>
      </c>
      <c r="AQ52" s="76" t="str">
        <f>IF(O52="","",IF(O52&lt;=$AQ$1,"O","X"))</f>
        <v>O</v>
      </c>
      <c r="AR52" s="76" t="str">
        <f>IF(M52="","",IF(M52&lt;=$AR$1,"O","X"))</f>
        <v>O</v>
      </c>
      <c r="AS52" s="76" t="s">
        <v>2</v>
      </c>
      <c r="AT52" s="76" t="str">
        <f>IF(OR(F52="",AI52=""),"",IF(AND((F52&lt;=85),(AI52&gt;=15)),"O","X"))</f>
        <v>O</v>
      </c>
      <c r="AU52" s="76" t="str">
        <f>IF(C52="","",IF(C52&gt;=$AU$1,"O","X"))</f>
        <v>O</v>
      </c>
      <c r="AV52" s="76" t="str">
        <f>IF(AO52="","",IF(AND(AO52="O",AP52="O",AR52="O",AT52="O",AU52="O"),"후보","X"))</f>
        <v>후보</v>
      </c>
    </row>
    <row r="53" spans="1:48" s="37" customFormat="1" ht="12" x14ac:dyDescent="0.3">
      <c r="A53" s="77" t="s">
        <v>2035</v>
      </c>
      <c r="B53" s="78" t="s">
        <v>2036</v>
      </c>
      <c r="C53" s="84">
        <v>593</v>
      </c>
      <c r="D53" s="85">
        <v>67.7</v>
      </c>
      <c r="E53" s="86">
        <v>20</v>
      </c>
      <c r="F53" s="85">
        <v>54.8</v>
      </c>
      <c r="G53" s="17">
        <v>17</v>
      </c>
      <c r="H53" s="87">
        <v>593</v>
      </c>
      <c r="I53" s="88">
        <v>10900</v>
      </c>
      <c r="J53" s="88" t="s">
        <v>90</v>
      </c>
      <c r="K53" s="88">
        <v>10000</v>
      </c>
      <c r="L53" s="88" t="s">
        <v>85</v>
      </c>
      <c r="M53" s="89">
        <f>I53-K53</f>
        <v>900</v>
      </c>
      <c r="N53" s="4">
        <f>IF(ISERROR(K53/I53),"",K53/I53)</f>
        <v>0.91743119266055051</v>
      </c>
      <c r="O53" s="90">
        <f>I53/E53</f>
        <v>545</v>
      </c>
      <c r="P53" s="90">
        <f>K53/E53</f>
        <v>500</v>
      </c>
      <c r="Q53" s="76">
        <v>2</v>
      </c>
      <c r="R53" s="76">
        <v>1</v>
      </c>
      <c r="S53" s="76" t="s">
        <v>68</v>
      </c>
      <c r="T53" s="5">
        <v>67</v>
      </c>
      <c r="U53" s="9"/>
      <c r="W53" s="85">
        <f>D53</f>
        <v>67.7</v>
      </c>
      <c r="X53" s="86">
        <f>E53</f>
        <v>20</v>
      </c>
      <c r="Y53" s="91">
        <f>H53</f>
        <v>593</v>
      </c>
      <c r="Z53" s="89">
        <f>I53</f>
        <v>10900</v>
      </c>
      <c r="AA53" s="89">
        <f>K53</f>
        <v>10000</v>
      </c>
      <c r="AB53" s="89">
        <f>M53</f>
        <v>900</v>
      </c>
      <c r="AC53" s="4">
        <f>N53</f>
        <v>0.91743119266055051</v>
      </c>
      <c r="AD53" s="90">
        <f>O53</f>
        <v>545</v>
      </c>
      <c r="AE53" s="76" t="str">
        <f>S53</f>
        <v>복</v>
      </c>
      <c r="AF53" s="76" t="str">
        <f>Q53&amp;"/"&amp;R53</f>
        <v>2/1</v>
      </c>
      <c r="AH53" s="20" t="str">
        <f t="shared" si="1"/>
        <v>효자동3가 청솔</v>
      </c>
      <c r="AI53" s="86">
        <f t="shared" si="2"/>
        <v>20</v>
      </c>
      <c r="AJ53" s="76" t="str">
        <f>IF(AI53="","",$AJ$2)</f>
        <v>A-</v>
      </c>
      <c r="AK53" s="76" t="s">
        <v>13</v>
      </c>
      <c r="AL53" s="76" t="s">
        <v>62</v>
      </c>
      <c r="AM53" s="76" t="s">
        <v>63</v>
      </c>
      <c r="AN53" s="76" t="str">
        <f>IF(AI53="","",$AN$2)</f>
        <v>C</v>
      </c>
      <c r="AO53" s="76" t="str">
        <f>IF(N53="","",IF(N53&gt;=$AO$1/100,"O","X"))</f>
        <v>O</v>
      </c>
      <c r="AP53" s="76" t="str">
        <f>IF(I53="","",IF(I53&lt;=$AP$1,"O","X"))</f>
        <v>O</v>
      </c>
      <c r="AQ53" s="76" t="str">
        <f>IF(O53="","",IF(O53&lt;=$AQ$1,"O","X"))</f>
        <v>O</v>
      </c>
      <c r="AR53" s="76" t="str">
        <f>IF(M53="","",IF(M53&lt;=$AR$1,"O","X"))</f>
        <v>O</v>
      </c>
      <c r="AS53" s="76" t="s">
        <v>2</v>
      </c>
      <c r="AT53" s="76" t="str">
        <f>IF(OR(F53="",AI53=""),"",IF(AND((F53&lt;=85),(AI53&gt;=15)),"O","X"))</f>
        <v>O</v>
      </c>
      <c r="AU53" s="76" t="str">
        <f>IF(C53="","",IF(C53&gt;=$AU$1,"O","X"))</f>
        <v>O</v>
      </c>
      <c r="AV53" s="76" t="str">
        <f>IF(AO53="","",IF(AND(AO53="O",AP53="O",AR53="O",AT53="O",AU53="O"),"후보","X"))</f>
        <v>후보</v>
      </c>
    </row>
    <row r="54" spans="1:48" s="37" customFormat="1" ht="12" x14ac:dyDescent="0.3">
      <c r="A54" s="77" t="s">
        <v>2037</v>
      </c>
      <c r="B54" s="78" t="s">
        <v>2038</v>
      </c>
      <c r="C54" s="84">
        <v>836</v>
      </c>
      <c r="D54" s="85">
        <v>112.8</v>
      </c>
      <c r="E54" s="86">
        <v>34</v>
      </c>
      <c r="F54" s="85">
        <v>84.9</v>
      </c>
      <c r="G54" s="17">
        <v>26</v>
      </c>
      <c r="H54" s="87">
        <v>276</v>
      </c>
      <c r="I54" s="88">
        <v>43000</v>
      </c>
      <c r="J54" s="88" t="s">
        <v>83</v>
      </c>
      <c r="K54" s="88">
        <v>38000</v>
      </c>
      <c r="L54" s="88" t="s">
        <v>75</v>
      </c>
      <c r="M54" s="89">
        <f>I54-K54</f>
        <v>5000</v>
      </c>
      <c r="N54" s="4">
        <f>IF(ISERROR(K54/I54),"",K54/I54)</f>
        <v>0.88372093023255816</v>
      </c>
      <c r="O54" s="90">
        <f>I54/E54</f>
        <v>1264.7058823529412</v>
      </c>
      <c r="P54" s="90">
        <f>K54/E54</f>
        <v>1117.6470588235295</v>
      </c>
      <c r="Q54" s="76">
        <v>3</v>
      </c>
      <c r="R54" s="76">
        <v>2</v>
      </c>
      <c r="S54" s="76" t="s">
        <v>61</v>
      </c>
      <c r="T54" s="5" t="s">
        <v>319</v>
      </c>
      <c r="U54" s="9"/>
      <c r="W54" s="85">
        <f t="shared" ref="W54:X54" si="79">D54</f>
        <v>112.8</v>
      </c>
      <c r="X54" s="86">
        <f t="shared" si="79"/>
        <v>34</v>
      </c>
      <c r="Y54" s="91">
        <f t="shared" ref="Y54:Z54" si="80">H54</f>
        <v>276</v>
      </c>
      <c r="Z54" s="89">
        <f t="shared" si="80"/>
        <v>43000</v>
      </c>
      <c r="AA54" s="89">
        <f>K54</f>
        <v>38000</v>
      </c>
      <c r="AB54" s="89">
        <f t="shared" ref="AB54:AD58" si="81">M54</f>
        <v>5000</v>
      </c>
      <c r="AC54" s="4">
        <f t="shared" si="81"/>
        <v>0.88372093023255816</v>
      </c>
      <c r="AD54" s="90">
        <f t="shared" si="81"/>
        <v>1264.7058823529412</v>
      </c>
      <c r="AE54" s="76" t="str">
        <f>S54</f>
        <v>계</v>
      </c>
      <c r="AF54" s="76" t="str">
        <f>Q54&amp;"/"&amp;R54</f>
        <v>3/2</v>
      </c>
      <c r="AH54" s="20" t="str">
        <f t="shared" si="1"/>
        <v>효자동3가 호반베르디움</v>
      </c>
      <c r="AI54" s="86">
        <f t="shared" si="2"/>
        <v>34</v>
      </c>
      <c r="AJ54" s="76" t="str">
        <f>IF(AI54="","",$AJ$2)</f>
        <v>A-</v>
      </c>
      <c r="AK54" s="76" t="s">
        <v>13</v>
      </c>
      <c r="AL54" s="76" t="s">
        <v>62</v>
      </c>
      <c r="AM54" s="76" t="s">
        <v>63</v>
      </c>
      <c r="AN54" s="76" t="str">
        <f>IF(AI54="","",$AN$2)</f>
        <v>C</v>
      </c>
      <c r="AO54" s="76" t="str">
        <f>IF(N54="","",IF(N54&gt;=$AO$1/100,"O","X"))</f>
        <v>O</v>
      </c>
      <c r="AP54" s="76" t="str">
        <f>IF(I54="","",IF(I54&lt;=$AP$1,"O","X"))</f>
        <v>O</v>
      </c>
      <c r="AQ54" s="76" t="str">
        <f>IF(O54="","",IF(O54&lt;=$AQ$1,"O","X"))</f>
        <v>O</v>
      </c>
      <c r="AR54" s="76" t="str">
        <f>IF(M54="","",IF(M54&lt;=$AR$1,"O","X"))</f>
        <v>O</v>
      </c>
      <c r="AS54" s="76" t="s">
        <v>2</v>
      </c>
      <c r="AT54" s="76" t="str">
        <f>IF(OR(F54="",AI54=""),"",IF(AND((F54&lt;=85),(AI54&gt;=15)),"O","X"))</f>
        <v>O</v>
      </c>
      <c r="AU54" s="76" t="str">
        <f>IF(C54="","",IF(C54&gt;=$AU$1,"O","X"))</f>
        <v>O</v>
      </c>
      <c r="AV54" s="76" t="str">
        <f>IF(AO54="","",IF(AND(AO54="O",AP54="O",AR54="O",AT54="O",AU54="O"),"후보","X"))</f>
        <v>후보</v>
      </c>
    </row>
    <row r="55" spans="1:48" s="37" customFormat="1" ht="12" x14ac:dyDescent="0.3">
      <c r="A55" s="77" t="s">
        <v>2039</v>
      </c>
      <c r="B55" s="78" t="s">
        <v>2040</v>
      </c>
      <c r="C55" s="84">
        <v>438</v>
      </c>
      <c r="D55" s="85">
        <v>77.900000000000006</v>
      </c>
      <c r="E55" s="86">
        <v>24</v>
      </c>
      <c r="F55" s="85">
        <v>59.9</v>
      </c>
      <c r="G55" s="17">
        <v>18</v>
      </c>
      <c r="H55" s="87">
        <v>324</v>
      </c>
      <c r="I55" s="88">
        <v>16000</v>
      </c>
      <c r="J55" s="88" t="s">
        <v>75</v>
      </c>
      <c r="K55" s="88">
        <v>15000</v>
      </c>
      <c r="L55" s="88" t="s">
        <v>131</v>
      </c>
      <c r="M55" s="89">
        <f>I55-K55</f>
        <v>1000</v>
      </c>
      <c r="N55" s="4">
        <f>IF(ISERROR(K55/I55),"",K55/I55)</f>
        <v>0.9375</v>
      </c>
      <c r="O55" s="90">
        <f>I55/E55</f>
        <v>666.66666666666663</v>
      </c>
      <c r="P55" s="90">
        <f>K55/E55</f>
        <v>625</v>
      </c>
      <c r="Q55" s="76">
        <v>3</v>
      </c>
      <c r="R55" s="76">
        <v>2</v>
      </c>
      <c r="S55" s="76" t="s">
        <v>61</v>
      </c>
      <c r="T55" s="5">
        <v>77</v>
      </c>
      <c r="U55" s="9"/>
      <c r="W55" s="85">
        <f>D55</f>
        <v>77.900000000000006</v>
      </c>
      <c r="X55" s="86">
        <f>E55</f>
        <v>24</v>
      </c>
      <c r="Y55" s="91">
        <f>H55</f>
        <v>324</v>
      </c>
      <c r="Z55" s="89">
        <f>I55</f>
        <v>16000</v>
      </c>
      <c r="AA55" s="89">
        <f>K55</f>
        <v>15000</v>
      </c>
      <c r="AB55" s="89">
        <f t="shared" si="81"/>
        <v>1000</v>
      </c>
      <c r="AC55" s="4">
        <f t="shared" si="81"/>
        <v>0.9375</v>
      </c>
      <c r="AD55" s="90">
        <f t="shared" si="81"/>
        <v>666.66666666666663</v>
      </c>
      <c r="AE55" s="76" t="str">
        <f>S55</f>
        <v>계</v>
      </c>
      <c r="AF55" s="76" t="str">
        <f>Q55&amp;"/"&amp;R55</f>
        <v>3/2</v>
      </c>
      <c r="AH55" s="20" t="str">
        <f t="shared" si="1"/>
        <v>효자동3가 서곡대림</v>
      </c>
      <c r="AI55" s="86">
        <f t="shared" si="2"/>
        <v>24</v>
      </c>
      <c r="AJ55" s="76" t="str">
        <f>IF(AI55="","",$AJ$2)</f>
        <v>A-</v>
      </c>
      <c r="AK55" s="76" t="s">
        <v>13</v>
      </c>
      <c r="AL55" s="76" t="s">
        <v>62</v>
      </c>
      <c r="AM55" s="76" t="s">
        <v>63</v>
      </c>
      <c r="AN55" s="76" t="str">
        <f>IF(AI55="","",$AN$2)</f>
        <v>C</v>
      </c>
      <c r="AO55" s="76" t="str">
        <f>IF(N55="","",IF(N55&gt;=$AO$1/100,"O","X"))</f>
        <v>O</v>
      </c>
      <c r="AP55" s="76" t="str">
        <f>IF(I55="","",IF(I55&lt;=$AP$1,"O","X"))</f>
        <v>O</v>
      </c>
      <c r="AQ55" s="76" t="str">
        <f>IF(O55="","",IF(O55&lt;=$AQ$1,"O","X"))</f>
        <v>O</v>
      </c>
      <c r="AR55" s="76" t="str">
        <f>IF(M55="","",IF(M55&lt;=$AR$1,"O","X"))</f>
        <v>O</v>
      </c>
      <c r="AS55" s="76" t="s">
        <v>2</v>
      </c>
      <c r="AT55" s="76" t="str">
        <f>IF(OR(F55="",AI55=""),"",IF(AND((F55&lt;=85),(AI55&gt;=15)),"O","X"))</f>
        <v>O</v>
      </c>
      <c r="AU55" s="76" t="str">
        <f>IF(C55="","",IF(C55&gt;=$AU$1,"O","X"))</f>
        <v>O</v>
      </c>
      <c r="AV55" s="76" t="str">
        <f>IF(AO55="","",IF(AND(AO55="O",AP55="O",AR55="O",AT55="O",AU55="O"),"후보","X"))</f>
        <v>후보</v>
      </c>
    </row>
    <row r="56" spans="1:48" s="37" customFormat="1" ht="12" x14ac:dyDescent="0.3">
      <c r="A56" s="77" t="s">
        <v>2039</v>
      </c>
      <c r="B56" s="78" t="s">
        <v>1963</v>
      </c>
      <c r="C56" s="84">
        <v>438</v>
      </c>
      <c r="D56" s="85">
        <v>79.400000000000006</v>
      </c>
      <c r="E56" s="86">
        <v>24</v>
      </c>
      <c r="F56" s="85">
        <v>59.9</v>
      </c>
      <c r="G56" s="17">
        <v>18</v>
      </c>
      <c r="H56" s="87">
        <v>114</v>
      </c>
      <c r="I56" s="88">
        <v>15500</v>
      </c>
      <c r="J56" s="88" t="s">
        <v>75</v>
      </c>
      <c r="K56" s="88">
        <v>15000</v>
      </c>
      <c r="L56" s="88" t="s">
        <v>85</v>
      </c>
      <c r="M56" s="89">
        <f>I56-K56</f>
        <v>500</v>
      </c>
      <c r="N56" s="4">
        <f>IF(ISERROR(K56/I56),"",K56/I56)</f>
        <v>0.967741935483871</v>
      </c>
      <c r="O56" s="90">
        <f>I56/E56</f>
        <v>645.83333333333337</v>
      </c>
      <c r="P56" s="90">
        <f>K56/E56</f>
        <v>625</v>
      </c>
      <c r="Q56" s="76">
        <v>2</v>
      </c>
      <c r="R56" s="76">
        <v>1</v>
      </c>
      <c r="S56" s="76" t="s">
        <v>61</v>
      </c>
      <c r="T56" s="5">
        <v>79</v>
      </c>
      <c r="U56" s="9"/>
      <c r="W56" s="85">
        <f>D56</f>
        <v>79.400000000000006</v>
      </c>
      <c r="X56" s="86">
        <f>E56</f>
        <v>24</v>
      </c>
      <c r="Y56" s="91">
        <f>H56</f>
        <v>114</v>
      </c>
      <c r="Z56" s="89">
        <f>I56</f>
        <v>15500</v>
      </c>
      <c r="AA56" s="89">
        <f>K56</f>
        <v>15000</v>
      </c>
      <c r="AB56" s="89">
        <f t="shared" si="81"/>
        <v>500</v>
      </c>
      <c r="AC56" s="4">
        <f t="shared" si="81"/>
        <v>0.967741935483871</v>
      </c>
      <c r="AD56" s="90">
        <f t="shared" si="81"/>
        <v>645.83333333333337</v>
      </c>
      <c r="AE56" s="76" t="str">
        <f>S56</f>
        <v>계</v>
      </c>
      <c r="AF56" s="76" t="str">
        <f>Q56&amp;"/"&amp;R56</f>
        <v>2/1</v>
      </c>
      <c r="AH56" s="20" t="str">
        <f t="shared" si="1"/>
        <v>효자동3가 서곡대림</v>
      </c>
      <c r="AI56" s="86">
        <f t="shared" si="2"/>
        <v>24</v>
      </c>
      <c r="AJ56" s="76" t="str">
        <f>IF(AI56="","",$AJ$2)</f>
        <v>A-</v>
      </c>
      <c r="AK56" s="76" t="s">
        <v>13</v>
      </c>
      <c r="AL56" s="76" t="s">
        <v>62</v>
      </c>
      <c r="AM56" s="76" t="s">
        <v>63</v>
      </c>
      <c r="AN56" s="76" t="str">
        <f>IF(AI56="","",$AN$2)</f>
        <v>C</v>
      </c>
      <c r="AO56" s="76" t="str">
        <f>IF(N56="","",IF(N56&gt;=$AO$1/100,"O","X"))</f>
        <v>O</v>
      </c>
      <c r="AP56" s="76" t="str">
        <f>IF(I56="","",IF(I56&lt;=$AP$1,"O","X"))</f>
        <v>O</v>
      </c>
      <c r="AQ56" s="76" t="str">
        <f>IF(O56="","",IF(O56&lt;=$AQ$1,"O","X"))</f>
        <v>O</v>
      </c>
      <c r="AR56" s="76" t="str">
        <f>IF(M56="","",IF(M56&lt;=$AR$1,"O","X"))</f>
        <v>O</v>
      </c>
      <c r="AS56" s="76" t="s">
        <v>2</v>
      </c>
      <c r="AT56" s="76" t="str">
        <f>IF(OR(F56="",AI56=""),"",IF(AND((F56&lt;=85),(AI56&gt;=15)),"O","X"))</f>
        <v>O</v>
      </c>
      <c r="AU56" s="76" t="str">
        <f>IF(C56="","",IF(C56&gt;=$AU$1,"O","X"))</f>
        <v>O</v>
      </c>
      <c r="AV56" s="76" t="str">
        <f>IF(AO56="","",IF(AND(AO56="O",AP56="O",AR56="O",AT56="O",AU56="O"),"후보","X"))</f>
        <v>후보</v>
      </c>
    </row>
    <row r="57" spans="1:48" s="37" customFormat="1" ht="12" x14ac:dyDescent="0.3">
      <c r="A57" s="77" t="s">
        <v>2041</v>
      </c>
      <c r="B57" s="78" t="s">
        <v>2042</v>
      </c>
      <c r="C57" s="84">
        <v>766</v>
      </c>
      <c r="D57" s="85">
        <v>80.400000000000006</v>
      </c>
      <c r="E57" s="86">
        <v>24</v>
      </c>
      <c r="F57" s="85">
        <v>59.9</v>
      </c>
      <c r="G57" s="17">
        <v>18</v>
      </c>
      <c r="H57" s="87">
        <v>691</v>
      </c>
      <c r="I57" s="88">
        <v>16000</v>
      </c>
      <c r="J57" s="88" t="s">
        <v>84</v>
      </c>
      <c r="K57" s="88">
        <v>15000</v>
      </c>
      <c r="L57" s="88" t="s">
        <v>75</v>
      </c>
      <c r="M57" s="89">
        <f>I57-K57</f>
        <v>1000</v>
      </c>
      <c r="N57" s="4">
        <f>IF(ISERROR(K57/I57),"",K57/I57)</f>
        <v>0.9375</v>
      </c>
      <c r="O57" s="90">
        <f>I57/E57</f>
        <v>666.66666666666663</v>
      </c>
      <c r="P57" s="90">
        <f>K57/E57</f>
        <v>625</v>
      </c>
      <c r="Q57" s="76">
        <v>3</v>
      </c>
      <c r="R57" s="76">
        <v>1</v>
      </c>
      <c r="S57" s="76" t="s">
        <v>61</v>
      </c>
      <c r="T57" s="5" t="s">
        <v>132</v>
      </c>
      <c r="U57" s="9"/>
      <c r="W57" s="85">
        <f>D57</f>
        <v>80.400000000000006</v>
      </c>
      <c r="X57" s="86">
        <f>E57</f>
        <v>24</v>
      </c>
      <c r="Y57" s="91">
        <f>H57</f>
        <v>691</v>
      </c>
      <c r="Z57" s="89">
        <f>I57</f>
        <v>16000</v>
      </c>
      <c r="AA57" s="89">
        <f>K57</f>
        <v>15000</v>
      </c>
      <c r="AB57" s="89">
        <f t="shared" si="81"/>
        <v>1000</v>
      </c>
      <c r="AC57" s="4">
        <f t="shared" si="81"/>
        <v>0.9375</v>
      </c>
      <c r="AD57" s="90">
        <f t="shared" si="81"/>
        <v>666.66666666666663</v>
      </c>
      <c r="AE57" s="76" t="str">
        <f>S57</f>
        <v>계</v>
      </c>
      <c r="AF57" s="76" t="str">
        <f>Q57&amp;"/"&amp;R57</f>
        <v>3/1</v>
      </c>
      <c r="AH57" s="20" t="str">
        <f t="shared" si="1"/>
        <v>효자동3가 서곡주공</v>
      </c>
      <c r="AI57" s="86">
        <f t="shared" si="2"/>
        <v>24</v>
      </c>
      <c r="AJ57" s="76" t="str">
        <f>IF(AI57="","",$AJ$2)</f>
        <v>A-</v>
      </c>
      <c r="AK57" s="76" t="s">
        <v>13</v>
      </c>
      <c r="AL57" s="76" t="s">
        <v>62</v>
      </c>
      <c r="AM57" s="76" t="s">
        <v>63</v>
      </c>
      <c r="AN57" s="76" t="str">
        <f>IF(AI57="","",$AN$2)</f>
        <v>C</v>
      </c>
      <c r="AO57" s="76" t="str">
        <f>IF(N57="","",IF(N57&gt;=$AO$1/100,"O","X"))</f>
        <v>O</v>
      </c>
      <c r="AP57" s="76" t="str">
        <f>IF(I57="","",IF(I57&lt;=$AP$1,"O","X"))</f>
        <v>O</v>
      </c>
      <c r="AQ57" s="76" t="str">
        <f>IF(O57="","",IF(O57&lt;=$AQ$1,"O","X"))</f>
        <v>O</v>
      </c>
      <c r="AR57" s="76" t="str">
        <f>IF(M57="","",IF(M57&lt;=$AR$1,"O","X"))</f>
        <v>O</v>
      </c>
      <c r="AS57" s="76" t="s">
        <v>2</v>
      </c>
      <c r="AT57" s="76" t="str">
        <f>IF(OR(F57="",AI57=""),"",IF(AND((F57&lt;=85),(AI57&gt;=15)),"O","X"))</f>
        <v>O</v>
      </c>
      <c r="AU57" s="76" t="str">
        <f>IF(C57="","",IF(C57&gt;=$AU$1,"O","X"))</f>
        <v>O</v>
      </c>
      <c r="AV57" s="76" t="str">
        <f>IF(AO57="","",IF(AND(AO57="O",AP57="O",AR57="O",AT57="O",AU57="O"),"후보","X"))</f>
        <v>후보</v>
      </c>
    </row>
    <row r="58" spans="1:48" s="37" customFormat="1" ht="12" x14ac:dyDescent="0.3">
      <c r="A58" s="77" t="s">
        <v>2043</v>
      </c>
      <c r="B58" s="78" t="s">
        <v>1953</v>
      </c>
      <c r="C58" s="84">
        <v>766</v>
      </c>
      <c r="D58" s="85">
        <v>80.400000000000006</v>
      </c>
      <c r="E58" s="86">
        <v>24</v>
      </c>
      <c r="F58" s="85">
        <v>59.9</v>
      </c>
      <c r="G58" s="17">
        <v>18</v>
      </c>
      <c r="H58" s="87">
        <v>75</v>
      </c>
      <c r="I58" s="88">
        <v>16000</v>
      </c>
      <c r="J58" s="88" t="s">
        <v>84</v>
      </c>
      <c r="K58" s="88">
        <v>15000</v>
      </c>
      <c r="L58" s="88" t="s">
        <v>75</v>
      </c>
      <c r="M58" s="89">
        <f>I58-K58</f>
        <v>1000</v>
      </c>
      <c r="N58" s="4">
        <f>IF(ISERROR(K58/I58),"",K58/I58)</f>
        <v>0.9375</v>
      </c>
      <c r="O58" s="90">
        <f>I58/E58</f>
        <v>666.66666666666663</v>
      </c>
      <c r="P58" s="90">
        <f>K58/E58</f>
        <v>625</v>
      </c>
      <c r="Q58" s="76">
        <v>3</v>
      </c>
      <c r="R58" s="76">
        <v>1</v>
      </c>
      <c r="S58" s="76" t="s">
        <v>61</v>
      </c>
      <c r="T58" s="5" t="s">
        <v>133</v>
      </c>
      <c r="U58" s="9"/>
      <c r="W58" s="85">
        <f>D58</f>
        <v>80.400000000000006</v>
      </c>
      <c r="X58" s="86">
        <f>E58</f>
        <v>24</v>
      </c>
      <c r="Y58" s="91">
        <f>H58</f>
        <v>75</v>
      </c>
      <c r="Z58" s="89">
        <f>I58</f>
        <v>16000</v>
      </c>
      <c r="AA58" s="89">
        <f>K58</f>
        <v>15000</v>
      </c>
      <c r="AB58" s="89">
        <f t="shared" si="81"/>
        <v>1000</v>
      </c>
      <c r="AC58" s="4">
        <f t="shared" si="81"/>
        <v>0.9375</v>
      </c>
      <c r="AD58" s="90">
        <f t="shared" si="81"/>
        <v>666.66666666666663</v>
      </c>
      <c r="AE58" s="76" t="str">
        <f>S58</f>
        <v>계</v>
      </c>
      <c r="AF58" s="76" t="str">
        <f>Q58&amp;"/"&amp;R58</f>
        <v>3/1</v>
      </c>
      <c r="AH58" s="20" t="str">
        <f t="shared" si="1"/>
        <v>효자동3가 서곡주공</v>
      </c>
      <c r="AI58" s="86">
        <f t="shared" si="2"/>
        <v>24</v>
      </c>
      <c r="AJ58" s="76" t="str">
        <f>IF(AI58="","",$AJ$2)</f>
        <v>A-</v>
      </c>
      <c r="AK58" s="76" t="s">
        <v>13</v>
      </c>
      <c r="AL58" s="76" t="s">
        <v>62</v>
      </c>
      <c r="AM58" s="76" t="s">
        <v>63</v>
      </c>
      <c r="AN58" s="76" t="str">
        <f>IF(AI58="","",$AN$2)</f>
        <v>C</v>
      </c>
      <c r="AO58" s="76" t="str">
        <f>IF(N58="","",IF(N58&gt;=$AO$1/100,"O","X"))</f>
        <v>O</v>
      </c>
      <c r="AP58" s="76" t="str">
        <f>IF(I58="","",IF(I58&lt;=$AP$1,"O","X"))</f>
        <v>O</v>
      </c>
      <c r="AQ58" s="76" t="str">
        <f>IF(O58="","",IF(O58&lt;=$AQ$1,"O","X"))</f>
        <v>O</v>
      </c>
      <c r="AR58" s="76" t="str">
        <f>IF(M58="","",IF(M58&lt;=$AR$1,"O","X"))</f>
        <v>O</v>
      </c>
      <c r="AS58" s="76" t="s">
        <v>2</v>
      </c>
      <c r="AT58" s="76" t="str">
        <f>IF(OR(F58="",AI58=""),"",IF(AND((F58&lt;=85),(AI58&gt;=15)),"O","X"))</f>
        <v>O</v>
      </c>
      <c r="AU58" s="76" t="str">
        <f>IF(C58="","",IF(C58&gt;=$AU$1,"O","X"))</f>
        <v>O</v>
      </c>
      <c r="AV58" s="76" t="str">
        <f>IF(AO58="","",IF(AND(AO58="O",AP58="O",AR58="O",AT58="O",AU58="O"),"후보","X"))</f>
        <v>후보</v>
      </c>
    </row>
    <row r="59" spans="1:48" s="37" customFormat="1" ht="16.5" x14ac:dyDescent="0.3">
      <c r="A59" s="72"/>
      <c r="B59" s="72"/>
      <c r="C59" s="72"/>
      <c r="D59" s="72"/>
      <c r="E59" s="72"/>
      <c r="F59" s="72"/>
      <c r="G59" s="72"/>
      <c r="H59" s="72"/>
      <c r="I59" s="72"/>
      <c r="J59" s="72"/>
      <c r="K59" s="72"/>
      <c r="L59" s="72"/>
      <c r="M59" s="72"/>
      <c r="N59" s="72"/>
      <c r="O59" s="72"/>
      <c r="P59" s="72"/>
      <c r="Q59" s="72"/>
      <c r="R59" s="72"/>
      <c r="S59" s="72"/>
      <c r="T59" s="72"/>
      <c r="U59" s="72"/>
      <c r="V59" s="72"/>
      <c r="W59" s="72"/>
      <c r="X59" s="72"/>
      <c r="Y59" s="72"/>
      <c r="Z59" s="72"/>
      <c r="AA59" s="72"/>
      <c r="AB59" s="72"/>
      <c r="AC59" s="72"/>
      <c r="AD59" s="72"/>
      <c r="AE59" s="72"/>
      <c r="AF59" s="72"/>
      <c r="AG59" s="72"/>
      <c r="AH59" s="72"/>
      <c r="AI59" s="72"/>
      <c r="AJ59" s="72"/>
      <c r="AK59" s="72"/>
      <c r="AL59" s="72"/>
      <c r="AM59" s="72"/>
      <c r="AN59" s="72"/>
      <c r="AO59" s="72"/>
      <c r="AP59" s="72"/>
      <c r="AQ59" s="72"/>
      <c r="AR59" s="72"/>
      <c r="AS59" s="72"/>
      <c r="AT59" s="72"/>
      <c r="AU59" s="72"/>
      <c r="AV59" s="72"/>
    </row>
    <row r="60" spans="1:48" s="37" customFormat="1" ht="16.5" x14ac:dyDescent="0.3">
      <c r="A60" s="72"/>
      <c r="B60" s="72"/>
      <c r="C60" s="72"/>
      <c r="D60" s="72"/>
      <c r="E60" s="72"/>
      <c r="F60" s="72"/>
      <c r="G60" s="72"/>
      <c r="H60" s="72"/>
      <c r="I60" s="72"/>
      <c r="J60" s="72"/>
      <c r="K60" s="72"/>
      <c r="L60" s="72"/>
      <c r="M60" s="72"/>
      <c r="N60" s="72"/>
      <c r="O60" s="72"/>
      <c r="P60" s="72"/>
      <c r="Q60" s="72"/>
      <c r="R60" s="72"/>
      <c r="S60" s="72"/>
      <c r="T60" s="72"/>
      <c r="U60" s="72"/>
      <c r="V60" s="72"/>
      <c r="W60" s="72"/>
      <c r="X60" s="72"/>
      <c r="Y60" s="72"/>
      <c r="Z60" s="72"/>
      <c r="AA60" s="72"/>
      <c r="AB60" s="72"/>
      <c r="AC60" s="72"/>
      <c r="AD60" s="72"/>
      <c r="AE60" s="72"/>
      <c r="AF60" s="72"/>
      <c r="AG60" s="72"/>
      <c r="AH60" s="72"/>
      <c r="AI60" s="72"/>
      <c r="AJ60" s="72"/>
      <c r="AK60" s="72"/>
      <c r="AL60" s="72"/>
      <c r="AM60" s="72"/>
      <c r="AN60" s="72"/>
      <c r="AO60" s="72"/>
      <c r="AP60" s="72"/>
      <c r="AQ60" s="72"/>
      <c r="AR60" s="72"/>
      <c r="AS60" s="72"/>
      <c r="AT60" s="72"/>
      <c r="AU60" s="72"/>
      <c r="AV60" s="72"/>
    </row>
    <row r="61" spans="1:48" s="37" customFormat="1" ht="16.5" x14ac:dyDescent="0.3">
      <c r="A61" s="72"/>
      <c r="B61" s="72"/>
      <c r="C61" s="72"/>
      <c r="D61" s="72"/>
      <c r="E61" s="72"/>
      <c r="F61" s="72"/>
      <c r="G61" s="72"/>
      <c r="H61" s="72"/>
      <c r="I61" s="72"/>
      <c r="J61" s="72"/>
      <c r="K61" s="72"/>
      <c r="L61" s="72"/>
      <c r="M61" s="72"/>
      <c r="N61" s="72"/>
      <c r="O61" s="72"/>
      <c r="P61" s="72"/>
      <c r="Q61" s="72"/>
      <c r="R61" s="72"/>
      <c r="S61" s="72"/>
      <c r="T61" s="72"/>
      <c r="U61" s="72"/>
      <c r="V61" s="72"/>
      <c r="W61" s="72"/>
      <c r="X61" s="72"/>
      <c r="Y61" s="72"/>
      <c r="Z61" s="72"/>
      <c r="AA61" s="72"/>
      <c r="AB61" s="72"/>
      <c r="AC61" s="72"/>
      <c r="AD61" s="72"/>
      <c r="AE61" s="72"/>
      <c r="AF61" s="72"/>
      <c r="AG61" s="72"/>
      <c r="AH61" s="72"/>
      <c r="AI61" s="72"/>
      <c r="AJ61" s="72"/>
      <c r="AK61" s="72"/>
      <c r="AL61" s="72"/>
      <c r="AM61" s="72"/>
      <c r="AN61" s="72"/>
      <c r="AO61" s="72"/>
      <c r="AP61" s="72"/>
      <c r="AQ61" s="72"/>
      <c r="AR61" s="72"/>
      <c r="AS61" s="72"/>
      <c r="AT61" s="72"/>
      <c r="AU61" s="72"/>
      <c r="AV61" s="72"/>
    </row>
    <row r="62" spans="1:48" s="37" customFormat="1" ht="16.5" x14ac:dyDescent="0.3">
      <c r="A62" s="72"/>
      <c r="B62" s="72"/>
      <c r="C62" s="72"/>
      <c r="D62" s="72"/>
      <c r="E62" s="72"/>
      <c r="F62" s="72"/>
      <c r="G62" s="72"/>
      <c r="H62" s="72"/>
      <c r="I62" s="72"/>
      <c r="J62" s="72"/>
      <c r="K62" s="72"/>
      <c r="L62" s="72"/>
      <c r="M62" s="72"/>
      <c r="N62" s="72"/>
      <c r="O62" s="72"/>
      <c r="P62" s="72"/>
      <c r="Q62" s="72"/>
      <c r="R62" s="72"/>
      <c r="S62" s="72"/>
      <c r="T62" s="72"/>
      <c r="U62" s="72"/>
      <c r="V62" s="72"/>
      <c r="W62" s="72"/>
      <c r="X62" s="72"/>
      <c r="Y62" s="72"/>
      <c r="Z62" s="72"/>
      <c r="AA62" s="72"/>
      <c r="AB62" s="72"/>
      <c r="AC62" s="72"/>
      <c r="AD62" s="72"/>
      <c r="AE62" s="72"/>
      <c r="AF62" s="72"/>
      <c r="AG62" s="72"/>
      <c r="AH62" s="72"/>
      <c r="AI62" s="72"/>
      <c r="AJ62" s="72"/>
      <c r="AK62" s="72"/>
      <c r="AL62" s="72"/>
      <c r="AM62" s="72"/>
      <c r="AN62" s="72"/>
      <c r="AO62" s="72"/>
      <c r="AP62" s="72"/>
      <c r="AQ62" s="72"/>
      <c r="AR62" s="72"/>
      <c r="AS62" s="72"/>
      <c r="AT62" s="72"/>
      <c r="AU62" s="72"/>
      <c r="AV62" s="72"/>
    </row>
    <row r="63" spans="1:48" s="37" customFormat="1" ht="16.5" x14ac:dyDescent="0.3">
      <c r="A63" s="72"/>
      <c r="B63" s="72"/>
      <c r="C63" s="72"/>
      <c r="D63" s="72"/>
      <c r="E63" s="72"/>
      <c r="F63" s="72"/>
      <c r="G63" s="72"/>
      <c r="H63" s="72"/>
      <c r="I63" s="72"/>
      <c r="J63" s="72"/>
      <c r="K63" s="72"/>
      <c r="L63" s="72"/>
      <c r="M63" s="72"/>
      <c r="N63" s="72"/>
      <c r="O63" s="72"/>
      <c r="P63" s="72"/>
      <c r="Q63" s="72"/>
      <c r="R63" s="72"/>
      <c r="S63" s="72"/>
      <c r="T63" s="72"/>
      <c r="U63" s="72"/>
      <c r="V63" s="72"/>
      <c r="W63" s="72"/>
      <c r="X63" s="72"/>
      <c r="Y63" s="72"/>
      <c r="Z63" s="72"/>
      <c r="AA63" s="72"/>
      <c r="AB63" s="72"/>
      <c r="AC63" s="72"/>
      <c r="AD63" s="72"/>
      <c r="AE63" s="72"/>
      <c r="AF63" s="72"/>
      <c r="AG63" s="72"/>
      <c r="AH63" s="72"/>
      <c r="AI63" s="72"/>
      <c r="AJ63" s="72"/>
      <c r="AK63" s="72"/>
      <c r="AL63" s="72"/>
      <c r="AM63" s="72"/>
      <c r="AN63" s="72"/>
      <c r="AO63" s="72"/>
      <c r="AP63" s="72"/>
      <c r="AQ63" s="72"/>
      <c r="AR63" s="72"/>
      <c r="AS63" s="72"/>
      <c r="AT63" s="72"/>
      <c r="AU63" s="72"/>
      <c r="AV63" s="72"/>
    </row>
    <row r="64" spans="1:48" s="37" customFormat="1" ht="16.5" x14ac:dyDescent="0.3">
      <c r="A64" s="72"/>
      <c r="B64" s="72"/>
      <c r="C64" s="72"/>
      <c r="D64" s="72"/>
      <c r="E64" s="72"/>
      <c r="F64" s="72"/>
      <c r="G64" s="72"/>
      <c r="H64" s="72"/>
      <c r="I64" s="72"/>
      <c r="J64" s="72"/>
      <c r="K64" s="72"/>
      <c r="L64" s="72"/>
      <c r="M64" s="72"/>
      <c r="N64" s="72"/>
      <c r="O64" s="72"/>
      <c r="P64" s="72"/>
      <c r="Q64" s="72"/>
      <c r="R64" s="72"/>
      <c r="S64" s="72"/>
      <c r="T64" s="72"/>
      <c r="U64" s="72"/>
      <c r="V64" s="72"/>
      <c r="W64" s="72"/>
      <c r="X64" s="72"/>
      <c r="Y64" s="72"/>
      <c r="Z64" s="72"/>
      <c r="AA64" s="72"/>
      <c r="AB64" s="72"/>
      <c r="AC64" s="72"/>
      <c r="AD64" s="72"/>
      <c r="AE64" s="72"/>
      <c r="AF64" s="72"/>
      <c r="AG64" s="72"/>
      <c r="AH64" s="72"/>
      <c r="AI64" s="72"/>
      <c r="AJ64" s="72"/>
      <c r="AK64" s="72"/>
      <c r="AL64" s="72"/>
      <c r="AM64" s="72"/>
      <c r="AN64" s="72"/>
      <c r="AO64" s="72"/>
      <c r="AP64" s="72"/>
      <c r="AQ64" s="72"/>
      <c r="AR64" s="72"/>
      <c r="AS64" s="72"/>
      <c r="AT64" s="72"/>
      <c r="AU64" s="72"/>
      <c r="AV64" s="72"/>
    </row>
    <row r="65" spans="1:48" s="37" customFormat="1" ht="16.5" x14ac:dyDescent="0.3">
      <c r="A65" s="72"/>
      <c r="B65" s="72"/>
      <c r="C65" s="72"/>
      <c r="D65" s="72"/>
      <c r="E65" s="72"/>
      <c r="F65" s="72"/>
      <c r="G65" s="72"/>
      <c r="H65" s="72"/>
      <c r="I65" s="72"/>
      <c r="J65" s="72"/>
      <c r="K65" s="72"/>
      <c r="L65" s="72"/>
      <c r="M65" s="72"/>
      <c r="N65" s="72"/>
      <c r="O65" s="72"/>
      <c r="P65" s="72"/>
      <c r="Q65" s="72"/>
      <c r="R65" s="72"/>
      <c r="S65" s="72"/>
      <c r="T65" s="72"/>
      <c r="U65" s="72"/>
      <c r="V65" s="72"/>
      <c r="W65" s="72"/>
      <c r="X65" s="72"/>
      <c r="Y65" s="72"/>
      <c r="Z65" s="72"/>
      <c r="AA65" s="72"/>
      <c r="AB65" s="72"/>
      <c r="AC65" s="72"/>
      <c r="AD65" s="72"/>
      <c r="AE65" s="72"/>
      <c r="AF65" s="72"/>
      <c r="AG65" s="72"/>
      <c r="AH65" s="72"/>
      <c r="AI65" s="72"/>
      <c r="AJ65" s="72"/>
      <c r="AK65" s="72"/>
      <c r="AL65" s="72"/>
      <c r="AM65" s="72"/>
      <c r="AN65" s="72"/>
      <c r="AO65" s="72"/>
      <c r="AP65" s="72"/>
      <c r="AQ65" s="72"/>
      <c r="AR65" s="72"/>
      <c r="AS65" s="72"/>
      <c r="AT65" s="72"/>
      <c r="AU65" s="72"/>
      <c r="AV65" s="72"/>
    </row>
    <row r="66" spans="1:48" s="37" customFormat="1" ht="16.5" x14ac:dyDescent="0.3">
      <c r="A66" s="72"/>
      <c r="B66" s="72"/>
      <c r="C66" s="72"/>
      <c r="D66" s="72"/>
      <c r="E66" s="72"/>
      <c r="F66" s="72"/>
      <c r="G66" s="72"/>
      <c r="H66" s="72"/>
      <c r="I66" s="72"/>
      <c r="J66" s="72"/>
      <c r="K66" s="72"/>
      <c r="L66" s="72"/>
      <c r="M66" s="72"/>
      <c r="N66" s="72"/>
      <c r="O66" s="72"/>
      <c r="P66" s="72"/>
      <c r="Q66" s="72"/>
      <c r="R66" s="72"/>
      <c r="S66" s="72"/>
      <c r="T66" s="72"/>
      <c r="U66" s="72"/>
      <c r="V66" s="72"/>
      <c r="W66" s="72"/>
      <c r="X66" s="72"/>
      <c r="Y66" s="72"/>
      <c r="Z66" s="72"/>
      <c r="AA66" s="72"/>
      <c r="AB66" s="72"/>
      <c r="AC66" s="72"/>
      <c r="AD66" s="72"/>
      <c r="AE66" s="72"/>
      <c r="AF66" s="72"/>
      <c r="AG66" s="72"/>
      <c r="AH66" s="72"/>
      <c r="AI66" s="72"/>
      <c r="AJ66" s="72"/>
      <c r="AK66" s="72"/>
      <c r="AL66" s="72"/>
      <c r="AM66" s="72"/>
      <c r="AN66" s="72"/>
      <c r="AO66" s="72"/>
      <c r="AP66" s="72"/>
      <c r="AQ66" s="72"/>
      <c r="AR66" s="72"/>
      <c r="AS66" s="72"/>
      <c r="AT66" s="72"/>
      <c r="AU66" s="72"/>
      <c r="AV66" s="72"/>
    </row>
    <row r="67" spans="1:48" s="37" customFormat="1" ht="16.5" x14ac:dyDescent="0.3">
      <c r="A67" s="72"/>
      <c r="B67" s="72"/>
      <c r="C67" s="72"/>
      <c r="D67" s="72"/>
      <c r="E67" s="72"/>
      <c r="F67" s="72"/>
      <c r="G67" s="72"/>
      <c r="H67" s="72"/>
      <c r="I67" s="72"/>
      <c r="J67" s="72"/>
      <c r="K67" s="72"/>
      <c r="L67" s="72"/>
      <c r="M67" s="72"/>
      <c r="N67" s="72"/>
      <c r="O67" s="72"/>
      <c r="P67" s="72"/>
      <c r="Q67" s="72"/>
      <c r="R67" s="72"/>
      <c r="S67" s="72"/>
      <c r="T67" s="72"/>
      <c r="U67" s="72"/>
      <c r="V67" s="72"/>
      <c r="W67" s="72"/>
      <c r="X67" s="72"/>
      <c r="Y67" s="72"/>
      <c r="Z67" s="72"/>
      <c r="AA67" s="72"/>
      <c r="AB67" s="72"/>
      <c r="AC67" s="72"/>
      <c r="AD67" s="72"/>
      <c r="AE67" s="72"/>
      <c r="AF67" s="72"/>
      <c r="AG67" s="72"/>
      <c r="AH67" s="72"/>
      <c r="AI67" s="72"/>
      <c r="AJ67" s="72"/>
      <c r="AK67" s="72"/>
      <c r="AL67" s="72"/>
      <c r="AM67" s="72"/>
      <c r="AN67" s="72"/>
      <c r="AO67" s="72"/>
      <c r="AP67" s="72"/>
      <c r="AQ67" s="72"/>
      <c r="AR67" s="72"/>
      <c r="AS67" s="72"/>
      <c r="AT67" s="72"/>
      <c r="AU67" s="72"/>
      <c r="AV67" s="72"/>
    </row>
    <row r="68" spans="1:48" s="37" customFormat="1" ht="16.5" x14ac:dyDescent="0.3">
      <c r="A68" s="72"/>
      <c r="B68" s="72"/>
      <c r="C68" s="72"/>
      <c r="D68" s="72"/>
      <c r="E68" s="72"/>
      <c r="F68" s="72"/>
      <c r="G68" s="72"/>
      <c r="H68" s="72"/>
      <c r="I68" s="72"/>
      <c r="J68" s="72"/>
      <c r="K68" s="72"/>
      <c r="L68" s="72"/>
      <c r="M68" s="72"/>
      <c r="N68" s="72"/>
      <c r="O68" s="72"/>
      <c r="P68" s="72"/>
      <c r="Q68" s="72"/>
      <c r="R68" s="72"/>
      <c r="S68" s="72"/>
      <c r="T68" s="72"/>
      <c r="U68" s="72"/>
      <c r="V68" s="72"/>
      <c r="W68" s="72"/>
      <c r="X68" s="72"/>
      <c r="Y68" s="72"/>
      <c r="Z68" s="72"/>
      <c r="AA68" s="72"/>
      <c r="AB68" s="72"/>
      <c r="AC68" s="72"/>
      <c r="AD68" s="72"/>
      <c r="AE68" s="72"/>
      <c r="AF68" s="72"/>
      <c r="AG68" s="72"/>
      <c r="AH68" s="72"/>
      <c r="AI68" s="72"/>
      <c r="AJ68" s="72"/>
      <c r="AK68" s="72"/>
      <c r="AL68" s="72"/>
      <c r="AM68" s="72"/>
      <c r="AN68" s="72"/>
      <c r="AO68" s="72"/>
      <c r="AP68" s="72"/>
      <c r="AQ68" s="72"/>
      <c r="AR68" s="72"/>
      <c r="AS68" s="72"/>
      <c r="AT68" s="72"/>
      <c r="AU68" s="72"/>
      <c r="AV68" s="72"/>
    </row>
    <row r="69" spans="1:48" s="37" customFormat="1" ht="16.5" x14ac:dyDescent="0.3">
      <c r="A69" s="72"/>
      <c r="B69" s="72"/>
      <c r="C69" s="72"/>
      <c r="D69" s="72"/>
      <c r="E69" s="72"/>
      <c r="F69" s="72"/>
      <c r="G69" s="72"/>
      <c r="H69" s="72"/>
      <c r="I69" s="72"/>
      <c r="J69" s="72"/>
      <c r="K69" s="72"/>
      <c r="L69" s="72"/>
      <c r="M69" s="72"/>
      <c r="N69" s="72"/>
      <c r="O69" s="72"/>
      <c r="P69" s="72"/>
      <c r="Q69" s="72"/>
      <c r="R69" s="72"/>
      <c r="S69" s="72"/>
      <c r="T69" s="72"/>
      <c r="U69" s="72"/>
      <c r="V69" s="72"/>
      <c r="W69" s="72"/>
      <c r="X69" s="72"/>
      <c r="Y69" s="72"/>
      <c r="Z69" s="72"/>
      <c r="AA69" s="72"/>
      <c r="AB69" s="72"/>
      <c r="AC69" s="72"/>
      <c r="AD69" s="72"/>
      <c r="AE69" s="72"/>
      <c r="AF69" s="72"/>
      <c r="AG69" s="72"/>
      <c r="AH69" s="72"/>
      <c r="AI69" s="72"/>
      <c r="AJ69" s="72"/>
      <c r="AK69" s="72"/>
      <c r="AL69" s="72"/>
      <c r="AM69" s="72"/>
      <c r="AN69" s="72"/>
      <c r="AO69" s="72"/>
      <c r="AP69" s="72"/>
      <c r="AQ69" s="72"/>
      <c r="AR69" s="72"/>
      <c r="AS69" s="72"/>
      <c r="AT69" s="72"/>
      <c r="AU69" s="72"/>
      <c r="AV69" s="72"/>
    </row>
    <row r="70" spans="1:48" s="37" customFormat="1" ht="16.5" x14ac:dyDescent="0.3">
      <c r="A70" s="72"/>
      <c r="B70" s="72"/>
      <c r="C70" s="72"/>
      <c r="D70" s="72"/>
      <c r="E70" s="72"/>
      <c r="F70" s="72"/>
      <c r="G70" s="72"/>
      <c r="H70" s="72"/>
      <c r="I70" s="72"/>
      <c r="J70" s="72"/>
      <c r="K70" s="72"/>
      <c r="L70" s="72"/>
      <c r="M70" s="72"/>
      <c r="N70" s="72"/>
      <c r="O70" s="72"/>
      <c r="P70" s="72"/>
      <c r="Q70" s="72"/>
      <c r="R70" s="72"/>
      <c r="S70" s="72"/>
      <c r="T70" s="72"/>
      <c r="U70" s="72"/>
      <c r="V70" s="72"/>
      <c r="W70" s="72"/>
      <c r="X70" s="72"/>
      <c r="Y70" s="72"/>
      <c r="Z70" s="72"/>
      <c r="AA70" s="72"/>
      <c r="AB70" s="72"/>
      <c r="AC70" s="72"/>
      <c r="AD70" s="72"/>
      <c r="AE70" s="72"/>
      <c r="AF70" s="72"/>
      <c r="AG70" s="72"/>
      <c r="AH70" s="72"/>
      <c r="AI70" s="72"/>
      <c r="AJ70" s="72"/>
      <c r="AK70" s="72"/>
      <c r="AL70" s="72"/>
      <c r="AM70" s="72"/>
      <c r="AN70" s="72"/>
      <c r="AO70" s="72"/>
      <c r="AP70" s="72"/>
      <c r="AQ70" s="72"/>
      <c r="AR70" s="72"/>
      <c r="AS70" s="72"/>
      <c r="AT70" s="72"/>
      <c r="AU70" s="72"/>
      <c r="AV70" s="72"/>
    </row>
    <row r="71" spans="1:48" s="37" customFormat="1" ht="16.5" x14ac:dyDescent="0.3">
      <c r="A71" s="72"/>
      <c r="B71" s="72"/>
      <c r="C71" s="72"/>
      <c r="D71" s="72"/>
      <c r="E71" s="72"/>
      <c r="F71" s="72"/>
      <c r="G71" s="72"/>
      <c r="H71" s="72"/>
      <c r="I71" s="72"/>
      <c r="J71" s="72"/>
      <c r="K71" s="72"/>
      <c r="L71" s="72"/>
      <c r="M71" s="72"/>
      <c r="N71" s="72"/>
      <c r="O71" s="72"/>
      <c r="P71" s="72"/>
      <c r="Q71" s="72"/>
      <c r="R71" s="72"/>
      <c r="S71" s="72"/>
      <c r="T71" s="72"/>
      <c r="U71" s="72"/>
      <c r="V71" s="72"/>
      <c r="W71" s="72"/>
      <c r="X71" s="72"/>
      <c r="Y71" s="72"/>
      <c r="Z71" s="72"/>
      <c r="AA71" s="72"/>
      <c r="AB71" s="72"/>
      <c r="AC71" s="72"/>
      <c r="AD71" s="72"/>
      <c r="AE71" s="72"/>
      <c r="AF71" s="72"/>
      <c r="AG71" s="72"/>
      <c r="AH71" s="72"/>
      <c r="AI71" s="72"/>
      <c r="AJ71" s="72"/>
      <c r="AK71" s="72"/>
      <c r="AL71" s="72"/>
      <c r="AM71" s="72"/>
      <c r="AN71" s="72"/>
      <c r="AO71" s="72"/>
      <c r="AP71" s="72"/>
      <c r="AQ71" s="72"/>
      <c r="AR71" s="72"/>
      <c r="AS71" s="72"/>
      <c r="AT71" s="72"/>
      <c r="AU71" s="72"/>
      <c r="AV71" s="72"/>
    </row>
    <row r="72" spans="1:48" s="37" customFormat="1" ht="16.5" x14ac:dyDescent="0.3">
      <c r="A72" s="72"/>
      <c r="B72" s="72"/>
      <c r="C72" s="72"/>
      <c r="D72" s="72"/>
      <c r="E72" s="72"/>
      <c r="F72" s="72"/>
      <c r="G72" s="72"/>
      <c r="H72" s="72"/>
      <c r="I72" s="72"/>
      <c r="J72" s="72"/>
      <c r="K72" s="72"/>
      <c r="L72" s="72"/>
      <c r="M72" s="72"/>
      <c r="N72" s="72"/>
      <c r="O72" s="72"/>
      <c r="P72" s="72"/>
      <c r="Q72" s="72"/>
      <c r="R72" s="72"/>
      <c r="S72" s="72"/>
      <c r="T72" s="72"/>
      <c r="U72" s="72"/>
      <c r="V72" s="72"/>
      <c r="W72" s="72"/>
      <c r="X72" s="72"/>
      <c r="Y72" s="72"/>
      <c r="Z72" s="72"/>
      <c r="AA72" s="72"/>
      <c r="AB72" s="72"/>
      <c r="AC72" s="72"/>
      <c r="AD72" s="72"/>
      <c r="AE72" s="72"/>
      <c r="AF72" s="72"/>
      <c r="AG72" s="72"/>
      <c r="AH72" s="72"/>
      <c r="AI72" s="72"/>
      <c r="AJ72" s="72"/>
      <c r="AK72" s="72"/>
      <c r="AL72" s="72"/>
      <c r="AM72" s="72"/>
      <c r="AN72" s="72"/>
      <c r="AO72" s="72"/>
      <c r="AP72" s="72"/>
      <c r="AQ72" s="72"/>
      <c r="AR72" s="72"/>
      <c r="AS72" s="72"/>
      <c r="AT72" s="72"/>
      <c r="AU72" s="72"/>
      <c r="AV72" s="72"/>
    </row>
    <row r="73" spans="1:48" s="37" customFormat="1" ht="16.5" x14ac:dyDescent="0.3">
      <c r="A73" s="72"/>
      <c r="B73" s="72"/>
      <c r="C73" s="72"/>
      <c r="D73" s="72"/>
      <c r="E73" s="72"/>
      <c r="F73" s="72"/>
      <c r="G73" s="72"/>
      <c r="H73" s="72"/>
      <c r="I73" s="72"/>
      <c r="J73" s="72"/>
      <c r="K73" s="72"/>
      <c r="L73" s="72"/>
      <c r="M73" s="72"/>
      <c r="N73" s="72"/>
      <c r="O73" s="72"/>
      <c r="P73" s="72"/>
      <c r="Q73" s="72"/>
      <c r="R73" s="72"/>
      <c r="S73" s="72"/>
      <c r="T73" s="72"/>
      <c r="U73" s="72"/>
      <c r="V73" s="72"/>
      <c r="W73" s="72"/>
      <c r="X73" s="72"/>
      <c r="Y73" s="72"/>
      <c r="Z73" s="72"/>
      <c r="AA73" s="72"/>
      <c r="AB73" s="72"/>
      <c r="AC73" s="72"/>
      <c r="AD73" s="72"/>
      <c r="AE73" s="72"/>
      <c r="AF73" s="72"/>
      <c r="AG73" s="72"/>
      <c r="AH73" s="72"/>
      <c r="AI73" s="72"/>
      <c r="AJ73" s="72"/>
      <c r="AK73" s="72"/>
      <c r="AL73" s="72"/>
      <c r="AM73" s="72"/>
      <c r="AN73" s="72"/>
      <c r="AO73" s="72"/>
      <c r="AP73" s="72"/>
      <c r="AQ73" s="72"/>
      <c r="AR73" s="72"/>
      <c r="AS73" s="72"/>
      <c r="AT73" s="72"/>
      <c r="AU73" s="72"/>
      <c r="AV73" s="72"/>
    </row>
    <row r="74" spans="1:48" s="37" customFormat="1" ht="16.5" x14ac:dyDescent="0.3">
      <c r="A74" s="72"/>
      <c r="B74" s="72"/>
      <c r="C74" s="72"/>
      <c r="D74" s="72"/>
      <c r="E74" s="72"/>
      <c r="F74" s="72"/>
      <c r="G74" s="72"/>
      <c r="H74" s="72"/>
      <c r="I74" s="72"/>
      <c r="J74" s="72"/>
      <c r="K74" s="72"/>
      <c r="L74" s="72"/>
      <c r="M74" s="72"/>
      <c r="N74" s="72"/>
      <c r="O74" s="72"/>
      <c r="P74" s="72"/>
      <c r="Q74" s="72"/>
      <c r="R74" s="72"/>
      <c r="S74" s="72"/>
      <c r="T74" s="72"/>
      <c r="U74" s="72"/>
      <c r="V74" s="72"/>
      <c r="W74" s="72"/>
      <c r="X74" s="72"/>
      <c r="Y74" s="72"/>
      <c r="Z74" s="72"/>
      <c r="AA74" s="72"/>
      <c r="AB74" s="72"/>
      <c r="AC74" s="72"/>
      <c r="AD74" s="72"/>
      <c r="AE74" s="72"/>
      <c r="AF74" s="72"/>
      <c r="AG74" s="72"/>
      <c r="AH74" s="72"/>
      <c r="AI74" s="72"/>
      <c r="AJ74" s="72"/>
      <c r="AK74" s="72"/>
      <c r="AL74" s="72"/>
      <c r="AM74" s="72"/>
      <c r="AN74" s="72"/>
      <c r="AO74" s="72"/>
      <c r="AP74" s="72"/>
      <c r="AQ74" s="72"/>
      <c r="AR74" s="72"/>
      <c r="AS74" s="72"/>
      <c r="AT74" s="72"/>
      <c r="AU74" s="72"/>
      <c r="AV74" s="72"/>
    </row>
    <row r="75" spans="1:48" s="37" customFormat="1" ht="16.5" x14ac:dyDescent="0.3">
      <c r="A75" s="72"/>
      <c r="B75" s="72"/>
      <c r="C75" s="72"/>
      <c r="D75" s="72"/>
      <c r="E75" s="72"/>
      <c r="F75" s="72"/>
      <c r="G75" s="72"/>
      <c r="H75" s="72"/>
      <c r="I75" s="72"/>
      <c r="J75" s="72"/>
      <c r="K75" s="72"/>
      <c r="L75" s="72"/>
      <c r="M75" s="72"/>
      <c r="N75" s="72"/>
      <c r="O75" s="72"/>
      <c r="P75" s="72"/>
      <c r="Q75" s="72"/>
      <c r="R75" s="72"/>
      <c r="S75" s="72"/>
      <c r="T75" s="72"/>
      <c r="U75" s="72"/>
      <c r="V75" s="72"/>
      <c r="W75" s="72"/>
      <c r="X75" s="72"/>
      <c r="Y75" s="72"/>
      <c r="Z75" s="72"/>
      <c r="AA75" s="72"/>
      <c r="AB75" s="72"/>
      <c r="AC75" s="72"/>
      <c r="AD75" s="72"/>
      <c r="AE75" s="72"/>
      <c r="AF75" s="72"/>
      <c r="AG75" s="72"/>
      <c r="AH75" s="72"/>
      <c r="AI75" s="72"/>
      <c r="AJ75" s="72"/>
      <c r="AK75" s="72"/>
      <c r="AL75" s="72"/>
      <c r="AM75" s="72"/>
      <c r="AN75" s="72"/>
      <c r="AO75" s="72"/>
      <c r="AP75" s="72"/>
      <c r="AQ75" s="72"/>
      <c r="AR75" s="72"/>
      <c r="AS75" s="72"/>
      <c r="AT75" s="72"/>
      <c r="AU75" s="72"/>
      <c r="AV75" s="72"/>
    </row>
    <row r="76" spans="1:48" s="37" customFormat="1" ht="16.5" x14ac:dyDescent="0.3">
      <c r="A76" s="72"/>
      <c r="B76" s="72"/>
      <c r="C76" s="72"/>
      <c r="D76" s="72"/>
      <c r="E76" s="72"/>
      <c r="F76" s="72"/>
      <c r="G76" s="72"/>
      <c r="H76" s="72"/>
      <c r="I76" s="72"/>
      <c r="J76" s="72"/>
      <c r="K76" s="72"/>
      <c r="L76" s="72"/>
      <c r="M76" s="72"/>
      <c r="N76" s="72"/>
      <c r="O76" s="72"/>
      <c r="P76" s="72"/>
      <c r="Q76" s="72"/>
      <c r="R76" s="72"/>
      <c r="S76" s="72"/>
      <c r="T76" s="72"/>
      <c r="U76" s="72"/>
      <c r="V76" s="72"/>
      <c r="W76" s="72"/>
      <c r="X76" s="72"/>
      <c r="Y76" s="72"/>
      <c r="Z76" s="72"/>
      <c r="AA76" s="72"/>
      <c r="AB76" s="72"/>
      <c r="AC76" s="72"/>
      <c r="AD76" s="72"/>
      <c r="AE76" s="72"/>
      <c r="AF76" s="72"/>
      <c r="AG76" s="72"/>
      <c r="AH76" s="72"/>
      <c r="AI76" s="72"/>
      <c r="AJ76" s="72"/>
      <c r="AK76" s="72"/>
      <c r="AL76" s="72"/>
      <c r="AM76" s="72"/>
      <c r="AN76" s="72"/>
      <c r="AO76" s="72"/>
      <c r="AP76" s="72"/>
      <c r="AQ76" s="72"/>
      <c r="AR76" s="72"/>
      <c r="AS76" s="72"/>
      <c r="AT76" s="72"/>
      <c r="AU76" s="72"/>
      <c r="AV76" s="72"/>
    </row>
    <row r="77" spans="1:48" s="37" customFormat="1" ht="16.5" x14ac:dyDescent="0.3">
      <c r="A77" s="72"/>
      <c r="B77" s="72"/>
      <c r="C77" s="72"/>
      <c r="D77" s="72"/>
      <c r="E77" s="72"/>
      <c r="F77" s="72"/>
      <c r="G77" s="72"/>
      <c r="H77" s="72"/>
      <c r="I77" s="72"/>
      <c r="J77" s="72"/>
      <c r="K77" s="72"/>
      <c r="L77" s="72"/>
      <c r="M77" s="72"/>
      <c r="N77" s="72"/>
      <c r="O77" s="72"/>
      <c r="P77" s="72"/>
      <c r="Q77" s="72"/>
      <c r="R77" s="72"/>
      <c r="S77" s="72"/>
      <c r="T77" s="72"/>
      <c r="U77" s="72"/>
      <c r="V77" s="72"/>
      <c r="W77" s="72"/>
      <c r="X77" s="72"/>
      <c r="Y77" s="72"/>
      <c r="Z77" s="72"/>
      <c r="AA77" s="72"/>
      <c r="AB77" s="72"/>
      <c r="AC77" s="72"/>
      <c r="AD77" s="72"/>
      <c r="AE77" s="72"/>
      <c r="AF77" s="72"/>
      <c r="AG77" s="72"/>
      <c r="AH77" s="72"/>
      <c r="AI77" s="72"/>
      <c r="AJ77" s="72"/>
      <c r="AK77" s="72"/>
      <c r="AL77" s="72"/>
      <c r="AM77" s="72"/>
      <c r="AN77" s="72"/>
      <c r="AO77" s="72"/>
      <c r="AP77" s="72"/>
      <c r="AQ77" s="72"/>
      <c r="AR77" s="72"/>
      <c r="AS77" s="72"/>
      <c r="AT77" s="72"/>
      <c r="AU77" s="72"/>
      <c r="AV77" s="72"/>
    </row>
    <row r="78" spans="1:48" s="37" customFormat="1" ht="16.5" x14ac:dyDescent="0.3">
      <c r="A78" s="72"/>
      <c r="B78" s="72"/>
      <c r="C78" s="72"/>
      <c r="D78" s="72"/>
      <c r="E78" s="72"/>
      <c r="F78" s="72"/>
      <c r="G78" s="72"/>
      <c r="H78" s="72"/>
      <c r="I78" s="72"/>
      <c r="J78" s="72"/>
      <c r="K78" s="72"/>
      <c r="L78" s="72"/>
      <c r="M78" s="72"/>
      <c r="N78" s="72"/>
      <c r="O78" s="72"/>
      <c r="P78" s="72"/>
      <c r="Q78" s="72"/>
      <c r="R78" s="72"/>
      <c r="S78" s="72"/>
      <c r="T78" s="72"/>
      <c r="U78" s="72"/>
      <c r="V78" s="72"/>
      <c r="W78" s="72"/>
      <c r="X78" s="72"/>
      <c r="Y78" s="72"/>
      <c r="Z78" s="72"/>
      <c r="AA78" s="72"/>
      <c r="AB78" s="72"/>
      <c r="AC78" s="72"/>
      <c r="AD78" s="72"/>
      <c r="AE78" s="72"/>
      <c r="AF78" s="72"/>
      <c r="AG78" s="72"/>
      <c r="AH78" s="72"/>
      <c r="AI78" s="72"/>
      <c r="AJ78" s="72"/>
      <c r="AK78" s="72"/>
      <c r="AL78" s="72"/>
      <c r="AM78" s="72"/>
      <c r="AN78" s="72"/>
      <c r="AO78" s="72"/>
      <c r="AP78" s="72"/>
      <c r="AQ78" s="72"/>
      <c r="AR78" s="72"/>
      <c r="AS78" s="72"/>
      <c r="AT78" s="72"/>
      <c r="AU78" s="72"/>
      <c r="AV78" s="72"/>
    </row>
    <row r="79" spans="1:48" s="37" customFormat="1" ht="16.5" x14ac:dyDescent="0.3">
      <c r="A79" s="72"/>
      <c r="B79" s="72"/>
      <c r="C79" s="72"/>
      <c r="D79" s="72"/>
      <c r="E79" s="72"/>
      <c r="F79" s="72"/>
      <c r="G79" s="72"/>
      <c r="H79" s="72"/>
      <c r="I79" s="72"/>
      <c r="J79" s="72"/>
      <c r="K79" s="72"/>
      <c r="L79" s="72"/>
      <c r="M79" s="72"/>
      <c r="N79" s="72"/>
      <c r="O79" s="72"/>
      <c r="P79" s="72"/>
      <c r="Q79" s="72"/>
      <c r="R79" s="72"/>
      <c r="S79" s="72"/>
      <c r="T79" s="72"/>
      <c r="U79" s="72"/>
      <c r="V79" s="72"/>
      <c r="W79" s="72"/>
      <c r="X79" s="72"/>
      <c r="Y79" s="72"/>
      <c r="Z79" s="72"/>
      <c r="AA79" s="72"/>
      <c r="AB79" s="72"/>
      <c r="AC79" s="72"/>
      <c r="AD79" s="72"/>
      <c r="AE79" s="72"/>
      <c r="AF79" s="72"/>
      <c r="AG79" s="72"/>
      <c r="AH79" s="72"/>
      <c r="AI79" s="72"/>
      <c r="AJ79" s="72"/>
      <c r="AK79" s="72"/>
      <c r="AL79" s="72"/>
      <c r="AM79" s="72"/>
      <c r="AN79" s="72"/>
      <c r="AO79" s="72"/>
      <c r="AP79" s="72"/>
      <c r="AQ79" s="72"/>
      <c r="AR79" s="72"/>
      <c r="AS79" s="72"/>
      <c r="AT79" s="72"/>
      <c r="AU79" s="72"/>
      <c r="AV79" s="72"/>
    </row>
    <row r="80" spans="1:48" s="37" customFormat="1" ht="16.5" x14ac:dyDescent="0.3">
      <c r="A80" s="72"/>
      <c r="B80" s="72"/>
      <c r="C80" s="72"/>
      <c r="D80" s="72"/>
      <c r="E80" s="72"/>
      <c r="F80" s="72"/>
      <c r="G80" s="72"/>
      <c r="H80" s="72"/>
      <c r="I80" s="72"/>
      <c r="J80" s="72"/>
      <c r="K80" s="72"/>
      <c r="L80" s="72"/>
      <c r="M80" s="72"/>
      <c r="N80" s="72"/>
      <c r="O80" s="72"/>
      <c r="P80" s="72"/>
      <c r="Q80" s="72"/>
      <c r="R80" s="72"/>
      <c r="S80" s="72"/>
      <c r="T80" s="72"/>
      <c r="U80" s="72"/>
      <c r="V80" s="72"/>
      <c r="W80" s="72"/>
      <c r="X80" s="72"/>
      <c r="Y80" s="72"/>
      <c r="Z80" s="72"/>
      <c r="AA80" s="72"/>
      <c r="AB80" s="72"/>
      <c r="AC80" s="72"/>
      <c r="AD80" s="72"/>
      <c r="AE80" s="72"/>
      <c r="AF80" s="72"/>
      <c r="AG80" s="72"/>
      <c r="AH80" s="72"/>
      <c r="AI80" s="72"/>
      <c r="AJ80" s="72"/>
      <c r="AK80" s="72"/>
      <c r="AL80" s="72"/>
      <c r="AM80" s="72"/>
      <c r="AN80" s="72"/>
      <c r="AO80" s="72"/>
      <c r="AP80" s="72"/>
      <c r="AQ80" s="72"/>
      <c r="AR80" s="72"/>
      <c r="AS80" s="72"/>
      <c r="AT80" s="72"/>
      <c r="AU80" s="72"/>
      <c r="AV80" s="72"/>
    </row>
    <row r="81" spans="1:48" s="37" customFormat="1" ht="16.5" x14ac:dyDescent="0.3">
      <c r="A81" s="72"/>
      <c r="B81" s="72"/>
      <c r="C81" s="72"/>
      <c r="D81" s="72"/>
      <c r="E81" s="72"/>
      <c r="F81" s="72"/>
      <c r="G81" s="72"/>
      <c r="H81" s="72"/>
      <c r="I81" s="72"/>
      <c r="J81" s="72"/>
      <c r="K81" s="72"/>
      <c r="L81" s="72"/>
      <c r="M81" s="72"/>
      <c r="N81" s="72"/>
      <c r="O81" s="72"/>
      <c r="P81" s="72"/>
      <c r="Q81" s="72"/>
      <c r="R81" s="72"/>
      <c r="S81" s="72"/>
      <c r="T81" s="72"/>
      <c r="U81" s="72"/>
      <c r="V81" s="72"/>
      <c r="W81" s="72"/>
      <c r="X81" s="72"/>
      <c r="Y81" s="72"/>
      <c r="Z81" s="72"/>
      <c r="AA81" s="72"/>
      <c r="AB81" s="72"/>
      <c r="AC81" s="72"/>
      <c r="AD81" s="72"/>
      <c r="AE81" s="72"/>
      <c r="AF81" s="72"/>
      <c r="AG81" s="72"/>
      <c r="AH81" s="72"/>
      <c r="AI81" s="72"/>
      <c r="AJ81" s="72"/>
      <c r="AK81" s="72"/>
      <c r="AL81" s="72"/>
      <c r="AM81" s="72"/>
      <c r="AN81" s="72"/>
      <c r="AO81" s="72"/>
      <c r="AP81" s="72"/>
      <c r="AQ81" s="72"/>
      <c r="AR81" s="72"/>
      <c r="AS81" s="72"/>
      <c r="AT81" s="72"/>
      <c r="AU81" s="72"/>
      <c r="AV81" s="72"/>
    </row>
    <row r="82" spans="1:48" s="37" customFormat="1" ht="16.5" x14ac:dyDescent="0.3">
      <c r="A82" s="72"/>
      <c r="B82" s="72"/>
      <c r="C82" s="72"/>
      <c r="D82" s="72"/>
      <c r="E82" s="72"/>
      <c r="F82" s="72"/>
      <c r="G82" s="72"/>
      <c r="H82" s="72"/>
      <c r="I82" s="72"/>
      <c r="J82" s="72"/>
      <c r="K82" s="72"/>
      <c r="L82" s="72"/>
      <c r="M82" s="72"/>
      <c r="N82" s="72"/>
      <c r="O82" s="72"/>
      <c r="P82" s="72"/>
      <c r="Q82" s="72"/>
      <c r="R82" s="72"/>
      <c r="S82" s="72"/>
      <c r="T82" s="72"/>
      <c r="U82" s="72"/>
      <c r="V82" s="72"/>
      <c r="W82" s="72"/>
      <c r="X82" s="72"/>
      <c r="Y82" s="72"/>
      <c r="Z82" s="72"/>
      <c r="AA82" s="72"/>
      <c r="AB82" s="72"/>
      <c r="AC82" s="72"/>
      <c r="AD82" s="72"/>
      <c r="AE82" s="72"/>
      <c r="AF82" s="72"/>
      <c r="AG82" s="72"/>
      <c r="AH82" s="72"/>
      <c r="AI82" s="72"/>
      <c r="AJ82" s="72"/>
      <c r="AK82" s="72"/>
      <c r="AL82" s="72"/>
      <c r="AM82" s="72"/>
      <c r="AN82" s="72"/>
      <c r="AO82" s="72"/>
      <c r="AP82" s="72"/>
      <c r="AQ82" s="72"/>
      <c r="AR82" s="72"/>
      <c r="AS82" s="72"/>
      <c r="AT82" s="72"/>
      <c r="AU82" s="72"/>
      <c r="AV82" s="72"/>
    </row>
    <row r="83" spans="1:48" s="37" customFormat="1" ht="16.5" x14ac:dyDescent="0.3">
      <c r="A83" s="72"/>
      <c r="B83" s="72"/>
      <c r="C83" s="72"/>
      <c r="D83" s="72"/>
      <c r="E83" s="72"/>
      <c r="F83" s="72"/>
      <c r="G83" s="72"/>
      <c r="H83" s="72"/>
      <c r="I83" s="72"/>
      <c r="J83" s="72"/>
      <c r="K83" s="72"/>
      <c r="L83" s="72"/>
      <c r="M83" s="72"/>
      <c r="N83" s="72"/>
      <c r="O83" s="72"/>
      <c r="P83" s="72"/>
      <c r="Q83" s="72"/>
      <c r="R83" s="72"/>
      <c r="S83" s="72"/>
      <c r="T83" s="72"/>
      <c r="U83" s="72"/>
      <c r="V83" s="72"/>
      <c r="W83" s="72"/>
      <c r="X83" s="72"/>
      <c r="Y83" s="72"/>
      <c r="Z83" s="72"/>
      <c r="AA83" s="72"/>
      <c r="AB83" s="72"/>
      <c r="AC83" s="72"/>
      <c r="AD83" s="72"/>
      <c r="AE83" s="72"/>
      <c r="AF83" s="72"/>
      <c r="AG83" s="72"/>
      <c r="AH83" s="72"/>
      <c r="AI83" s="72"/>
      <c r="AJ83" s="72"/>
      <c r="AK83" s="72"/>
      <c r="AL83" s="72"/>
      <c r="AM83" s="72"/>
      <c r="AN83" s="72"/>
      <c r="AO83" s="72"/>
      <c r="AP83" s="72"/>
      <c r="AQ83" s="72"/>
      <c r="AR83" s="72"/>
      <c r="AS83" s="72"/>
      <c r="AT83" s="72"/>
      <c r="AU83" s="72"/>
      <c r="AV83" s="72"/>
    </row>
    <row r="84" spans="1:48" s="37" customFormat="1" ht="16.5" x14ac:dyDescent="0.3">
      <c r="A84" s="72"/>
      <c r="B84" s="72"/>
      <c r="C84" s="72"/>
      <c r="D84" s="72"/>
      <c r="E84" s="72"/>
      <c r="F84" s="72"/>
      <c r="G84" s="72"/>
      <c r="H84" s="72"/>
      <c r="I84" s="72"/>
      <c r="J84" s="72"/>
      <c r="K84" s="72"/>
      <c r="L84" s="72"/>
      <c r="M84" s="72"/>
      <c r="N84" s="72"/>
      <c r="O84" s="72"/>
      <c r="P84" s="72"/>
      <c r="Q84" s="72"/>
      <c r="R84" s="72"/>
      <c r="S84" s="72"/>
      <c r="T84" s="72"/>
      <c r="U84" s="72"/>
      <c r="V84" s="72"/>
      <c r="W84" s="72"/>
      <c r="X84" s="72"/>
      <c r="Y84" s="72"/>
      <c r="Z84" s="72"/>
      <c r="AA84" s="72"/>
      <c r="AB84" s="72"/>
      <c r="AC84" s="72"/>
      <c r="AD84" s="72"/>
      <c r="AE84" s="72"/>
      <c r="AF84" s="72"/>
      <c r="AG84" s="72"/>
      <c r="AH84" s="72"/>
      <c r="AI84" s="72"/>
      <c r="AJ84" s="72"/>
      <c r="AK84" s="72"/>
      <c r="AL84" s="72"/>
      <c r="AM84" s="72"/>
      <c r="AN84" s="72"/>
      <c r="AO84" s="72"/>
      <c r="AP84" s="72"/>
      <c r="AQ84" s="72"/>
      <c r="AR84" s="72"/>
      <c r="AS84" s="72"/>
      <c r="AT84" s="72"/>
      <c r="AU84" s="72"/>
      <c r="AV84" s="72"/>
    </row>
    <row r="85" spans="1:48" s="37" customFormat="1" ht="16.5" x14ac:dyDescent="0.3">
      <c r="A85" s="72"/>
      <c r="B85" s="72"/>
      <c r="C85" s="72"/>
      <c r="D85" s="72"/>
      <c r="E85" s="72"/>
      <c r="F85" s="72"/>
      <c r="G85" s="72"/>
      <c r="H85" s="72"/>
      <c r="I85" s="72"/>
      <c r="J85" s="72"/>
      <c r="K85" s="72"/>
      <c r="L85" s="72"/>
      <c r="M85" s="72"/>
      <c r="N85" s="72"/>
      <c r="O85" s="72"/>
      <c r="P85" s="72"/>
      <c r="Q85" s="72"/>
      <c r="R85" s="72"/>
      <c r="S85" s="72"/>
      <c r="T85" s="72"/>
      <c r="U85" s="72"/>
      <c r="V85" s="72"/>
      <c r="W85" s="72"/>
      <c r="X85" s="72"/>
      <c r="Y85" s="72"/>
      <c r="Z85" s="72"/>
      <c r="AA85" s="72"/>
      <c r="AB85" s="72"/>
      <c r="AC85" s="72"/>
      <c r="AD85" s="72"/>
      <c r="AE85" s="72"/>
      <c r="AF85" s="72"/>
      <c r="AG85" s="72"/>
      <c r="AH85" s="72"/>
      <c r="AI85" s="72"/>
      <c r="AJ85" s="72"/>
      <c r="AK85" s="72"/>
      <c r="AL85" s="72"/>
      <c r="AM85" s="72"/>
      <c r="AN85" s="72"/>
      <c r="AO85" s="72"/>
      <c r="AP85" s="72"/>
      <c r="AQ85" s="72"/>
      <c r="AR85" s="72"/>
      <c r="AS85" s="72"/>
      <c r="AT85" s="72"/>
      <c r="AU85" s="72"/>
      <c r="AV85" s="72"/>
    </row>
    <row r="86" spans="1:48" s="37" customFormat="1" ht="16.5" x14ac:dyDescent="0.3">
      <c r="A86" s="72"/>
      <c r="B86" s="72"/>
      <c r="C86" s="72"/>
      <c r="D86" s="72"/>
      <c r="E86" s="72"/>
      <c r="F86" s="72"/>
      <c r="G86" s="72"/>
      <c r="H86" s="72"/>
      <c r="I86" s="72"/>
      <c r="J86" s="72"/>
      <c r="K86" s="72"/>
      <c r="L86" s="72"/>
      <c r="M86" s="72"/>
      <c r="N86" s="72"/>
      <c r="O86" s="72"/>
      <c r="P86" s="72"/>
      <c r="Q86" s="72"/>
      <c r="R86" s="72"/>
      <c r="S86" s="72"/>
      <c r="T86" s="72"/>
      <c r="U86" s="72"/>
      <c r="V86" s="72"/>
      <c r="W86" s="72"/>
      <c r="X86" s="72"/>
      <c r="Y86" s="72"/>
      <c r="Z86" s="72"/>
      <c r="AA86" s="72"/>
      <c r="AB86" s="72"/>
      <c r="AC86" s="72"/>
      <c r="AD86" s="72"/>
      <c r="AE86" s="72"/>
      <c r="AF86" s="72"/>
      <c r="AG86" s="72"/>
      <c r="AH86" s="72"/>
      <c r="AI86" s="72"/>
      <c r="AJ86" s="72"/>
      <c r="AK86" s="72"/>
      <c r="AL86" s="72"/>
      <c r="AM86" s="72"/>
      <c r="AN86" s="72"/>
      <c r="AO86" s="72"/>
      <c r="AP86" s="72"/>
      <c r="AQ86" s="72"/>
      <c r="AR86" s="72"/>
      <c r="AS86" s="72"/>
      <c r="AT86" s="72"/>
      <c r="AU86" s="72"/>
      <c r="AV86" s="72"/>
    </row>
    <row r="87" spans="1:48" s="37" customFormat="1" ht="16.5" x14ac:dyDescent="0.3">
      <c r="A87" s="72"/>
      <c r="B87" s="72"/>
      <c r="C87" s="72"/>
      <c r="D87" s="72"/>
      <c r="E87" s="72"/>
      <c r="F87" s="72"/>
      <c r="G87" s="72"/>
      <c r="H87" s="72"/>
      <c r="I87" s="72"/>
      <c r="J87" s="72"/>
      <c r="K87" s="72"/>
      <c r="L87" s="72"/>
      <c r="M87" s="72"/>
      <c r="N87" s="72"/>
      <c r="O87" s="72"/>
      <c r="P87" s="72"/>
      <c r="Q87" s="72"/>
      <c r="R87" s="72"/>
      <c r="S87" s="72"/>
      <c r="T87" s="72"/>
      <c r="U87" s="72"/>
      <c r="V87" s="72"/>
      <c r="W87" s="72"/>
      <c r="X87" s="72"/>
      <c r="Y87" s="72"/>
      <c r="Z87" s="72"/>
      <c r="AA87" s="72"/>
      <c r="AB87" s="72"/>
      <c r="AC87" s="72"/>
      <c r="AD87" s="72"/>
      <c r="AE87" s="72"/>
      <c r="AF87" s="72"/>
      <c r="AG87" s="72"/>
      <c r="AH87" s="72"/>
      <c r="AI87" s="72"/>
      <c r="AJ87" s="72"/>
      <c r="AK87" s="72"/>
      <c r="AL87" s="72"/>
      <c r="AM87" s="72"/>
      <c r="AN87" s="72"/>
      <c r="AO87" s="72"/>
      <c r="AP87" s="72"/>
      <c r="AQ87" s="72"/>
      <c r="AR87" s="72"/>
      <c r="AS87" s="72"/>
      <c r="AT87" s="72"/>
      <c r="AU87" s="72"/>
      <c r="AV87" s="72"/>
    </row>
    <row r="88" spans="1:48" s="37" customFormat="1" ht="16.5" x14ac:dyDescent="0.3">
      <c r="A88" s="72"/>
      <c r="B88" s="72"/>
      <c r="C88" s="72"/>
      <c r="D88" s="72"/>
      <c r="E88" s="72"/>
      <c r="F88" s="72"/>
      <c r="G88" s="72"/>
      <c r="H88" s="72"/>
      <c r="I88" s="72"/>
      <c r="J88" s="72"/>
      <c r="K88" s="72"/>
      <c r="L88" s="72"/>
      <c r="M88" s="72"/>
      <c r="N88" s="72"/>
      <c r="O88" s="72"/>
      <c r="P88" s="72"/>
      <c r="Q88" s="72"/>
      <c r="R88" s="72"/>
      <c r="S88" s="72"/>
      <c r="T88" s="72"/>
      <c r="U88" s="72"/>
      <c r="V88" s="72"/>
      <c r="W88" s="72"/>
      <c r="X88" s="72"/>
      <c r="Y88" s="72"/>
      <c r="Z88" s="72"/>
      <c r="AA88" s="72"/>
      <c r="AB88" s="72"/>
      <c r="AC88" s="72"/>
      <c r="AD88" s="72"/>
      <c r="AE88" s="72"/>
      <c r="AF88" s="72"/>
      <c r="AG88" s="72"/>
      <c r="AH88" s="72"/>
      <c r="AI88" s="72"/>
      <c r="AJ88" s="72"/>
      <c r="AK88" s="72"/>
      <c r="AL88" s="72"/>
      <c r="AM88" s="72"/>
      <c r="AN88" s="72"/>
      <c r="AO88" s="72"/>
      <c r="AP88" s="72"/>
      <c r="AQ88" s="72"/>
      <c r="AR88" s="72"/>
      <c r="AS88" s="72"/>
      <c r="AT88" s="72"/>
      <c r="AU88" s="72"/>
      <c r="AV88" s="72"/>
    </row>
    <row r="89" spans="1:48" s="37" customFormat="1" ht="16.5" x14ac:dyDescent="0.3">
      <c r="A89" s="72"/>
      <c r="B89" s="72"/>
      <c r="C89" s="72"/>
      <c r="D89" s="72"/>
      <c r="E89" s="72"/>
      <c r="F89" s="72"/>
      <c r="G89" s="72"/>
      <c r="H89" s="72"/>
      <c r="I89" s="72"/>
      <c r="J89" s="72"/>
      <c r="K89" s="72"/>
      <c r="L89" s="72"/>
      <c r="M89" s="72"/>
      <c r="N89" s="72"/>
      <c r="O89" s="72"/>
      <c r="P89" s="72"/>
      <c r="Q89" s="72"/>
      <c r="R89" s="72"/>
      <c r="S89" s="72"/>
      <c r="T89" s="72"/>
      <c r="U89" s="72"/>
      <c r="V89" s="72"/>
      <c r="W89" s="72"/>
      <c r="X89" s="72"/>
      <c r="Y89" s="72"/>
      <c r="Z89" s="72"/>
      <c r="AA89" s="72"/>
      <c r="AB89" s="72"/>
      <c r="AC89" s="72"/>
      <c r="AD89" s="72"/>
      <c r="AE89" s="72"/>
      <c r="AF89" s="72"/>
      <c r="AG89" s="72"/>
      <c r="AH89" s="72"/>
      <c r="AI89" s="72"/>
      <c r="AJ89" s="72"/>
      <c r="AK89" s="72"/>
      <c r="AL89" s="72"/>
      <c r="AM89" s="72"/>
      <c r="AN89" s="72"/>
      <c r="AO89" s="72"/>
      <c r="AP89" s="72"/>
      <c r="AQ89" s="72"/>
      <c r="AR89" s="72"/>
      <c r="AS89" s="72"/>
      <c r="AT89" s="72"/>
      <c r="AU89" s="72"/>
      <c r="AV89" s="72"/>
    </row>
    <row r="90" spans="1:48" s="37" customFormat="1" ht="16.5" x14ac:dyDescent="0.3">
      <c r="A90" s="72"/>
      <c r="B90" s="72"/>
      <c r="C90" s="72"/>
      <c r="D90" s="72"/>
      <c r="E90" s="72"/>
      <c r="F90" s="72"/>
      <c r="G90" s="72"/>
      <c r="H90" s="72"/>
      <c r="I90" s="72"/>
      <c r="J90" s="72"/>
      <c r="K90" s="72"/>
      <c r="L90" s="72"/>
      <c r="M90" s="72"/>
      <c r="N90" s="72"/>
      <c r="O90" s="72"/>
      <c r="P90" s="72"/>
      <c r="Q90" s="72"/>
      <c r="R90" s="72"/>
      <c r="S90" s="72"/>
      <c r="T90" s="72"/>
      <c r="U90" s="72"/>
      <c r="V90" s="72"/>
      <c r="W90" s="72"/>
      <c r="X90" s="72"/>
      <c r="Y90" s="72"/>
      <c r="Z90" s="72"/>
      <c r="AA90" s="72"/>
      <c r="AB90" s="72"/>
      <c r="AC90" s="72"/>
      <c r="AD90" s="72"/>
      <c r="AE90" s="72"/>
      <c r="AF90" s="72"/>
      <c r="AG90" s="72"/>
      <c r="AH90" s="72"/>
      <c r="AI90" s="72"/>
      <c r="AJ90" s="72"/>
      <c r="AK90" s="72"/>
      <c r="AL90" s="72"/>
      <c r="AM90" s="72"/>
      <c r="AN90" s="72"/>
      <c r="AO90" s="72"/>
      <c r="AP90" s="72"/>
      <c r="AQ90" s="72"/>
      <c r="AR90" s="72"/>
      <c r="AS90" s="72"/>
      <c r="AT90" s="72"/>
      <c r="AU90" s="72"/>
      <c r="AV90" s="72"/>
    </row>
    <row r="91" spans="1:48" s="37" customFormat="1" ht="16.5" x14ac:dyDescent="0.3">
      <c r="A91" s="72"/>
      <c r="B91" s="72"/>
      <c r="C91" s="72"/>
      <c r="D91" s="72"/>
      <c r="E91" s="72"/>
      <c r="F91" s="72"/>
      <c r="G91" s="72"/>
      <c r="H91" s="72"/>
      <c r="I91" s="72"/>
      <c r="J91" s="72"/>
      <c r="K91" s="72"/>
      <c r="L91" s="72"/>
      <c r="M91" s="72"/>
      <c r="N91" s="72"/>
      <c r="O91" s="72"/>
      <c r="P91" s="72"/>
      <c r="Q91" s="72"/>
      <c r="R91" s="72"/>
      <c r="S91" s="72"/>
      <c r="T91" s="72"/>
      <c r="U91" s="72"/>
      <c r="V91" s="72"/>
      <c r="W91" s="72"/>
      <c r="X91" s="72"/>
      <c r="Y91" s="72"/>
      <c r="Z91" s="72"/>
      <c r="AA91" s="72"/>
      <c r="AB91" s="72"/>
      <c r="AC91" s="72"/>
      <c r="AD91" s="72"/>
      <c r="AE91" s="72"/>
      <c r="AF91" s="72"/>
      <c r="AG91" s="72"/>
      <c r="AH91" s="72"/>
      <c r="AI91" s="72"/>
      <c r="AJ91" s="72"/>
      <c r="AK91" s="72"/>
      <c r="AL91" s="72"/>
      <c r="AM91" s="72"/>
      <c r="AN91" s="72"/>
      <c r="AO91" s="72"/>
      <c r="AP91" s="72"/>
      <c r="AQ91" s="72"/>
      <c r="AR91" s="72"/>
      <c r="AS91" s="72"/>
      <c r="AT91" s="72"/>
      <c r="AU91" s="72"/>
      <c r="AV91" s="72"/>
    </row>
    <row r="92" spans="1:48" s="37" customFormat="1" ht="16.5" x14ac:dyDescent="0.3">
      <c r="A92" s="72"/>
      <c r="B92" s="72"/>
      <c r="C92" s="72"/>
      <c r="D92" s="72"/>
      <c r="E92" s="72"/>
      <c r="F92" s="72"/>
      <c r="G92" s="72"/>
      <c r="H92" s="72"/>
      <c r="I92" s="72"/>
      <c r="J92" s="72"/>
      <c r="K92" s="72"/>
      <c r="L92" s="72"/>
      <c r="M92" s="72"/>
      <c r="N92" s="72"/>
      <c r="O92" s="72"/>
      <c r="P92" s="72"/>
      <c r="Q92" s="72"/>
      <c r="R92" s="72"/>
      <c r="S92" s="72"/>
      <c r="T92" s="72"/>
      <c r="U92" s="72"/>
      <c r="V92" s="72"/>
      <c r="W92" s="72"/>
      <c r="X92" s="72"/>
      <c r="Y92" s="72"/>
      <c r="Z92" s="72"/>
      <c r="AA92" s="72"/>
      <c r="AB92" s="72"/>
      <c r="AC92" s="72"/>
      <c r="AD92" s="72"/>
      <c r="AE92" s="72"/>
      <c r="AF92" s="72"/>
      <c r="AG92" s="72"/>
      <c r="AH92" s="72"/>
      <c r="AI92" s="72"/>
      <c r="AJ92" s="72"/>
      <c r="AK92" s="72"/>
      <c r="AL92" s="72"/>
      <c r="AM92" s="72"/>
      <c r="AN92" s="72"/>
      <c r="AO92" s="72"/>
      <c r="AP92" s="72"/>
      <c r="AQ92" s="72"/>
      <c r="AR92" s="72"/>
      <c r="AS92" s="72"/>
      <c r="AT92" s="72"/>
      <c r="AU92" s="72"/>
      <c r="AV92" s="72"/>
    </row>
    <row r="93" spans="1:48" s="37" customFormat="1" ht="16.5" x14ac:dyDescent="0.3">
      <c r="A93" s="72"/>
      <c r="B93" s="72"/>
      <c r="C93" s="72"/>
      <c r="D93" s="72"/>
      <c r="E93" s="72"/>
      <c r="F93" s="72"/>
      <c r="G93" s="72"/>
      <c r="H93" s="72"/>
      <c r="I93" s="72"/>
      <c r="J93" s="72"/>
      <c r="K93" s="72"/>
      <c r="L93" s="72"/>
      <c r="M93" s="72"/>
      <c r="N93" s="72"/>
      <c r="O93" s="72"/>
      <c r="P93" s="72"/>
      <c r="Q93" s="72"/>
      <c r="R93" s="72"/>
      <c r="S93" s="72"/>
      <c r="T93" s="72"/>
      <c r="U93" s="72"/>
      <c r="V93" s="72"/>
      <c r="W93" s="72"/>
      <c r="X93" s="72"/>
      <c r="Y93" s="72"/>
      <c r="Z93" s="72"/>
      <c r="AA93" s="72"/>
      <c r="AB93" s="72"/>
      <c r="AC93" s="72"/>
      <c r="AD93" s="72"/>
      <c r="AE93" s="72"/>
      <c r="AF93" s="72"/>
      <c r="AG93" s="72"/>
      <c r="AH93" s="72"/>
      <c r="AI93" s="72"/>
      <c r="AJ93" s="72"/>
      <c r="AK93" s="72"/>
      <c r="AL93" s="72"/>
      <c r="AM93" s="72"/>
      <c r="AN93" s="72"/>
      <c r="AO93" s="72"/>
      <c r="AP93" s="72"/>
      <c r="AQ93" s="72"/>
      <c r="AR93" s="72"/>
      <c r="AS93" s="72"/>
      <c r="AT93" s="72"/>
      <c r="AU93" s="72"/>
      <c r="AV93" s="72"/>
    </row>
    <row r="94" spans="1:48" s="37" customFormat="1" ht="16.5" x14ac:dyDescent="0.3">
      <c r="A94" s="72"/>
      <c r="B94" s="72"/>
      <c r="C94" s="72"/>
      <c r="D94" s="72"/>
      <c r="E94" s="72"/>
      <c r="F94" s="72"/>
      <c r="G94" s="72"/>
      <c r="H94" s="72"/>
      <c r="I94" s="72"/>
      <c r="J94" s="72"/>
      <c r="K94" s="72"/>
      <c r="L94" s="72"/>
      <c r="M94" s="72"/>
      <c r="N94" s="72"/>
      <c r="O94" s="72"/>
      <c r="P94" s="72"/>
      <c r="Q94" s="72"/>
      <c r="R94" s="72"/>
      <c r="S94" s="72"/>
      <c r="T94" s="72"/>
      <c r="U94" s="72"/>
      <c r="V94" s="72"/>
      <c r="W94" s="72"/>
      <c r="X94" s="72"/>
      <c r="Y94" s="72"/>
      <c r="Z94" s="72"/>
      <c r="AA94" s="72"/>
      <c r="AB94" s="72"/>
      <c r="AC94" s="72"/>
      <c r="AD94" s="72"/>
      <c r="AE94" s="72"/>
      <c r="AF94" s="72"/>
      <c r="AG94" s="72"/>
      <c r="AH94" s="72"/>
      <c r="AI94" s="72"/>
      <c r="AJ94" s="72"/>
      <c r="AK94" s="72"/>
      <c r="AL94" s="72"/>
      <c r="AM94" s="72"/>
      <c r="AN94" s="72"/>
      <c r="AO94" s="72"/>
      <c r="AP94" s="72"/>
      <c r="AQ94" s="72"/>
      <c r="AR94" s="72"/>
      <c r="AS94" s="72"/>
      <c r="AT94" s="72"/>
      <c r="AU94" s="72"/>
      <c r="AV94" s="72"/>
    </row>
    <row r="95" spans="1:48" s="37" customFormat="1" ht="16.5" x14ac:dyDescent="0.3">
      <c r="A95" s="72"/>
      <c r="B95" s="72"/>
      <c r="C95" s="72"/>
      <c r="D95" s="72"/>
      <c r="E95" s="72"/>
      <c r="F95" s="72"/>
      <c r="G95" s="72"/>
      <c r="H95" s="72"/>
      <c r="I95" s="72"/>
      <c r="J95" s="72"/>
      <c r="K95" s="72"/>
      <c r="L95" s="72"/>
      <c r="M95" s="72"/>
      <c r="N95" s="72"/>
      <c r="O95" s="72"/>
      <c r="P95" s="72"/>
      <c r="Q95" s="72"/>
      <c r="R95" s="72"/>
      <c r="S95" s="72"/>
      <c r="T95" s="72"/>
      <c r="U95" s="72"/>
      <c r="V95" s="72"/>
      <c r="W95" s="72"/>
      <c r="X95" s="72"/>
      <c r="Y95" s="72"/>
      <c r="Z95" s="72"/>
      <c r="AA95" s="72"/>
      <c r="AB95" s="72"/>
      <c r="AC95" s="72"/>
      <c r="AD95" s="72"/>
      <c r="AE95" s="72"/>
      <c r="AF95" s="72"/>
      <c r="AG95" s="72"/>
      <c r="AH95" s="72"/>
      <c r="AI95" s="72"/>
      <c r="AJ95" s="72"/>
      <c r="AK95" s="72"/>
      <c r="AL95" s="72"/>
      <c r="AM95" s="72"/>
      <c r="AN95" s="72"/>
      <c r="AO95" s="72"/>
      <c r="AP95" s="72"/>
      <c r="AQ95" s="72"/>
      <c r="AR95" s="72"/>
      <c r="AS95" s="72"/>
      <c r="AT95" s="72"/>
      <c r="AU95" s="72"/>
      <c r="AV95" s="72"/>
    </row>
    <row r="96" spans="1:48" s="37" customFormat="1" ht="16.5" x14ac:dyDescent="0.3">
      <c r="A96" s="72"/>
      <c r="B96" s="72"/>
      <c r="C96" s="72"/>
      <c r="D96" s="72"/>
      <c r="E96" s="72"/>
      <c r="F96" s="72"/>
      <c r="G96" s="72"/>
      <c r="H96" s="72"/>
      <c r="I96" s="72"/>
      <c r="J96" s="72"/>
      <c r="K96" s="72"/>
      <c r="L96" s="72"/>
      <c r="M96" s="72"/>
      <c r="N96" s="72"/>
      <c r="O96" s="72"/>
      <c r="P96" s="72"/>
      <c r="Q96" s="72"/>
      <c r="R96" s="72"/>
      <c r="S96" s="72"/>
      <c r="T96" s="72"/>
      <c r="U96" s="72"/>
      <c r="V96" s="72"/>
      <c r="W96" s="72"/>
      <c r="X96" s="72"/>
      <c r="Y96" s="72"/>
      <c r="Z96" s="72"/>
      <c r="AA96" s="72"/>
      <c r="AB96" s="72"/>
      <c r="AC96" s="72"/>
      <c r="AD96" s="72"/>
      <c r="AE96" s="72"/>
      <c r="AF96" s="72"/>
      <c r="AG96" s="72"/>
      <c r="AH96" s="72"/>
      <c r="AI96" s="72"/>
      <c r="AJ96" s="72"/>
      <c r="AK96" s="72"/>
      <c r="AL96" s="72"/>
      <c r="AM96" s="72"/>
      <c r="AN96" s="72"/>
      <c r="AO96" s="72"/>
      <c r="AP96" s="72"/>
      <c r="AQ96" s="72"/>
      <c r="AR96" s="72"/>
      <c r="AS96" s="72"/>
      <c r="AT96" s="72"/>
      <c r="AU96" s="72"/>
      <c r="AV96" s="72"/>
    </row>
    <row r="97" spans="1:48" s="37" customFormat="1" ht="16.5" x14ac:dyDescent="0.3">
      <c r="A97" s="72"/>
      <c r="B97" s="72"/>
      <c r="C97" s="72"/>
      <c r="D97" s="72"/>
      <c r="E97" s="72"/>
      <c r="F97" s="72"/>
      <c r="G97" s="72"/>
      <c r="H97" s="72"/>
      <c r="I97" s="72"/>
      <c r="J97" s="72"/>
      <c r="K97" s="72"/>
      <c r="L97" s="72"/>
      <c r="M97" s="72"/>
      <c r="N97" s="72"/>
      <c r="O97" s="72"/>
      <c r="P97" s="72"/>
      <c r="Q97" s="72"/>
      <c r="R97" s="72"/>
      <c r="S97" s="72"/>
      <c r="T97" s="72"/>
      <c r="U97" s="72"/>
      <c r="V97" s="72"/>
      <c r="W97" s="72"/>
      <c r="X97" s="72"/>
      <c r="Y97" s="72"/>
      <c r="Z97" s="72"/>
      <c r="AA97" s="72"/>
      <c r="AB97" s="72"/>
      <c r="AC97" s="72"/>
      <c r="AD97" s="72"/>
      <c r="AE97" s="72"/>
      <c r="AF97" s="72"/>
      <c r="AG97" s="72"/>
      <c r="AH97" s="72"/>
      <c r="AI97" s="72"/>
      <c r="AJ97" s="72"/>
      <c r="AK97" s="72"/>
      <c r="AL97" s="72"/>
      <c r="AM97" s="72"/>
      <c r="AN97" s="72"/>
      <c r="AO97" s="72"/>
      <c r="AP97" s="72"/>
      <c r="AQ97" s="72"/>
      <c r="AR97" s="72"/>
      <c r="AS97" s="72"/>
      <c r="AT97" s="72"/>
      <c r="AU97" s="72"/>
      <c r="AV97" s="72"/>
    </row>
    <row r="98" spans="1:48" s="37" customFormat="1" ht="16.5" x14ac:dyDescent="0.3">
      <c r="A98" s="72"/>
      <c r="B98" s="72"/>
      <c r="C98" s="72"/>
      <c r="D98" s="72"/>
      <c r="E98" s="72"/>
      <c r="F98" s="72"/>
      <c r="G98" s="72"/>
      <c r="H98" s="72"/>
      <c r="I98" s="72"/>
      <c r="J98" s="72"/>
      <c r="K98" s="72"/>
      <c r="L98" s="72"/>
      <c r="M98" s="72"/>
      <c r="N98" s="72"/>
      <c r="O98" s="72"/>
      <c r="P98" s="72"/>
      <c r="Q98" s="72"/>
      <c r="R98" s="72"/>
      <c r="S98" s="72"/>
      <c r="T98" s="72"/>
      <c r="U98" s="72"/>
      <c r="V98" s="72"/>
      <c r="W98" s="72"/>
      <c r="X98" s="72"/>
      <c r="Y98" s="72"/>
      <c r="Z98" s="72"/>
      <c r="AA98" s="72"/>
      <c r="AB98" s="72"/>
      <c r="AC98" s="72"/>
      <c r="AD98" s="72"/>
      <c r="AE98" s="72"/>
      <c r="AF98" s="72"/>
      <c r="AG98" s="72"/>
      <c r="AH98" s="72"/>
      <c r="AI98" s="72"/>
      <c r="AJ98" s="72"/>
      <c r="AK98" s="72"/>
      <c r="AL98" s="72"/>
      <c r="AM98" s="72"/>
      <c r="AN98" s="72"/>
      <c r="AO98" s="72"/>
      <c r="AP98" s="72"/>
      <c r="AQ98" s="72"/>
      <c r="AR98" s="72"/>
      <c r="AS98" s="72"/>
      <c r="AT98" s="72"/>
      <c r="AU98" s="72"/>
      <c r="AV98" s="72"/>
    </row>
    <row r="99" spans="1:48" s="37" customFormat="1" ht="16.5" x14ac:dyDescent="0.3">
      <c r="A99" s="72"/>
      <c r="B99" s="72"/>
      <c r="C99" s="72"/>
      <c r="D99" s="72"/>
      <c r="E99" s="72"/>
      <c r="F99" s="72"/>
      <c r="G99" s="72"/>
      <c r="H99" s="72"/>
      <c r="I99" s="72"/>
      <c r="J99" s="72"/>
      <c r="K99" s="72"/>
      <c r="L99" s="72"/>
      <c r="M99" s="72"/>
      <c r="N99" s="72"/>
      <c r="O99" s="72"/>
      <c r="P99" s="72"/>
      <c r="Q99" s="72"/>
      <c r="R99" s="72"/>
      <c r="S99" s="72"/>
      <c r="T99" s="72"/>
      <c r="U99" s="72"/>
      <c r="V99" s="72"/>
      <c r="W99" s="72"/>
      <c r="X99" s="72"/>
      <c r="Y99" s="72"/>
      <c r="Z99" s="72"/>
      <c r="AA99" s="72"/>
      <c r="AB99" s="72"/>
      <c r="AC99" s="72"/>
      <c r="AD99" s="72"/>
      <c r="AE99" s="72"/>
      <c r="AF99" s="72"/>
      <c r="AG99" s="72"/>
      <c r="AH99" s="72"/>
      <c r="AI99" s="72"/>
      <c r="AJ99" s="72"/>
      <c r="AK99" s="72"/>
      <c r="AL99" s="72"/>
      <c r="AM99" s="72"/>
      <c r="AN99" s="72"/>
      <c r="AO99" s="72"/>
      <c r="AP99" s="72"/>
      <c r="AQ99" s="72"/>
      <c r="AR99" s="72"/>
      <c r="AS99" s="72"/>
      <c r="AT99" s="72"/>
      <c r="AU99" s="72"/>
      <c r="AV99" s="72"/>
    </row>
    <row r="100" spans="1:48" s="37" customFormat="1" ht="16.5" x14ac:dyDescent="0.3">
      <c r="A100" s="72"/>
      <c r="B100" s="72"/>
      <c r="C100" s="72"/>
      <c r="D100" s="72"/>
      <c r="E100" s="72"/>
      <c r="F100" s="72"/>
      <c r="G100" s="72"/>
      <c r="H100" s="72"/>
      <c r="I100" s="72"/>
      <c r="J100" s="72"/>
      <c r="K100" s="72"/>
      <c r="L100" s="72"/>
      <c r="M100" s="72"/>
      <c r="N100" s="72"/>
      <c r="O100" s="72"/>
      <c r="P100" s="72"/>
      <c r="Q100" s="72"/>
      <c r="R100" s="72"/>
      <c r="S100" s="72"/>
      <c r="T100" s="72"/>
      <c r="U100" s="72"/>
      <c r="V100" s="72"/>
      <c r="W100" s="72"/>
      <c r="X100" s="72"/>
      <c r="Y100" s="72"/>
      <c r="Z100" s="72"/>
      <c r="AA100" s="72"/>
      <c r="AB100" s="72"/>
      <c r="AC100" s="72"/>
      <c r="AD100" s="72"/>
      <c r="AE100" s="72"/>
      <c r="AF100" s="72"/>
      <c r="AG100" s="72"/>
      <c r="AH100" s="72"/>
      <c r="AI100" s="72"/>
      <c r="AJ100" s="72"/>
      <c r="AK100" s="72"/>
      <c r="AL100" s="72"/>
      <c r="AM100" s="72"/>
      <c r="AN100" s="72"/>
      <c r="AO100" s="72"/>
      <c r="AP100" s="72"/>
      <c r="AQ100" s="72"/>
      <c r="AR100" s="72"/>
      <c r="AS100" s="72"/>
      <c r="AT100" s="72"/>
      <c r="AU100" s="72"/>
      <c r="AV100" s="72"/>
    </row>
    <row r="101" spans="1:48" s="37" customFormat="1" ht="16.5" x14ac:dyDescent="0.3">
      <c r="A101" s="72"/>
      <c r="B101" s="72"/>
      <c r="C101" s="72"/>
      <c r="D101" s="72"/>
      <c r="E101" s="72"/>
      <c r="F101" s="72"/>
      <c r="G101" s="72"/>
      <c r="H101" s="72"/>
      <c r="I101" s="72"/>
      <c r="J101" s="72"/>
      <c r="K101" s="72"/>
      <c r="L101" s="72"/>
      <c r="M101" s="72"/>
      <c r="N101" s="72"/>
      <c r="O101" s="72"/>
      <c r="P101" s="72"/>
      <c r="Q101" s="72"/>
      <c r="R101" s="72"/>
      <c r="S101" s="72"/>
      <c r="T101" s="72"/>
      <c r="U101" s="72"/>
      <c r="V101" s="72"/>
      <c r="W101" s="72"/>
      <c r="X101" s="72"/>
      <c r="Y101" s="72"/>
      <c r="Z101" s="72"/>
      <c r="AA101" s="72"/>
      <c r="AB101" s="72"/>
      <c r="AC101" s="72"/>
      <c r="AD101" s="72"/>
      <c r="AE101" s="72"/>
      <c r="AF101" s="72"/>
      <c r="AG101" s="72"/>
      <c r="AH101" s="72"/>
      <c r="AI101" s="72"/>
      <c r="AJ101" s="72"/>
      <c r="AK101" s="72"/>
      <c r="AL101" s="72"/>
      <c r="AM101" s="72"/>
      <c r="AN101" s="72"/>
      <c r="AO101" s="72"/>
      <c r="AP101" s="72"/>
      <c r="AQ101" s="72"/>
      <c r="AR101" s="72"/>
      <c r="AS101" s="72"/>
      <c r="AT101" s="72"/>
      <c r="AU101" s="72"/>
      <c r="AV101" s="72"/>
    </row>
    <row r="102" spans="1:48" s="37" customFormat="1" ht="16.5" x14ac:dyDescent="0.3">
      <c r="A102" s="72"/>
      <c r="B102" s="72"/>
      <c r="C102" s="72"/>
      <c r="D102" s="72"/>
      <c r="E102" s="72"/>
      <c r="F102" s="72"/>
      <c r="G102" s="72"/>
      <c r="H102" s="72"/>
      <c r="I102" s="72"/>
      <c r="J102" s="72"/>
      <c r="K102" s="72"/>
      <c r="L102" s="72"/>
      <c r="M102" s="72"/>
      <c r="N102" s="72"/>
      <c r="O102" s="72"/>
      <c r="P102" s="72"/>
      <c r="Q102" s="72"/>
      <c r="R102" s="72"/>
      <c r="S102" s="72"/>
      <c r="T102" s="72"/>
      <c r="U102" s="72"/>
      <c r="V102" s="72"/>
      <c r="W102" s="72"/>
      <c r="X102" s="72"/>
      <c r="Y102" s="72"/>
      <c r="Z102" s="72"/>
      <c r="AA102" s="72"/>
      <c r="AB102" s="72"/>
      <c r="AC102" s="72"/>
      <c r="AD102" s="72"/>
      <c r="AE102" s="72"/>
      <c r="AF102" s="72"/>
      <c r="AG102" s="72"/>
      <c r="AH102" s="72"/>
      <c r="AI102" s="72"/>
      <c r="AJ102" s="72"/>
      <c r="AK102" s="72"/>
      <c r="AL102" s="72"/>
      <c r="AM102" s="72"/>
      <c r="AN102" s="72"/>
      <c r="AO102" s="72"/>
      <c r="AP102" s="72"/>
      <c r="AQ102" s="72"/>
      <c r="AR102" s="72"/>
      <c r="AS102" s="72"/>
      <c r="AT102" s="72"/>
      <c r="AU102" s="72"/>
      <c r="AV102" s="72"/>
    </row>
    <row r="103" spans="1:48" s="37" customFormat="1" ht="16.5" x14ac:dyDescent="0.3">
      <c r="A103" s="72"/>
      <c r="B103" s="72"/>
      <c r="C103" s="72"/>
      <c r="D103" s="72"/>
      <c r="E103" s="72"/>
      <c r="F103" s="72"/>
      <c r="G103" s="72"/>
      <c r="H103" s="72"/>
      <c r="I103" s="72"/>
      <c r="J103" s="72"/>
      <c r="K103" s="72"/>
      <c r="L103" s="72"/>
      <c r="M103" s="72"/>
      <c r="N103" s="72"/>
      <c r="O103" s="72"/>
      <c r="P103" s="72"/>
      <c r="Q103" s="72"/>
      <c r="R103" s="72"/>
      <c r="S103" s="72"/>
      <c r="T103" s="72"/>
      <c r="U103" s="72"/>
      <c r="V103" s="72"/>
      <c r="W103" s="72"/>
      <c r="X103" s="72"/>
      <c r="Y103" s="72"/>
      <c r="Z103" s="72"/>
      <c r="AA103" s="72"/>
      <c r="AB103" s="72"/>
      <c r="AC103" s="72"/>
      <c r="AD103" s="72"/>
      <c r="AE103" s="72"/>
      <c r="AF103" s="72"/>
      <c r="AG103" s="72"/>
      <c r="AH103" s="72"/>
      <c r="AI103" s="72"/>
      <c r="AJ103" s="72"/>
      <c r="AK103" s="72"/>
      <c r="AL103" s="72"/>
      <c r="AM103" s="72"/>
      <c r="AN103" s="72"/>
      <c r="AO103" s="72"/>
      <c r="AP103" s="72"/>
      <c r="AQ103" s="72"/>
      <c r="AR103" s="72"/>
      <c r="AS103" s="72"/>
      <c r="AT103" s="72"/>
      <c r="AU103" s="72"/>
      <c r="AV103" s="72"/>
    </row>
    <row r="104" spans="1:48" s="37" customFormat="1" ht="16.5" x14ac:dyDescent="0.3">
      <c r="A104" s="72"/>
      <c r="B104" s="72"/>
      <c r="C104" s="72"/>
      <c r="D104" s="72"/>
      <c r="E104" s="72"/>
      <c r="F104" s="72"/>
      <c r="G104" s="72"/>
      <c r="H104" s="72"/>
      <c r="I104" s="72"/>
      <c r="J104" s="72"/>
      <c r="K104" s="72"/>
      <c r="L104" s="72"/>
      <c r="M104" s="72"/>
      <c r="N104" s="72"/>
      <c r="O104" s="72"/>
      <c r="P104" s="72"/>
      <c r="Q104" s="72"/>
      <c r="R104" s="72"/>
      <c r="S104" s="72"/>
      <c r="T104" s="72"/>
      <c r="U104" s="72"/>
      <c r="V104" s="72"/>
      <c r="W104" s="72"/>
      <c r="X104" s="72"/>
      <c r="Y104" s="72"/>
      <c r="Z104" s="72"/>
      <c r="AA104" s="72"/>
      <c r="AB104" s="72"/>
      <c r="AC104" s="72"/>
      <c r="AD104" s="72"/>
      <c r="AE104" s="72"/>
      <c r="AF104" s="72"/>
      <c r="AG104" s="72"/>
      <c r="AH104" s="72"/>
      <c r="AI104" s="72"/>
      <c r="AJ104" s="72"/>
      <c r="AK104" s="72"/>
      <c r="AL104" s="72"/>
      <c r="AM104" s="72"/>
      <c r="AN104" s="72"/>
      <c r="AO104" s="72"/>
      <c r="AP104" s="72"/>
      <c r="AQ104" s="72"/>
      <c r="AR104" s="72"/>
      <c r="AS104" s="72"/>
      <c r="AT104" s="72"/>
      <c r="AU104" s="72"/>
      <c r="AV104" s="72"/>
    </row>
    <row r="105" spans="1:48" s="37" customFormat="1" ht="16.5" x14ac:dyDescent="0.3">
      <c r="A105" s="72"/>
      <c r="B105" s="72"/>
      <c r="C105" s="72"/>
      <c r="D105" s="72"/>
      <c r="E105" s="72"/>
      <c r="F105" s="72"/>
      <c r="G105" s="72"/>
      <c r="H105" s="72"/>
      <c r="I105" s="72"/>
      <c r="J105" s="72"/>
      <c r="K105" s="72"/>
      <c r="L105" s="72"/>
      <c r="M105" s="72"/>
      <c r="N105" s="72"/>
      <c r="O105" s="72"/>
      <c r="P105" s="72"/>
      <c r="Q105" s="72"/>
      <c r="R105" s="72"/>
      <c r="S105" s="72"/>
      <c r="T105" s="72"/>
      <c r="U105" s="72"/>
      <c r="V105" s="72"/>
      <c r="W105" s="72"/>
      <c r="X105" s="72"/>
      <c r="Y105" s="72"/>
      <c r="Z105" s="72"/>
      <c r="AA105" s="72"/>
      <c r="AB105" s="72"/>
      <c r="AC105" s="72"/>
      <c r="AD105" s="72"/>
      <c r="AE105" s="72"/>
      <c r="AF105" s="72"/>
      <c r="AG105" s="72"/>
      <c r="AH105" s="72"/>
      <c r="AI105" s="72"/>
      <c r="AJ105" s="72"/>
      <c r="AK105" s="72"/>
      <c r="AL105" s="72"/>
      <c r="AM105" s="72"/>
      <c r="AN105" s="72"/>
      <c r="AO105" s="72"/>
      <c r="AP105" s="72"/>
      <c r="AQ105" s="72"/>
      <c r="AR105" s="72"/>
      <c r="AS105" s="72"/>
      <c r="AT105" s="72"/>
      <c r="AU105" s="72"/>
      <c r="AV105" s="72"/>
    </row>
    <row r="106" spans="1:48" s="37" customFormat="1" ht="16.5" x14ac:dyDescent="0.3">
      <c r="A106" s="72"/>
      <c r="B106" s="72"/>
      <c r="C106" s="72"/>
      <c r="D106" s="72"/>
      <c r="E106" s="72"/>
      <c r="F106" s="72"/>
      <c r="G106" s="72"/>
      <c r="H106" s="72"/>
      <c r="I106" s="72"/>
      <c r="J106" s="72"/>
      <c r="K106" s="72"/>
      <c r="L106" s="72"/>
      <c r="M106" s="72"/>
      <c r="N106" s="72"/>
      <c r="O106" s="72"/>
      <c r="P106" s="72"/>
      <c r="Q106" s="72"/>
      <c r="R106" s="72"/>
      <c r="S106" s="72"/>
      <c r="T106" s="72"/>
      <c r="U106" s="72"/>
      <c r="V106" s="72"/>
      <c r="W106" s="72"/>
      <c r="X106" s="72"/>
      <c r="Y106" s="72"/>
      <c r="Z106" s="72"/>
      <c r="AA106" s="72"/>
      <c r="AB106" s="72"/>
      <c r="AC106" s="72"/>
      <c r="AD106" s="72"/>
      <c r="AE106" s="72"/>
      <c r="AF106" s="72"/>
      <c r="AG106" s="72"/>
      <c r="AH106" s="72"/>
      <c r="AI106" s="72"/>
      <c r="AJ106" s="72"/>
      <c r="AK106" s="72"/>
      <c r="AL106" s="72"/>
      <c r="AM106" s="72"/>
      <c r="AN106" s="72"/>
      <c r="AO106" s="72"/>
      <c r="AP106" s="72"/>
      <c r="AQ106" s="72"/>
      <c r="AR106" s="72"/>
      <c r="AS106" s="72"/>
      <c r="AT106" s="72"/>
      <c r="AU106" s="72"/>
      <c r="AV106" s="72"/>
    </row>
    <row r="107" spans="1:48" s="37" customFormat="1" ht="16.5" x14ac:dyDescent="0.3">
      <c r="A107" s="72"/>
      <c r="B107" s="72"/>
      <c r="C107" s="72"/>
      <c r="D107" s="72"/>
      <c r="E107" s="72"/>
      <c r="F107" s="72"/>
      <c r="G107" s="72"/>
      <c r="H107" s="72"/>
      <c r="I107" s="72"/>
      <c r="J107" s="72"/>
      <c r="K107" s="72"/>
      <c r="L107" s="72"/>
      <c r="M107" s="72"/>
      <c r="N107" s="72"/>
      <c r="O107" s="72"/>
      <c r="P107" s="72"/>
      <c r="Q107" s="72"/>
      <c r="R107" s="72"/>
      <c r="S107" s="72"/>
      <c r="T107" s="72"/>
      <c r="U107" s="72"/>
      <c r="V107" s="72"/>
      <c r="W107" s="72"/>
      <c r="X107" s="72"/>
      <c r="Y107" s="72"/>
      <c r="Z107" s="72"/>
      <c r="AA107" s="72"/>
      <c r="AB107" s="72"/>
      <c r="AC107" s="72"/>
      <c r="AD107" s="72"/>
      <c r="AE107" s="72"/>
      <c r="AF107" s="72"/>
      <c r="AG107" s="72"/>
      <c r="AH107" s="72"/>
      <c r="AI107" s="72"/>
      <c r="AJ107" s="72"/>
      <c r="AK107" s="72"/>
      <c r="AL107" s="72"/>
      <c r="AM107" s="72"/>
      <c r="AN107" s="72"/>
      <c r="AO107" s="72"/>
      <c r="AP107" s="72"/>
      <c r="AQ107" s="72"/>
      <c r="AR107" s="72"/>
      <c r="AS107" s="72"/>
      <c r="AT107" s="72"/>
      <c r="AU107" s="72"/>
      <c r="AV107" s="72"/>
    </row>
    <row r="108" spans="1:48" s="37" customFormat="1" ht="16.5" x14ac:dyDescent="0.3">
      <c r="A108" s="72"/>
      <c r="B108" s="72"/>
      <c r="C108" s="72"/>
      <c r="D108" s="72"/>
      <c r="E108" s="72"/>
      <c r="F108" s="72"/>
      <c r="G108" s="72"/>
      <c r="H108" s="72"/>
      <c r="I108" s="72"/>
      <c r="J108" s="72"/>
      <c r="K108" s="72"/>
      <c r="L108" s="72"/>
      <c r="M108" s="72"/>
      <c r="N108" s="72"/>
      <c r="O108" s="72"/>
      <c r="P108" s="72"/>
      <c r="Q108" s="72"/>
      <c r="R108" s="72"/>
      <c r="S108" s="72"/>
      <c r="T108" s="72"/>
      <c r="U108" s="72"/>
      <c r="V108" s="72"/>
      <c r="W108" s="72"/>
      <c r="X108" s="72"/>
      <c r="Y108" s="72"/>
      <c r="Z108" s="72"/>
      <c r="AA108" s="72"/>
      <c r="AB108" s="72"/>
      <c r="AC108" s="72"/>
      <c r="AD108" s="72"/>
      <c r="AE108" s="72"/>
      <c r="AF108" s="72"/>
      <c r="AG108" s="72"/>
      <c r="AH108" s="72"/>
      <c r="AI108" s="72"/>
      <c r="AJ108" s="72"/>
      <c r="AK108" s="72"/>
      <c r="AL108" s="72"/>
      <c r="AM108" s="72"/>
      <c r="AN108" s="72"/>
      <c r="AO108" s="72"/>
      <c r="AP108" s="72"/>
      <c r="AQ108" s="72"/>
      <c r="AR108" s="72"/>
      <c r="AS108" s="72"/>
      <c r="AT108" s="72"/>
      <c r="AU108" s="72"/>
      <c r="AV108" s="72"/>
    </row>
    <row r="109" spans="1:48" s="37" customFormat="1" ht="16.5" x14ac:dyDescent="0.3">
      <c r="A109" s="72"/>
      <c r="B109" s="72"/>
      <c r="C109" s="72"/>
      <c r="D109" s="72"/>
      <c r="E109" s="72"/>
      <c r="F109" s="72"/>
      <c r="G109" s="72"/>
      <c r="H109" s="72"/>
      <c r="I109" s="72"/>
      <c r="J109" s="72"/>
      <c r="K109" s="72"/>
      <c r="L109" s="72"/>
      <c r="M109" s="72"/>
      <c r="N109" s="72"/>
      <c r="O109" s="72"/>
      <c r="P109" s="72"/>
      <c r="Q109" s="72"/>
      <c r="R109" s="72"/>
      <c r="S109" s="72"/>
      <c r="T109" s="72"/>
      <c r="U109" s="72"/>
      <c r="V109" s="72"/>
      <c r="W109" s="72"/>
      <c r="X109" s="72"/>
      <c r="Y109" s="72"/>
      <c r="Z109" s="72"/>
      <c r="AA109" s="72"/>
      <c r="AB109" s="72"/>
      <c r="AC109" s="72"/>
      <c r="AD109" s="72"/>
      <c r="AE109" s="72"/>
      <c r="AF109" s="72"/>
      <c r="AG109" s="72"/>
      <c r="AH109" s="72"/>
      <c r="AI109" s="72"/>
      <c r="AJ109" s="72"/>
      <c r="AK109" s="72"/>
      <c r="AL109" s="72"/>
      <c r="AM109" s="72"/>
      <c r="AN109" s="72"/>
      <c r="AO109" s="72"/>
      <c r="AP109" s="72"/>
      <c r="AQ109" s="72"/>
      <c r="AR109" s="72"/>
      <c r="AS109" s="72"/>
      <c r="AT109" s="72"/>
      <c r="AU109" s="72"/>
      <c r="AV109" s="72"/>
    </row>
    <row r="110" spans="1:48" s="37" customFormat="1" ht="16.5" x14ac:dyDescent="0.3">
      <c r="A110" s="72"/>
      <c r="B110" s="72"/>
      <c r="C110" s="72"/>
      <c r="D110" s="72"/>
      <c r="E110" s="72"/>
      <c r="F110" s="72"/>
      <c r="G110" s="72"/>
      <c r="H110" s="72"/>
      <c r="I110" s="72"/>
      <c r="J110" s="72"/>
      <c r="K110" s="72"/>
      <c r="L110" s="72"/>
      <c r="M110" s="72"/>
      <c r="N110" s="72"/>
      <c r="O110" s="72"/>
      <c r="P110" s="72"/>
      <c r="Q110" s="72"/>
      <c r="R110" s="72"/>
      <c r="S110" s="72"/>
      <c r="T110" s="72"/>
      <c r="U110" s="72"/>
      <c r="V110" s="72"/>
      <c r="W110" s="72"/>
      <c r="X110" s="72"/>
      <c r="Y110" s="72"/>
      <c r="Z110" s="72"/>
      <c r="AA110" s="72"/>
      <c r="AB110" s="72"/>
      <c r="AC110" s="72"/>
      <c r="AD110" s="72"/>
      <c r="AE110" s="72"/>
      <c r="AF110" s="72"/>
      <c r="AG110" s="72"/>
      <c r="AH110" s="72"/>
      <c r="AI110" s="72"/>
      <c r="AJ110" s="72"/>
      <c r="AK110" s="72"/>
      <c r="AL110" s="72"/>
      <c r="AM110" s="72"/>
      <c r="AN110" s="72"/>
      <c r="AO110" s="72"/>
      <c r="AP110" s="72"/>
      <c r="AQ110" s="72"/>
      <c r="AR110" s="72"/>
      <c r="AS110" s="72"/>
      <c r="AT110" s="72"/>
      <c r="AU110" s="72"/>
      <c r="AV110" s="72"/>
    </row>
    <row r="111" spans="1:48" s="37" customFormat="1" ht="16.5" x14ac:dyDescent="0.3">
      <c r="A111" s="72"/>
      <c r="B111" s="72"/>
      <c r="C111" s="72"/>
      <c r="D111" s="72"/>
      <c r="E111" s="72"/>
      <c r="F111" s="72"/>
      <c r="G111" s="72"/>
      <c r="H111" s="72"/>
      <c r="I111" s="72"/>
      <c r="J111" s="72"/>
      <c r="K111" s="72"/>
      <c r="L111" s="72"/>
      <c r="M111" s="72"/>
      <c r="N111" s="72"/>
      <c r="O111" s="72"/>
      <c r="P111" s="72"/>
      <c r="Q111" s="72"/>
      <c r="R111" s="72"/>
      <c r="S111" s="72"/>
      <c r="T111" s="72"/>
      <c r="U111" s="72"/>
      <c r="V111" s="72"/>
      <c r="W111" s="72"/>
      <c r="X111" s="72"/>
      <c r="Y111" s="72"/>
      <c r="Z111" s="72"/>
      <c r="AA111" s="72"/>
      <c r="AB111" s="72"/>
      <c r="AC111" s="72"/>
      <c r="AD111" s="72"/>
      <c r="AE111" s="72"/>
      <c r="AF111" s="72"/>
      <c r="AG111" s="72"/>
      <c r="AH111" s="72"/>
      <c r="AI111" s="72"/>
      <c r="AJ111" s="72"/>
      <c r="AK111" s="72"/>
      <c r="AL111" s="72"/>
      <c r="AM111" s="72"/>
      <c r="AN111" s="72"/>
      <c r="AO111" s="72"/>
      <c r="AP111" s="72"/>
      <c r="AQ111" s="72"/>
      <c r="AR111" s="72"/>
      <c r="AS111" s="72"/>
      <c r="AT111" s="72"/>
      <c r="AU111" s="72"/>
      <c r="AV111" s="72"/>
    </row>
    <row r="112" spans="1:48" s="37" customFormat="1" ht="16.5" x14ac:dyDescent="0.3">
      <c r="A112" s="72"/>
      <c r="B112" s="72"/>
      <c r="C112" s="72"/>
      <c r="D112" s="72"/>
      <c r="E112" s="72"/>
      <c r="F112" s="72"/>
      <c r="G112" s="72"/>
      <c r="H112" s="72"/>
      <c r="I112" s="72"/>
      <c r="J112" s="72"/>
      <c r="K112" s="72"/>
      <c r="L112" s="72"/>
      <c r="M112" s="72"/>
      <c r="N112" s="72"/>
      <c r="O112" s="72"/>
      <c r="P112" s="72"/>
      <c r="Q112" s="72"/>
      <c r="R112" s="72"/>
      <c r="S112" s="72"/>
      <c r="T112" s="72"/>
      <c r="U112" s="72"/>
      <c r="V112" s="72"/>
      <c r="W112" s="72"/>
      <c r="X112" s="72"/>
      <c r="Y112" s="72"/>
      <c r="Z112" s="72"/>
      <c r="AA112" s="72"/>
      <c r="AB112" s="72"/>
      <c r="AC112" s="72"/>
      <c r="AD112" s="72"/>
      <c r="AE112" s="72"/>
      <c r="AF112" s="72"/>
      <c r="AG112" s="72"/>
      <c r="AH112" s="72"/>
      <c r="AI112" s="72"/>
      <c r="AJ112" s="72"/>
      <c r="AK112" s="72"/>
      <c r="AL112" s="72"/>
      <c r="AM112" s="72"/>
      <c r="AN112" s="72"/>
      <c r="AO112" s="72"/>
      <c r="AP112" s="72"/>
      <c r="AQ112" s="72"/>
      <c r="AR112" s="72"/>
      <c r="AS112" s="72"/>
      <c r="AT112" s="72"/>
      <c r="AU112" s="72"/>
      <c r="AV112" s="72"/>
    </row>
    <row r="113" spans="1:48" s="37" customFormat="1" ht="16.5" x14ac:dyDescent="0.3">
      <c r="A113" s="72"/>
      <c r="B113" s="72"/>
      <c r="C113" s="72"/>
      <c r="D113" s="72"/>
      <c r="E113" s="72"/>
      <c r="F113" s="72"/>
      <c r="G113" s="72"/>
      <c r="H113" s="72"/>
      <c r="I113" s="72"/>
      <c r="J113" s="72"/>
      <c r="K113" s="72"/>
      <c r="L113" s="72"/>
      <c r="M113" s="72"/>
      <c r="N113" s="72"/>
      <c r="O113" s="72"/>
      <c r="P113" s="72"/>
      <c r="Q113" s="72"/>
      <c r="R113" s="72"/>
      <c r="S113" s="72"/>
      <c r="T113" s="72"/>
      <c r="U113" s="72"/>
      <c r="V113" s="72"/>
      <c r="W113" s="72"/>
      <c r="X113" s="72"/>
      <c r="Y113" s="72"/>
      <c r="Z113" s="72"/>
      <c r="AA113" s="72"/>
      <c r="AB113" s="72"/>
      <c r="AC113" s="72"/>
      <c r="AD113" s="72"/>
      <c r="AE113" s="72"/>
      <c r="AF113" s="72"/>
      <c r="AG113" s="72"/>
      <c r="AH113" s="72"/>
      <c r="AI113" s="72"/>
      <c r="AJ113" s="72"/>
      <c r="AK113" s="72"/>
      <c r="AL113" s="72"/>
      <c r="AM113" s="72"/>
      <c r="AN113" s="72"/>
      <c r="AO113" s="72"/>
      <c r="AP113" s="72"/>
      <c r="AQ113" s="72"/>
      <c r="AR113" s="72"/>
      <c r="AS113" s="72"/>
      <c r="AT113" s="72"/>
      <c r="AU113" s="72"/>
      <c r="AV113" s="72"/>
    </row>
    <row r="114" spans="1:48" s="37" customFormat="1" ht="16.5" x14ac:dyDescent="0.3">
      <c r="A114" s="72"/>
      <c r="B114" s="72"/>
      <c r="C114" s="72"/>
      <c r="D114" s="72"/>
      <c r="E114" s="72"/>
      <c r="F114" s="72"/>
      <c r="G114" s="72"/>
      <c r="H114" s="72"/>
      <c r="I114" s="72"/>
      <c r="J114" s="72"/>
      <c r="K114" s="72"/>
      <c r="L114" s="72"/>
      <c r="M114" s="72"/>
      <c r="N114" s="72"/>
      <c r="O114" s="72"/>
      <c r="P114" s="72"/>
      <c r="Q114" s="72"/>
      <c r="R114" s="72"/>
      <c r="S114" s="72"/>
      <c r="T114" s="72"/>
      <c r="U114" s="72"/>
      <c r="V114" s="72"/>
      <c r="W114" s="72"/>
      <c r="X114" s="72"/>
      <c r="Y114" s="72"/>
      <c r="Z114" s="72"/>
      <c r="AA114" s="72"/>
      <c r="AB114" s="72"/>
      <c r="AC114" s="72"/>
      <c r="AD114" s="72"/>
      <c r="AE114" s="72"/>
      <c r="AF114" s="72"/>
      <c r="AG114" s="72"/>
      <c r="AH114" s="72"/>
      <c r="AI114" s="72"/>
      <c r="AJ114" s="72"/>
      <c r="AK114" s="72"/>
      <c r="AL114" s="72"/>
      <c r="AM114" s="72"/>
      <c r="AN114" s="72"/>
      <c r="AO114" s="72"/>
      <c r="AP114" s="72"/>
      <c r="AQ114" s="72"/>
      <c r="AR114" s="72"/>
      <c r="AS114" s="72"/>
      <c r="AT114" s="72"/>
      <c r="AU114" s="72"/>
      <c r="AV114" s="72"/>
    </row>
    <row r="115" spans="1:48" s="37" customFormat="1" ht="16.5" x14ac:dyDescent="0.3">
      <c r="A115" s="72"/>
      <c r="B115" s="72"/>
      <c r="C115" s="72"/>
      <c r="D115" s="72"/>
      <c r="E115" s="72"/>
      <c r="F115" s="72"/>
      <c r="G115" s="72"/>
      <c r="H115" s="72"/>
      <c r="I115" s="72"/>
      <c r="J115" s="72"/>
      <c r="K115" s="72"/>
      <c r="L115" s="72"/>
      <c r="M115" s="72"/>
      <c r="N115" s="72"/>
      <c r="O115" s="72"/>
      <c r="P115" s="72"/>
      <c r="Q115" s="72"/>
      <c r="R115" s="72"/>
      <c r="S115" s="72"/>
      <c r="T115" s="72"/>
      <c r="U115" s="72"/>
      <c r="V115" s="72"/>
      <c r="W115" s="72"/>
      <c r="X115" s="72"/>
      <c r="Y115" s="72"/>
      <c r="Z115" s="72"/>
      <c r="AA115" s="72"/>
      <c r="AB115" s="72"/>
      <c r="AC115" s="72"/>
      <c r="AD115" s="72"/>
      <c r="AE115" s="72"/>
      <c r="AF115" s="72"/>
      <c r="AG115" s="72"/>
      <c r="AH115" s="72"/>
      <c r="AI115" s="72"/>
      <c r="AJ115" s="72"/>
      <c r="AK115" s="72"/>
      <c r="AL115" s="72"/>
      <c r="AM115" s="72"/>
      <c r="AN115" s="72"/>
      <c r="AO115" s="72"/>
      <c r="AP115" s="72"/>
      <c r="AQ115" s="72"/>
      <c r="AR115" s="72"/>
      <c r="AS115" s="72"/>
      <c r="AT115" s="72"/>
      <c r="AU115" s="72"/>
      <c r="AV115" s="72"/>
    </row>
    <row r="116" spans="1:48" s="37" customFormat="1" ht="16.5" x14ac:dyDescent="0.3">
      <c r="A116" s="72"/>
      <c r="B116" s="72"/>
      <c r="C116" s="72"/>
      <c r="D116" s="72"/>
      <c r="E116" s="72"/>
      <c r="F116" s="72"/>
      <c r="G116" s="72"/>
      <c r="H116" s="72"/>
      <c r="I116" s="72"/>
      <c r="J116" s="72"/>
      <c r="K116" s="72"/>
      <c r="L116" s="72"/>
      <c r="M116" s="72"/>
      <c r="N116" s="72"/>
      <c r="O116" s="72"/>
      <c r="P116" s="72"/>
      <c r="Q116" s="72"/>
      <c r="R116" s="72"/>
      <c r="S116" s="72"/>
      <c r="T116" s="72"/>
      <c r="U116" s="72"/>
      <c r="V116" s="72"/>
      <c r="W116" s="72"/>
      <c r="X116" s="72"/>
      <c r="Y116" s="72"/>
      <c r="Z116" s="72"/>
      <c r="AA116" s="72"/>
      <c r="AB116" s="72"/>
      <c r="AC116" s="72"/>
      <c r="AD116" s="72"/>
      <c r="AE116" s="72"/>
      <c r="AF116" s="72"/>
      <c r="AG116" s="72"/>
      <c r="AH116" s="72"/>
      <c r="AI116" s="72"/>
      <c r="AJ116" s="72"/>
      <c r="AK116" s="72"/>
      <c r="AL116" s="72"/>
      <c r="AM116" s="72"/>
      <c r="AN116" s="72"/>
      <c r="AO116" s="72"/>
      <c r="AP116" s="72"/>
      <c r="AQ116" s="72"/>
      <c r="AR116" s="72"/>
      <c r="AS116" s="72"/>
      <c r="AT116" s="72"/>
      <c r="AU116" s="72"/>
      <c r="AV116" s="72"/>
    </row>
    <row r="117" spans="1:48" s="37" customFormat="1" ht="16.5" x14ac:dyDescent="0.3">
      <c r="A117" s="72"/>
      <c r="B117" s="72"/>
      <c r="C117" s="72"/>
      <c r="D117" s="72"/>
      <c r="E117" s="72"/>
      <c r="F117" s="72"/>
      <c r="G117" s="72"/>
      <c r="H117" s="72"/>
      <c r="I117" s="72"/>
      <c r="J117" s="72"/>
      <c r="K117" s="72"/>
      <c r="L117" s="72"/>
      <c r="M117" s="72"/>
      <c r="N117" s="72"/>
      <c r="O117" s="72"/>
      <c r="P117" s="72"/>
      <c r="Q117" s="72"/>
      <c r="R117" s="72"/>
      <c r="S117" s="72"/>
      <c r="T117" s="72"/>
      <c r="U117" s="72"/>
      <c r="V117" s="72"/>
      <c r="W117" s="72"/>
      <c r="X117" s="72"/>
      <c r="Y117" s="72"/>
      <c r="Z117" s="72"/>
      <c r="AA117" s="72"/>
      <c r="AB117" s="72"/>
      <c r="AC117" s="72"/>
      <c r="AD117" s="72"/>
      <c r="AE117" s="72"/>
      <c r="AF117" s="72"/>
      <c r="AG117" s="72"/>
      <c r="AH117" s="72"/>
      <c r="AI117" s="72"/>
      <c r="AJ117" s="72"/>
      <c r="AK117" s="72"/>
      <c r="AL117" s="72"/>
      <c r="AM117" s="72"/>
      <c r="AN117" s="72"/>
      <c r="AO117" s="72"/>
      <c r="AP117" s="72"/>
      <c r="AQ117" s="72"/>
      <c r="AR117" s="72"/>
      <c r="AS117" s="72"/>
      <c r="AT117" s="72"/>
      <c r="AU117" s="72"/>
      <c r="AV117" s="72"/>
    </row>
    <row r="118" spans="1:48" s="37" customFormat="1" ht="16.5" x14ac:dyDescent="0.3">
      <c r="A118" s="72"/>
      <c r="B118" s="72"/>
      <c r="C118" s="72"/>
      <c r="D118" s="72"/>
      <c r="E118" s="72"/>
      <c r="F118" s="72"/>
      <c r="G118" s="72"/>
      <c r="H118" s="72"/>
      <c r="I118" s="72"/>
      <c r="J118" s="72"/>
      <c r="K118" s="72"/>
      <c r="L118" s="72"/>
      <c r="M118" s="72"/>
      <c r="N118" s="72"/>
      <c r="O118" s="72"/>
      <c r="P118" s="72"/>
      <c r="Q118" s="72"/>
      <c r="R118" s="72"/>
      <c r="S118" s="72"/>
      <c r="T118" s="72"/>
      <c r="U118" s="72"/>
      <c r="V118" s="72"/>
      <c r="W118" s="72"/>
      <c r="X118" s="72"/>
      <c r="Y118" s="72"/>
      <c r="Z118" s="72"/>
      <c r="AA118" s="72"/>
      <c r="AB118" s="72"/>
      <c r="AC118" s="72"/>
      <c r="AD118" s="72"/>
      <c r="AE118" s="72"/>
      <c r="AF118" s="72"/>
      <c r="AG118" s="72"/>
      <c r="AH118" s="72"/>
      <c r="AI118" s="72"/>
      <c r="AJ118" s="72"/>
      <c r="AK118" s="72"/>
      <c r="AL118" s="72"/>
      <c r="AM118" s="72"/>
      <c r="AN118" s="72"/>
      <c r="AO118" s="72"/>
      <c r="AP118" s="72"/>
      <c r="AQ118" s="72"/>
      <c r="AR118" s="72"/>
      <c r="AS118" s="72"/>
      <c r="AT118" s="72"/>
      <c r="AU118" s="72"/>
      <c r="AV118" s="72"/>
    </row>
    <row r="119" spans="1:48" s="37" customFormat="1" ht="16.5" x14ac:dyDescent="0.3">
      <c r="A119" s="72"/>
      <c r="B119" s="72"/>
      <c r="C119" s="72"/>
      <c r="D119" s="72"/>
      <c r="E119" s="72"/>
      <c r="F119" s="72"/>
      <c r="G119" s="72"/>
      <c r="H119" s="72"/>
      <c r="I119" s="72"/>
      <c r="J119" s="72"/>
      <c r="K119" s="72"/>
      <c r="L119" s="72"/>
      <c r="M119" s="72"/>
      <c r="N119" s="72"/>
      <c r="O119" s="72"/>
      <c r="P119" s="72"/>
      <c r="Q119" s="72"/>
      <c r="R119" s="72"/>
      <c r="S119" s="72"/>
      <c r="T119" s="72"/>
      <c r="U119" s="72"/>
      <c r="V119" s="72"/>
      <c r="W119" s="72"/>
      <c r="X119" s="72"/>
      <c r="Y119" s="72"/>
      <c r="Z119" s="72"/>
      <c r="AA119" s="72"/>
      <c r="AB119" s="72"/>
      <c r="AC119" s="72"/>
      <c r="AD119" s="72"/>
      <c r="AE119" s="72"/>
      <c r="AF119" s="72"/>
      <c r="AG119" s="72"/>
      <c r="AH119" s="72"/>
      <c r="AI119" s="72"/>
      <c r="AJ119" s="72"/>
      <c r="AK119" s="72"/>
      <c r="AL119" s="72"/>
      <c r="AM119" s="72"/>
      <c r="AN119" s="72"/>
      <c r="AO119" s="72"/>
      <c r="AP119" s="72"/>
      <c r="AQ119" s="72"/>
      <c r="AR119" s="72"/>
      <c r="AS119" s="72"/>
      <c r="AT119" s="72"/>
      <c r="AU119" s="72"/>
      <c r="AV119" s="72"/>
    </row>
    <row r="120" spans="1:48" s="37" customFormat="1" ht="16.5" x14ac:dyDescent="0.3">
      <c r="A120" s="72"/>
      <c r="B120" s="72"/>
      <c r="C120" s="72"/>
      <c r="D120" s="72"/>
      <c r="E120" s="72"/>
      <c r="F120" s="72"/>
      <c r="G120" s="72"/>
      <c r="H120" s="72"/>
      <c r="I120" s="72"/>
      <c r="J120" s="72"/>
      <c r="K120" s="72"/>
      <c r="L120" s="72"/>
      <c r="M120" s="72"/>
      <c r="N120" s="72"/>
      <c r="O120" s="72"/>
      <c r="P120" s="72"/>
      <c r="Q120" s="72"/>
      <c r="R120" s="72"/>
      <c r="S120" s="72"/>
      <c r="T120" s="72"/>
      <c r="U120" s="72"/>
      <c r="V120" s="72"/>
      <c r="W120" s="72"/>
      <c r="X120" s="72"/>
      <c r="Y120" s="72"/>
      <c r="Z120" s="72"/>
      <c r="AA120" s="72"/>
      <c r="AB120" s="72"/>
      <c r="AC120" s="72"/>
      <c r="AD120" s="72"/>
      <c r="AE120" s="72"/>
      <c r="AF120" s="72"/>
      <c r="AG120" s="72"/>
      <c r="AH120" s="72"/>
      <c r="AI120" s="72"/>
      <c r="AJ120" s="72"/>
      <c r="AK120" s="72"/>
      <c r="AL120" s="72"/>
      <c r="AM120" s="72"/>
      <c r="AN120" s="72"/>
      <c r="AO120" s="72"/>
      <c r="AP120" s="72"/>
      <c r="AQ120" s="72"/>
      <c r="AR120" s="72"/>
      <c r="AS120" s="72"/>
      <c r="AT120" s="72"/>
      <c r="AU120" s="72"/>
      <c r="AV120" s="72"/>
    </row>
    <row r="121" spans="1:48" s="37" customFormat="1" ht="16.5" x14ac:dyDescent="0.3">
      <c r="A121" s="72"/>
      <c r="B121" s="72"/>
      <c r="C121" s="72"/>
      <c r="D121" s="72"/>
      <c r="E121" s="72"/>
      <c r="F121" s="72"/>
      <c r="G121" s="72"/>
      <c r="H121" s="72"/>
      <c r="I121" s="72"/>
      <c r="J121" s="72"/>
      <c r="K121" s="72"/>
      <c r="L121" s="72"/>
      <c r="M121" s="72"/>
      <c r="N121" s="72"/>
      <c r="O121" s="72"/>
      <c r="P121" s="72"/>
      <c r="Q121" s="72"/>
      <c r="R121" s="72"/>
      <c r="S121" s="72"/>
      <c r="T121" s="72"/>
      <c r="U121" s="72"/>
      <c r="V121" s="72"/>
      <c r="W121" s="72"/>
      <c r="X121" s="72"/>
      <c r="Y121" s="72"/>
      <c r="Z121" s="72"/>
      <c r="AA121" s="72"/>
      <c r="AB121" s="72"/>
      <c r="AC121" s="72"/>
      <c r="AD121" s="72"/>
      <c r="AE121" s="72"/>
      <c r="AF121" s="72"/>
      <c r="AG121" s="72"/>
      <c r="AH121" s="72"/>
      <c r="AI121" s="72"/>
      <c r="AJ121" s="72"/>
      <c r="AK121" s="72"/>
      <c r="AL121" s="72"/>
      <c r="AM121" s="72"/>
      <c r="AN121" s="72"/>
      <c r="AO121" s="72"/>
      <c r="AP121" s="72"/>
      <c r="AQ121" s="72"/>
      <c r="AR121" s="72"/>
      <c r="AS121" s="72"/>
      <c r="AT121" s="72"/>
      <c r="AU121" s="72"/>
      <c r="AV121" s="72"/>
    </row>
    <row r="122" spans="1:48" s="37" customFormat="1" ht="16.5" x14ac:dyDescent="0.3">
      <c r="A122" s="72"/>
      <c r="B122" s="72"/>
      <c r="C122" s="72"/>
      <c r="D122" s="72"/>
      <c r="E122" s="72"/>
      <c r="F122" s="72"/>
      <c r="G122" s="72"/>
      <c r="H122" s="72"/>
      <c r="I122" s="72"/>
      <c r="J122" s="72"/>
      <c r="K122" s="72"/>
      <c r="L122" s="72"/>
      <c r="M122" s="72"/>
      <c r="N122" s="72"/>
      <c r="O122" s="72"/>
      <c r="P122" s="72"/>
      <c r="Q122" s="72"/>
      <c r="R122" s="72"/>
      <c r="S122" s="72"/>
      <c r="T122" s="72"/>
      <c r="U122" s="72"/>
      <c r="V122" s="72"/>
      <c r="W122" s="72"/>
      <c r="X122" s="72"/>
      <c r="Y122" s="72"/>
      <c r="Z122" s="72"/>
      <c r="AA122" s="72"/>
      <c r="AB122" s="72"/>
      <c r="AC122" s="72"/>
      <c r="AD122" s="72"/>
      <c r="AE122" s="72"/>
      <c r="AF122" s="72"/>
      <c r="AG122" s="72"/>
      <c r="AH122" s="72"/>
      <c r="AI122" s="72"/>
      <c r="AJ122" s="72"/>
      <c r="AK122" s="72"/>
      <c r="AL122" s="72"/>
      <c r="AM122" s="72"/>
      <c r="AN122" s="72"/>
      <c r="AO122" s="72"/>
      <c r="AP122" s="72"/>
      <c r="AQ122" s="72"/>
      <c r="AR122" s="72"/>
      <c r="AS122" s="72"/>
      <c r="AT122" s="72"/>
      <c r="AU122" s="72"/>
      <c r="AV122" s="72"/>
    </row>
    <row r="123" spans="1:48" s="37" customFormat="1" ht="16.5" x14ac:dyDescent="0.3">
      <c r="A123" s="72"/>
      <c r="B123" s="72"/>
      <c r="C123" s="72"/>
      <c r="D123" s="72"/>
      <c r="E123" s="72"/>
      <c r="F123" s="72"/>
      <c r="G123" s="72"/>
      <c r="H123" s="72"/>
      <c r="I123" s="72"/>
      <c r="J123" s="72"/>
      <c r="K123" s="72"/>
      <c r="L123" s="72"/>
      <c r="M123" s="72"/>
      <c r="N123" s="72"/>
      <c r="O123" s="72"/>
      <c r="P123" s="72"/>
      <c r="Q123" s="72"/>
      <c r="R123" s="72"/>
      <c r="S123" s="72"/>
      <c r="T123" s="72"/>
      <c r="U123" s="72"/>
      <c r="V123" s="72"/>
      <c r="W123" s="72"/>
      <c r="X123" s="72"/>
      <c r="Y123" s="72"/>
      <c r="Z123" s="72"/>
      <c r="AA123" s="72"/>
      <c r="AB123" s="72"/>
      <c r="AC123" s="72"/>
      <c r="AD123" s="72"/>
      <c r="AE123" s="72"/>
      <c r="AF123" s="72"/>
      <c r="AG123" s="72"/>
      <c r="AH123" s="72"/>
      <c r="AI123" s="72"/>
      <c r="AJ123" s="72"/>
      <c r="AK123" s="72"/>
      <c r="AL123" s="72"/>
      <c r="AM123" s="72"/>
      <c r="AN123" s="72"/>
      <c r="AO123" s="72"/>
      <c r="AP123" s="72"/>
      <c r="AQ123" s="72"/>
      <c r="AR123" s="72"/>
      <c r="AS123" s="72"/>
      <c r="AT123" s="72"/>
      <c r="AU123" s="72"/>
      <c r="AV123" s="72"/>
    </row>
    <row r="124" spans="1:48" s="37" customFormat="1" ht="16.5" x14ac:dyDescent="0.3">
      <c r="A124" s="72"/>
      <c r="B124" s="72"/>
      <c r="C124" s="72"/>
      <c r="D124" s="72"/>
      <c r="E124" s="72"/>
      <c r="F124" s="72"/>
      <c r="G124" s="72"/>
      <c r="H124" s="72"/>
      <c r="I124" s="72"/>
      <c r="J124" s="72"/>
      <c r="K124" s="72"/>
      <c r="L124" s="72"/>
      <c r="M124" s="72"/>
      <c r="N124" s="72"/>
      <c r="O124" s="72"/>
      <c r="P124" s="72"/>
      <c r="Q124" s="72"/>
      <c r="R124" s="72"/>
      <c r="S124" s="72"/>
      <c r="T124" s="72"/>
      <c r="U124" s="72"/>
      <c r="V124" s="72"/>
      <c r="W124" s="72"/>
      <c r="X124" s="72"/>
      <c r="Y124" s="72"/>
      <c r="Z124" s="72"/>
      <c r="AA124" s="72"/>
      <c r="AB124" s="72"/>
      <c r="AC124" s="72"/>
      <c r="AD124" s="72"/>
      <c r="AE124" s="72"/>
      <c r="AF124" s="72"/>
      <c r="AG124" s="72"/>
      <c r="AH124" s="72"/>
      <c r="AI124" s="72"/>
      <c r="AJ124" s="72"/>
      <c r="AK124" s="72"/>
      <c r="AL124" s="72"/>
      <c r="AM124" s="72"/>
      <c r="AN124" s="72"/>
      <c r="AO124" s="72"/>
      <c r="AP124" s="72"/>
      <c r="AQ124" s="72"/>
      <c r="AR124" s="72"/>
      <c r="AS124" s="72"/>
      <c r="AT124" s="72"/>
      <c r="AU124" s="72"/>
      <c r="AV124" s="72"/>
    </row>
    <row r="125" spans="1:48" s="37" customFormat="1" ht="16.5" x14ac:dyDescent="0.3">
      <c r="A125" s="72"/>
      <c r="B125" s="72"/>
      <c r="C125" s="72"/>
      <c r="D125" s="72"/>
      <c r="E125" s="72"/>
      <c r="F125" s="72"/>
      <c r="G125" s="72"/>
      <c r="H125" s="72"/>
      <c r="I125" s="72"/>
      <c r="J125" s="72"/>
      <c r="K125" s="72"/>
      <c r="L125" s="72"/>
      <c r="M125" s="72"/>
      <c r="N125" s="72"/>
      <c r="O125" s="72"/>
      <c r="P125" s="72"/>
      <c r="Q125" s="72"/>
      <c r="R125" s="72"/>
      <c r="S125" s="72"/>
      <c r="T125" s="72"/>
      <c r="U125" s="72"/>
      <c r="V125" s="72"/>
      <c r="W125" s="72"/>
      <c r="X125" s="72"/>
      <c r="Y125" s="72"/>
      <c r="Z125" s="72"/>
      <c r="AA125" s="72"/>
      <c r="AB125" s="72"/>
      <c r="AC125" s="72"/>
      <c r="AD125" s="72"/>
      <c r="AE125" s="72"/>
      <c r="AF125" s="72"/>
      <c r="AG125" s="72"/>
      <c r="AH125" s="72"/>
      <c r="AI125" s="72"/>
      <c r="AJ125" s="72"/>
      <c r="AK125" s="72"/>
      <c r="AL125" s="72"/>
      <c r="AM125" s="72"/>
      <c r="AN125" s="72"/>
      <c r="AO125" s="72"/>
      <c r="AP125" s="72"/>
      <c r="AQ125" s="72"/>
      <c r="AR125" s="72"/>
      <c r="AS125" s="72"/>
      <c r="AT125" s="72"/>
      <c r="AU125" s="72"/>
      <c r="AV125" s="72"/>
    </row>
    <row r="126" spans="1:48" s="37" customFormat="1" ht="16.5" x14ac:dyDescent="0.3">
      <c r="A126" s="72"/>
      <c r="B126" s="72"/>
      <c r="C126" s="72"/>
      <c r="D126" s="72"/>
      <c r="E126" s="72"/>
      <c r="F126" s="72"/>
      <c r="G126" s="72"/>
      <c r="H126" s="72"/>
      <c r="I126" s="72"/>
      <c r="J126" s="72"/>
      <c r="K126" s="72"/>
      <c r="L126" s="72"/>
      <c r="M126" s="72"/>
      <c r="N126" s="72"/>
      <c r="O126" s="72"/>
      <c r="P126" s="72"/>
      <c r="Q126" s="72"/>
      <c r="R126" s="72"/>
      <c r="S126" s="72"/>
      <c r="T126" s="72"/>
      <c r="U126" s="72"/>
      <c r="V126" s="72"/>
      <c r="W126" s="72"/>
      <c r="X126" s="72"/>
      <c r="Y126" s="72"/>
      <c r="Z126" s="72"/>
      <c r="AA126" s="72"/>
      <c r="AB126" s="72"/>
      <c r="AC126" s="72"/>
      <c r="AD126" s="72"/>
      <c r="AE126" s="72"/>
      <c r="AF126" s="72"/>
      <c r="AG126" s="72"/>
      <c r="AH126" s="72"/>
      <c r="AI126" s="72"/>
      <c r="AJ126" s="72"/>
      <c r="AK126" s="72"/>
      <c r="AL126" s="72"/>
      <c r="AM126" s="72"/>
      <c r="AN126" s="72"/>
      <c r="AO126" s="72"/>
      <c r="AP126" s="72"/>
      <c r="AQ126" s="72"/>
      <c r="AR126" s="72"/>
      <c r="AS126" s="72"/>
      <c r="AT126" s="72"/>
      <c r="AU126" s="72"/>
      <c r="AV126" s="72"/>
    </row>
    <row r="127" spans="1:48" s="37" customFormat="1" ht="16.5" x14ac:dyDescent="0.3">
      <c r="A127" s="72"/>
      <c r="B127" s="72"/>
      <c r="C127" s="72"/>
      <c r="D127" s="72"/>
      <c r="E127" s="72"/>
      <c r="F127" s="72"/>
      <c r="G127" s="72"/>
      <c r="H127" s="72"/>
      <c r="I127" s="72"/>
      <c r="J127" s="72"/>
      <c r="K127" s="72"/>
      <c r="L127" s="72"/>
      <c r="M127" s="72"/>
      <c r="N127" s="72"/>
      <c r="O127" s="72"/>
      <c r="P127" s="72"/>
      <c r="Q127" s="72"/>
      <c r="R127" s="72"/>
      <c r="S127" s="72"/>
      <c r="T127" s="72"/>
      <c r="U127" s="72"/>
      <c r="V127" s="72"/>
      <c r="W127" s="72"/>
      <c r="X127" s="72"/>
      <c r="Y127" s="72"/>
      <c r="Z127" s="72"/>
      <c r="AA127" s="72"/>
      <c r="AB127" s="72"/>
      <c r="AC127" s="72"/>
      <c r="AD127" s="72"/>
      <c r="AE127" s="72"/>
      <c r="AF127" s="72"/>
      <c r="AG127" s="72"/>
      <c r="AH127" s="72"/>
      <c r="AI127" s="72"/>
      <c r="AJ127" s="72"/>
      <c r="AK127" s="72"/>
      <c r="AL127" s="72"/>
      <c r="AM127" s="72"/>
      <c r="AN127" s="72"/>
      <c r="AO127" s="72"/>
      <c r="AP127" s="72"/>
      <c r="AQ127" s="72"/>
      <c r="AR127" s="72"/>
      <c r="AS127" s="72"/>
      <c r="AT127" s="72"/>
      <c r="AU127" s="72"/>
      <c r="AV127" s="72"/>
    </row>
    <row r="128" spans="1:48" s="37" customFormat="1" ht="16.5" x14ac:dyDescent="0.3">
      <c r="A128" s="72"/>
      <c r="B128" s="72"/>
      <c r="C128" s="72"/>
      <c r="D128" s="72"/>
      <c r="E128" s="72"/>
      <c r="F128" s="72"/>
      <c r="G128" s="72"/>
      <c r="H128" s="72"/>
      <c r="I128" s="72"/>
      <c r="J128" s="72"/>
      <c r="K128" s="72"/>
      <c r="L128" s="72"/>
      <c r="M128" s="72"/>
      <c r="N128" s="72"/>
      <c r="O128" s="72"/>
      <c r="P128" s="72"/>
      <c r="Q128" s="72"/>
      <c r="R128" s="72"/>
      <c r="S128" s="72"/>
      <c r="T128" s="72"/>
      <c r="U128" s="72"/>
      <c r="V128" s="72"/>
      <c r="W128" s="72"/>
      <c r="X128" s="72"/>
      <c r="Y128" s="72"/>
      <c r="Z128" s="72"/>
      <c r="AA128" s="72"/>
      <c r="AB128" s="72"/>
      <c r="AC128" s="72"/>
      <c r="AD128" s="72"/>
      <c r="AE128" s="72"/>
      <c r="AF128" s="72"/>
      <c r="AG128" s="72"/>
      <c r="AH128" s="72"/>
      <c r="AI128" s="72"/>
      <c r="AJ128" s="72"/>
      <c r="AK128" s="72"/>
      <c r="AL128" s="72"/>
      <c r="AM128" s="72"/>
      <c r="AN128" s="72"/>
      <c r="AO128" s="72"/>
      <c r="AP128" s="72"/>
      <c r="AQ128" s="72"/>
      <c r="AR128" s="72"/>
      <c r="AS128" s="72"/>
      <c r="AT128" s="72"/>
      <c r="AU128" s="72"/>
      <c r="AV128" s="72"/>
    </row>
    <row r="129" spans="1:48" s="37" customFormat="1" ht="16.5" x14ac:dyDescent="0.3">
      <c r="A129" s="72"/>
      <c r="B129" s="72"/>
      <c r="C129" s="72"/>
      <c r="D129" s="72"/>
      <c r="E129" s="72"/>
      <c r="F129" s="72"/>
      <c r="G129" s="72"/>
      <c r="H129" s="72"/>
      <c r="I129" s="72"/>
      <c r="J129" s="72"/>
      <c r="K129" s="72"/>
      <c r="L129" s="72"/>
      <c r="M129" s="72"/>
      <c r="N129" s="72"/>
      <c r="O129" s="72"/>
      <c r="P129" s="72"/>
      <c r="Q129" s="72"/>
      <c r="R129" s="72"/>
      <c r="S129" s="72"/>
      <c r="T129" s="72"/>
      <c r="U129" s="72"/>
      <c r="V129" s="72"/>
      <c r="W129" s="72"/>
      <c r="X129" s="72"/>
      <c r="Y129" s="72"/>
      <c r="Z129" s="72"/>
      <c r="AA129" s="72"/>
      <c r="AB129" s="72"/>
      <c r="AC129" s="72"/>
      <c r="AD129" s="72"/>
      <c r="AE129" s="72"/>
      <c r="AF129" s="72"/>
      <c r="AG129" s="72"/>
      <c r="AH129" s="72"/>
      <c r="AI129" s="72"/>
      <c r="AJ129" s="72"/>
      <c r="AK129" s="72"/>
      <c r="AL129" s="72"/>
      <c r="AM129" s="72"/>
      <c r="AN129" s="72"/>
      <c r="AO129" s="72"/>
      <c r="AP129" s="72"/>
      <c r="AQ129" s="72"/>
      <c r="AR129" s="72"/>
      <c r="AS129" s="72"/>
      <c r="AT129" s="72"/>
      <c r="AU129" s="72"/>
      <c r="AV129" s="72"/>
    </row>
    <row r="130" spans="1:48" s="37" customFormat="1" ht="16.5" x14ac:dyDescent="0.3">
      <c r="A130" s="72"/>
      <c r="B130" s="72"/>
      <c r="C130" s="72"/>
      <c r="D130" s="72"/>
      <c r="E130" s="72"/>
      <c r="F130" s="72"/>
      <c r="G130" s="72"/>
      <c r="H130" s="72"/>
      <c r="I130" s="72"/>
      <c r="J130" s="72"/>
      <c r="K130" s="72"/>
      <c r="L130" s="72"/>
      <c r="M130" s="72"/>
      <c r="N130" s="72"/>
      <c r="O130" s="72"/>
      <c r="P130" s="72"/>
      <c r="Q130" s="72"/>
      <c r="R130" s="72"/>
      <c r="S130" s="72"/>
      <c r="T130" s="72"/>
      <c r="U130" s="72"/>
      <c r="V130" s="72"/>
      <c r="W130" s="72"/>
      <c r="X130" s="72"/>
      <c r="Y130" s="72"/>
      <c r="Z130" s="72"/>
      <c r="AA130" s="72"/>
      <c r="AB130" s="72"/>
      <c r="AC130" s="72"/>
      <c r="AD130" s="72"/>
      <c r="AE130" s="72"/>
      <c r="AF130" s="72"/>
      <c r="AG130" s="72"/>
      <c r="AH130" s="72"/>
      <c r="AI130" s="72"/>
      <c r="AJ130" s="72"/>
      <c r="AK130" s="72"/>
      <c r="AL130" s="72"/>
      <c r="AM130" s="72"/>
      <c r="AN130" s="72"/>
      <c r="AO130" s="72"/>
      <c r="AP130" s="72"/>
      <c r="AQ130" s="72"/>
      <c r="AR130" s="72"/>
      <c r="AS130" s="72"/>
      <c r="AT130" s="72"/>
      <c r="AU130" s="72"/>
      <c r="AV130" s="72"/>
    </row>
    <row r="131" spans="1:48" s="37" customFormat="1" ht="16.5" x14ac:dyDescent="0.3">
      <c r="A131" s="72"/>
      <c r="B131" s="72"/>
      <c r="C131" s="72"/>
      <c r="D131" s="72"/>
      <c r="E131" s="72"/>
      <c r="F131" s="72"/>
      <c r="G131" s="72"/>
      <c r="H131" s="72"/>
      <c r="I131" s="72"/>
      <c r="J131" s="72"/>
      <c r="K131" s="72"/>
      <c r="L131" s="72"/>
      <c r="M131" s="72"/>
      <c r="N131" s="72"/>
      <c r="O131" s="72"/>
      <c r="P131" s="72"/>
      <c r="Q131" s="72"/>
      <c r="R131" s="72"/>
      <c r="S131" s="72"/>
      <c r="T131" s="72"/>
      <c r="U131" s="72"/>
      <c r="V131" s="72"/>
      <c r="W131" s="72"/>
      <c r="X131" s="72"/>
      <c r="Y131" s="72"/>
      <c r="Z131" s="72"/>
      <c r="AA131" s="72"/>
      <c r="AB131" s="72"/>
      <c r="AC131" s="72"/>
      <c r="AD131" s="72"/>
      <c r="AE131" s="72"/>
      <c r="AF131" s="72"/>
      <c r="AG131" s="72"/>
      <c r="AH131" s="72"/>
      <c r="AI131" s="72"/>
      <c r="AJ131" s="72"/>
      <c r="AK131" s="72"/>
      <c r="AL131" s="72"/>
      <c r="AM131" s="72"/>
      <c r="AN131" s="72"/>
      <c r="AO131" s="72"/>
      <c r="AP131" s="72"/>
      <c r="AQ131" s="72"/>
      <c r="AR131" s="72"/>
      <c r="AS131" s="72"/>
      <c r="AT131" s="72"/>
      <c r="AU131" s="72"/>
      <c r="AV131" s="72"/>
    </row>
    <row r="132" spans="1:48" s="37" customFormat="1" ht="16.5" x14ac:dyDescent="0.3">
      <c r="A132" s="72"/>
      <c r="B132" s="72"/>
      <c r="C132" s="72"/>
      <c r="D132" s="72"/>
      <c r="E132" s="72"/>
      <c r="F132" s="72"/>
      <c r="G132" s="72"/>
      <c r="H132" s="72"/>
      <c r="I132" s="72"/>
      <c r="J132" s="72"/>
      <c r="K132" s="72"/>
      <c r="L132" s="72"/>
      <c r="M132" s="72"/>
      <c r="N132" s="72"/>
      <c r="O132" s="72"/>
      <c r="P132" s="72"/>
      <c r="Q132" s="72"/>
      <c r="R132" s="72"/>
      <c r="S132" s="72"/>
      <c r="T132" s="72"/>
      <c r="U132" s="72"/>
      <c r="V132" s="72"/>
      <c r="W132" s="72"/>
      <c r="X132" s="72"/>
      <c r="Y132" s="72"/>
      <c r="Z132" s="72"/>
      <c r="AA132" s="72"/>
      <c r="AB132" s="72"/>
      <c r="AC132" s="72"/>
      <c r="AD132" s="72"/>
      <c r="AE132" s="72"/>
      <c r="AF132" s="72"/>
      <c r="AG132" s="72"/>
      <c r="AH132" s="72"/>
      <c r="AI132" s="72"/>
      <c r="AJ132" s="72"/>
      <c r="AK132" s="72"/>
      <c r="AL132" s="72"/>
      <c r="AM132" s="72"/>
      <c r="AN132" s="72"/>
      <c r="AO132" s="72"/>
      <c r="AP132" s="72"/>
      <c r="AQ132" s="72"/>
      <c r="AR132" s="72"/>
      <c r="AS132" s="72"/>
      <c r="AT132" s="72"/>
      <c r="AU132" s="72"/>
      <c r="AV132" s="72"/>
    </row>
    <row r="133" spans="1:48" s="37" customFormat="1" ht="16.5" x14ac:dyDescent="0.3">
      <c r="A133" s="72"/>
      <c r="B133" s="72"/>
      <c r="C133" s="72"/>
      <c r="D133" s="72"/>
      <c r="E133" s="72"/>
      <c r="F133" s="72"/>
      <c r="G133" s="72"/>
      <c r="H133" s="72"/>
      <c r="I133" s="72"/>
      <c r="J133" s="72"/>
      <c r="K133" s="72"/>
      <c r="L133" s="72"/>
      <c r="M133" s="72"/>
      <c r="N133" s="72"/>
      <c r="O133" s="72"/>
      <c r="P133" s="72"/>
      <c r="Q133" s="72"/>
      <c r="R133" s="72"/>
      <c r="S133" s="72"/>
      <c r="T133" s="72"/>
      <c r="U133" s="72"/>
      <c r="V133" s="72"/>
      <c r="W133" s="72"/>
      <c r="X133" s="72"/>
      <c r="Y133" s="72"/>
      <c r="Z133" s="72"/>
      <c r="AA133" s="72"/>
      <c r="AB133" s="72"/>
      <c r="AC133" s="72"/>
      <c r="AD133" s="72"/>
      <c r="AE133" s="72"/>
      <c r="AF133" s="72"/>
      <c r="AG133" s="72"/>
      <c r="AH133" s="72"/>
      <c r="AI133" s="72"/>
      <c r="AJ133" s="72"/>
      <c r="AK133" s="72"/>
      <c r="AL133" s="72"/>
      <c r="AM133" s="72"/>
      <c r="AN133" s="72"/>
      <c r="AO133" s="72"/>
      <c r="AP133" s="72"/>
      <c r="AQ133" s="72"/>
      <c r="AR133" s="72"/>
      <c r="AS133" s="72"/>
      <c r="AT133" s="72"/>
      <c r="AU133" s="72"/>
      <c r="AV133" s="72"/>
    </row>
    <row r="134" spans="1:48" s="37" customFormat="1" ht="16.5" x14ac:dyDescent="0.3">
      <c r="A134" s="72"/>
      <c r="B134" s="72"/>
      <c r="C134" s="72"/>
      <c r="D134" s="72"/>
      <c r="E134" s="72"/>
      <c r="F134" s="72"/>
      <c r="G134" s="72"/>
      <c r="H134" s="72"/>
      <c r="I134" s="72"/>
      <c r="J134" s="72"/>
      <c r="K134" s="72"/>
      <c r="L134" s="72"/>
      <c r="M134" s="72"/>
      <c r="N134" s="72"/>
      <c r="O134" s="72"/>
      <c r="P134" s="72"/>
      <c r="Q134" s="72"/>
      <c r="R134" s="72"/>
      <c r="S134" s="72"/>
      <c r="T134" s="72"/>
      <c r="U134" s="72"/>
      <c r="V134" s="72"/>
      <c r="W134" s="72"/>
      <c r="X134" s="72"/>
      <c r="Y134" s="72"/>
      <c r="Z134" s="72"/>
      <c r="AA134" s="72"/>
      <c r="AB134" s="72"/>
      <c r="AC134" s="72"/>
      <c r="AD134" s="72"/>
      <c r="AE134" s="72"/>
      <c r="AF134" s="72"/>
      <c r="AG134" s="72"/>
      <c r="AH134" s="72"/>
      <c r="AI134" s="72"/>
      <c r="AJ134" s="72"/>
      <c r="AK134" s="72"/>
      <c r="AL134" s="72"/>
      <c r="AM134" s="72"/>
      <c r="AN134" s="72"/>
      <c r="AO134" s="72"/>
      <c r="AP134" s="72"/>
      <c r="AQ134" s="72"/>
      <c r="AR134" s="72"/>
      <c r="AS134" s="72"/>
      <c r="AT134" s="72"/>
      <c r="AU134" s="72"/>
      <c r="AV134" s="72"/>
    </row>
    <row r="135" spans="1:48" s="37" customFormat="1" ht="16.5" x14ac:dyDescent="0.3">
      <c r="A135" s="72"/>
      <c r="B135" s="72"/>
      <c r="C135" s="72"/>
      <c r="D135" s="72"/>
      <c r="E135" s="72"/>
      <c r="F135" s="72"/>
      <c r="G135" s="72"/>
      <c r="H135" s="72"/>
      <c r="I135" s="72"/>
      <c r="J135" s="72"/>
      <c r="K135" s="72"/>
      <c r="L135" s="72"/>
      <c r="M135" s="72"/>
      <c r="N135" s="72"/>
      <c r="O135" s="72"/>
      <c r="P135" s="72"/>
      <c r="Q135" s="72"/>
      <c r="R135" s="72"/>
      <c r="S135" s="72"/>
      <c r="T135" s="72"/>
      <c r="U135" s="72"/>
      <c r="V135" s="72"/>
      <c r="W135" s="72"/>
      <c r="X135" s="72"/>
      <c r="Y135" s="72"/>
      <c r="Z135" s="72"/>
      <c r="AA135" s="72"/>
      <c r="AB135" s="72"/>
      <c r="AC135" s="72"/>
      <c r="AD135" s="72"/>
      <c r="AE135" s="72"/>
      <c r="AF135" s="72"/>
      <c r="AG135" s="72"/>
      <c r="AH135" s="72"/>
      <c r="AI135" s="72"/>
      <c r="AJ135" s="72"/>
      <c r="AK135" s="72"/>
      <c r="AL135" s="72"/>
      <c r="AM135" s="72"/>
      <c r="AN135" s="72"/>
      <c r="AO135" s="72"/>
      <c r="AP135" s="72"/>
      <c r="AQ135" s="72"/>
      <c r="AR135" s="72"/>
      <c r="AS135" s="72"/>
      <c r="AT135" s="72"/>
      <c r="AU135" s="72"/>
      <c r="AV135" s="72"/>
    </row>
    <row r="136" spans="1:48" s="37" customFormat="1" ht="16.5" x14ac:dyDescent="0.3">
      <c r="A136" s="72"/>
      <c r="B136" s="72"/>
      <c r="C136" s="72"/>
      <c r="D136" s="72"/>
      <c r="E136" s="72"/>
      <c r="F136" s="72"/>
      <c r="G136" s="72"/>
      <c r="H136" s="72"/>
      <c r="I136" s="72"/>
      <c r="J136" s="72"/>
      <c r="K136" s="72"/>
      <c r="L136" s="72"/>
      <c r="M136" s="72"/>
      <c r="N136" s="72"/>
      <c r="O136" s="72"/>
      <c r="P136" s="72"/>
      <c r="Q136" s="72"/>
      <c r="R136" s="72"/>
      <c r="S136" s="72"/>
      <c r="T136" s="72"/>
      <c r="U136" s="72"/>
      <c r="V136" s="72"/>
      <c r="W136" s="72"/>
      <c r="X136" s="72"/>
      <c r="Y136" s="72"/>
      <c r="Z136" s="72"/>
      <c r="AA136" s="72"/>
      <c r="AB136" s="72"/>
      <c r="AC136" s="72"/>
      <c r="AD136" s="72"/>
      <c r="AE136" s="72"/>
      <c r="AF136" s="72"/>
      <c r="AG136" s="72"/>
      <c r="AH136" s="72"/>
      <c r="AI136" s="72"/>
      <c r="AJ136" s="72"/>
      <c r="AK136" s="72"/>
      <c r="AL136" s="72"/>
      <c r="AM136" s="72"/>
      <c r="AN136" s="72"/>
      <c r="AO136" s="72"/>
      <c r="AP136" s="72"/>
      <c r="AQ136" s="72"/>
      <c r="AR136" s="72"/>
      <c r="AS136" s="72"/>
      <c r="AT136" s="72"/>
      <c r="AU136" s="72"/>
      <c r="AV136" s="72"/>
    </row>
    <row r="137" spans="1:48" s="37" customFormat="1" ht="16.5" x14ac:dyDescent="0.3">
      <c r="A137" s="72"/>
      <c r="B137" s="72"/>
      <c r="C137" s="72"/>
      <c r="D137" s="72"/>
      <c r="E137" s="72"/>
      <c r="F137" s="72"/>
      <c r="G137" s="72"/>
      <c r="H137" s="72"/>
      <c r="I137" s="72"/>
      <c r="J137" s="72"/>
      <c r="K137" s="72"/>
      <c r="L137" s="72"/>
      <c r="M137" s="72"/>
      <c r="N137" s="72"/>
      <c r="O137" s="72"/>
      <c r="P137" s="72"/>
      <c r="Q137" s="72"/>
      <c r="R137" s="72"/>
      <c r="S137" s="72"/>
      <c r="T137" s="72"/>
      <c r="U137" s="72"/>
      <c r="V137" s="72"/>
      <c r="W137" s="72"/>
      <c r="X137" s="72"/>
      <c r="Y137" s="72"/>
      <c r="Z137" s="72"/>
      <c r="AA137" s="72"/>
      <c r="AB137" s="72"/>
      <c r="AC137" s="72"/>
      <c r="AD137" s="72"/>
      <c r="AE137" s="72"/>
      <c r="AF137" s="72"/>
      <c r="AG137" s="72"/>
      <c r="AH137" s="72"/>
      <c r="AI137" s="72"/>
      <c r="AJ137" s="72"/>
      <c r="AK137" s="72"/>
      <c r="AL137" s="72"/>
      <c r="AM137" s="72"/>
      <c r="AN137" s="72"/>
      <c r="AO137" s="72"/>
      <c r="AP137" s="72"/>
      <c r="AQ137" s="72"/>
      <c r="AR137" s="72"/>
      <c r="AS137" s="72"/>
      <c r="AT137" s="72"/>
      <c r="AU137" s="72"/>
      <c r="AV137" s="72"/>
    </row>
    <row r="138" spans="1:48" s="37" customFormat="1" ht="16.5" x14ac:dyDescent="0.3">
      <c r="A138" s="72"/>
      <c r="B138" s="72"/>
      <c r="C138" s="72"/>
      <c r="D138" s="72"/>
      <c r="E138" s="72"/>
      <c r="F138" s="72"/>
      <c r="G138" s="72"/>
      <c r="H138" s="72"/>
      <c r="I138" s="72"/>
      <c r="J138" s="72"/>
      <c r="K138" s="72"/>
      <c r="L138" s="72"/>
      <c r="M138" s="72"/>
      <c r="N138" s="72"/>
      <c r="O138" s="72"/>
      <c r="P138" s="72"/>
      <c r="Q138" s="72"/>
      <c r="R138" s="72"/>
      <c r="S138" s="72"/>
      <c r="T138" s="72"/>
      <c r="U138" s="72"/>
      <c r="V138" s="72"/>
      <c r="W138" s="72"/>
      <c r="X138" s="72"/>
      <c r="Y138" s="72"/>
      <c r="Z138" s="72"/>
      <c r="AA138" s="72"/>
      <c r="AB138" s="72"/>
      <c r="AC138" s="72"/>
      <c r="AD138" s="72"/>
      <c r="AE138" s="72"/>
      <c r="AF138" s="72"/>
      <c r="AG138" s="72"/>
      <c r="AH138" s="72"/>
      <c r="AI138" s="72"/>
      <c r="AJ138" s="72"/>
      <c r="AK138" s="72"/>
      <c r="AL138" s="72"/>
      <c r="AM138" s="72"/>
      <c r="AN138" s="72"/>
      <c r="AO138" s="72"/>
      <c r="AP138" s="72"/>
      <c r="AQ138" s="72"/>
      <c r="AR138" s="72"/>
      <c r="AS138" s="72"/>
      <c r="AT138" s="72"/>
      <c r="AU138" s="72"/>
      <c r="AV138" s="72"/>
    </row>
    <row r="139" spans="1:48" s="37" customFormat="1" ht="16.5" x14ac:dyDescent="0.3">
      <c r="A139" s="72"/>
      <c r="B139" s="72"/>
      <c r="C139" s="72"/>
      <c r="D139" s="72"/>
      <c r="E139" s="72"/>
      <c r="F139" s="72"/>
      <c r="G139" s="72"/>
      <c r="H139" s="72"/>
      <c r="I139" s="72"/>
      <c r="J139" s="72"/>
      <c r="K139" s="72"/>
      <c r="L139" s="72"/>
      <c r="M139" s="72"/>
      <c r="N139" s="72"/>
      <c r="O139" s="72"/>
      <c r="P139" s="72"/>
      <c r="Q139" s="72"/>
      <c r="R139" s="72"/>
      <c r="S139" s="72"/>
      <c r="T139" s="72"/>
      <c r="U139" s="72"/>
      <c r="V139" s="72"/>
      <c r="W139" s="72"/>
      <c r="X139" s="72"/>
      <c r="Y139" s="72"/>
      <c r="Z139" s="72"/>
      <c r="AA139" s="72"/>
      <c r="AB139" s="72"/>
      <c r="AC139" s="72"/>
      <c r="AD139" s="72"/>
      <c r="AE139" s="72"/>
      <c r="AF139" s="72"/>
      <c r="AG139" s="72"/>
      <c r="AH139" s="72"/>
      <c r="AI139" s="72"/>
      <c r="AJ139" s="72"/>
      <c r="AK139" s="72"/>
      <c r="AL139" s="72"/>
      <c r="AM139" s="72"/>
      <c r="AN139" s="72"/>
      <c r="AO139" s="72"/>
      <c r="AP139" s="72"/>
      <c r="AQ139" s="72"/>
      <c r="AR139" s="72"/>
      <c r="AS139" s="72"/>
      <c r="AT139" s="72"/>
      <c r="AU139" s="72"/>
      <c r="AV139" s="72"/>
    </row>
    <row r="140" spans="1:48" s="37" customFormat="1" ht="16.5" x14ac:dyDescent="0.3">
      <c r="A140" s="72"/>
      <c r="B140" s="72"/>
      <c r="C140" s="72"/>
      <c r="D140" s="72"/>
      <c r="E140" s="72"/>
      <c r="F140" s="72"/>
      <c r="G140" s="72"/>
      <c r="H140" s="72"/>
      <c r="I140" s="72"/>
      <c r="J140" s="72"/>
      <c r="K140" s="72"/>
      <c r="L140" s="72"/>
      <c r="M140" s="72"/>
      <c r="N140" s="72"/>
      <c r="O140" s="72"/>
      <c r="P140" s="72"/>
      <c r="Q140" s="72"/>
      <c r="R140" s="72"/>
      <c r="S140" s="72"/>
      <c r="T140" s="72"/>
      <c r="U140" s="72"/>
      <c r="V140" s="72"/>
      <c r="W140" s="72"/>
      <c r="X140" s="72"/>
      <c r="Y140" s="72"/>
      <c r="Z140" s="72"/>
      <c r="AA140" s="72"/>
      <c r="AB140" s="72"/>
      <c r="AC140" s="72"/>
      <c r="AD140" s="72"/>
      <c r="AE140" s="72"/>
      <c r="AF140" s="72"/>
      <c r="AG140" s="72"/>
      <c r="AH140" s="72"/>
      <c r="AI140" s="72"/>
      <c r="AJ140" s="72"/>
      <c r="AK140" s="72"/>
      <c r="AL140" s="72"/>
      <c r="AM140" s="72"/>
      <c r="AN140" s="72"/>
      <c r="AO140" s="72"/>
      <c r="AP140" s="72"/>
      <c r="AQ140" s="72"/>
      <c r="AR140" s="72"/>
      <c r="AS140" s="72"/>
      <c r="AT140" s="72"/>
      <c r="AU140" s="72"/>
      <c r="AV140" s="72"/>
    </row>
    <row r="141" spans="1:48" s="37" customFormat="1" ht="16.5" x14ac:dyDescent="0.3">
      <c r="A141" s="72"/>
      <c r="B141" s="72"/>
      <c r="C141" s="72"/>
      <c r="D141" s="72"/>
      <c r="E141" s="72"/>
      <c r="F141" s="72"/>
      <c r="G141" s="72"/>
      <c r="H141" s="72"/>
      <c r="I141" s="72"/>
      <c r="J141" s="72"/>
      <c r="K141" s="72"/>
      <c r="L141" s="72"/>
      <c r="M141" s="72"/>
      <c r="N141" s="72"/>
      <c r="O141" s="72"/>
      <c r="P141" s="72"/>
      <c r="Q141" s="72"/>
      <c r="R141" s="72"/>
      <c r="S141" s="72"/>
      <c r="T141" s="72"/>
      <c r="U141" s="72"/>
      <c r="V141" s="72"/>
      <c r="W141" s="72"/>
      <c r="X141" s="72"/>
      <c r="Y141" s="72"/>
      <c r="Z141" s="72"/>
      <c r="AA141" s="72"/>
      <c r="AB141" s="72"/>
      <c r="AC141" s="72"/>
      <c r="AD141" s="72"/>
      <c r="AE141" s="72"/>
      <c r="AF141" s="72"/>
      <c r="AG141" s="72"/>
      <c r="AH141" s="72"/>
      <c r="AI141" s="72"/>
      <c r="AJ141" s="72"/>
      <c r="AK141" s="72"/>
      <c r="AL141" s="72"/>
      <c r="AM141" s="72"/>
      <c r="AN141" s="72"/>
      <c r="AO141" s="72"/>
      <c r="AP141" s="72"/>
      <c r="AQ141" s="72"/>
      <c r="AR141" s="72"/>
      <c r="AS141" s="72"/>
      <c r="AT141" s="72"/>
      <c r="AU141" s="72"/>
      <c r="AV141" s="72"/>
    </row>
    <row r="142" spans="1:48" s="37" customFormat="1" ht="16.5" x14ac:dyDescent="0.3">
      <c r="A142" s="72"/>
      <c r="B142" s="72"/>
      <c r="C142" s="72"/>
      <c r="D142" s="72"/>
      <c r="E142" s="72"/>
      <c r="F142" s="72"/>
      <c r="G142" s="72"/>
      <c r="H142" s="72"/>
      <c r="I142" s="72"/>
      <c r="J142" s="72"/>
      <c r="K142" s="72"/>
      <c r="L142" s="72"/>
      <c r="M142" s="72"/>
      <c r="N142" s="72"/>
      <c r="O142" s="72"/>
      <c r="P142" s="72"/>
      <c r="Q142" s="72"/>
      <c r="R142" s="72"/>
      <c r="S142" s="72"/>
      <c r="T142" s="72"/>
      <c r="U142" s="72"/>
      <c r="V142" s="72"/>
      <c r="W142" s="72"/>
      <c r="X142" s="72"/>
      <c r="Y142" s="72"/>
      <c r="Z142" s="72"/>
      <c r="AA142" s="72"/>
      <c r="AB142" s="72"/>
      <c r="AC142" s="72"/>
      <c r="AD142" s="72"/>
      <c r="AE142" s="72"/>
      <c r="AF142" s="72"/>
      <c r="AG142" s="72"/>
      <c r="AH142" s="72"/>
      <c r="AI142" s="72"/>
      <c r="AJ142" s="72"/>
      <c r="AK142" s="72"/>
      <c r="AL142" s="72"/>
      <c r="AM142" s="72"/>
      <c r="AN142" s="72"/>
      <c r="AO142" s="72"/>
      <c r="AP142" s="72"/>
      <c r="AQ142" s="72"/>
      <c r="AR142" s="72"/>
      <c r="AS142" s="72"/>
      <c r="AT142" s="72"/>
      <c r="AU142" s="72"/>
      <c r="AV142" s="72"/>
    </row>
    <row r="143" spans="1:48" s="37" customFormat="1" ht="16.5" x14ac:dyDescent="0.3">
      <c r="A143" s="72"/>
      <c r="B143" s="72"/>
      <c r="C143" s="72"/>
      <c r="D143" s="72"/>
      <c r="E143" s="72"/>
      <c r="F143" s="72"/>
      <c r="G143" s="72"/>
      <c r="H143" s="72"/>
      <c r="I143" s="72"/>
      <c r="J143" s="72"/>
      <c r="K143" s="72"/>
      <c r="L143" s="72"/>
      <c r="M143" s="72"/>
      <c r="N143" s="72"/>
      <c r="O143" s="72"/>
      <c r="P143" s="72"/>
      <c r="Q143" s="72"/>
      <c r="R143" s="72"/>
      <c r="S143" s="72"/>
      <c r="T143" s="72"/>
      <c r="U143" s="72"/>
      <c r="V143" s="72"/>
      <c r="W143" s="72"/>
      <c r="X143" s="72"/>
      <c r="Y143" s="72"/>
      <c r="Z143" s="72"/>
      <c r="AA143" s="72"/>
      <c r="AB143" s="72"/>
      <c r="AC143" s="72"/>
      <c r="AD143" s="72"/>
      <c r="AE143" s="72"/>
      <c r="AF143" s="72"/>
      <c r="AG143" s="72"/>
      <c r="AH143" s="72"/>
      <c r="AI143" s="72"/>
      <c r="AJ143" s="72"/>
      <c r="AK143" s="72"/>
      <c r="AL143" s="72"/>
      <c r="AM143" s="72"/>
      <c r="AN143" s="72"/>
      <c r="AO143" s="72"/>
      <c r="AP143" s="72"/>
      <c r="AQ143" s="72"/>
      <c r="AR143" s="72"/>
      <c r="AS143" s="72"/>
      <c r="AT143" s="72"/>
      <c r="AU143" s="72"/>
      <c r="AV143" s="72"/>
    </row>
    <row r="144" spans="1:48" s="37" customFormat="1" ht="16.5" x14ac:dyDescent="0.3">
      <c r="A144" s="72"/>
      <c r="B144" s="72"/>
      <c r="C144" s="72"/>
      <c r="D144" s="72"/>
      <c r="E144" s="72"/>
      <c r="F144" s="72"/>
      <c r="G144" s="72"/>
      <c r="H144" s="72"/>
      <c r="I144" s="72"/>
      <c r="J144" s="72"/>
      <c r="K144" s="72"/>
      <c r="L144" s="72"/>
      <c r="M144" s="72"/>
      <c r="N144" s="72"/>
      <c r="O144" s="72"/>
      <c r="P144" s="72"/>
      <c r="Q144" s="72"/>
      <c r="R144" s="72"/>
      <c r="S144" s="72"/>
      <c r="T144" s="72"/>
      <c r="U144" s="72"/>
      <c r="V144" s="72"/>
      <c r="W144" s="72"/>
      <c r="X144" s="72"/>
      <c r="Y144" s="72"/>
      <c r="Z144" s="72"/>
      <c r="AA144" s="72"/>
      <c r="AB144" s="72"/>
      <c r="AC144" s="72"/>
      <c r="AD144" s="72"/>
      <c r="AE144" s="72"/>
      <c r="AF144" s="72"/>
      <c r="AG144" s="72"/>
      <c r="AH144" s="72"/>
      <c r="AI144" s="72"/>
      <c r="AJ144" s="72"/>
      <c r="AK144" s="72"/>
      <c r="AL144" s="72"/>
      <c r="AM144" s="72"/>
      <c r="AN144" s="72"/>
      <c r="AO144" s="72"/>
      <c r="AP144" s="72"/>
      <c r="AQ144" s="72"/>
      <c r="AR144" s="72"/>
      <c r="AS144" s="72"/>
      <c r="AT144" s="72"/>
      <c r="AU144" s="72"/>
      <c r="AV144" s="72"/>
    </row>
    <row r="145" spans="1:48" s="37" customFormat="1" ht="16.5" x14ac:dyDescent="0.3">
      <c r="A145" s="72"/>
      <c r="B145" s="72"/>
      <c r="C145" s="72"/>
      <c r="D145" s="72"/>
      <c r="E145" s="72"/>
      <c r="F145" s="72"/>
      <c r="G145" s="72"/>
      <c r="H145" s="72"/>
      <c r="I145" s="72"/>
      <c r="J145" s="72"/>
      <c r="K145" s="72"/>
      <c r="L145" s="72"/>
      <c r="M145" s="72"/>
      <c r="N145" s="72"/>
      <c r="O145" s="72"/>
      <c r="P145" s="72"/>
      <c r="Q145" s="72"/>
      <c r="R145" s="72"/>
      <c r="S145" s="72"/>
      <c r="T145" s="72"/>
      <c r="U145" s="72"/>
      <c r="V145" s="72"/>
      <c r="W145" s="72"/>
      <c r="X145" s="72"/>
      <c r="Y145" s="72"/>
      <c r="Z145" s="72"/>
      <c r="AA145" s="72"/>
      <c r="AB145" s="72"/>
      <c r="AC145" s="72"/>
      <c r="AD145" s="72"/>
      <c r="AE145" s="72"/>
      <c r="AF145" s="72"/>
      <c r="AG145" s="72"/>
      <c r="AH145" s="72"/>
      <c r="AI145" s="72"/>
      <c r="AJ145" s="72"/>
      <c r="AK145" s="72"/>
      <c r="AL145" s="72"/>
      <c r="AM145" s="72"/>
      <c r="AN145" s="72"/>
      <c r="AO145" s="72"/>
      <c r="AP145" s="72"/>
      <c r="AQ145" s="72"/>
      <c r="AR145" s="72"/>
      <c r="AS145" s="72"/>
      <c r="AT145" s="72"/>
      <c r="AU145" s="72"/>
      <c r="AV145" s="72"/>
    </row>
    <row r="146" spans="1:48" s="37" customFormat="1" ht="16.5" x14ac:dyDescent="0.3">
      <c r="A146" s="72"/>
      <c r="B146" s="72"/>
      <c r="C146" s="72"/>
      <c r="D146" s="72"/>
      <c r="E146" s="72"/>
      <c r="F146" s="72"/>
      <c r="G146" s="72"/>
      <c r="H146" s="72"/>
      <c r="I146" s="72"/>
      <c r="J146" s="72"/>
      <c r="K146" s="72"/>
      <c r="L146" s="72"/>
      <c r="M146" s="72"/>
      <c r="N146" s="72"/>
      <c r="O146" s="72"/>
      <c r="P146" s="72"/>
      <c r="Q146" s="72"/>
      <c r="R146" s="72"/>
      <c r="S146" s="72"/>
      <c r="T146" s="72"/>
      <c r="U146" s="72"/>
      <c r="V146" s="72"/>
      <c r="W146" s="72"/>
      <c r="X146" s="72"/>
      <c r="Y146" s="72"/>
      <c r="Z146" s="72"/>
      <c r="AA146" s="72"/>
      <c r="AB146" s="72"/>
      <c r="AC146" s="72"/>
      <c r="AD146" s="72"/>
      <c r="AE146" s="72"/>
      <c r="AF146" s="72"/>
      <c r="AG146" s="72"/>
      <c r="AH146" s="72"/>
      <c r="AI146" s="72"/>
      <c r="AJ146" s="72"/>
      <c r="AK146" s="72"/>
      <c r="AL146" s="72"/>
      <c r="AM146" s="72"/>
      <c r="AN146" s="72"/>
      <c r="AO146" s="72"/>
      <c r="AP146" s="72"/>
      <c r="AQ146" s="72"/>
      <c r="AR146" s="72"/>
      <c r="AS146" s="72"/>
      <c r="AT146" s="72"/>
      <c r="AU146" s="72"/>
      <c r="AV146" s="72"/>
    </row>
    <row r="147" spans="1:48" s="37" customFormat="1" ht="16.5" x14ac:dyDescent="0.3">
      <c r="A147" s="72"/>
      <c r="B147" s="72"/>
      <c r="C147" s="72"/>
      <c r="D147" s="72"/>
      <c r="E147" s="72"/>
      <c r="F147" s="72"/>
      <c r="G147" s="72"/>
      <c r="H147" s="72"/>
      <c r="I147" s="72"/>
      <c r="J147" s="72"/>
      <c r="K147" s="72"/>
      <c r="L147" s="72"/>
      <c r="M147" s="72"/>
      <c r="N147" s="72"/>
      <c r="O147" s="72"/>
      <c r="P147" s="72"/>
      <c r="Q147" s="72"/>
      <c r="R147" s="72"/>
      <c r="S147" s="72"/>
      <c r="T147" s="72"/>
      <c r="U147" s="72"/>
      <c r="V147" s="72"/>
      <c r="W147" s="72"/>
      <c r="X147" s="72"/>
      <c r="Y147" s="72"/>
      <c r="Z147" s="72"/>
      <c r="AA147" s="72"/>
      <c r="AB147" s="72"/>
      <c r="AC147" s="72"/>
      <c r="AD147" s="72"/>
      <c r="AE147" s="72"/>
      <c r="AF147" s="72"/>
      <c r="AG147" s="72"/>
      <c r="AH147" s="72"/>
      <c r="AI147" s="72"/>
      <c r="AJ147" s="72"/>
      <c r="AK147" s="72"/>
      <c r="AL147" s="72"/>
      <c r="AM147" s="72"/>
      <c r="AN147" s="72"/>
      <c r="AO147" s="72"/>
      <c r="AP147" s="72"/>
      <c r="AQ147" s="72"/>
      <c r="AR147" s="72"/>
      <c r="AS147" s="72"/>
      <c r="AT147" s="72"/>
      <c r="AU147" s="72"/>
      <c r="AV147" s="72"/>
    </row>
    <row r="148" spans="1:48" s="37" customFormat="1" ht="16.5" x14ac:dyDescent="0.3">
      <c r="A148" s="72"/>
      <c r="B148" s="72"/>
      <c r="C148" s="72"/>
      <c r="D148" s="72"/>
      <c r="E148" s="72"/>
      <c r="F148" s="72"/>
      <c r="G148" s="72"/>
      <c r="H148" s="72"/>
      <c r="I148" s="72"/>
      <c r="J148" s="72"/>
      <c r="K148" s="72"/>
      <c r="L148" s="72"/>
      <c r="M148" s="72"/>
      <c r="N148" s="72"/>
      <c r="O148" s="72"/>
      <c r="P148" s="72"/>
      <c r="Q148" s="72"/>
      <c r="R148" s="72"/>
      <c r="S148" s="72"/>
      <c r="T148" s="72"/>
      <c r="U148" s="72"/>
      <c r="V148" s="72"/>
      <c r="W148" s="72"/>
      <c r="X148" s="72"/>
      <c r="Y148" s="72"/>
      <c r="Z148" s="72"/>
      <c r="AA148" s="72"/>
      <c r="AB148" s="72"/>
      <c r="AC148" s="72"/>
      <c r="AD148" s="72"/>
      <c r="AE148" s="72"/>
      <c r="AF148" s="72"/>
      <c r="AG148" s="72"/>
      <c r="AH148" s="72"/>
      <c r="AI148" s="72"/>
      <c r="AJ148" s="72"/>
      <c r="AK148" s="72"/>
      <c r="AL148" s="72"/>
      <c r="AM148" s="72"/>
      <c r="AN148" s="72"/>
      <c r="AO148" s="72"/>
      <c r="AP148" s="72"/>
      <c r="AQ148" s="72"/>
      <c r="AR148" s="72"/>
      <c r="AS148" s="72"/>
      <c r="AT148" s="72"/>
      <c r="AU148" s="72"/>
      <c r="AV148" s="72"/>
    </row>
    <row r="149" spans="1:48" s="37" customFormat="1" ht="16.5" x14ac:dyDescent="0.3">
      <c r="A149" s="72"/>
      <c r="B149" s="72"/>
      <c r="C149" s="72"/>
      <c r="D149" s="72"/>
      <c r="E149" s="72"/>
      <c r="F149" s="72"/>
      <c r="G149" s="72"/>
      <c r="H149" s="72"/>
      <c r="I149" s="72"/>
      <c r="J149" s="72"/>
      <c r="K149" s="72"/>
      <c r="L149" s="72"/>
      <c r="M149" s="72"/>
      <c r="N149" s="72"/>
      <c r="O149" s="72"/>
      <c r="P149" s="72"/>
      <c r="Q149" s="72"/>
      <c r="R149" s="72"/>
      <c r="S149" s="72"/>
      <c r="T149" s="72"/>
      <c r="U149" s="72"/>
      <c r="V149" s="72"/>
      <c r="W149" s="72"/>
      <c r="X149" s="72"/>
      <c r="Y149" s="72"/>
      <c r="Z149" s="72"/>
      <c r="AA149" s="72"/>
      <c r="AB149" s="72"/>
      <c r="AC149" s="72"/>
      <c r="AD149" s="72"/>
      <c r="AE149" s="72"/>
      <c r="AF149" s="72"/>
      <c r="AG149" s="72"/>
      <c r="AH149" s="72"/>
      <c r="AI149" s="72"/>
      <c r="AJ149" s="72"/>
      <c r="AK149" s="72"/>
      <c r="AL149" s="72"/>
      <c r="AM149" s="72"/>
      <c r="AN149" s="72"/>
      <c r="AO149" s="72"/>
      <c r="AP149" s="72"/>
      <c r="AQ149" s="72"/>
      <c r="AR149" s="72"/>
      <c r="AS149" s="72"/>
      <c r="AT149" s="72"/>
      <c r="AU149" s="72"/>
      <c r="AV149" s="72"/>
    </row>
    <row r="150" spans="1:48" s="37" customFormat="1" ht="16.5" x14ac:dyDescent="0.3">
      <c r="A150" s="72"/>
      <c r="B150" s="72"/>
      <c r="C150" s="72"/>
      <c r="D150" s="72"/>
      <c r="E150" s="72"/>
      <c r="F150" s="72"/>
      <c r="G150" s="72"/>
      <c r="H150" s="72"/>
      <c r="I150" s="72"/>
      <c r="J150" s="72"/>
      <c r="K150" s="72"/>
      <c r="L150" s="72"/>
      <c r="M150" s="72"/>
      <c r="N150" s="72"/>
      <c r="O150" s="72"/>
      <c r="P150" s="72"/>
      <c r="Q150" s="72"/>
      <c r="R150" s="72"/>
      <c r="S150" s="72"/>
      <c r="T150" s="72"/>
      <c r="U150" s="72"/>
      <c r="V150" s="72"/>
      <c r="W150" s="72"/>
      <c r="X150" s="72"/>
      <c r="Y150" s="72"/>
      <c r="Z150" s="72"/>
      <c r="AA150" s="72"/>
      <c r="AB150" s="72"/>
      <c r="AC150" s="72"/>
      <c r="AD150" s="72"/>
      <c r="AE150" s="72"/>
      <c r="AF150" s="72"/>
      <c r="AG150" s="72"/>
      <c r="AH150" s="72"/>
      <c r="AI150" s="72"/>
      <c r="AJ150" s="72"/>
      <c r="AK150" s="72"/>
      <c r="AL150" s="72"/>
      <c r="AM150" s="72"/>
      <c r="AN150" s="72"/>
      <c r="AO150" s="72"/>
      <c r="AP150" s="72"/>
      <c r="AQ150" s="72"/>
      <c r="AR150" s="72"/>
      <c r="AS150" s="72"/>
      <c r="AT150" s="72"/>
      <c r="AU150" s="72"/>
      <c r="AV150" s="72"/>
    </row>
    <row r="151" spans="1:48" s="37" customFormat="1" ht="16.5" x14ac:dyDescent="0.3">
      <c r="A151" s="72"/>
      <c r="B151" s="72"/>
      <c r="C151" s="72"/>
      <c r="D151" s="72"/>
      <c r="E151" s="72"/>
      <c r="F151" s="72"/>
      <c r="G151" s="72"/>
      <c r="H151" s="72"/>
      <c r="I151" s="72"/>
      <c r="J151" s="72"/>
      <c r="K151" s="72"/>
      <c r="L151" s="72"/>
      <c r="M151" s="72"/>
      <c r="N151" s="72"/>
      <c r="O151" s="72"/>
      <c r="P151" s="72"/>
      <c r="Q151" s="72"/>
      <c r="R151" s="72"/>
      <c r="S151" s="72"/>
      <c r="T151" s="72"/>
      <c r="U151" s="72"/>
      <c r="V151" s="72"/>
      <c r="W151" s="72"/>
      <c r="X151" s="72"/>
      <c r="Y151" s="72"/>
      <c r="Z151" s="72"/>
      <c r="AA151" s="72"/>
      <c r="AB151" s="72"/>
      <c r="AC151" s="72"/>
      <c r="AD151" s="72"/>
      <c r="AE151" s="72"/>
      <c r="AF151" s="72"/>
      <c r="AG151" s="72"/>
      <c r="AH151" s="72"/>
      <c r="AI151" s="72"/>
      <c r="AJ151" s="72"/>
      <c r="AK151" s="72"/>
      <c r="AL151" s="72"/>
      <c r="AM151" s="72"/>
      <c r="AN151" s="72"/>
      <c r="AO151" s="72"/>
      <c r="AP151" s="72"/>
      <c r="AQ151" s="72"/>
      <c r="AR151" s="72"/>
      <c r="AS151" s="72"/>
      <c r="AT151" s="72"/>
      <c r="AU151" s="72"/>
      <c r="AV151" s="72"/>
    </row>
    <row r="152" spans="1:48" s="37" customFormat="1" ht="16.5" x14ac:dyDescent="0.3">
      <c r="A152" s="72"/>
      <c r="B152" s="72"/>
      <c r="C152" s="72"/>
      <c r="D152" s="72"/>
      <c r="E152" s="72"/>
      <c r="F152" s="72"/>
      <c r="G152" s="72"/>
      <c r="H152" s="72"/>
      <c r="I152" s="72"/>
      <c r="J152" s="72"/>
      <c r="K152" s="72"/>
      <c r="L152" s="72"/>
      <c r="M152" s="72"/>
      <c r="N152" s="72"/>
      <c r="O152" s="72"/>
      <c r="P152" s="72"/>
      <c r="Q152" s="72"/>
      <c r="R152" s="72"/>
      <c r="S152" s="72"/>
      <c r="T152" s="72"/>
      <c r="U152" s="72"/>
      <c r="V152" s="72"/>
      <c r="W152" s="72"/>
      <c r="X152" s="72"/>
      <c r="Y152" s="72"/>
      <c r="Z152" s="72"/>
      <c r="AA152" s="72"/>
      <c r="AB152" s="72"/>
      <c r="AC152" s="72"/>
      <c r="AD152" s="72"/>
      <c r="AE152" s="72"/>
      <c r="AF152" s="72"/>
      <c r="AG152" s="72"/>
      <c r="AH152" s="72"/>
      <c r="AI152" s="72"/>
      <c r="AJ152" s="72"/>
      <c r="AK152" s="72"/>
      <c r="AL152" s="72"/>
      <c r="AM152" s="72"/>
      <c r="AN152" s="72"/>
      <c r="AO152" s="72"/>
      <c r="AP152" s="72"/>
      <c r="AQ152" s="72"/>
      <c r="AR152" s="72"/>
      <c r="AS152" s="72"/>
      <c r="AT152" s="72"/>
      <c r="AU152" s="72"/>
      <c r="AV152" s="72"/>
    </row>
    <row r="153" spans="1:48" s="37" customFormat="1" ht="16.5" x14ac:dyDescent="0.3">
      <c r="A153" s="72"/>
      <c r="B153" s="72"/>
      <c r="C153" s="72"/>
      <c r="D153" s="72"/>
      <c r="E153" s="72"/>
      <c r="F153" s="72"/>
      <c r="G153" s="72"/>
      <c r="H153" s="72"/>
      <c r="I153" s="72"/>
      <c r="J153" s="72"/>
      <c r="K153" s="72"/>
      <c r="L153" s="72"/>
      <c r="M153" s="72"/>
      <c r="N153" s="72"/>
      <c r="O153" s="72"/>
      <c r="P153" s="72"/>
      <c r="Q153" s="72"/>
      <c r="R153" s="72"/>
      <c r="S153" s="72"/>
      <c r="T153" s="72"/>
      <c r="U153" s="72"/>
      <c r="V153" s="72"/>
      <c r="W153" s="72"/>
      <c r="X153" s="72"/>
      <c r="Y153" s="72"/>
      <c r="Z153" s="72"/>
      <c r="AA153" s="72"/>
      <c r="AB153" s="72"/>
      <c r="AC153" s="72"/>
      <c r="AD153" s="72"/>
      <c r="AE153" s="72"/>
      <c r="AF153" s="72"/>
      <c r="AG153" s="72"/>
      <c r="AH153" s="72"/>
      <c r="AI153" s="72"/>
      <c r="AJ153" s="72"/>
      <c r="AK153" s="72"/>
      <c r="AL153" s="72"/>
      <c r="AM153" s="72"/>
      <c r="AN153" s="72"/>
      <c r="AO153" s="72"/>
      <c r="AP153" s="72"/>
      <c r="AQ153" s="72"/>
      <c r="AR153" s="72"/>
      <c r="AS153" s="72"/>
      <c r="AT153" s="72"/>
      <c r="AU153" s="72"/>
      <c r="AV153" s="72"/>
    </row>
    <row r="154" spans="1:48" s="37" customFormat="1" ht="16.5" x14ac:dyDescent="0.3">
      <c r="A154" s="72"/>
      <c r="B154" s="72"/>
      <c r="C154" s="72"/>
      <c r="D154" s="72"/>
      <c r="E154" s="72"/>
      <c r="F154" s="72"/>
      <c r="G154" s="72"/>
      <c r="H154" s="72"/>
      <c r="I154" s="72"/>
      <c r="J154" s="72"/>
      <c r="K154" s="72"/>
      <c r="L154" s="72"/>
      <c r="M154" s="72"/>
      <c r="N154" s="72"/>
      <c r="O154" s="72"/>
      <c r="P154" s="72"/>
      <c r="Q154" s="72"/>
      <c r="R154" s="72"/>
      <c r="S154" s="72"/>
      <c r="T154" s="72"/>
      <c r="U154" s="72"/>
      <c r="V154" s="72"/>
      <c r="W154" s="72"/>
      <c r="X154" s="72"/>
      <c r="Y154" s="72"/>
      <c r="Z154" s="72"/>
      <c r="AA154" s="72"/>
      <c r="AB154" s="72"/>
      <c r="AC154" s="72"/>
      <c r="AD154" s="72"/>
      <c r="AE154" s="72"/>
      <c r="AF154" s="72"/>
      <c r="AG154" s="72"/>
      <c r="AH154" s="72"/>
      <c r="AI154" s="72"/>
      <c r="AJ154" s="72"/>
      <c r="AK154" s="72"/>
      <c r="AL154" s="72"/>
      <c r="AM154" s="72"/>
      <c r="AN154" s="72"/>
      <c r="AO154" s="72"/>
      <c r="AP154" s="72"/>
      <c r="AQ154" s="72"/>
      <c r="AR154" s="72"/>
      <c r="AS154" s="72"/>
      <c r="AT154" s="72"/>
      <c r="AU154" s="72"/>
      <c r="AV154" s="72"/>
    </row>
    <row r="155" spans="1:48" s="37" customFormat="1" ht="16.5" x14ac:dyDescent="0.3">
      <c r="A155" s="72"/>
      <c r="B155" s="72"/>
      <c r="C155" s="72"/>
      <c r="D155" s="72"/>
      <c r="E155" s="72"/>
      <c r="F155" s="72"/>
      <c r="G155" s="72"/>
      <c r="H155" s="72"/>
      <c r="I155" s="72"/>
      <c r="J155" s="72"/>
      <c r="K155" s="72"/>
      <c r="L155" s="72"/>
      <c r="M155" s="72"/>
      <c r="N155" s="72"/>
      <c r="O155" s="72"/>
      <c r="P155" s="72"/>
      <c r="Q155" s="72"/>
      <c r="R155" s="72"/>
      <c r="S155" s="72"/>
      <c r="T155" s="72"/>
      <c r="U155" s="72"/>
      <c r="V155" s="72"/>
      <c r="W155" s="72"/>
      <c r="X155" s="72"/>
      <c r="Y155" s="72"/>
      <c r="Z155" s="72"/>
      <c r="AA155" s="72"/>
      <c r="AB155" s="72"/>
      <c r="AC155" s="72"/>
      <c r="AD155" s="72"/>
      <c r="AE155" s="72"/>
      <c r="AF155" s="72"/>
      <c r="AG155" s="72"/>
      <c r="AH155" s="72"/>
      <c r="AI155" s="72"/>
      <c r="AJ155" s="72"/>
      <c r="AK155" s="72"/>
      <c r="AL155" s="72"/>
      <c r="AM155" s="72"/>
      <c r="AN155" s="72"/>
      <c r="AO155" s="72"/>
      <c r="AP155" s="72"/>
      <c r="AQ155" s="72"/>
      <c r="AR155" s="72"/>
      <c r="AS155" s="72"/>
      <c r="AT155" s="72"/>
      <c r="AU155" s="72"/>
      <c r="AV155" s="72"/>
    </row>
    <row r="156" spans="1:48" s="37" customFormat="1" ht="16.5" x14ac:dyDescent="0.3">
      <c r="A156" s="72"/>
      <c r="B156" s="72"/>
      <c r="C156" s="72"/>
      <c r="D156" s="72"/>
      <c r="E156" s="72"/>
      <c r="F156" s="72"/>
      <c r="G156" s="72"/>
      <c r="H156" s="72"/>
      <c r="I156" s="72"/>
      <c r="J156" s="72"/>
      <c r="K156" s="72"/>
      <c r="L156" s="72"/>
      <c r="M156" s="72"/>
      <c r="N156" s="72"/>
      <c r="O156" s="72"/>
      <c r="P156" s="72"/>
      <c r="Q156" s="72"/>
      <c r="R156" s="72"/>
      <c r="S156" s="72"/>
      <c r="T156" s="72"/>
      <c r="U156" s="72"/>
      <c r="V156" s="72"/>
      <c r="W156" s="72"/>
      <c r="X156" s="72"/>
      <c r="Y156" s="72"/>
      <c r="Z156" s="72"/>
      <c r="AA156" s="72"/>
      <c r="AB156" s="72"/>
      <c r="AC156" s="72"/>
      <c r="AD156" s="72"/>
      <c r="AE156" s="72"/>
      <c r="AF156" s="72"/>
      <c r="AG156" s="72"/>
      <c r="AH156" s="72"/>
      <c r="AI156" s="72"/>
      <c r="AJ156" s="72"/>
      <c r="AK156" s="72"/>
      <c r="AL156" s="72"/>
      <c r="AM156" s="72"/>
      <c r="AN156" s="72"/>
      <c r="AO156" s="72"/>
      <c r="AP156" s="72"/>
      <c r="AQ156" s="72"/>
      <c r="AR156" s="72"/>
      <c r="AS156" s="72"/>
      <c r="AT156" s="72"/>
      <c r="AU156" s="72"/>
      <c r="AV156" s="72"/>
    </row>
    <row r="157" spans="1:48" s="37" customFormat="1" ht="16.5" x14ac:dyDescent="0.3">
      <c r="A157" s="72"/>
      <c r="B157" s="72"/>
      <c r="C157" s="72"/>
      <c r="D157" s="72"/>
      <c r="E157" s="72"/>
      <c r="F157" s="72"/>
      <c r="G157" s="72"/>
      <c r="H157" s="72"/>
      <c r="I157" s="72"/>
      <c r="J157" s="72"/>
      <c r="K157" s="72"/>
      <c r="L157" s="72"/>
      <c r="M157" s="72"/>
      <c r="N157" s="72"/>
      <c r="O157" s="72"/>
      <c r="P157" s="72"/>
      <c r="Q157" s="72"/>
      <c r="R157" s="72"/>
      <c r="S157" s="72"/>
      <c r="T157" s="72"/>
      <c r="U157" s="72"/>
      <c r="V157" s="72"/>
      <c r="W157" s="72"/>
      <c r="X157" s="72"/>
      <c r="Y157" s="72"/>
      <c r="Z157" s="72"/>
      <c r="AA157" s="72"/>
      <c r="AB157" s="72"/>
      <c r="AC157" s="72"/>
      <c r="AD157" s="72"/>
      <c r="AE157" s="72"/>
      <c r="AF157" s="72"/>
      <c r="AG157" s="72"/>
      <c r="AH157" s="72"/>
      <c r="AI157" s="72"/>
      <c r="AJ157" s="72"/>
      <c r="AK157" s="72"/>
      <c r="AL157" s="72"/>
      <c r="AM157" s="72"/>
      <c r="AN157" s="72"/>
      <c r="AO157" s="72"/>
      <c r="AP157" s="72"/>
      <c r="AQ157" s="72"/>
      <c r="AR157" s="72"/>
      <c r="AS157" s="72"/>
      <c r="AT157" s="72"/>
      <c r="AU157" s="72"/>
      <c r="AV157" s="72"/>
    </row>
    <row r="158" spans="1:48" s="37" customFormat="1" ht="16.5" x14ac:dyDescent="0.3">
      <c r="A158" s="72"/>
      <c r="B158" s="72"/>
      <c r="C158" s="72"/>
      <c r="D158" s="72"/>
      <c r="E158" s="72"/>
      <c r="F158" s="72"/>
      <c r="G158" s="72"/>
      <c r="H158" s="72"/>
      <c r="I158" s="72"/>
      <c r="J158" s="72"/>
      <c r="K158" s="72"/>
      <c r="L158" s="72"/>
      <c r="M158" s="72"/>
      <c r="N158" s="72"/>
      <c r="O158" s="72"/>
      <c r="P158" s="72"/>
      <c r="Q158" s="72"/>
      <c r="R158" s="72"/>
      <c r="S158" s="72"/>
      <c r="T158" s="72"/>
      <c r="U158" s="72"/>
      <c r="V158" s="72"/>
      <c r="W158" s="72"/>
      <c r="X158" s="72"/>
      <c r="Y158" s="72"/>
      <c r="Z158" s="72"/>
      <c r="AA158" s="72"/>
      <c r="AB158" s="72"/>
      <c r="AC158" s="72"/>
      <c r="AD158" s="72"/>
      <c r="AE158" s="72"/>
      <c r="AF158" s="72"/>
      <c r="AG158" s="72"/>
      <c r="AH158" s="72"/>
      <c r="AI158" s="72"/>
      <c r="AJ158" s="72"/>
      <c r="AK158" s="72"/>
      <c r="AL158" s="72"/>
      <c r="AM158" s="72"/>
      <c r="AN158" s="72"/>
      <c r="AO158" s="72"/>
      <c r="AP158" s="72"/>
      <c r="AQ158" s="72"/>
      <c r="AR158" s="72"/>
      <c r="AS158" s="72"/>
      <c r="AT158" s="72"/>
      <c r="AU158" s="72"/>
      <c r="AV158" s="72"/>
    </row>
    <row r="159" spans="1:48" s="37" customFormat="1" ht="16.5" x14ac:dyDescent="0.3">
      <c r="A159" s="72"/>
      <c r="B159" s="72"/>
      <c r="C159" s="72"/>
      <c r="D159" s="72"/>
      <c r="E159" s="72"/>
      <c r="F159" s="72"/>
      <c r="G159" s="72"/>
      <c r="H159" s="72"/>
      <c r="I159" s="72"/>
      <c r="J159" s="72"/>
      <c r="K159" s="72"/>
      <c r="L159" s="72"/>
      <c r="M159" s="72"/>
      <c r="N159" s="72"/>
      <c r="O159" s="72"/>
      <c r="P159" s="72"/>
      <c r="Q159" s="72"/>
      <c r="R159" s="72"/>
      <c r="S159" s="72"/>
      <c r="T159" s="72"/>
      <c r="U159" s="72"/>
      <c r="V159" s="72"/>
      <c r="W159" s="72"/>
      <c r="X159" s="72"/>
      <c r="Y159" s="72"/>
      <c r="Z159" s="72"/>
      <c r="AA159" s="72"/>
      <c r="AB159" s="72"/>
      <c r="AC159" s="72"/>
      <c r="AD159" s="72"/>
      <c r="AE159" s="72"/>
      <c r="AF159" s="72"/>
      <c r="AG159" s="72"/>
      <c r="AH159" s="72"/>
      <c r="AI159" s="72"/>
      <c r="AJ159" s="72"/>
      <c r="AK159" s="72"/>
      <c r="AL159" s="72"/>
      <c r="AM159" s="72"/>
      <c r="AN159" s="72"/>
      <c r="AO159" s="72"/>
      <c r="AP159" s="72"/>
      <c r="AQ159" s="72"/>
      <c r="AR159" s="72"/>
      <c r="AS159" s="72"/>
      <c r="AT159" s="72"/>
      <c r="AU159" s="72"/>
      <c r="AV159" s="72"/>
    </row>
    <row r="160" spans="1:48" s="37" customFormat="1" ht="16.5" x14ac:dyDescent="0.3">
      <c r="A160" s="72"/>
      <c r="B160" s="72"/>
      <c r="C160" s="72"/>
      <c r="D160" s="72"/>
      <c r="E160" s="72"/>
      <c r="F160" s="72"/>
      <c r="G160" s="72"/>
      <c r="H160" s="72"/>
      <c r="I160" s="72"/>
      <c r="J160" s="72"/>
      <c r="K160" s="72"/>
      <c r="L160" s="72"/>
      <c r="M160" s="72"/>
      <c r="N160" s="72"/>
      <c r="O160" s="72"/>
      <c r="P160" s="72"/>
      <c r="Q160" s="72"/>
      <c r="R160" s="72"/>
      <c r="S160" s="72"/>
      <c r="T160" s="72"/>
      <c r="U160" s="72"/>
      <c r="V160" s="72"/>
      <c r="W160" s="72"/>
      <c r="X160" s="72"/>
      <c r="Y160" s="72"/>
      <c r="Z160" s="72"/>
      <c r="AA160" s="72"/>
      <c r="AB160" s="72"/>
      <c r="AC160" s="72"/>
      <c r="AD160" s="72"/>
      <c r="AE160" s="72"/>
      <c r="AF160" s="72"/>
      <c r="AG160" s="72"/>
      <c r="AH160" s="72"/>
      <c r="AI160" s="72"/>
      <c r="AJ160" s="72"/>
      <c r="AK160" s="72"/>
      <c r="AL160" s="72"/>
      <c r="AM160" s="72"/>
      <c r="AN160" s="72"/>
      <c r="AO160" s="72"/>
      <c r="AP160" s="72"/>
      <c r="AQ160" s="72"/>
      <c r="AR160" s="72"/>
      <c r="AS160" s="72"/>
      <c r="AT160" s="72"/>
      <c r="AU160" s="72"/>
      <c r="AV160" s="72"/>
    </row>
    <row r="161" spans="1:48" s="37" customFormat="1" ht="16.5" x14ac:dyDescent="0.3">
      <c r="A161" s="72"/>
      <c r="B161" s="72"/>
      <c r="C161" s="72"/>
      <c r="D161" s="72"/>
      <c r="E161" s="72"/>
      <c r="F161" s="72"/>
      <c r="G161" s="72"/>
      <c r="H161" s="72"/>
      <c r="I161" s="72"/>
      <c r="J161" s="72"/>
      <c r="K161" s="72"/>
      <c r="L161" s="72"/>
      <c r="M161" s="72"/>
      <c r="N161" s="72"/>
      <c r="O161" s="72"/>
      <c r="P161" s="72"/>
      <c r="Q161" s="72"/>
      <c r="R161" s="72"/>
      <c r="S161" s="72"/>
      <c r="T161" s="72"/>
      <c r="U161" s="72"/>
      <c r="V161" s="72"/>
      <c r="W161" s="72"/>
      <c r="X161" s="72"/>
      <c r="Y161" s="72"/>
      <c r="Z161" s="72"/>
      <c r="AA161" s="72"/>
      <c r="AB161" s="72"/>
      <c r="AC161" s="72"/>
      <c r="AD161" s="72"/>
      <c r="AE161" s="72"/>
      <c r="AF161" s="72"/>
      <c r="AG161" s="72"/>
      <c r="AH161" s="72"/>
      <c r="AI161" s="72"/>
      <c r="AJ161" s="72"/>
      <c r="AK161" s="72"/>
      <c r="AL161" s="72"/>
      <c r="AM161" s="72"/>
      <c r="AN161" s="72"/>
      <c r="AO161" s="72"/>
      <c r="AP161" s="72"/>
      <c r="AQ161" s="72"/>
      <c r="AR161" s="72"/>
      <c r="AS161" s="72"/>
      <c r="AT161" s="72"/>
      <c r="AU161" s="72"/>
      <c r="AV161" s="72"/>
    </row>
    <row r="162" spans="1:48" s="37" customFormat="1" ht="16.5" x14ac:dyDescent="0.3">
      <c r="A162" s="72"/>
      <c r="B162" s="72"/>
      <c r="C162" s="72"/>
      <c r="D162" s="72"/>
      <c r="E162" s="72"/>
      <c r="F162" s="72"/>
      <c r="G162" s="72"/>
      <c r="H162" s="72"/>
      <c r="I162" s="72"/>
      <c r="J162" s="72"/>
      <c r="K162" s="72"/>
      <c r="L162" s="72"/>
      <c r="M162" s="72"/>
      <c r="N162" s="72"/>
      <c r="O162" s="72"/>
      <c r="P162" s="72"/>
      <c r="Q162" s="72"/>
      <c r="R162" s="72"/>
      <c r="S162" s="72"/>
      <c r="T162" s="72"/>
      <c r="U162" s="72"/>
      <c r="V162" s="72"/>
      <c r="W162" s="72"/>
      <c r="X162" s="72"/>
      <c r="Y162" s="72"/>
      <c r="Z162" s="72"/>
      <c r="AA162" s="72"/>
      <c r="AB162" s="72"/>
      <c r="AC162" s="72"/>
      <c r="AD162" s="72"/>
      <c r="AE162" s="72"/>
      <c r="AF162" s="72"/>
      <c r="AG162" s="72"/>
      <c r="AH162" s="72"/>
      <c r="AI162" s="72"/>
      <c r="AJ162" s="72"/>
      <c r="AK162" s="72"/>
      <c r="AL162" s="72"/>
      <c r="AM162" s="72"/>
      <c r="AN162" s="72"/>
      <c r="AO162" s="72"/>
      <c r="AP162" s="72"/>
      <c r="AQ162" s="72"/>
      <c r="AR162" s="72"/>
      <c r="AS162" s="72"/>
      <c r="AT162" s="72"/>
      <c r="AU162" s="72"/>
      <c r="AV162" s="72"/>
    </row>
    <row r="163" spans="1:48" s="37" customFormat="1" ht="16.5" x14ac:dyDescent="0.3">
      <c r="A163" s="72"/>
      <c r="B163" s="72"/>
      <c r="C163" s="72"/>
      <c r="D163" s="72"/>
      <c r="E163" s="72"/>
      <c r="F163" s="72"/>
      <c r="G163" s="72"/>
      <c r="H163" s="72"/>
      <c r="I163" s="72"/>
      <c r="J163" s="72"/>
      <c r="K163" s="72"/>
      <c r="L163" s="72"/>
      <c r="M163" s="72"/>
      <c r="N163" s="72"/>
      <c r="O163" s="72"/>
      <c r="P163" s="72"/>
      <c r="Q163" s="72"/>
      <c r="R163" s="72"/>
      <c r="S163" s="72"/>
      <c r="T163" s="72"/>
      <c r="U163" s="72"/>
      <c r="V163" s="72"/>
      <c r="W163" s="72"/>
      <c r="X163" s="72"/>
      <c r="Y163" s="72"/>
      <c r="Z163" s="72"/>
      <c r="AA163" s="72"/>
      <c r="AB163" s="72"/>
      <c r="AC163" s="72"/>
      <c r="AD163" s="72"/>
      <c r="AE163" s="72"/>
      <c r="AF163" s="72"/>
      <c r="AG163" s="72"/>
      <c r="AH163" s="72"/>
      <c r="AI163" s="72"/>
      <c r="AJ163" s="72"/>
      <c r="AK163" s="72"/>
      <c r="AL163" s="72"/>
      <c r="AM163" s="72"/>
      <c r="AN163" s="72"/>
      <c r="AO163" s="72"/>
      <c r="AP163" s="72"/>
      <c r="AQ163" s="72"/>
      <c r="AR163" s="72"/>
      <c r="AS163" s="72"/>
      <c r="AT163" s="72"/>
      <c r="AU163" s="72"/>
      <c r="AV163" s="72"/>
    </row>
    <row r="164" spans="1:48" s="37" customFormat="1" ht="16.5" x14ac:dyDescent="0.3">
      <c r="A164" s="72"/>
      <c r="B164" s="72"/>
      <c r="C164" s="72"/>
      <c r="D164" s="72"/>
      <c r="E164" s="72"/>
      <c r="F164" s="72"/>
      <c r="G164" s="72"/>
      <c r="H164" s="72"/>
      <c r="I164" s="72"/>
      <c r="J164" s="72"/>
      <c r="K164" s="72"/>
      <c r="L164" s="72"/>
      <c r="M164" s="72"/>
      <c r="N164" s="72"/>
      <c r="O164" s="72"/>
      <c r="P164" s="72"/>
      <c r="Q164" s="72"/>
      <c r="R164" s="72"/>
      <c r="S164" s="72"/>
      <c r="T164" s="72"/>
      <c r="U164" s="72"/>
      <c r="V164" s="72"/>
      <c r="W164" s="72"/>
      <c r="X164" s="72"/>
      <c r="Y164" s="72"/>
      <c r="Z164" s="72"/>
      <c r="AA164" s="72"/>
      <c r="AB164" s="72"/>
      <c r="AC164" s="72"/>
      <c r="AD164" s="72"/>
      <c r="AE164" s="72"/>
      <c r="AF164" s="72"/>
      <c r="AG164" s="72"/>
      <c r="AH164" s="72"/>
      <c r="AI164" s="72"/>
      <c r="AJ164" s="72"/>
      <c r="AK164" s="72"/>
      <c r="AL164" s="72"/>
      <c r="AM164" s="72"/>
      <c r="AN164" s="72"/>
      <c r="AO164" s="72"/>
      <c r="AP164" s="72"/>
      <c r="AQ164" s="72"/>
      <c r="AR164" s="72"/>
      <c r="AS164" s="72"/>
      <c r="AT164" s="72"/>
      <c r="AU164" s="72"/>
      <c r="AV164" s="72"/>
    </row>
    <row r="165" spans="1:48" s="37" customFormat="1" ht="16.5" x14ac:dyDescent="0.3">
      <c r="A165" s="72"/>
      <c r="B165" s="72"/>
      <c r="C165" s="72"/>
      <c r="D165" s="72"/>
      <c r="E165" s="72"/>
      <c r="F165" s="72"/>
      <c r="G165" s="72"/>
      <c r="H165" s="72"/>
      <c r="I165" s="72"/>
      <c r="J165" s="72"/>
      <c r="K165" s="72"/>
      <c r="L165" s="72"/>
      <c r="M165" s="72"/>
      <c r="N165" s="72"/>
      <c r="O165" s="72"/>
      <c r="P165" s="72"/>
      <c r="Q165" s="72"/>
      <c r="R165" s="72"/>
      <c r="S165" s="72"/>
      <c r="T165" s="72"/>
      <c r="U165" s="72"/>
      <c r="V165" s="72"/>
      <c r="W165" s="72"/>
      <c r="X165" s="72"/>
      <c r="Y165" s="72"/>
      <c r="Z165" s="72"/>
      <c r="AA165" s="72"/>
      <c r="AB165" s="72"/>
      <c r="AC165" s="72"/>
      <c r="AD165" s="72"/>
      <c r="AE165" s="72"/>
      <c r="AF165" s="72"/>
      <c r="AG165" s="72"/>
      <c r="AH165" s="72"/>
      <c r="AI165" s="72"/>
      <c r="AJ165" s="72"/>
      <c r="AK165" s="72"/>
      <c r="AL165" s="72"/>
      <c r="AM165" s="72"/>
      <c r="AN165" s="72"/>
      <c r="AO165" s="72"/>
      <c r="AP165" s="72"/>
      <c r="AQ165" s="72"/>
      <c r="AR165" s="72"/>
      <c r="AS165" s="72"/>
      <c r="AT165" s="72"/>
      <c r="AU165" s="72"/>
      <c r="AV165" s="72"/>
    </row>
    <row r="166" spans="1:48" s="37" customFormat="1" ht="16.5" x14ac:dyDescent="0.3">
      <c r="A166" s="72"/>
      <c r="B166" s="72"/>
      <c r="C166" s="72"/>
      <c r="D166" s="72"/>
      <c r="E166" s="72"/>
      <c r="F166" s="72"/>
      <c r="G166" s="72"/>
      <c r="H166" s="72"/>
      <c r="I166" s="72"/>
      <c r="J166" s="72"/>
      <c r="K166" s="72"/>
      <c r="L166" s="72"/>
      <c r="M166" s="72"/>
      <c r="N166" s="72"/>
      <c r="O166" s="72"/>
      <c r="P166" s="72"/>
      <c r="Q166" s="72"/>
      <c r="R166" s="72"/>
      <c r="S166" s="72"/>
      <c r="T166" s="72"/>
      <c r="U166" s="72"/>
      <c r="V166" s="72"/>
      <c r="W166" s="72"/>
      <c r="X166" s="72"/>
      <c r="Y166" s="72"/>
      <c r="Z166" s="72"/>
      <c r="AA166" s="72"/>
      <c r="AB166" s="72"/>
      <c r="AC166" s="72"/>
      <c r="AD166" s="72"/>
      <c r="AE166" s="72"/>
      <c r="AF166" s="72"/>
      <c r="AG166" s="72"/>
      <c r="AH166" s="72"/>
      <c r="AI166" s="72"/>
      <c r="AJ166" s="72"/>
      <c r="AK166" s="72"/>
      <c r="AL166" s="72"/>
      <c r="AM166" s="72"/>
      <c r="AN166" s="72"/>
      <c r="AO166" s="72"/>
      <c r="AP166" s="72"/>
      <c r="AQ166" s="72"/>
      <c r="AR166" s="72"/>
      <c r="AS166" s="72"/>
      <c r="AT166" s="72"/>
      <c r="AU166" s="72"/>
      <c r="AV166" s="72"/>
    </row>
    <row r="167" spans="1:48" s="37" customFormat="1" ht="16.5" x14ac:dyDescent="0.3">
      <c r="A167" s="72"/>
      <c r="B167" s="72"/>
      <c r="C167" s="72"/>
      <c r="D167" s="72"/>
      <c r="E167" s="72"/>
      <c r="F167" s="72"/>
      <c r="G167" s="72"/>
      <c r="H167" s="72"/>
      <c r="I167" s="72"/>
      <c r="J167" s="72"/>
      <c r="K167" s="72"/>
      <c r="L167" s="72"/>
      <c r="M167" s="72"/>
      <c r="N167" s="72"/>
      <c r="O167" s="72"/>
      <c r="P167" s="72"/>
      <c r="Q167" s="72"/>
      <c r="R167" s="72"/>
      <c r="S167" s="72"/>
      <c r="T167" s="72"/>
      <c r="U167" s="72"/>
      <c r="V167" s="72"/>
      <c r="W167" s="72"/>
      <c r="X167" s="72"/>
      <c r="Y167" s="72"/>
      <c r="Z167" s="72"/>
      <c r="AA167" s="72"/>
      <c r="AB167" s="72"/>
      <c r="AC167" s="72"/>
      <c r="AD167" s="72"/>
      <c r="AE167" s="72"/>
      <c r="AF167" s="72"/>
      <c r="AG167" s="72"/>
      <c r="AH167" s="72"/>
      <c r="AI167" s="72"/>
      <c r="AJ167" s="72"/>
      <c r="AK167" s="72"/>
      <c r="AL167" s="72"/>
      <c r="AM167" s="72"/>
      <c r="AN167" s="72"/>
      <c r="AO167" s="72"/>
      <c r="AP167" s="72"/>
      <c r="AQ167" s="72"/>
      <c r="AR167" s="72"/>
      <c r="AS167" s="72"/>
      <c r="AT167" s="72"/>
      <c r="AU167" s="72"/>
      <c r="AV167" s="72"/>
    </row>
    <row r="168" spans="1:48" s="37" customFormat="1" ht="16.5" x14ac:dyDescent="0.3">
      <c r="A168" s="72"/>
      <c r="B168" s="72"/>
      <c r="C168" s="72"/>
      <c r="D168" s="72"/>
      <c r="E168" s="72"/>
      <c r="F168" s="72"/>
      <c r="G168" s="72"/>
      <c r="H168" s="72"/>
      <c r="I168" s="72"/>
      <c r="J168" s="72"/>
      <c r="K168" s="72"/>
      <c r="L168" s="72"/>
      <c r="M168" s="72"/>
      <c r="N168" s="72"/>
      <c r="O168" s="72"/>
      <c r="P168" s="72"/>
      <c r="Q168" s="72"/>
      <c r="R168" s="72"/>
      <c r="S168" s="72"/>
      <c r="T168" s="72"/>
      <c r="U168" s="72"/>
      <c r="V168" s="72"/>
      <c r="W168" s="72"/>
      <c r="X168" s="72"/>
      <c r="Y168" s="72"/>
      <c r="Z168" s="72"/>
      <c r="AA168" s="72"/>
      <c r="AB168" s="72"/>
      <c r="AC168" s="72"/>
      <c r="AD168" s="72"/>
      <c r="AE168" s="72"/>
      <c r="AF168" s="72"/>
      <c r="AG168" s="72"/>
      <c r="AH168" s="72"/>
      <c r="AI168" s="72"/>
      <c r="AJ168" s="72"/>
      <c r="AK168" s="72"/>
      <c r="AL168" s="72"/>
      <c r="AM168" s="72"/>
      <c r="AN168" s="72"/>
      <c r="AO168" s="72"/>
      <c r="AP168" s="72"/>
      <c r="AQ168" s="72"/>
      <c r="AR168" s="72"/>
      <c r="AS168" s="72"/>
      <c r="AT168" s="72"/>
      <c r="AU168" s="72"/>
      <c r="AV168" s="72"/>
    </row>
    <row r="169" spans="1:48" s="37" customFormat="1" ht="16.5" x14ac:dyDescent="0.3">
      <c r="A169" s="72"/>
      <c r="B169" s="72"/>
      <c r="C169" s="72"/>
      <c r="D169" s="72"/>
      <c r="E169" s="72"/>
      <c r="F169" s="72"/>
      <c r="G169" s="72"/>
      <c r="H169" s="72"/>
      <c r="I169" s="72"/>
      <c r="J169" s="72"/>
      <c r="K169" s="72"/>
      <c r="L169" s="72"/>
      <c r="M169" s="72"/>
      <c r="N169" s="72"/>
      <c r="O169" s="72"/>
      <c r="P169" s="72"/>
      <c r="Q169" s="72"/>
      <c r="R169" s="72"/>
      <c r="S169" s="72"/>
      <c r="T169" s="72"/>
      <c r="U169" s="72"/>
      <c r="V169" s="72"/>
      <c r="W169" s="72"/>
      <c r="X169" s="72"/>
      <c r="Y169" s="72"/>
      <c r="Z169" s="72"/>
      <c r="AA169" s="72"/>
      <c r="AB169" s="72"/>
      <c r="AC169" s="72"/>
      <c r="AD169" s="72"/>
      <c r="AE169" s="72"/>
      <c r="AF169" s="72"/>
      <c r="AG169" s="72"/>
      <c r="AH169" s="72"/>
      <c r="AI169" s="72"/>
      <c r="AJ169" s="72"/>
      <c r="AK169" s="72"/>
      <c r="AL169" s="72"/>
      <c r="AM169" s="72"/>
      <c r="AN169" s="72"/>
      <c r="AO169" s="72"/>
      <c r="AP169" s="72"/>
      <c r="AQ169" s="72"/>
      <c r="AR169" s="72"/>
      <c r="AS169" s="72"/>
      <c r="AT169" s="72"/>
      <c r="AU169" s="72"/>
      <c r="AV169" s="72"/>
    </row>
    <row r="170" spans="1:48" s="37" customFormat="1" ht="16.5" x14ac:dyDescent="0.3">
      <c r="A170" s="72"/>
      <c r="B170" s="72"/>
      <c r="C170" s="72"/>
      <c r="D170" s="72"/>
      <c r="E170" s="72"/>
      <c r="F170" s="72"/>
      <c r="G170" s="72"/>
      <c r="H170" s="72"/>
      <c r="I170" s="72"/>
      <c r="J170" s="72"/>
      <c r="K170" s="72"/>
      <c r="L170" s="72"/>
      <c r="M170" s="72"/>
      <c r="N170" s="72"/>
      <c r="O170" s="72"/>
      <c r="P170" s="72"/>
      <c r="Q170" s="72"/>
      <c r="R170" s="72"/>
      <c r="S170" s="72"/>
      <c r="T170" s="72"/>
      <c r="U170" s="72"/>
      <c r="V170" s="72"/>
      <c r="W170" s="72"/>
      <c r="X170" s="72"/>
      <c r="Y170" s="72"/>
      <c r="Z170" s="72"/>
      <c r="AA170" s="72"/>
      <c r="AB170" s="72"/>
      <c r="AC170" s="72"/>
      <c r="AD170" s="72"/>
      <c r="AE170" s="72"/>
      <c r="AF170" s="72"/>
      <c r="AG170" s="72"/>
      <c r="AH170" s="72"/>
      <c r="AI170" s="72"/>
      <c r="AJ170" s="72"/>
      <c r="AK170" s="72"/>
      <c r="AL170" s="72"/>
      <c r="AM170" s="72"/>
      <c r="AN170" s="72"/>
      <c r="AO170" s="72"/>
      <c r="AP170" s="72"/>
      <c r="AQ170" s="72"/>
      <c r="AR170" s="72"/>
      <c r="AS170" s="72"/>
      <c r="AT170" s="72"/>
      <c r="AU170" s="72"/>
      <c r="AV170" s="72"/>
    </row>
    <row r="171" spans="1:48" s="37" customFormat="1" ht="16.5" x14ac:dyDescent="0.3">
      <c r="A171" s="72"/>
      <c r="B171" s="72"/>
      <c r="C171" s="72"/>
      <c r="D171" s="72"/>
      <c r="E171" s="72"/>
      <c r="F171" s="72"/>
      <c r="G171" s="72"/>
      <c r="H171" s="72"/>
      <c r="I171" s="72"/>
      <c r="J171" s="72"/>
      <c r="K171" s="72"/>
      <c r="L171" s="72"/>
      <c r="M171" s="72"/>
      <c r="N171" s="72"/>
      <c r="O171" s="72"/>
      <c r="P171" s="72"/>
      <c r="Q171" s="72"/>
      <c r="R171" s="72"/>
      <c r="S171" s="72"/>
      <c r="T171" s="72"/>
      <c r="U171" s="72"/>
      <c r="V171" s="72"/>
      <c r="W171" s="72"/>
      <c r="X171" s="72"/>
      <c r="Y171" s="72"/>
      <c r="Z171" s="72"/>
      <c r="AA171" s="72"/>
      <c r="AB171" s="72"/>
      <c r="AC171" s="72"/>
      <c r="AD171" s="72"/>
      <c r="AE171" s="72"/>
      <c r="AF171" s="72"/>
      <c r="AG171" s="72"/>
      <c r="AH171" s="72"/>
      <c r="AI171" s="72"/>
      <c r="AJ171" s="72"/>
      <c r="AK171" s="72"/>
      <c r="AL171" s="72"/>
      <c r="AM171" s="72"/>
      <c r="AN171" s="72"/>
      <c r="AO171" s="72"/>
      <c r="AP171" s="72"/>
      <c r="AQ171" s="72"/>
      <c r="AR171" s="72"/>
      <c r="AS171" s="72"/>
      <c r="AT171" s="72"/>
      <c r="AU171" s="72"/>
      <c r="AV171" s="72"/>
    </row>
    <row r="172" spans="1:48" s="37" customFormat="1" ht="16.5" x14ac:dyDescent="0.3">
      <c r="A172" s="72"/>
      <c r="B172" s="72"/>
      <c r="C172" s="72"/>
      <c r="D172" s="72"/>
      <c r="E172" s="72"/>
      <c r="F172" s="72"/>
      <c r="G172" s="72"/>
      <c r="H172" s="72"/>
      <c r="I172" s="72"/>
      <c r="J172" s="72"/>
      <c r="K172" s="72"/>
      <c r="L172" s="72"/>
      <c r="M172" s="72"/>
      <c r="N172" s="72"/>
      <c r="O172" s="72"/>
      <c r="P172" s="72"/>
      <c r="Q172" s="72"/>
      <c r="R172" s="72"/>
      <c r="S172" s="72"/>
      <c r="T172" s="72"/>
      <c r="U172" s="72"/>
      <c r="V172" s="72"/>
      <c r="W172" s="72"/>
      <c r="X172" s="72"/>
      <c r="Y172" s="72"/>
      <c r="Z172" s="72"/>
      <c r="AA172" s="72"/>
      <c r="AB172" s="72"/>
      <c r="AC172" s="72"/>
      <c r="AD172" s="72"/>
      <c r="AE172" s="72"/>
      <c r="AF172" s="72"/>
      <c r="AG172" s="72"/>
      <c r="AH172" s="72"/>
      <c r="AI172" s="72"/>
      <c r="AJ172" s="72"/>
      <c r="AK172" s="72"/>
      <c r="AL172" s="72"/>
      <c r="AM172" s="72"/>
      <c r="AN172" s="72"/>
      <c r="AO172" s="72"/>
      <c r="AP172" s="72"/>
      <c r="AQ172" s="72"/>
      <c r="AR172" s="72"/>
      <c r="AS172" s="72"/>
      <c r="AT172" s="72"/>
      <c r="AU172" s="72"/>
      <c r="AV172" s="72"/>
    </row>
    <row r="173" spans="1:48" s="37" customFormat="1" ht="16.5" x14ac:dyDescent="0.3">
      <c r="A173" s="72"/>
      <c r="B173" s="72"/>
      <c r="C173" s="72"/>
      <c r="D173" s="72"/>
      <c r="E173" s="72"/>
      <c r="F173" s="72"/>
      <c r="G173" s="72"/>
      <c r="H173" s="72"/>
      <c r="I173" s="72"/>
      <c r="J173" s="72"/>
      <c r="K173" s="72"/>
      <c r="L173" s="72"/>
      <c r="M173" s="72"/>
      <c r="N173" s="72"/>
      <c r="O173" s="72"/>
      <c r="P173" s="72"/>
      <c r="Q173" s="72"/>
      <c r="R173" s="72"/>
      <c r="S173" s="72"/>
      <c r="T173" s="72"/>
      <c r="U173" s="72"/>
      <c r="V173" s="72"/>
      <c r="W173" s="72"/>
      <c r="X173" s="72"/>
      <c r="Y173" s="72"/>
      <c r="Z173" s="72"/>
      <c r="AA173" s="72"/>
      <c r="AB173" s="72"/>
      <c r="AC173" s="72"/>
      <c r="AD173" s="72"/>
      <c r="AE173" s="72"/>
      <c r="AF173" s="72"/>
      <c r="AG173" s="72"/>
      <c r="AH173" s="72"/>
      <c r="AI173" s="72"/>
      <c r="AJ173" s="72"/>
      <c r="AK173" s="72"/>
      <c r="AL173" s="72"/>
      <c r="AM173" s="72"/>
      <c r="AN173" s="72"/>
      <c r="AO173" s="72"/>
      <c r="AP173" s="72"/>
      <c r="AQ173" s="72"/>
      <c r="AR173" s="72"/>
      <c r="AS173" s="72"/>
      <c r="AT173" s="72"/>
      <c r="AU173" s="72"/>
      <c r="AV173" s="72"/>
    </row>
    <row r="174" spans="1:48" s="37" customFormat="1" ht="16.5" x14ac:dyDescent="0.3">
      <c r="A174" s="72"/>
      <c r="B174" s="72"/>
      <c r="C174" s="72"/>
      <c r="D174" s="72"/>
      <c r="E174" s="72"/>
      <c r="F174" s="72"/>
      <c r="G174" s="72"/>
      <c r="H174" s="72"/>
      <c r="I174" s="72"/>
      <c r="J174" s="72"/>
      <c r="K174" s="72"/>
      <c r="L174" s="72"/>
      <c r="M174" s="72"/>
      <c r="N174" s="72"/>
      <c r="O174" s="72"/>
      <c r="P174" s="72"/>
      <c r="Q174" s="72"/>
      <c r="R174" s="72"/>
      <c r="S174" s="72"/>
      <c r="T174" s="72"/>
      <c r="U174" s="72"/>
      <c r="V174" s="72"/>
      <c r="W174" s="72"/>
      <c r="X174" s="72"/>
      <c r="Y174" s="72"/>
      <c r="Z174" s="72"/>
      <c r="AA174" s="72"/>
      <c r="AB174" s="72"/>
      <c r="AC174" s="72"/>
      <c r="AD174" s="72"/>
      <c r="AE174" s="72"/>
      <c r="AF174" s="72"/>
      <c r="AG174" s="72"/>
      <c r="AH174" s="72"/>
      <c r="AI174" s="72"/>
      <c r="AJ174" s="72"/>
      <c r="AK174" s="72"/>
      <c r="AL174" s="72"/>
      <c r="AM174" s="72"/>
      <c r="AN174" s="72"/>
      <c r="AO174" s="72"/>
      <c r="AP174" s="72"/>
      <c r="AQ174" s="72"/>
      <c r="AR174" s="72"/>
      <c r="AS174" s="72"/>
      <c r="AT174" s="72"/>
      <c r="AU174" s="72"/>
      <c r="AV174" s="72"/>
    </row>
    <row r="175" spans="1:48" s="37" customFormat="1" ht="16.5" x14ac:dyDescent="0.3">
      <c r="A175" s="72"/>
      <c r="B175" s="72"/>
      <c r="C175" s="72"/>
      <c r="D175" s="72"/>
      <c r="E175" s="72"/>
      <c r="F175" s="72"/>
      <c r="G175" s="72"/>
      <c r="H175" s="72"/>
      <c r="I175" s="72"/>
      <c r="J175" s="72"/>
      <c r="K175" s="72"/>
      <c r="L175" s="72"/>
      <c r="M175" s="72"/>
      <c r="N175" s="72"/>
      <c r="O175" s="72"/>
      <c r="P175" s="72"/>
      <c r="Q175" s="72"/>
      <c r="R175" s="72"/>
      <c r="S175" s="72"/>
      <c r="T175" s="72"/>
      <c r="U175" s="72"/>
      <c r="V175" s="72"/>
      <c r="W175" s="72"/>
      <c r="X175" s="72"/>
      <c r="Y175" s="72"/>
      <c r="Z175" s="72"/>
      <c r="AA175" s="72"/>
      <c r="AB175" s="72"/>
      <c r="AC175" s="72"/>
      <c r="AD175" s="72"/>
      <c r="AE175" s="72"/>
      <c r="AF175" s="72"/>
      <c r="AG175" s="72"/>
      <c r="AH175" s="72"/>
      <c r="AI175" s="72"/>
      <c r="AJ175" s="72"/>
      <c r="AK175" s="72"/>
      <c r="AL175" s="72"/>
      <c r="AM175" s="72"/>
      <c r="AN175" s="72"/>
      <c r="AO175" s="72"/>
      <c r="AP175" s="72"/>
      <c r="AQ175" s="72"/>
      <c r="AR175" s="72"/>
      <c r="AS175" s="72"/>
      <c r="AT175" s="72"/>
      <c r="AU175" s="72"/>
      <c r="AV175" s="72"/>
    </row>
    <row r="176" spans="1:48" s="37" customFormat="1" ht="16.5" x14ac:dyDescent="0.3">
      <c r="A176" s="72"/>
      <c r="B176" s="72"/>
      <c r="C176" s="72"/>
      <c r="D176" s="72"/>
      <c r="E176" s="72"/>
      <c r="F176" s="72"/>
      <c r="G176" s="72"/>
      <c r="H176" s="72"/>
      <c r="I176" s="72"/>
      <c r="J176" s="72"/>
      <c r="K176" s="72"/>
      <c r="L176" s="72"/>
      <c r="M176" s="72"/>
      <c r="N176" s="72"/>
      <c r="O176" s="72"/>
      <c r="P176" s="72"/>
      <c r="Q176" s="72"/>
      <c r="R176" s="72"/>
      <c r="S176" s="72"/>
      <c r="T176" s="72"/>
      <c r="U176" s="72"/>
      <c r="V176" s="72"/>
      <c r="W176" s="72"/>
      <c r="X176" s="72"/>
      <c r="Y176" s="72"/>
      <c r="Z176" s="72"/>
      <c r="AA176" s="72"/>
      <c r="AB176" s="72"/>
      <c r="AC176" s="72"/>
      <c r="AD176" s="72"/>
      <c r="AE176" s="72"/>
      <c r="AF176" s="72"/>
      <c r="AG176" s="72"/>
      <c r="AH176" s="72"/>
      <c r="AI176" s="72"/>
      <c r="AJ176" s="72"/>
      <c r="AK176" s="72"/>
      <c r="AL176" s="72"/>
      <c r="AM176" s="72"/>
      <c r="AN176" s="72"/>
      <c r="AO176" s="72"/>
      <c r="AP176" s="72"/>
      <c r="AQ176" s="72"/>
      <c r="AR176" s="72"/>
      <c r="AS176" s="72"/>
      <c r="AT176" s="72"/>
      <c r="AU176" s="72"/>
      <c r="AV176" s="72"/>
    </row>
    <row r="177" spans="1:48" s="37" customFormat="1" ht="16.5" x14ac:dyDescent="0.3">
      <c r="A177" s="72"/>
      <c r="B177" s="72"/>
      <c r="C177" s="72"/>
      <c r="D177" s="72"/>
      <c r="E177" s="72"/>
      <c r="F177" s="72"/>
      <c r="G177" s="72"/>
      <c r="H177" s="72"/>
      <c r="I177" s="72"/>
      <c r="J177" s="72"/>
      <c r="K177" s="72"/>
      <c r="L177" s="72"/>
      <c r="M177" s="72"/>
      <c r="N177" s="72"/>
      <c r="O177" s="72"/>
      <c r="P177" s="72"/>
      <c r="Q177" s="72"/>
      <c r="R177" s="72"/>
      <c r="S177" s="72"/>
      <c r="T177" s="72"/>
      <c r="U177" s="72"/>
      <c r="V177" s="72"/>
      <c r="W177" s="72"/>
      <c r="X177" s="72"/>
      <c r="Y177" s="72"/>
      <c r="Z177" s="72"/>
      <c r="AA177" s="72"/>
      <c r="AB177" s="72"/>
      <c r="AC177" s="72"/>
      <c r="AD177" s="72"/>
      <c r="AE177" s="72"/>
      <c r="AF177" s="72"/>
      <c r="AG177" s="72"/>
      <c r="AH177" s="72"/>
      <c r="AI177" s="72"/>
      <c r="AJ177" s="72"/>
      <c r="AK177" s="72"/>
      <c r="AL177" s="72"/>
      <c r="AM177" s="72"/>
      <c r="AN177" s="72"/>
      <c r="AO177" s="72"/>
      <c r="AP177" s="72"/>
      <c r="AQ177" s="72"/>
      <c r="AR177" s="72"/>
      <c r="AS177" s="72"/>
      <c r="AT177" s="72"/>
      <c r="AU177" s="72"/>
      <c r="AV177" s="72"/>
    </row>
    <row r="178" spans="1:48" s="37" customFormat="1" ht="16.5" x14ac:dyDescent="0.3">
      <c r="A178" s="72"/>
      <c r="B178" s="72"/>
      <c r="C178" s="72"/>
      <c r="D178" s="72"/>
      <c r="E178" s="72"/>
      <c r="F178" s="72"/>
      <c r="G178" s="72"/>
      <c r="H178" s="72"/>
      <c r="I178" s="72"/>
      <c r="J178" s="72"/>
      <c r="K178" s="72"/>
      <c r="L178" s="72"/>
      <c r="M178" s="72"/>
      <c r="N178" s="72"/>
      <c r="O178" s="72"/>
      <c r="P178" s="72"/>
      <c r="Q178" s="72"/>
      <c r="R178" s="72"/>
      <c r="S178" s="72"/>
      <c r="T178" s="72"/>
      <c r="U178" s="72"/>
      <c r="V178" s="72"/>
      <c r="W178" s="72"/>
      <c r="X178" s="72"/>
      <c r="Y178" s="72"/>
      <c r="Z178" s="72"/>
      <c r="AA178" s="72"/>
      <c r="AB178" s="72"/>
      <c r="AC178" s="72"/>
      <c r="AD178" s="72"/>
      <c r="AE178" s="72"/>
      <c r="AF178" s="72"/>
      <c r="AG178" s="72"/>
      <c r="AH178" s="72"/>
      <c r="AI178" s="72"/>
      <c r="AJ178" s="72"/>
      <c r="AK178" s="72"/>
      <c r="AL178" s="72"/>
      <c r="AM178" s="72"/>
      <c r="AN178" s="72"/>
      <c r="AO178" s="72"/>
      <c r="AP178" s="72"/>
      <c r="AQ178" s="72"/>
      <c r="AR178" s="72"/>
      <c r="AS178" s="72"/>
      <c r="AT178" s="72"/>
      <c r="AU178" s="72"/>
      <c r="AV178" s="72"/>
    </row>
    <row r="179" spans="1:48" s="37" customFormat="1" ht="16.5" x14ac:dyDescent="0.3">
      <c r="A179" s="72"/>
      <c r="B179" s="72"/>
      <c r="C179" s="72"/>
      <c r="D179" s="72"/>
      <c r="E179" s="72"/>
      <c r="F179" s="72"/>
      <c r="G179" s="72"/>
      <c r="H179" s="72"/>
      <c r="I179" s="72"/>
      <c r="J179" s="72"/>
      <c r="K179" s="72"/>
      <c r="L179" s="72"/>
      <c r="M179" s="72"/>
      <c r="N179" s="72"/>
      <c r="O179" s="72"/>
      <c r="P179" s="72"/>
      <c r="Q179" s="72"/>
      <c r="R179" s="72"/>
      <c r="S179" s="72"/>
      <c r="T179" s="72"/>
      <c r="U179" s="72"/>
      <c r="V179" s="72"/>
      <c r="W179" s="72"/>
      <c r="X179" s="72"/>
      <c r="Y179" s="72"/>
      <c r="Z179" s="72"/>
      <c r="AA179" s="72"/>
      <c r="AB179" s="72"/>
      <c r="AC179" s="72"/>
      <c r="AD179" s="72"/>
      <c r="AE179" s="72"/>
      <c r="AF179" s="72"/>
      <c r="AG179" s="72"/>
      <c r="AH179" s="72"/>
      <c r="AI179" s="72"/>
      <c r="AJ179" s="72"/>
      <c r="AK179" s="72"/>
      <c r="AL179" s="72"/>
      <c r="AM179" s="72"/>
      <c r="AN179" s="72"/>
      <c r="AO179" s="72"/>
      <c r="AP179" s="72"/>
      <c r="AQ179" s="72"/>
      <c r="AR179" s="72"/>
      <c r="AS179" s="72"/>
      <c r="AT179" s="72"/>
      <c r="AU179" s="72"/>
      <c r="AV179" s="72"/>
    </row>
    <row r="180" spans="1:48" s="37" customFormat="1" ht="16.5" x14ac:dyDescent="0.3">
      <c r="A180" s="72"/>
      <c r="B180" s="72"/>
      <c r="C180" s="72"/>
      <c r="D180" s="72"/>
      <c r="E180" s="72"/>
      <c r="F180" s="72"/>
      <c r="G180" s="72"/>
      <c r="H180" s="72"/>
      <c r="I180" s="72"/>
      <c r="J180" s="72"/>
      <c r="K180" s="72"/>
      <c r="L180" s="72"/>
      <c r="M180" s="72"/>
      <c r="N180" s="72"/>
      <c r="O180" s="72"/>
      <c r="P180" s="72"/>
      <c r="Q180" s="72"/>
      <c r="R180" s="72"/>
      <c r="S180" s="72"/>
      <c r="T180" s="72"/>
      <c r="U180" s="72"/>
      <c r="V180" s="72"/>
      <c r="W180" s="72"/>
      <c r="X180" s="72"/>
      <c r="Y180" s="72"/>
      <c r="Z180" s="72"/>
      <c r="AA180" s="72"/>
      <c r="AB180" s="72"/>
      <c r="AC180" s="72"/>
      <c r="AD180" s="72"/>
      <c r="AE180" s="72"/>
      <c r="AF180" s="72"/>
      <c r="AG180" s="72"/>
      <c r="AH180" s="72"/>
      <c r="AI180" s="72"/>
      <c r="AJ180" s="72"/>
      <c r="AK180" s="72"/>
      <c r="AL180" s="72"/>
      <c r="AM180" s="72"/>
      <c r="AN180" s="72"/>
      <c r="AO180" s="72"/>
      <c r="AP180" s="72"/>
      <c r="AQ180" s="72"/>
      <c r="AR180" s="72"/>
      <c r="AS180" s="72"/>
      <c r="AT180" s="72"/>
      <c r="AU180" s="72"/>
      <c r="AV180" s="72"/>
    </row>
    <row r="181" spans="1:48" s="37" customFormat="1" ht="16.5" x14ac:dyDescent="0.3">
      <c r="A181" s="72"/>
      <c r="B181" s="72"/>
      <c r="C181" s="72"/>
      <c r="D181" s="72"/>
      <c r="E181" s="72"/>
      <c r="F181" s="72"/>
      <c r="G181" s="72"/>
      <c r="H181" s="72"/>
      <c r="I181" s="72"/>
      <c r="J181" s="72"/>
      <c r="K181" s="72"/>
      <c r="L181" s="72"/>
      <c r="M181" s="72"/>
      <c r="N181" s="72"/>
      <c r="O181" s="72"/>
      <c r="P181" s="72"/>
      <c r="Q181" s="72"/>
      <c r="R181" s="72"/>
      <c r="S181" s="72"/>
      <c r="T181" s="72"/>
      <c r="U181" s="72"/>
      <c r="V181" s="72"/>
      <c r="W181" s="72"/>
      <c r="X181" s="72"/>
      <c r="Y181" s="72"/>
      <c r="Z181" s="72"/>
      <c r="AA181" s="72"/>
      <c r="AB181" s="72"/>
      <c r="AC181" s="72"/>
      <c r="AD181" s="72"/>
      <c r="AE181" s="72"/>
      <c r="AF181" s="72"/>
      <c r="AG181" s="72"/>
      <c r="AH181" s="72"/>
      <c r="AI181" s="72"/>
      <c r="AJ181" s="72"/>
      <c r="AK181" s="72"/>
      <c r="AL181" s="72"/>
      <c r="AM181" s="72"/>
      <c r="AN181" s="72"/>
      <c r="AO181" s="72"/>
      <c r="AP181" s="72"/>
      <c r="AQ181" s="72"/>
      <c r="AR181" s="72"/>
      <c r="AS181" s="72"/>
      <c r="AT181" s="72"/>
      <c r="AU181" s="72"/>
      <c r="AV181" s="72"/>
    </row>
    <row r="182" spans="1:48" s="37" customFormat="1" ht="16.5" x14ac:dyDescent="0.3">
      <c r="A182" s="72"/>
      <c r="B182" s="72"/>
      <c r="C182" s="72"/>
      <c r="D182" s="72"/>
      <c r="E182" s="72"/>
      <c r="F182" s="72"/>
      <c r="G182" s="72"/>
      <c r="H182" s="72"/>
      <c r="I182" s="72"/>
      <c r="J182" s="72"/>
      <c r="K182" s="72"/>
      <c r="L182" s="72"/>
      <c r="M182" s="72"/>
      <c r="N182" s="72"/>
      <c r="O182" s="72"/>
      <c r="P182" s="72"/>
      <c r="Q182" s="72"/>
      <c r="R182" s="72"/>
      <c r="S182" s="72"/>
      <c r="T182" s="72"/>
      <c r="U182" s="72"/>
      <c r="V182" s="72"/>
      <c r="W182" s="72"/>
      <c r="X182" s="72"/>
      <c r="Y182" s="72"/>
      <c r="Z182" s="72"/>
      <c r="AA182" s="72"/>
      <c r="AB182" s="72"/>
      <c r="AC182" s="72"/>
      <c r="AD182" s="72"/>
      <c r="AE182" s="72"/>
      <c r="AF182" s="72"/>
      <c r="AG182" s="72"/>
      <c r="AH182" s="72"/>
      <c r="AI182" s="72"/>
      <c r="AJ182" s="72"/>
      <c r="AK182" s="72"/>
      <c r="AL182" s="72"/>
      <c r="AM182" s="72"/>
      <c r="AN182" s="72"/>
      <c r="AO182" s="72"/>
      <c r="AP182" s="72"/>
      <c r="AQ182" s="72"/>
      <c r="AR182" s="72"/>
      <c r="AS182" s="72"/>
      <c r="AT182" s="72"/>
      <c r="AU182" s="72"/>
      <c r="AV182" s="72"/>
    </row>
    <row r="183" spans="1:48" s="37" customFormat="1" ht="16.5" x14ac:dyDescent="0.3">
      <c r="A183" s="72"/>
      <c r="B183" s="72"/>
      <c r="C183" s="72"/>
      <c r="D183" s="72"/>
      <c r="E183" s="72"/>
      <c r="F183" s="72"/>
      <c r="G183" s="72"/>
      <c r="H183" s="72"/>
      <c r="I183" s="72"/>
      <c r="J183" s="72"/>
      <c r="K183" s="72"/>
      <c r="L183" s="72"/>
      <c r="M183" s="72"/>
      <c r="N183" s="72"/>
      <c r="O183" s="72"/>
      <c r="P183" s="72"/>
      <c r="Q183" s="72"/>
      <c r="R183" s="72"/>
      <c r="S183" s="72"/>
      <c r="T183" s="72"/>
      <c r="U183" s="72"/>
      <c r="V183" s="72"/>
      <c r="W183" s="72"/>
      <c r="X183" s="72"/>
      <c r="Y183" s="72"/>
      <c r="Z183" s="72"/>
      <c r="AA183" s="72"/>
      <c r="AB183" s="72"/>
      <c r="AC183" s="72"/>
      <c r="AD183" s="72"/>
      <c r="AE183" s="72"/>
      <c r="AF183" s="72"/>
      <c r="AG183" s="72"/>
      <c r="AH183" s="72"/>
      <c r="AI183" s="72"/>
      <c r="AJ183" s="72"/>
      <c r="AK183" s="72"/>
      <c r="AL183" s="72"/>
      <c r="AM183" s="72"/>
      <c r="AN183" s="72"/>
      <c r="AO183" s="72"/>
      <c r="AP183" s="72"/>
      <c r="AQ183" s="72"/>
      <c r="AR183" s="72"/>
      <c r="AS183" s="72"/>
      <c r="AT183" s="72"/>
      <c r="AU183" s="72"/>
      <c r="AV183" s="72"/>
    </row>
    <row r="184" spans="1:48" s="37" customFormat="1" ht="16.5" x14ac:dyDescent="0.3">
      <c r="A184" s="72"/>
      <c r="B184" s="72"/>
      <c r="C184" s="72"/>
      <c r="D184" s="72"/>
      <c r="E184" s="72"/>
      <c r="F184" s="72"/>
      <c r="G184" s="72"/>
      <c r="H184" s="72"/>
      <c r="I184" s="72"/>
      <c r="J184" s="72"/>
      <c r="K184" s="72"/>
      <c r="L184" s="72"/>
      <c r="M184" s="72"/>
      <c r="N184" s="72"/>
      <c r="O184" s="72"/>
      <c r="P184" s="72"/>
      <c r="Q184" s="72"/>
      <c r="R184" s="72"/>
      <c r="S184" s="72"/>
      <c r="T184" s="72"/>
      <c r="U184" s="72"/>
      <c r="V184" s="72"/>
      <c r="W184" s="72"/>
      <c r="X184" s="72"/>
      <c r="Y184" s="72"/>
      <c r="Z184" s="72"/>
      <c r="AA184" s="72"/>
      <c r="AB184" s="72"/>
      <c r="AC184" s="72"/>
      <c r="AD184" s="72"/>
      <c r="AE184" s="72"/>
      <c r="AF184" s="72"/>
      <c r="AG184" s="72"/>
      <c r="AH184" s="72"/>
      <c r="AI184" s="72"/>
      <c r="AJ184" s="72"/>
      <c r="AK184" s="72"/>
      <c r="AL184" s="72"/>
      <c r="AM184" s="72"/>
      <c r="AN184" s="72"/>
      <c r="AO184" s="72"/>
      <c r="AP184" s="72"/>
      <c r="AQ184" s="72"/>
      <c r="AR184" s="72"/>
      <c r="AS184" s="72"/>
      <c r="AT184" s="72"/>
      <c r="AU184" s="72"/>
      <c r="AV184" s="72"/>
    </row>
    <row r="185" spans="1:48" s="37" customFormat="1" ht="16.5" x14ac:dyDescent="0.3">
      <c r="A185" s="72"/>
      <c r="B185" s="72"/>
      <c r="C185" s="72"/>
      <c r="D185" s="72"/>
      <c r="E185" s="72"/>
      <c r="F185" s="72"/>
      <c r="G185" s="72"/>
      <c r="H185" s="72"/>
      <c r="I185" s="72"/>
      <c r="J185" s="72"/>
      <c r="K185" s="72"/>
      <c r="L185" s="72"/>
      <c r="M185" s="72"/>
      <c r="N185" s="72"/>
      <c r="O185" s="72"/>
      <c r="P185" s="72"/>
      <c r="Q185" s="72"/>
      <c r="R185" s="72"/>
      <c r="S185" s="72"/>
      <c r="T185" s="72"/>
      <c r="U185" s="72"/>
      <c r="V185" s="72"/>
      <c r="W185" s="72"/>
      <c r="X185" s="72"/>
      <c r="Y185" s="72"/>
      <c r="Z185" s="72"/>
      <c r="AA185" s="72"/>
      <c r="AB185" s="72"/>
      <c r="AC185" s="72"/>
      <c r="AD185" s="72"/>
      <c r="AE185" s="72"/>
      <c r="AF185" s="72"/>
      <c r="AG185" s="72"/>
      <c r="AH185" s="72"/>
      <c r="AI185" s="72"/>
      <c r="AJ185" s="72"/>
      <c r="AK185" s="72"/>
      <c r="AL185" s="72"/>
      <c r="AM185" s="72"/>
      <c r="AN185" s="72"/>
      <c r="AO185" s="72"/>
      <c r="AP185" s="72"/>
      <c r="AQ185" s="72"/>
      <c r="AR185" s="72"/>
      <c r="AS185" s="72"/>
      <c r="AT185" s="72"/>
      <c r="AU185" s="72"/>
      <c r="AV185" s="72"/>
    </row>
    <row r="186" spans="1:48" s="37" customFormat="1" ht="16.5" x14ac:dyDescent="0.3">
      <c r="A186" s="72"/>
      <c r="B186" s="72"/>
      <c r="C186" s="72"/>
      <c r="D186" s="72"/>
      <c r="E186" s="72"/>
      <c r="F186" s="72"/>
      <c r="G186" s="72"/>
      <c r="H186" s="72"/>
      <c r="I186" s="72"/>
      <c r="J186" s="72"/>
      <c r="K186" s="72"/>
      <c r="L186" s="72"/>
      <c r="M186" s="72"/>
      <c r="N186" s="72"/>
      <c r="O186" s="72"/>
      <c r="P186" s="72"/>
      <c r="Q186" s="72"/>
      <c r="R186" s="72"/>
      <c r="S186" s="72"/>
      <c r="T186" s="72"/>
      <c r="U186" s="72"/>
      <c r="V186" s="72"/>
      <c r="W186" s="72"/>
      <c r="X186" s="72"/>
      <c r="Y186" s="72"/>
      <c r="Z186" s="72"/>
      <c r="AA186" s="72"/>
      <c r="AB186" s="72"/>
      <c r="AC186" s="72"/>
      <c r="AD186" s="72"/>
      <c r="AE186" s="72"/>
      <c r="AF186" s="72"/>
      <c r="AG186" s="72"/>
      <c r="AH186" s="72"/>
      <c r="AI186" s="72"/>
      <c r="AJ186" s="72"/>
      <c r="AK186" s="72"/>
      <c r="AL186" s="72"/>
      <c r="AM186" s="72"/>
      <c r="AN186" s="72"/>
      <c r="AO186" s="72"/>
      <c r="AP186" s="72"/>
      <c r="AQ186" s="72"/>
      <c r="AR186" s="72"/>
      <c r="AS186" s="72"/>
      <c r="AT186" s="72"/>
      <c r="AU186" s="72"/>
      <c r="AV186" s="72"/>
    </row>
    <row r="187" spans="1:48" s="37" customFormat="1" ht="16.5" x14ac:dyDescent="0.3">
      <c r="A187" s="72"/>
      <c r="B187" s="72"/>
      <c r="C187" s="72"/>
      <c r="D187" s="72"/>
      <c r="E187" s="72"/>
      <c r="F187" s="72"/>
      <c r="G187" s="72"/>
      <c r="H187" s="72"/>
      <c r="I187" s="72"/>
      <c r="J187" s="72"/>
      <c r="K187" s="72"/>
      <c r="L187" s="72"/>
      <c r="M187" s="72"/>
      <c r="N187" s="72"/>
      <c r="O187" s="72"/>
      <c r="P187" s="72"/>
      <c r="Q187" s="72"/>
      <c r="R187" s="72"/>
      <c r="S187" s="72"/>
      <c r="T187" s="72"/>
      <c r="U187" s="72"/>
      <c r="V187" s="72"/>
      <c r="W187" s="72"/>
      <c r="X187" s="72"/>
      <c r="Y187" s="72"/>
      <c r="Z187" s="72"/>
      <c r="AA187" s="72"/>
      <c r="AB187" s="72"/>
      <c r="AC187" s="72"/>
      <c r="AD187" s="72"/>
      <c r="AE187" s="72"/>
      <c r="AF187" s="72"/>
      <c r="AG187" s="72"/>
      <c r="AH187" s="72"/>
      <c r="AI187" s="72"/>
      <c r="AJ187" s="72"/>
      <c r="AK187" s="72"/>
      <c r="AL187" s="72"/>
      <c r="AM187" s="72"/>
      <c r="AN187" s="72"/>
      <c r="AO187" s="72"/>
      <c r="AP187" s="72"/>
      <c r="AQ187" s="72"/>
      <c r="AR187" s="72"/>
      <c r="AS187" s="72"/>
      <c r="AT187" s="72"/>
      <c r="AU187" s="72"/>
      <c r="AV187" s="72"/>
    </row>
    <row r="188" spans="1:48" s="37" customFormat="1" ht="16.5" x14ac:dyDescent="0.3">
      <c r="A188" s="72"/>
      <c r="B188" s="72"/>
      <c r="C188" s="72"/>
      <c r="D188" s="72"/>
      <c r="E188" s="72"/>
      <c r="F188" s="72"/>
      <c r="G188" s="72"/>
      <c r="H188" s="72"/>
      <c r="I188" s="72"/>
      <c r="J188" s="72"/>
      <c r="K188" s="72"/>
      <c r="L188" s="72"/>
      <c r="M188" s="72"/>
      <c r="N188" s="72"/>
      <c r="O188" s="72"/>
      <c r="P188" s="72"/>
      <c r="Q188" s="72"/>
      <c r="R188" s="72"/>
      <c r="S188" s="72"/>
      <c r="T188" s="72"/>
      <c r="U188" s="72"/>
      <c r="V188" s="72"/>
      <c r="W188" s="72"/>
      <c r="X188" s="72"/>
      <c r="Y188" s="72"/>
      <c r="Z188" s="72"/>
      <c r="AA188" s="72"/>
      <c r="AB188" s="72"/>
      <c r="AC188" s="72"/>
      <c r="AD188" s="72"/>
      <c r="AE188" s="72"/>
      <c r="AF188" s="72"/>
      <c r="AG188" s="72"/>
      <c r="AH188" s="72"/>
      <c r="AI188" s="72"/>
      <c r="AJ188" s="72"/>
      <c r="AK188" s="72"/>
      <c r="AL188" s="72"/>
      <c r="AM188" s="72"/>
      <c r="AN188" s="72"/>
      <c r="AO188" s="72"/>
      <c r="AP188" s="72"/>
      <c r="AQ188" s="72"/>
      <c r="AR188" s="72"/>
      <c r="AS188" s="72"/>
      <c r="AT188" s="72"/>
      <c r="AU188" s="72"/>
      <c r="AV188" s="72"/>
    </row>
    <row r="189" spans="1:48" s="37" customFormat="1" ht="16.5" x14ac:dyDescent="0.3">
      <c r="A189" s="72"/>
      <c r="B189" s="72"/>
      <c r="C189" s="72"/>
      <c r="D189" s="72"/>
      <c r="E189" s="72"/>
      <c r="F189" s="72"/>
      <c r="G189" s="72"/>
      <c r="H189" s="72"/>
      <c r="I189" s="72"/>
      <c r="J189" s="72"/>
      <c r="K189" s="72"/>
      <c r="L189" s="72"/>
      <c r="M189" s="72"/>
      <c r="N189" s="72"/>
      <c r="O189" s="72"/>
      <c r="P189" s="72"/>
      <c r="Q189" s="72"/>
      <c r="R189" s="72"/>
      <c r="S189" s="72"/>
      <c r="T189" s="72"/>
      <c r="U189" s="72"/>
      <c r="V189" s="72"/>
      <c r="W189" s="72"/>
      <c r="X189" s="72"/>
      <c r="Y189" s="72"/>
      <c r="Z189" s="72"/>
      <c r="AA189" s="72"/>
      <c r="AB189" s="72"/>
      <c r="AC189" s="72"/>
      <c r="AD189" s="72"/>
      <c r="AE189" s="72"/>
      <c r="AF189" s="72"/>
      <c r="AG189" s="72"/>
      <c r="AH189" s="72"/>
      <c r="AI189" s="72"/>
      <c r="AJ189" s="72"/>
      <c r="AK189" s="72"/>
      <c r="AL189" s="72"/>
      <c r="AM189" s="72"/>
      <c r="AN189" s="72"/>
      <c r="AO189" s="72"/>
      <c r="AP189" s="72"/>
      <c r="AQ189" s="72"/>
      <c r="AR189" s="72"/>
      <c r="AS189" s="72"/>
      <c r="AT189" s="72"/>
      <c r="AU189" s="72"/>
      <c r="AV189" s="72"/>
    </row>
    <row r="190" spans="1:48" s="37" customFormat="1" ht="16.5" x14ac:dyDescent="0.3">
      <c r="A190" s="72"/>
      <c r="B190" s="72"/>
      <c r="C190" s="72"/>
      <c r="D190" s="72"/>
      <c r="E190" s="72"/>
      <c r="F190" s="72"/>
      <c r="G190" s="72"/>
      <c r="H190" s="72"/>
      <c r="I190" s="72"/>
      <c r="J190" s="72"/>
      <c r="K190" s="72"/>
      <c r="L190" s="72"/>
      <c r="M190" s="72"/>
      <c r="N190" s="72"/>
      <c r="O190" s="72"/>
      <c r="P190" s="72"/>
      <c r="Q190" s="72"/>
      <c r="R190" s="72"/>
      <c r="S190" s="72"/>
      <c r="T190" s="72"/>
      <c r="U190" s="72"/>
      <c r="V190" s="72"/>
      <c r="W190" s="72"/>
      <c r="X190" s="72"/>
      <c r="Y190" s="72"/>
      <c r="Z190" s="72"/>
      <c r="AA190" s="72"/>
      <c r="AB190" s="72"/>
      <c r="AC190" s="72"/>
      <c r="AD190" s="72"/>
      <c r="AE190" s="72"/>
      <c r="AF190" s="72"/>
      <c r="AG190" s="72"/>
      <c r="AH190" s="72"/>
      <c r="AI190" s="72"/>
      <c r="AJ190" s="72"/>
      <c r="AK190" s="72"/>
      <c r="AL190" s="72"/>
      <c r="AM190" s="72"/>
      <c r="AN190" s="72"/>
      <c r="AO190" s="72"/>
      <c r="AP190" s="72"/>
      <c r="AQ190" s="72"/>
      <c r="AR190" s="72"/>
      <c r="AS190" s="72"/>
      <c r="AT190" s="72"/>
      <c r="AU190" s="72"/>
      <c r="AV190" s="72"/>
    </row>
    <row r="191" spans="1:48" s="37" customFormat="1" ht="16.5" x14ac:dyDescent="0.3">
      <c r="A191" s="72"/>
      <c r="B191" s="72"/>
      <c r="C191" s="72"/>
      <c r="D191" s="72"/>
      <c r="E191" s="72"/>
      <c r="F191" s="72"/>
      <c r="G191" s="72"/>
      <c r="H191" s="72"/>
      <c r="I191" s="72"/>
      <c r="J191" s="72"/>
      <c r="K191" s="72"/>
      <c r="L191" s="72"/>
      <c r="M191" s="72"/>
      <c r="N191" s="72"/>
      <c r="O191" s="72"/>
      <c r="P191" s="72"/>
      <c r="Q191" s="72"/>
      <c r="R191" s="72"/>
      <c r="S191" s="72"/>
      <c r="T191" s="72"/>
      <c r="U191" s="72"/>
      <c r="V191" s="72"/>
      <c r="W191" s="72"/>
      <c r="X191" s="72"/>
      <c r="Y191" s="72"/>
      <c r="Z191" s="72"/>
      <c r="AA191" s="72"/>
      <c r="AB191" s="72"/>
      <c r="AC191" s="72"/>
      <c r="AD191" s="72"/>
      <c r="AE191" s="72"/>
      <c r="AF191" s="72"/>
      <c r="AG191" s="72"/>
      <c r="AH191" s="72"/>
      <c r="AI191" s="72"/>
      <c r="AJ191" s="72"/>
      <c r="AK191" s="72"/>
      <c r="AL191" s="72"/>
      <c r="AM191" s="72"/>
      <c r="AN191" s="72"/>
      <c r="AO191" s="72"/>
      <c r="AP191" s="72"/>
      <c r="AQ191" s="72"/>
      <c r="AR191" s="72"/>
      <c r="AS191" s="72"/>
      <c r="AT191" s="72"/>
      <c r="AU191" s="72"/>
      <c r="AV191" s="72"/>
    </row>
    <row r="192" spans="1:48" s="37" customFormat="1" ht="16.5" x14ac:dyDescent="0.3">
      <c r="A192" s="72"/>
      <c r="B192" s="72"/>
      <c r="C192" s="72"/>
      <c r="D192" s="72"/>
      <c r="E192" s="72"/>
      <c r="F192" s="72"/>
      <c r="G192" s="72"/>
      <c r="H192" s="72"/>
      <c r="I192" s="72"/>
      <c r="J192" s="72"/>
      <c r="K192" s="72"/>
      <c r="L192" s="72"/>
      <c r="M192" s="72"/>
      <c r="N192" s="72"/>
      <c r="O192" s="72"/>
      <c r="P192" s="72"/>
      <c r="Q192" s="72"/>
      <c r="R192" s="72"/>
      <c r="S192" s="72"/>
      <c r="T192" s="72"/>
      <c r="U192" s="72"/>
      <c r="V192" s="72"/>
      <c r="W192" s="72"/>
      <c r="X192" s="72"/>
      <c r="Y192" s="72"/>
      <c r="Z192" s="72"/>
      <c r="AA192" s="72"/>
      <c r="AB192" s="72"/>
      <c r="AC192" s="72"/>
      <c r="AD192" s="72"/>
      <c r="AE192" s="72"/>
      <c r="AF192" s="72"/>
      <c r="AG192" s="72"/>
      <c r="AH192" s="72"/>
      <c r="AI192" s="72"/>
      <c r="AJ192" s="72"/>
      <c r="AK192" s="72"/>
      <c r="AL192" s="72"/>
      <c r="AM192" s="72"/>
      <c r="AN192" s="72"/>
      <c r="AO192" s="72"/>
      <c r="AP192" s="72"/>
      <c r="AQ192" s="72"/>
      <c r="AR192" s="72"/>
      <c r="AS192" s="72"/>
      <c r="AT192" s="72"/>
      <c r="AU192" s="72"/>
      <c r="AV192" s="72"/>
    </row>
    <row r="193" spans="1:48" s="37" customFormat="1" ht="16.5" x14ac:dyDescent="0.3">
      <c r="A193" s="72"/>
      <c r="B193" s="72"/>
      <c r="C193" s="72"/>
      <c r="D193" s="72"/>
      <c r="E193" s="72"/>
      <c r="F193" s="72"/>
      <c r="G193" s="72"/>
      <c r="H193" s="72"/>
      <c r="I193" s="72"/>
      <c r="J193" s="72"/>
      <c r="K193" s="72"/>
      <c r="L193" s="72"/>
      <c r="M193" s="72"/>
      <c r="N193" s="72"/>
      <c r="O193" s="72"/>
      <c r="P193" s="72"/>
      <c r="Q193" s="72"/>
      <c r="R193" s="72"/>
      <c r="S193" s="72"/>
      <c r="T193" s="72"/>
      <c r="U193" s="72"/>
      <c r="V193" s="72"/>
      <c r="W193" s="72"/>
      <c r="X193" s="72"/>
      <c r="Y193" s="72"/>
      <c r="Z193" s="72"/>
      <c r="AA193" s="72"/>
      <c r="AB193" s="72"/>
      <c r="AC193" s="72"/>
      <c r="AD193" s="72"/>
      <c r="AE193" s="72"/>
      <c r="AF193" s="72"/>
      <c r="AG193" s="72"/>
      <c r="AH193" s="72"/>
      <c r="AI193" s="72"/>
      <c r="AJ193" s="72"/>
      <c r="AK193" s="72"/>
      <c r="AL193" s="72"/>
      <c r="AM193" s="72"/>
      <c r="AN193" s="72"/>
      <c r="AO193" s="72"/>
      <c r="AP193" s="72"/>
      <c r="AQ193" s="72"/>
      <c r="AR193" s="72"/>
      <c r="AS193" s="72"/>
      <c r="AT193" s="72"/>
      <c r="AU193" s="72"/>
      <c r="AV193" s="72"/>
    </row>
    <row r="194" spans="1:48" s="37" customFormat="1" ht="16.5" x14ac:dyDescent="0.3">
      <c r="A194" s="72"/>
      <c r="B194" s="72"/>
      <c r="C194" s="72"/>
      <c r="D194" s="72"/>
      <c r="E194" s="72"/>
      <c r="F194" s="72"/>
      <c r="G194" s="72"/>
      <c r="H194" s="72"/>
      <c r="I194" s="72"/>
      <c r="J194" s="72"/>
      <c r="K194" s="72"/>
      <c r="L194" s="72"/>
      <c r="M194" s="72"/>
      <c r="N194" s="72"/>
      <c r="O194" s="72"/>
      <c r="P194" s="72"/>
      <c r="Q194" s="72"/>
      <c r="R194" s="72"/>
      <c r="S194" s="72"/>
      <c r="T194" s="72"/>
      <c r="U194" s="72"/>
      <c r="V194" s="72"/>
      <c r="W194" s="72"/>
      <c r="X194" s="72"/>
      <c r="Y194" s="72"/>
      <c r="Z194" s="72"/>
      <c r="AA194" s="72"/>
      <c r="AB194" s="72"/>
      <c r="AC194" s="72"/>
      <c r="AD194" s="72"/>
      <c r="AE194" s="72"/>
      <c r="AF194" s="72"/>
      <c r="AG194" s="72"/>
      <c r="AH194" s="72"/>
      <c r="AI194" s="72"/>
      <c r="AJ194" s="72"/>
      <c r="AK194" s="72"/>
      <c r="AL194" s="72"/>
      <c r="AM194" s="72"/>
      <c r="AN194" s="72"/>
      <c r="AO194" s="72"/>
      <c r="AP194" s="72"/>
      <c r="AQ194" s="72"/>
      <c r="AR194" s="72"/>
      <c r="AS194" s="72"/>
      <c r="AT194" s="72"/>
      <c r="AU194" s="72"/>
      <c r="AV194" s="72"/>
    </row>
    <row r="195" spans="1:48" s="37" customFormat="1" ht="16.5" x14ac:dyDescent="0.3">
      <c r="A195" s="72"/>
      <c r="B195" s="72"/>
      <c r="C195" s="72"/>
      <c r="D195" s="72"/>
      <c r="E195" s="72"/>
      <c r="F195" s="72"/>
      <c r="G195" s="72"/>
      <c r="H195" s="72"/>
      <c r="I195" s="72"/>
      <c r="J195" s="72"/>
      <c r="K195" s="72"/>
      <c r="L195" s="72"/>
      <c r="M195" s="72"/>
      <c r="N195" s="72"/>
      <c r="O195" s="72"/>
      <c r="P195" s="72"/>
      <c r="Q195" s="72"/>
      <c r="R195" s="72"/>
      <c r="S195" s="72"/>
      <c r="T195" s="72"/>
      <c r="U195" s="72"/>
      <c r="V195" s="72"/>
      <c r="W195" s="72"/>
      <c r="X195" s="72"/>
      <c r="Y195" s="72"/>
      <c r="Z195" s="72"/>
      <c r="AA195" s="72"/>
      <c r="AB195" s="72"/>
      <c r="AC195" s="72"/>
      <c r="AD195" s="72"/>
      <c r="AE195" s="72"/>
      <c r="AF195" s="72"/>
      <c r="AG195" s="72"/>
      <c r="AH195" s="72"/>
      <c r="AI195" s="72"/>
      <c r="AJ195" s="72"/>
      <c r="AK195" s="72"/>
      <c r="AL195" s="72"/>
      <c r="AM195" s="72"/>
      <c r="AN195" s="72"/>
      <c r="AO195" s="72"/>
      <c r="AP195" s="72"/>
      <c r="AQ195" s="72"/>
      <c r="AR195" s="72"/>
      <c r="AS195" s="72"/>
      <c r="AT195" s="72"/>
      <c r="AU195" s="72"/>
      <c r="AV195" s="72"/>
    </row>
    <row r="196" spans="1:48" s="37" customFormat="1" ht="16.5" x14ac:dyDescent="0.3">
      <c r="A196" s="72"/>
      <c r="B196" s="72"/>
      <c r="C196" s="72"/>
      <c r="D196" s="72"/>
      <c r="E196" s="72"/>
      <c r="F196" s="72"/>
      <c r="G196" s="72"/>
      <c r="H196" s="72"/>
      <c r="I196" s="72"/>
      <c r="J196" s="72"/>
      <c r="K196" s="72"/>
      <c r="L196" s="72"/>
      <c r="M196" s="72"/>
      <c r="N196" s="72"/>
      <c r="O196" s="72"/>
      <c r="P196" s="72"/>
      <c r="Q196" s="72"/>
      <c r="R196" s="72"/>
      <c r="S196" s="72"/>
      <c r="T196" s="72"/>
      <c r="U196" s="72"/>
      <c r="V196" s="72"/>
      <c r="W196" s="72"/>
      <c r="X196" s="72"/>
      <c r="Y196" s="72"/>
      <c r="Z196" s="72"/>
      <c r="AA196" s="72"/>
      <c r="AB196" s="72"/>
      <c r="AC196" s="72"/>
      <c r="AD196" s="72"/>
      <c r="AE196" s="72"/>
      <c r="AF196" s="72"/>
      <c r="AG196" s="72"/>
      <c r="AH196" s="72"/>
      <c r="AI196" s="72"/>
      <c r="AJ196" s="72"/>
      <c r="AK196" s="72"/>
      <c r="AL196" s="72"/>
      <c r="AM196" s="72"/>
      <c r="AN196" s="72"/>
      <c r="AO196" s="72"/>
      <c r="AP196" s="72"/>
      <c r="AQ196" s="72"/>
      <c r="AR196" s="72"/>
      <c r="AS196" s="72"/>
      <c r="AT196" s="72"/>
      <c r="AU196" s="72"/>
      <c r="AV196" s="72"/>
    </row>
    <row r="197" spans="1:48" s="37" customFormat="1" ht="16.5" x14ac:dyDescent="0.3">
      <c r="A197" s="72"/>
      <c r="B197" s="72"/>
      <c r="C197" s="72"/>
      <c r="D197" s="72"/>
      <c r="E197" s="72"/>
      <c r="F197" s="72"/>
      <c r="G197" s="72"/>
      <c r="H197" s="72"/>
      <c r="I197" s="72"/>
      <c r="J197" s="72"/>
      <c r="K197" s="72"/>
      <c r="L197" s="72"/>
      <c r="M197" s="72"/>
      <c r="N197" s="72"/>
      <c r="O197" s="72"/>
      <c r="P197" s="72"/>
      <c r="Q197" s="72"/>
      <c r="R197" s="72"/>
      <c r="S197" s="72"/>
      <c r="T197" s="72"/>
      <c r="U197" s="72"/>
      <c r="V197" s="72"/>
      <c r="W197" s="72"/>
      <c r="X197" s="72"/>
      <c r="Y197" s="72"/>
      <c r="Z197" s="72"/>
      <c r="AA197" s="72"/>
      <c r="AB197" s="72"/>
      <c r="AC197" s="72"/>
      <c r="AD197" s="72"/>
      <c r="AE197" s="72"/>
      <c r="AF197" s="72"/>
      <c r="AG197" s="72"/>
      <c r="AH197" s="72"/>
      <c r="AI197" s="72"/>
      <c r="AJ197" s="72"/>
      <c r="AK197" s="72"/>
      <c r="AL197" s="72"/>
      <c r="AM197" s="72"/>
      <c r="AN197" s="72"/>
      <c r="AO197" s="72"/>
      <c r="AP197" s="72"/>
      <c r="AQ197" s="72"/>
      <c r="AR197" s="72"/>
      <c r="AS197" s="72"/>
      <c r="AT197" s="72"/>
      <c r="AU197" s="72"/>
      <c r="AV197" s="72"/>
    </row>
    <row r="198" spans="1:48" s="37" customFormat="1" ht="16.5" x14ac:dyDescent="0.3">
      <c r="A198" s="72"/>
      <c r="B198" s="72"/>
      <c r="C198" s="72"/>
      <c r="D198" s="72"/>
      <c r="E198" s="72"/>
      <c r="F198" s="72"/>
      <c r="G198" s="72"/>
      <c r="H198" s="72"/>
      <c r="I198" s="72"/>
      <c r="J198" s="72"/>
      <c r="K198" s="72"/>
      <c r="L198" s="72"/>
      <c r="M198" s="72"/>
      <c r="N198" s="72"/>
      <c r="O198" s="72"/>
      <c r="P198" s="72"/>
      <c r="Q198" s="72"/>
      <c r="R198" s="72"/>
      <c r="S198" s="72"/>
      <c r="T198" s="72"/>
      <c r="U198" s="72"/>
      <c r="V198" s="72"/>
      <c r="W198" s="72"/>
      <c r="X198" s="72"/>
      <c r="Y198" s="72"/>
      <c r="Z198" s="72"/>
      <c r="AA198" s="72"/>
      <c r="AB198" s="72"/>
      <c r="AC198" s="72"/>
      <c r="AD198" s="72"/>
      <c r="AE198" s="72"/>
      <c r="AF198" s="72"/>
      <c r="AG198" s="72"/>
      <c r="AH198" s="72"/>
      <c r="AI198" s="72"/>
      <c r="AJ198" s="72"/>
      <c r="AK198" s="72"/>
      <c r="AL198" s="72"/>
      <c r="AM198" s="72"/>
      <c r="AN198" s="72"/>
      <c r="AO198" s="72"/>
      <c r="AP198" s="72"/>
      <c r="AQ198" s="72"/>
      <c r="AR198" s="72"/>
      <c r="AS198" s="72"/>
      <c r="AT198" s="72"/>
      <c r="AU198" s="72"/>
      <c r="AV198" s="72"/>
    </row>
    <row r="199" spans="1:48" s="37" customFormat="1" ht="16.5" x14ac:dyDescent="0.3">
      <c r="A199" s="72"/>
      <c r="B199" s="72"/>
      <c r="C199" s="72"/>
      <c r="D199" s="72"/>
      <c r="E199" s="72"/>
      <c r="F199" s="72"/>
      <c r="G199" s="72"/>
      <c r="H199" s="72"/>
      <c r="I199" s="72"/>
      <c r="J199" s="72"/>
      <c r="K199" s="72"/>
      <c r="L199" s="72"/>
      <c r="M199" s="72"/>
      <c r="N199" s="72"/>
      <c r="O199" s="72"/>
      <c r="P199" s="72"/>
      <c r="Q199" s="72"/>
      <c r="R199" s="72"/>
      <c r="S199" s="72"/>
      <c r="T199" s="72"/>
      <c r="U199" s="72"/>
      <c r="V199" s="72"/>
      <c r="W199" s="72"/>
      <c r="X199" s="72"/>
      <c r="Y199" s="72"/>
      <c r="Z199" s="72"/>
      <c r="AA199" s="72"/>
      <c r="AB199" s="72"/>
      <c r="AC199" s="72"/>
      <c r="AD199" s="72"/>
      <c r="AE199" s="72"/>
      <c r="AF199" s="72"/>
      <c r="AG199" s="72"/>
      <c r="AH199" s="72"/>
      <c r="AI199" s="72"/>
      <c r="AJ199" s="72"/>
      <c r="AK199" s="72"/>
      <c r="AL199" s="72"/>
      <c r="AM199" s="72"/>
      <c r="AN199" s="72"/>
      <c r="AO199" s="72"/>
      <c r="AP199" s="72"/>
      <c r="AQ199" s="72"/>
      <c r="AR199" s="72"/>
      <c r="AS199" s="72"/>
      <c r="AT199" s="72"/>
      <c r="AU199" s="72"/>
      <c r="AV199" s="72"/>
    </row>
    <row r="200" spans="1:48" s="37" customFormat="1" ht="16.5" x14ac:dyDescent="0.3">
      <c r="A200" s="72"/>
      <c r="B200" s="72"/>
      <c r="C200" s="72"/>
      <c r="D200" s="72"/>
      <c r="E200" s="72"/>
      <c r="F200" s="72"/>
      <c r="G200" s="72"/>
      <c r="H200" s="72"/>
      <c r="I200" s="72"/>
      <c r="J200" s="72"/>
      <c r="K200" s="72"/>
      <c r="L200" s="72"/>
      <c r="M200" s="72"/>
      <c r="N200" s="72"/>
      <c r="O200" s="72"/>
      <c r="P200" s="72"/>
      <c r="Q200" s="72"/>
      <c r="R200" s="72"/>
      <c r="S200" s="72"/>
      <c r="T200" s="72"/>
      <c r="U200" s="72"/>
      <c r="V200" s="72"/>
      <c r="W200" s="72"/>
      <c r="X200" s="72"/>
      <c r="Y200" s="72"/>
      <c r="Z200" s="72"/>
      <c r="AA200" s="72"/>
      <c r="AB200" s="72"/>
      <c r="AC200" s="72"/>
      <c r="AD200" s="72"/>
      <c r="AE200" s="72"/>
      <c r="AF200" s="72"/>
      <c r="AG200" s="72"/>
      <c r="AH200" s="72"/>
      <c r="AI200" s="72"/>
      <c r="AJ200" s="72"/>
      <c r="AK200" s="72"/>
      <c r="AL200" s="72"/>
      <c r="AM200" s="72"/>
      <c r="AN200" s="72"/>
      <c r="AO200" s="72"/>
      <c r="AP200" s="72"/>
      <c r="AQ200" s="72"/>
      <c r="AR200" s="72"/>
      <c r="AS200" s="72"/>
      <c r="AT200" s="72"/>
      <c r="AU200" s="72"/>
      <c r="AV200" s="72"/>
    </row>
    <row r="201" spans="1:48" s="37" customFormat="1" ht="16.5" x14ac:dyDescent="0.3">
      <c r="A201" s="72"/>
      <c r="B201" s="72"/>
      <c r="C201" s="72"/>
      <c r="D201" s="72"/>
      <c r="E201" s="72"/>
      <c r="F201" s="72"/>
      <c r="G201" s="72"/>
      <c r="H201" s="72"/>
      <c r="I201" s="72"/>
      <c r="J201" s="72"/>
      <c r="K201" s="72"/>
      <c r="L201" s="72"/>
      <c r="M201" s="72"/>
      <c r="N201" s="72"/>
      <c r="O201" s="72"/>
      <c r="P201" s="72"/>
      <c r="Q201" s="72"/>
      <c r="R201" s="72"/>
      <c r="S201" s="72"/>
      <c r="T201" s="72"/>
      <c r="U201" s="72"/>
      <c r="V201" s="72"/>
      <c r="W201" s="72"/>
      <c r="X201" s="72"/>
      <c r="Y201" s="72"/>
      <c r="Z201" s="72"/>
      <c r="AA201" s="72"/>
      <c r="AB201" s="72"/>
      <c r="AC201" s="72"/>
      <c r="AD201" s="72"/>
      <c r="AE201" s="72"/>
      <c r="AF201" s="72"/>
      <c r="AG201" s="72"/>
      <c r="AH201" s="72"/>
      <c r="AI201" s="72"/>
      <c r="AJ201" s="72"/>
      <c r="AK201" s="72"/>
      <c r="AL201" s="72"/>
      <c r="AM201" s="72"/>
      <c r="AN201" s="72"/>
      <c r="AO201" s="72"/>
      <c r="AP201" s="72"/>
      <c r="AQ201" s="72"/>
      <c r="AR201" s="72"/>
      <c r="AS201" s="72"/>
      <c r="AT201" s="72"/>
      <c r="AU201" s="72"/>
      <c r="AV201" s="72"/>
    </row>
    <row r="202" spans="1:48" s="37" customFormat="1" ht="16.5" x14ac:dyDescent="0.3">
      <c r="A202" s="72"/>
      <c r="B202" s="72"/>
      <c r="C202" s="72"/>
      <c r="D202" s="72"/>
      <c r="E202" s="72"/>
      <c r="F202" s="72"/>
      <c r="G202" s="72"/>
      <c r="H202" s="72"/>
      <c r="I202" s="72"/>
      <c r="J202" s="72"/>
      <c r="K202" s="72"/>
      <c r="L202" s="72"/>
      <c r="M202" s="72"/>
      <c r="N202" s="72"/>
      <c r="O202" s="72"/>
      <c r="P202" s="72"/>
      <c r="Q202" s="72"/>
      <c r="R202" s="72"/>
      <c r="S202" s="72"/>
      <c r="T202" s="72"/>
      <c r="U202" s="72"/>
      <c r="V202" s="72"/>
      <c r="W202" s="72"/>
      <c r="X202" s="72"/>
      <c r="Y202" s="72"/>
      <c r="Z202" s="72"/>
      <c r="AA202" s="72"/>
      <c r="AB202" s="72"/>
      <c r="AC202" s="72"/>
      <c r="AD202" s="72"/>
      <c r="AE202" s="72"/>
      <c r="AF202" s="72"/>
      <c r="AG202" s="72"/>
      <c r="AH202" s="72"/>
      <c r="AI202" s="72"/>
      <c r="AJ202" s="72"/>
      <c r="AK202" s="72"/>
      <c r="AL202" s="72"/>
      <c r="AM202" s="72"/>
      <c r="AN202" s="72"/>
      <c r="AO202" s="72"/>
      <c r="AP202" s="72"/>
      <c r="AQ202" s="72"/>
      <c r="AR202" s="72"/>
      <c r="AS202" s="72"/>
      <c r="AT202" s="72"/>
      <c r="AU202" s="72"/>
      <c r="AV202" s="72"/>
    </row>
    <row r="203" spans="1:48" s="37" customFormat="1" ht="16.5" x14ac:dyDescent="0.3">
      <c r="A203" s="72"/>
      <c r="B203" s="72"/>
      <c r="C203" s="72"/>
      <c r="D203" s="72"/>
      <c r="E203" s="72"/>
      <c r="F203" s="72"/>
      <c r="G203" s="72"/>
      <c r="H203" s="72"/>
      <c r="I203" s="72"/>
      <c r="J203" s="72"/>
      <c r="K203" s="72"/>
      <c r="L203" s="72"/>
      <c r="M203" s="72"/>
      <c r="N203" s="72"/>
      <c r="O203" s="72"/>
      <c r="P203" s="72"/>
      <c r="Q203" s="72"/>
      <c r="R203" s="72"/>
      <c r="S203" s="72"/>
      <c r="T203" s="72"/>
      <c r="U203" s="72"/>
      <c r="V203" s="72"/>
      <c r="W203" s="72"/>
      <c r="X203" s="72"/>
      <c r="Y203" s="72"/>
      <c r="Z203" s="72"/>
      <c r="AA203" s="72"/>
      <c r="AB203" s="72"/>
      <c r="AC203" s="72"/>
      <c r="AD203" s="72"/>
      <c r="AE203" s="72"/>
      <c r="AF203" s="72"/>
      <c r="AG203" s="72"/>
      <c r="AH203" s="72"/>
      <c r="AI203" s="72"/>
      <c r="AJ203" s="72"/>
      <c r="AK203" s="72"/>
      <c r="AL203" s="72"/>
      <c r="AM203" s="72"/>
      <c r="AN203" s="72"/>
      <c r="AO203" s="72"/>
      <c r="AP203" s="72"/>
      <c r="AQ203" s="72"/>
      <c r="AR203" s="72"/>
      <c r="AS203" s="72"/>
      <c r="AT203" s="72"/>
      <c r="AU203" s="72"/>
      <c r="AV203" s="72"/>
    </row>
    <row r="204" spans="1:48" s="37" customFormat="1" ht="16.5" x14ac:dyDescent="0.3">
      <c r="A204" s="72"/>
      <c r="B204" s="72"/>
      <c r="C204" s="72"/>
      <c r="D204" s="72"/>
      <c r="E204" s="72"/>
      <c r="F204" s="72"/>
      <c r="G204" s="72"/>
      <c r="H204" s="72"/>
      <c r="I204" s="72"/>
      <c r="J204" s="72"/>
      <c r="K204" s="72"/>
      <c r="L204" s="72"/>
      <c r="M204" s="72"/>
      <c r="N204" s="72"/>
      <c r="O204" s="72"/>
      <c r="P204" s="72"/>
      <c r="Q204" s="72"/>
      <c r="R204" s="72"/>
      <c r="S204" s="72"/>
      <c r="T204" s="72"/>
      <c r="U204" s="72"/>
      <c r="V204" s="72"/>
      <c r="W204" s="72"/>
      <c r="X204" s="72"/>
      <c r="Y204" s="72"/>
      <c r="Z204" s="72"/>
      <c r="AA204" s="72"/>
      <c r="AB204" s="72"/>
      <c r="AC204" s="72"/>
      <c r="AD204" s="72"/>
      <c r="AE204" s="72"/>
      <c r="AF204" s="72"/>
      <c r="AG204" s="72"/>
      <c r="AH204" s="72"/>
      <c r="AI204" s="72"/>
      <c r="AJ204" s="72"/>
      <c r="AK204" s="72"/>
      <c r="AL204" s="72"/>
      <c r="AM204" s="72"/>
      <c r="AN204" s="72"/>
      <c r="AO204" s="72"/>
      <c r="AP204" s="72"/>
      <c r="AQ204" s="72"/>
      <c r="AR204" s="72"/>
      <c r="AS204" s="72"/>
      <c r="AT204" s="72"/>
      <c r="AU204" s="72"/>
      <c r="AV204" s="72"/>
    </row>
    <row r="205" spans="1:48" s="37" customFormat="1" ht="16.5" x14ac:dyDescent="0.3">
      <c r="A205" s="72"/>
      <c r="B205" s="72"/>
      <c r="C205" s="72"/>
      <c r="D205" s="72"/>
      <c r="E205" s="72"/>
      <c r="F205" s="72"/>
      <c r="G205" s="72"/>
      <c r="H205" s="72"/>
      <c r="I205" s="72"/>
      <c r="J205" s="72"/>
      <c r="K205" s="72"/>
      <c r="L205" s="72"/>
      <c r="M205" s="72"/>
      <c r="N205" s="72"/>
      <c r="O205" s="72"/>
      <c r="P205" s="72"/>
      <c r="Q205" s="72"/>
      <c r="R205" s="72"/>
      <c r="S205" s="72"/>
      <c r="T205" s="72"/>
      <c r="U205" s="72"/>
      <c r="V205" s="72"/>
      <c r="W205" s="72"/>
      <c r="X205" s="72"/>
      <c r="Y205" s="72"/>
      <c r="Z205" s="72"/>
      <c r="AA205" s="72"/>
      <c r="AB205" s="72"/>
      <c r="AC205" s="72"/>
      <c r="AD205" s="72"/>
      <c r="AE205" s="72"/>
      <c r="AF205" s="72"/>
      <c r="AG205" s="72"/>
      <c r="AH205" s="72"/>
      <c r="AI205" s="72"/>
      <c r="AJ205" s="72"/>
      <c r="AK205" s="72"/>
      <c r="AL205" s="72"/>
      <c r="AM205" s="72"/>
      <c r="AN205" s="72"/>
      <c r="AO205" s="72"/>
      <c r="AP205" s="72"/>
      <c r="AQ205" s="72"/>
      <c r="AR205" s="72"/>
      <c r="AS205" s="72"/>
      <c r="AT205" s="72"/>
      <c r="AU205" s="72"/>
      <c r="AV205" s="72"/>
    </row>
    <row r="206" spans="1:48" s="37" customFormat="1" ht="16.5" x14ac:dyDescent="0.3">
      <c r="A206" s="72"/>
      <c r="B206" s="72"/>
      <c r="C206" s="72"/>
      <c r="D206" s="72"/>
      <c r="E206" s="72"/>
      <c r="F206" s="72"/>
      <c r="G206" s="72"/>
      <c r="H206" s="72"/>
      <c r="I206" s="72"/>
      <c r="J206" s="72"/>
      <c r="K206" s="72"/>
      <c r="L206" s="72"/>
      <c r="M206" s="72"/>
      <c r="N206" s="72"/>
      <c r="O206" s="72"/>
      <c r="P206" s="72"/>
      <c r="Q206" s="72"/>
      <c r="R206" s="72"/>
      <c r="S206" s="72"/>
      <c r="T206" s="72"/>
      <c r="U206" s="72"/>
      <c r="V206" s="72"/>
      <c r="W206" s="72"/>
      <c r="X206" s="72"/>
      <c r="Y206" s="72"/>
      <c r="Z206" s="72"/>
      <c r="AA206" s="72"/>
      <c r="AB206" s="72"/>
      <c r="AC206" s="72"/>
      <c r="AD206" s="72"/>
      <c r="AE206" s="72"/>
      <c r="AF206" s="72"/>
      <c r="AG206" s="72"/>
      <c r="AH206" s="72"/>
      <c r="AI206" s="72"/>
      <c r="AJ206" s="72"/>
      <c r="AK206" s="72"/>
      <c r="AL206" s="72"/>
      <c r="AM206" s="72"/>
      <c r="AN206" s="72"/>
      <c r="AO206" s="72"/>
      <c r="AP206" s="72"/>
      <c r="AQ206" s="72"/>
      <c r="AR206" s="72"/>
      <c r="AS206" s="72"/>
      <c r="AT206" s="72"/>
      <c r="AU206" s="72"/>
      <c r="AV206" s="72"/>
    </row>
    <row r="207" spans="1:48" s="37" customFormat="1" ht="16.5" x14ac:dyDescent="0.3">
      <c r="A207" s="72"/>
      <c r="B207" s="72"/>
      <c r="C207" s="72"/>
      <c r="D207" s="72"/>
      <c r="E207" s="72"/>
      <c r="F207" s="72"/>
      <c r="G207" s="72"/>
      <c r="H207" s="72"/>
      <c r="I207" s="72"/>
      <c r="J207" s="72"/>
      <c r="K207" s="72"/>
      <c r="L207" s="72"/>
      <c r="M207" s="72"/>
      <c r="N207" s="72"/>
      <c r="O207" s="72"/>
      <c r="P207" s="72"/>
      <c r="Q207" s="72"/>
      <c r="R207" s="72"/>
      <c r="S207" s="72"/>
      <c r="T207" s="72"/>
      <c r="U207" s="72"/>
      <c r="V207" s="72"/>
      <c r="W207" s="72"/>
      <c r="X207" s="72"/>
      <c r="Y207" s="72"/>
      <c r="Z207" s="72"/>
      <c r="AA207" s="72"/>
      <c r="AB207" s="72"/>
      <c r="AC207" s="72"/>
      <c r="AD207" s="72"/>
      <c r="AE207" s="72"/>
      <c r="AF207" s="72"/>
      <c r="AG207" s="72"/>
      <c r="AH207" s="72"/>
      <c r="AI207" s="72"/>
      <c r="AJ207" s="72"/>
      <c r="AK207" s="72"/>
      <c r="AL207" s="72"/>
      <c r="AM207" s="72"/>
      <c r="AN207" s="72"/>
      <c r="AO207" s="72"/>
      <c r="AP207" s="72"/>
      <c r="AQ207" s="72"/>
      <c r="AR207" s="72"/>
      <c r="AS207" s="72"/>
      <c r="AT207" s="72"/>
      <c r="AU207" s="72"/>
      <c r="AV207" s="72"/>
    </row>
    <row r="208" spans="1:48" s="37" customFormat="1" ht="16.5" x14ac:dyDescent="0.3">
      <c r="A208" s="72"/>
      <c r="B208" s="72"/>
      <c r="C208" s="72"/>
      <c r="D208" s="72"/>
      <c r="E208" s="72"/>
      <c r="F208" s="72"/>
      <c r="G208" s="72"/>
      <c r="H208" s="72"/>
      <c r="I208" s="72"/>
      <c r="J208" s="72"/>
      <c r="K208" s="72"/>
      <c r="L208" s="72"/>
      <c r="M208" s="72"/>
      <c r="N208" s="72"/>
      <c r="O208" s="72"/>
      <c r="P208" s="72"/>
      <c r="Q208" s="72"/>
      <c r="R208" s="72"/>
      <c r="S208" s="72"/>
      <c r="T208" s="72"/>
      <c r="U208" s="72"/>
      <c r="V208" s="72"/>
      <c r="W208" s="72"/>
      <c r="X208" s="72"/>
      <c r="Y208" s="72"/>
      <c r="Z208" s="72"/>
      <c r="AA208" s="72"/>
      <c r="AB208" s="72"/>
      <c r="AC208" s="72"/>
      <c r="AD208" s="72"/>
      <c r="AE208" s="72"/>
      <c r="AF208" s="72"/>
      <c r="AG208" s="72"/>
      <c r="AH208" s="72"/>
      <c r="AI208" s="72"/>
      <c r="AJ208" s="72"/>
      <c r="AK208" s="72"/>
      <c r="AL208" s="72"/>
      <c r="AM208" s="72"/>
      <c r="AN208" s="72"/>
      <c r="AO208" s="72"/>
      <c r="AP208" s="72"/>
      <c r="AQ208" s="72"/>
      <c r="AR208" s="72"/>
      <c r="AS208" s="72"/>
      <c r="AT208" s="72"/>
      <c r="AU208" s="72"/>
      <c r="AV208" s="72"/>
    </row>
    <row r="209" spans="1:48" s="37" customFormat="1" ht="16.5" x14ac:dyDescent="0.3">
      <c r="A209" s="72"/>
      <c r="B209" s="72"/>
      <c r="C209" s="72"/>
      <c r="D209" s="72"/>
      <c r="E209" s="72"/>
      <c r="F209" s="72"/>
      <c r="G209" s="72"/>
      <c r="H209" s="72"/>
      <c r="I209" s="72"/>
      <c r="J209" s="72"/>
      <c r="K209" s="72"/>
      <c r="L209" s="72"/>
      <c r="M209" s="72"/>
      <c r="N209" s="72"/>
      <c r="O209" s="72"/>
      <c r="P209" s="72"/>
      <c r="Q209" s="72"/>
      <c r="R209" s="72"/>
      <c r="S209" s="72"/>
      <c r="T209" s="72"/>
      <c r="U209" s="72"/>
      <c r="V209" s="72"/>
      <c r="W209" s="72"/>
      <c r="X209" s="72"/>
      <c r="Y209" s="72"/>
      <c r="Z209" s="72"/>
      <c r="AA209" s="72"/>
      <c r="AB209" s="72"/>
      <c r="AC209" s="72"/>
      <c r="AD209" s="72"/>
      <c r="AE209" s="72"/>
      <c r="AF209" s="72"/>
      <c r="AG209" s="72"/>
      <c r="AH209" s="72"/>
      <c r="AI209" s="72"/>
      <c r="AJ209" s="72"/>
      <c r="AK209" s="72"/>
      <c r="AL209" s="72"/>
      <c r="AM209" s="72"/>
      <c r="AN209" s="72"/>
      <c r="AO209" s="72"/>
      <c r="AP209" s="72"/>
      <c r="AQ209" s="72"/>
      <c r="AR209" s="72"/>
      <c r="AS209" s="72"/>
      <c r="AT209" s="72"/>
      <c r="AU209" s="72"/>
      <c r="AV209" s="72"/>
    </row>
    <row r="210" spans="1:48" s="37" customFormat="1" ht="16.5" x14ac:dyDescent="0.3">
      <c r="A210" s="72"/>
      <c r="B210" s="72"/>
      <c r="C210" s="72"/>
      <c r="D210" s="72"/>
      <c r="E210" s="72"/>
      <c r="F210" s="72"/>
      <c r="G210" s="72"/>
      <c r="H210" s="72"/>
      <c r="I210" s="72"/>
      <c r="J210" s="72"/>
      <c r="K210" s="72"/>
      <c r="L210" s="72"/>
      <c r="M210" s="72"/>
      <c r="N210" s="72"/>
      <c r="O210" s="72"/>
      <c r="P210" s="72"/>
      <c r="Q210" s="72"/>
      <c r="R210" s="72"/>
      <c r="S210" s="72"/>
      <c r="T210" s="72"/>
      <c r="U210" s="72"/>
      <c r="V210" s="72"/>
      <c r="W210" s="72"/>
      <c r="X210" s="72"/>
      <c r="Y210" s="72"/>
      <c r="Z210" s="72"/>
      <c r="AA210" s="72"/>
      <c r="AB210" s="72"/>
      <c r="AC210" s="72"/>
      <c r="AD210" s="72"/>
      <c r="AE210" s="72"/>
      <c r="AF210" s="72"/>
      <c r="AG210" s="72"/>
      <c r="AH210" s="72"/>
      <c r="AI210" s="72"/>
      <c r="AJ210" s="72"/>
      <c r="AK210" s="72"/>
      <c r="AL210" s="72"/>
      <c r="AM210" s="72"/>
      <c r="AN210" s="72"/>
      <c r="AO210" s="72"/>
      <c r="AP210" s="72"/>
      <c r="AQ210" s="72"/>
      <c r="AR210" s="72"/>
      <c r="AS210" s="72"/>
      <c r="AT210" s="72"/>
      <c r="AU210" s="72"/>
      <c r="AV210" s="72"/>
    </row>
    <row r="211" spans="1:48" s="37" customFormat="1" ht="16.5" x14ac:dyDescent="0.3">
      <c r="A211" s="72"/>
      <c r="B211" s="72"/>
      <c r="C211" s="72"/>
      <c r="D211" s="72"/>
      <c r="E211" s="72"/>
      <c r="F211" s="72"/>
      <c r="G211" s="72"/>
      <c r="H211" s="72"/>
      <c r="I211" s="72"/>
      <c r="J211" s="72"/>
      <c r="K211" s="72"/>
      <c r="L211" s="72"/>
      <c r="M211" s="72"/>
      <c r="N211" s="72"/>
      <c r="O211" s="72"/>
      <c r="P211" s="72"/>
      <c r="Q211" s="72"/>
      <c r="R211" s="72"/>
      <c r="S211" s="72"/>
      <c r="T211" s="72"/>
      <c r="U211" s="72"/>
      <c r="V211" s="72"/>
      <c r="W211" s="72"/>
      <c r="X211" s="72"/>
      <c r="Y211" s="72"/>
      <c r="Z211" s="72"/>
      <c r="AA211" s="72"/>
      <c r="AB211" s="72"/>
      <c r="AC211" s="72"/>
      <c r="AD211" s="72"/>
      <c r="AE211" s="72"/>
      <c r="AF211" s="72"/>
      <c r="AG211" s="72"/>
      <c r="AH211" s="72"/>
      <c r="AI211" s="72"/>
      <c r="AJ211" s="72"/>
      <c r="AK211" s="72"/>
      <c r="AL211" s="72"/>
      <c r="AM211" s="72"/>
      <c r="AN211" s="72"/>
      <c r="AO211" s="72"/>
      <c r="AP211" s="72"/>
      <c r="AQ211" s="72"/>
      <c r="AR211" s="72"/>
      <c r="AS211" s="72"/>
      <c r="AT211" s="72"/>
      <c r="AU211" s="72"/>
      <c r="AV211" s="72"/>
    </row>
    <row r="212" spans="1:48" s="37" customFormat="1" ht="16.5" x14ac:dyDescent="0.3">
      <c r="A212" s="72"/>
      <c r="B212" s="72"/>
      <c r="C212" s="72"/>
      <c r="D212" s="72"/>
      <c r="E212" s="72"/>
      <c r="F212" s="72"/>
      <c r="G212" s="72"/>
      <c r="H212" s="72"/>
      <c r="I212" s="72"/>
      <c r="J212" s="72"/>
      <c r="K212" s="72"/>
      <c r="L212" s="72"/>
      <c r="M212" s="72"/>
      <c r="N212" s="72"/>
      <c r="O212" s="72"/>
      <c r="P212" s="72"/>
      <c r="Q212" s="72"/>
      <c r="R212" s="72"/>
      <c r="S212" s="72"/>
      <c r="T212" s="72"/>
      <c r="U212" s="72"/>
      <c r="V212" s="72"/>
      <c r="W212" s="72"/>
      <c r="X212" s="72"/>
      <c r="Y212" s="72"/>
      <c r="Z212" s="72"/>
      <c r="AA212" s="72"/>
      <c r="AB212" s="72"/>
      <c r="AC212" s="72"/>
      <c r="AD212" s="72"/>
      <c r="AE212" s="72"/>
      <c r="AF212" s="72"/>
      <c r="AG212" s="72"/>
      <c r="AH212" s="72"/>
      <c r="AI212" s="72"/>
      <c r="AJ212" s="72"/>
      <c r="AK212" s="72"/>
      <c r="AL212" s="72"/>
      <c r="AM212" s="72"/>
      <c r="AN212" s="72"/>
      <c r="AO212" s="72"/>
      <c r="AP212" s="72"/>
      <c r="AQ212" s="72"/>
      <c r="AR212" s="72"/>
      <c r="AS212" s="72"/>
      <c r="AT212" s="72"/>
      <c r="AU212" s="72"/>
      <c r="AV212" s="72"/>
    </row>
    <row r="213" spans="1:48" s="37" customFormat="1" ht="16.5" x14ac:dyDescent="0.3">
      <c r="A213" s="72"/>
      <c r="B213" s="72"/>
      <c r="C213" s="72"/>
      <c r="D213" s="72"/>
      <c r="E213" s="72"/>
      <c r="F213" s="72"/>
      <c r="G213" s="72"/>
      <c r="H213" s="72"/>
      <c r="I213" s="72"/>
      <c r="J213" s="72"/>
      <c r="K213" s="72"/>
      <c r="L213" s="72"/>
      <c r="M213" s="72"/>
      <c r="N213" s="72"/>
      <c r="O213" s="72"/>
      <c r="P213" s="72"/>
      <c r="Q213" s="72"/>
      <c r="R213" s="72"/>
      <c r="S213" s="72"/>
      <c r="T213" s="72"/>
      <c r="U213" s="72"/>
      <c r="V213" s="72"/>
      <c r="W213" s="72"/>
      <c r="X213" s="72"/>
      <c r="Y213" s="72"/>
      <c r="Z213" s="72"/>
      <c r="AA213" s="72"/>
      <c r="AB213" s="72"/>
      <c r="AC213" s="72"/>
      <c r="AD213" s="72"/>
      <c r="AE213" s="72"/>
      <c r="AF213" s="72"/>
      <c r="AG213" s="72"/>
      <c r="AH213" s="72"/>
      <c r="AI213" s="72"/>
      <c r="AJ213" s="72"/>
      <c r="AK213" s="72"/>
      <c r="AL213" s="72"/>
      <c r="AM213" s="72"/>
      <c r="AN213" s="72"/>
      <c r="AO213" s="72"/>
      <c r="AP213" s="72"/>
      <c r="AQ213" s="72"/>
      <c r="AR213" s="72"/>
      <c r="AS213" s="72"/>
      <c r="AT213" s="72"/>
      <c r="AU213" s="72"/>
      <c r="AV213" s="72"/>
    </row>
    <row r="214" spans="1:48" s="37" customFormat="1" ht="16.5" x14ac:dyDescent="0.3">
      <c r="A214" s="72"/>
      <c r="B214" s="72"/>
      <c r="C214" s="72"/>
      <c r="D214" s="72"/>
      <c r="E214" s="72"/>
      <c r="F214" s="72"/>
      <c r="G214" s="72"/>
      <c r="H214" s="72"/>
      <c r="I214" s="72"/>
      <c r="J214" s="72"/>
      <c r="K214" s="72"/>
      <c r="L214" s="72"/>
      <c r="M214" s="72"/>
      <c r="N214" s="72"/>
      <c r="O214" s="72"/>
      <c r="P214" s="72"/>
      <c r="Q214" s="72"/>
      <c r="R214" s="72"/>
      <c r="S214" s="72"/>
      <c r="T214" s="72"/>
      <c r="U214" s="72"/>
      <c r="V214" s="72"/>
      <c r="W214" s="72"/>
      <c r="X214" s="72"/>
      <c r="Y214" s="72"/>
      <c r="Z214" s="72"/>
      <c r="AA214" s="72"/>
      <c r="AB214" s="72"/>
      <c r="AC214" s="72"/>
      <c r="AD214" s="72"/>
      <c r="AE214" s="72"/>
      <c r="AF214" s="72"/>
      <c r="AG214" s="72"/>
      <c r="AH214" s="72"/>
      <c r="AI214" s="72"/>
      <c r="AJ214" s="72"/>
      <c r="AK214" s="72"/>
      <c r="AL214" s="72"/>
      <c r="AM214" s="72"/>
      <c r="AN214" s="72"/>
      <c r="AO214" s="72"/>
      <c r="AP214" s="72"/>
      <c r="AQ214" s="72"/>
      <c r="AR214" s="72"/>
      <c r="AS214" s="72"/>
      <c r="AT214" s="72"/>
      <c r="AU214" s="72"/>
      <c r="AV214" s="72"/>
    </row>
    <row r="215" spans="1:48" s="37" customFormat="1" ht="16.5" x14ac:dyDescent="0.3">
      <c r="A215" s="72"/>
      <c r="B215" s="72"/>
      <c r="C215" s="72"/>
      <c r="D215" s="72"/>
      <c r="E215" s="72"/>
      <c r="F215" s="72"/>
      <c r="G215" s="72"/>
      <c r="H215" s="72"/>
      <c r="I215" s="72"/>
      <c r="J215" s="72"/>
      <c r="K215" s="72"/>
      <c r="L215" s="72"/>
      <c r="M215" s="72"/>
      <c r="N215" s="72"/>
      <c r="O215" s="72"/>
      <c r="P215" s="72"/>
      <c r="Q215" s="72"/>
      <c r="R215" s="72"/>
      <c r="S215" s="72"/>
      <c r="T215" s="72"/>
      <c r="U215" s="72"/>
      <c r="V215" s="72"/>
      <c r="W215" s="72"/>
      <c r="X215" s="72"/>
      <c r="Y215" s="72"/>
      <c r="Z215" s="72"/>
      <c r="AA215" s="72"/>
      <c r="AB215" s="72"/>
      <c r="AC215" s="72"/>
      <c r="AD215" s="72"/>
      <c r="AE215" s="72"/>
      <c r="AF215" s="72"/>
      <c r="AG215" s="72"/>
      <c r="AH215" s="72"/>
      <c r="AI215" s="72"/>
      <c r="AJ215" s="72"/>
      <c r="AK215" s="72"/>
      <c r="AL215" s="72"/>
      <c r="AM215" s="72"/>
      <c r="AN215" s="72"/>
      <c r="AO215" s="72"/>
      <c r="AP215" s="72"/>
      <c r="AQ215" s="72"/>
      <c r="AR215" s="72"/>
      <c r="AS215" s="72"/>
      <c r="AT215" s="72"/>
      <c r="AU215" s="72"/>
      <c r="AV215" s="72"/>
    </row>
    <row r="216" spans="1:48" s="37" customFormat="1" ht="16.5" x14ac:dyDescent="0.3">
      <c r="A216" s="72"/>
      <c r="B216" s="72"/>
      <c r="C216" s="72"/>
      <c r="D216" s="72"/>
      <c r="E216" s="72"/>
      <c r="F216" s="72"/>
      <c r="G216" s="72"/>
      <c r="H216" s="72"/>
      <c r="I216" s="72"/>
      <c r="J216" s="72"/>
      <c r="K216" s="72"/>
      <c r="L216" s="72"/>
      <c r="M216" s="72"/>
      <c r="N216" s="72"/>
      <c r="O216" s="72"/>
      <c r="P216" s="72"/>
      <c r="Q216" s="72"/>
      <c r="R216" s="72"/>
      <c r="S216" s="72"/>
      <c r="T216" s="72"/>
      <c r="U216" s="72"/>
      <c r="V216" s="72"/>
      <c r="W216" s="72"/>
      <c r="X216" s="72"/>
      <c r="Y216" s="72"/>
      <c r="Z216" s="72"/>
      <c r="AA216" s="72"/>
      <c r="AB216" s="72"/>
      <c r="AC216" s="72"/>
      <c r="AD216" s="72"/>
      <c r="AE216" s="72"/>
      <c r="AF216" s="72"/>
      <c r="AG216" s="72"/>
      <c r="AH216" s="72"/>
      <c r="AI216" s="72"/>
      <c r="AJ216" s="72"/>
      <c r="AK216" s="72"/>
      <c r="AL216" s="72"/>
      <c r="AM216" s="72"/>
      <c r="AN216" s="72"/>
      <c r="AO216" s="72"/>
      <c r="AP216" s="72"/>
      <c r="AQ216" s="72"/>
      <c r="AR216" s="72"/>
      <c r="AS216" s="72"/>
      <c r="AT216" s="72"/>
      <c r="AU216" s="72"/>
      <c r="AV216" s="72"/>
    </row>
    <row r="217" spans="1:48" s="37" customFormat="1" ht="16.5" x14ac:dyDescent="0.3">
      <c r="A217" s="72"/>
      <c r="B217" s="72"/>
      <c r="C217" s="72"/>
      <c r="D217" s="72"/>
      <c r="E217" s="72"/>
      <c r="F217" s="72"/>
      <c r="G217" s="72"/>
      <c r="H217" s="72"/>
      <c r="I217" s="72"/>
      <c r="J217" s="72"/>
      <c r="K217" s="72"/>
      <c r="L217" s="72"/>
      <c r="M217" s="72"/>
      <c r="N217" s="72"/>
      <c r="O217" s="72"/>
      <c r="P217" s="72"/>
      <c r="Q217" s="72"/>
      <c r="R217" s="72"/>
      <c r="S217" s="72"/>
      <c r="T217" s="72"/>
      <c r="U217" s="72"/>
      <c r="V217" s="72"/>
      <c r="W217" s="72"/>
      <c r="X217" s="72"/>
      <c r="Y217" s="72"/>
      <c r="Z217" s="72"/>
      <c r="AA217" s="72"/>
      <c r="AB217" s="72"/>
      <c r="AC217" s="72"/>
      <c r="AD217" s="72"/>
      <c r="AE217" s="72"/>
      <c r="AF217" s="72"/>
      <c r="AG217" s="72"/>
      <c r="AH217" s="72"/>
      <c r="AI217" s="72"/>
      <c r="AJ217" s="72"/>
      <c r="AK217" s="72"/>
      <c r="AL217" s="72"/>
      <c r="AM217" s="72"/>
      <c r="AN217" s="72"/>
      <c r="AO217" s="72"/>
      <c r="AP217" s="72"/>
      <c r="AQ217" s="72"/>
      <c r="AR217" s="72"/>
      <c r="AS217" s="72"/>
      <c r="AT217" s="72"/>
      <c r="AU217" s="72"/>
      <c r="AV217" s="72"/>
    </row>
    <row r="218" spans="1:48" s="37" customFormat="1" ht="16.5" x14ac:dyDescent="0.3">
      <c r="A218" s="72"/>
      <c r="B218" s="72"/>
      <c r="C218" s="72"/>
      <c r="D218" s="72"/>
      <c r="E218" s="72"/>
      <c r="F218" s="72"/>
      <c r="G218" s="72"/>
      <c r="H218" s="72"/>
      <c r="I218" s="72"/>
      <c r="J218" s="72"/>
      <c r="K218" s="72"/>
      <c r="L218" s="72"/>
      <c r="M218" s="72"/>
      <c r="N218" s="72"/>
      <c r="O218" s="72"/>
      <c r="P218" s="72"/>
      <c r="Q218" s="72"/>
      <c r="R218" s="72"/>
      <c r="S218" s="72"/>
      <c r="T218" s="72"/>
      <c r="U218" s="72"/>
      <c r="V218" s="72"/>
      <c r="W218" s="72"/>
      <c r="X218" s="72"/>
      <c r="Y218" s="72"/>
      <c r="Z218" s="72"/>
      <c r="AA218" s="72"/>
      <c r="AB218" s="72"/>
      <c r="AC218" s="72"/>
      <c r="AD218" s="72"/>
      <c r="AE218" s="72"/>
      <c r="AF218" s="72"/>
      <c r="AG218" s="72"/>
      <c r="AH218" s="72"/>
      <c r="AI218" s="72"/>
      <c r="AJ218" s="72"/>
      <c r="AK218" s="72"/>
      <c r="AL218" s="72"/>
      <c r="AM218" s="72"/>
      <c r="AN218" s="72"/>
      <c r="AO218" s="72"/>
      <c r="AP218" s="72"/>
      <c r="AQ218" s="72"/>
      <c r="AR218" s="72"/>
      <c r="AS218" s="72"/>
      <c r="AT218" s="72"/>
      <c r="AU218" s="72"/>
      <c r="AV218" s="72"/>
    </row>
    <row r="219" spans="1:48" s="37" customFormat="1" ht="16.5" x14ac:dyDescent="0.3">
      <c r="A219" s="72"/>
      <c r="B219" s="72"/>
      <c r="C219" s="72"/>
      <c r="D219" s="72"/>
      <c r="E219" s="72"/>
      <c r="F219" s="72"/>
      <c r="G219" s="72"/>
      <c r="H219" s="72"/>
      <c r="I219" s="72"/>
      <c r="J219" s="72"/>
      <c r="K219" s="72"/>
      <c r="L219" s="72"/>
      <c r="M219" s="72"/>
      <c r="N219" s="72"/>
      <c r="O219" s="72"/>
      <c r="P219" s="72"/>
      <c r="Q219" s="72"/>
      <c r="R219" s="72"/>
      <c r="S219" s="72"/>
      <c r="T219" s="72"/>
      <c r="U219" s="72"/>
      <c r="V219" s="72"/>
      <c r="W219" s="72"/>
      <c r="X219" s="72"/>
      <c r="Y219" s="72"/>
      <c r="Z219" s="72"/>
      <c r="AA219" s="72"/>
      <c r="AB219" s="72"/>
      <c r="AC219" s="72"/>
      <c r="AD219" s="72"/>
      <c r="AE219" s="72"/>
      <c r="AF219" s="72"/>
      <c r="AG219" s="72"/>
      <c r="AH219" s="72"/>
      <c r="AI219" s="72"/>
      <c r="AJ219" s="72"/>
      <c r="AK219" s="72"/>
      <c r="AL219" s="72"/>
      <c r="AM219" s="72"/>
      <c r="AN219" s="72"/>
      <c r="AO219" s="72"/>
      <c r="AP219" s="72"/>
      <c r="AQ219" s="72"/>
      <c r="AR219" s="72"/>
      <c r="AS219" s="72"/>
      <c r="AT219" s="72"/>
      <c r="AU219" s="72"/>
      <c r="AV219" s="72"/>
    </row>
    <row r="220" spans="1:48" s="37" customFormat="1" ht="16.5" x14ac:dyDescent="0.3">
      <c r="A220" s="72"/>
      <c r="B220" s="72"/>
      <c r="C220" s="72"/>
      <c r="D220" s="72"/>
      <c r="E220" s="72"/>
      <c r="F220" s="72"/>
      <c r="G220" s="72"/>
      <c r="H220" s="72"/>
      <c r="I220" s="72"/>
      <c r="J220" s="72"/>
      <c r="K220" s="72"/>
      <c r="L220" s="72"/>
      <c r="M220" s="72"/>
      <c r="N220" s="72"/>
      <c r="O220" s="72"/>
      <c r="P220" s="72"/>
      <c r="Q220" s="72"/>
      <c r="R220" s="72"/>
      <c r="S220" s="72"/>
      <c r="T220" s="72"/>
      <c r="U220" s="72"/>
      <c r="V220" s="72"/>
      <c r="W220" s="72"/>
      <c r="X220" s="72"/>
      <c r="Y220" s="72"/>
      <c r="Z220" s="72"/>
      <c r="AA220" s="72"/>
      <c r="AB220" s="72"/>
      <c r="AC220" s="72"/>
      <c r="AD220" s="72"/>
      <c r="AE220" s="72"/>
      <c r="AF220" s="72"/>
      <c r="AG220" s="72"/>
      <c r="AH220" s="72"/>
      <c r="AI220" s="72"/>
      <c r="AJ220" s="72"/>
      <c r="AK220" s="72"/>
      <c r="AL220" s="72"/>
      <c r="AM220" s="72"/>
      <c r="AN220" s="72"/>
      <c r="AO220" s="72"/>
      <c r="AP220" s="72"/>
      <c r="AQ220" s="72"/>
      <c r="AR220" s="72"/>
      <c r="AS220" s="72"/>
      <c r="AT220" s="72"/>
      <c r="AU220" s="72"/>
      <c r="AV220" s="72"/>
    </row>
    <row r="221" spans="1:48" s="37" customFormat="1" ht="16.5" x14ac:dyDescent="0.3">
      <c r="A221" s="72"/>
      <c r="B221" s="72"/>
      <c r="C221" s="72"/>
      <c r="D221" s="72"/>
      <c r="E221" s="72"/>
      <c r="F221" s="72"/>
      <c r="G221" s="72"/>
      <c r="H221" s="72"/>
      <c r="I221" s="72"/>
      <c r="J221" s="72"/>
      <c r="K221" s="72"/>
      <c r="L221" s="72"/>
      <c r="M221" s="72"/>
      <c r="N221" s="72"/>
      <c r="O221" s="72"/>
      <c r="P221" s="72"/>
      <c r="Q221" s="72"/>
      <c r="R221" s="72"/>
      <c r="S221" s="72"/>
      <c r="T221" s="72"/>
      <c r="U221" s="72"/>
      <c r="V221" s="72"/>
      <c r="W221" s="72"/>
      <c r="X221" s="72"/>
      <c r="Y221" s="72"/>
      <c r="Z221" s="72"/>
      <c r="AA221" s="72"/>
      <c r="AB221" s="72"/>
      <c r="AC221" s="72"/>
      <c r="AD221" s="72"/>
      <c r="AE221" s="72"/>
      <c r="AF221" s="72"/>
      <c r="AG221" s="72"/>
      <c r="AH221" s="72"/>
      <c r="AI221" s="72"/>
      <c r="AJ221" s="72"/>
      <c r="AK221" s="72"/>
      <c r="AL221" s="72"/>
      <c r="AM221" s="72"/>
      <c r="AN221" s="72"/>
      <c r="AO221" s="72"/>
      <c r="AP221" s="72"/>
      <c r="AQ221" s="72"/>
      <c r="AR221" s="72"/>
      <c r="AS221" s="72"/>
      <c r="AT221" s="72"/>
      <c r="AU221" s="72"/>
      <c r="AV221" s="72"/>
    </row>
    <row r="222" spans="1:48" s="37" customFormat="1" ht="16.5" x14ac:dyDescent="0.3">
      <c r="A222" s="72"/>
      <c r="B222" s="72"/>
      <c r="C222" s="72"/>
      <c r="D222" s="72"/>
      <c r="E222" s="72"/>
      <c r="F222" s="72"/>
      <c r="G222" s="72"/>
      <c r="H222" s="72"/>
      <c r="I222" s="72"/>
      <c r="J222" s="72"/>
      <c r="K222" s="72"/>
      <c r="L222" s="72"/>
      <c r="M222" s="72"/>
      <c r="N222" s="72"/>
      <c r="O222" s="72"/>
      <c r="P222" s="72"/>
      <c r="Q222" s="72"/>
      <c r="R222" s="72"/>
      <c r="S222" s="72"/>
      <c r="T222" s="72"/>
      <c r="U222" s="72"/>
      <c r="V222" s="72"/>
      <c r="W222" s="72"/>
      <c r="X222" s="72"/>
      <c r="Y222" s="72"/>
      <c r="Z222" s="72"/>
      <c r="AA222" s="72"/>
      <c r="AB222" s="72"/>
      <c r="AC222" s="72"/>
      <c r="AD222" s="72"/>
      <c r="AE222" s="72"/>
      <c r="AF222" s="72"/>
      <c r="AG222" s="72"/>
      <c r="AH222" s="72"/>
      <c r="AI222" s="72"/>
      <c r="AJ222" s="72"/>
      <c r="AK222" s="72"/>
      <c r="AL222" s="72"/>
      <c r="AM222" s="72"/>
      <c r="AN222" s="72"/>
      <c r="AO222" s="72"/>
      <c r="AP222" s="72"/>
      <c r="AQ222" s="72"/>
      <c r="AR222" s="72"/>
      <c r="AS222" s="72"/>
      <c r="AT222" s="72"/>
      <c r="AU222" s="72"/>
      <c r="AV222" s="72"/>
    </row>
    <row r="223" spans="1:48" s="37" customFormat="1" ht="16.5" x14ac:dyDescent="0.3">
      <c r="A223" s="72"/>
      <c r="B223" s="72"/>
      <c r="C223" s="72"/>
      <c r="D223" s="72"/>
      <c r="E223" s="72"/>
      <c r="F223" s="72"/>
      <c r="G223" s="72"/>
      <c r="H223" s="72"/>
      <c r="I223" s="72"/>
      <c r="J223" s="72"/>
      <c r="K223" s="72"/>
      <c r="L223" s="72"/>
      <c r="M223" s="72"/>
      <c r="N223" s="72"/>
      <c r="O223" s="72"/>
      <c r="P223" s="72"/>
      <c r="Q223" s="72"/>
      <c r="R223" s="72"/>
      <c r="S223" s="72"/>
      <c r="T223" s="72"/>
      <c r="U223" s="72"/>
      <c r="V223" s="72"/>
      <c r="W223" s="72"/>
      <c r="X223" s="72"/>
      <c r="Y223" s="72"/>
      <c r="Z223" s="72"/>
      <c r="AA223" s="72"/>
      <c r="AB223" s="72"/>
      <c r="AC223" s="72"/>
      <c r="AD223" s="72"/>
      <c r="AE223" s="72"/>
      <c r="AF223" s="72"/>
      <c r="AG223" s="72"/>
      <c r="AH223" s="72"/>
      <c r="AI223" s="72"/>
      <c r="AJ223" s="72"/>
      <c r="AK223" s="72"/>
      <c r="AL223" s="72"/>
      <c r="AM223" s="72"/>
      <c r="AN223" s="72"/>
      <c r="AO223" s="72"/>
      <c r="AP223" s="72"/>
      <c r="AQ223" s="72"/>
      <c r="AR223" s="72"/>
      <c r="AS223" s="72"/>
      <c r="AT223" s="72"/>
      <c r="AU223" s="72"/>
      <c r="AV223" s="72"/>
    </row>
    <row r="224" spans="1:48" s="37" customFormat="1" ht="16.5" x14ac:dyDescent="0.3">
      <c r="A224" s="72"/>
      <c r="B224" s="72"/>
      <c r="C224" s="72"/>
      <c r="D224" s="72"/>
      <c r="E224" s="72"/>
      <c r="F224" s="72"/>
      <c r="G224" s="72"/>
      <c r="H224" s="72"/>
      <c r="I224" s="72"/>
      <c r="J224" s="72"/>
      <c r="K224" s="72"/>
      <c r="L224" s="72"/>
      <c r="M224" s="72"/>
      <c r="N224" s="72"/>
      <c r="O224" s="72"/>
      <c r="P224" s="72"/>
      <c r="Q224" s="72"/>
      <c r="R224" s="72"/>
      <c r="S224" s="72"/>
      <c r="T224" s="72"/>
      <c r="U224" s="72"/>
      <c r="V224" s="72"/>
      <c r="W224" s="72"/>
      <c r="X224" s="72"/>
      <c r="Y224" s="72"/>
      <c r="Z224" s="72"/>
      <c r="AA224" s="72"/>
      <c r="AB224" s="72"/>
      <c r="AC224" s="72"/>
      <c r="AD224" s="72"/>
      <c r="AE224" s="72"/>
      <c r="AF224" s="72"/>
      <c r="AG224" s="72"/>
      <c r="AH224" s="72"/>
      <c r="AI224" s="72"/>
      <c r="AJ224" s="72"/>
      <c r="AK224" s="72"/>
      <c r="AL224" s="72"/>
      <c r="AM224" s="72"/>
      <c r="AN224" s="72"/>
      <c r="AO224" s="72"/>
      <c r="AP224" s="72"/>
      <c r="AQ224" s="72"/>
      <c r="AR224" s="72"/>
      <c r="AS224" s="72"/>
      <c r="AT224" s="72"/>
      <c r="AU224" s="72"/>
      <c r="AV224" s="72"/>
    </row>
    <row r="225" spans="1:48" s="37" customFormat="1" ht="16.5" x14ac:dyDescent="0.3">
      <c r="A225" s="72"/>
      <c r="B225" s="72"/>
      <c r="C225" s="72"/>
      <c r="D225" s="72"/>
      <c r="E225" s="72"/>
      <c r="F225" s="72"/>
      <c r="G225" s="72"/>
      <c r="H225" s="72"/>
      <c r="I225" s="72"/>
      <c r="J225" s="72"/>
      <c r="K225" s="72"/>
      <c r="L225" s="72"/>
      <c r="M225" s="72"/>
      <c r="N225" s="72"/>
      <c r="O225" s="72"/>
      <c r="P225" s="72"/>
      <c r="Q225" s="72"/>
      <c r="R225" s="72"/>
      <c r="S225" s="72"/>
      <c r="T225" s="72"/>
      <c r="U225" s="72"/>
      <c r="V225" s="72"/>
      <c r="W225" s="72"/>
      <c r="X225" s="72"/>
      <c r="Y225" s="72"/>
      <c r="Z225" s="72"/>
      <c r="AA225" s="72"/>
      <c r="AB225" s="72"/>
      <c r="AC225" s="72"/>
      <c r="AD225" s="72"/>
      <c r="AE225" s="72"/>
      <c r="AF225" s="72"/>
      <c r="AG225" s="72"/>
      <c r="AH225" s="72"/>
      <c r="AI225" s="72"/>
      <c r="AJ225" s="72"/>
      <c r="AK225" s="72"/>
      <c r="AL225" s="72"/>
      <c r="AM225" s="72"/>
      <c r="AN225" s="72"/>
      <c r="AO225" s="72"/>
      <c r="AP225" s="72"/>
      <c r="AQ225" s="72"/>
      <c r="AR225" s="72"/>
      <c r="AS225" s="72"/>
      <c r="AT225" s="72"/>
      <c r="AU225" s="72"/>
      <c r="AV225" s="72"/>
    </row>
    <row r="226" spans="1:48" s="37" customFormat="1" ht="16.5" x14ac:dyDescent="0.3">
      <c r="A226" s="72"/>
      <c r="B226" s="72"/>
      <c r="C226" s="72"/>
      <c r="D226" s="72"/>
      <c r="E226" s="72"/>
      <c r="F226" s="72"/>
      <c r="G226" s="72"/>
      <c r="H226" s="72"/>
      <c r="I226" s="72"/>
      <c r="J226" s="72"/>
      <c r="K226" s="72"/>
      <c r="L226" s="72"/>
      <c r="M226" s="72"/>
      <c r="N226" s="72"/>
      <c r="O226" s="72"/>
      <c r="P226" s="72"/>
      <c r="Q226" s="72"/>
      <c r="R226" s="72"/>
      <c r="S226" s="72"/>
      <c r="T226" s="72"/>
      <c r="U226" s="72"/>
      <c r="V226" s="72"/>
      <c r="W226" s="72"/>
      <c r="X226" s="72"/>
      <c r="Y226" s="72"/>
      <c r="Z226" s="72"/>
      <c r="AA226" s="72"/>
      <c r="AB226" s="72"/>
      <c r="AC226" s="72"/>
      <c r="AD226" s="72"/>
      <c r="AE226" s="72"/>
      <c r="AF226" s="72"/>
      <c r="AG226" s="72"/>
      <c r="AH226" s="72"/>
      <c r="AI226" s="72"/>
      <c r="AJ226" s="72"/>
      <c r="AK226" s="72"/>
      <c r="AL226" s="72"/>
      <c r="AM226" s="72"/>
      <c r="AN226" s="72"/>
      <c r="AO226" s="72"/>
      <c r="AP226" s="72"/>
      <c r="AQ226" s="72"/>
      <c r="AR226" s="72"/>
      <c r="AS226" s="72"/>
      <c r="AT226" s="72"/>
      <c r="AU226" s="72"/>
      <c r="AV226" s="72"/>
    </row>
    <row r="227" spans="1:48" s="37" customFormat="1" ht="16.5" x14ac:dyDescent="0.3">
      <c r="A227" s="72"/>
      <c r="B227" s="72"/>
      <c r="C227" s="72"/>
      <c r="D227" s="72"/>
      <c r="E227" s="72"/>
      <c r="F227" s="72"/>
      <c r="G227" s="72"/>
      <c r="H227" s="72"/>
      <c r="I227" s="72"/>
      <c r="J227" s="72"/>
      <c r="K227" s="72"/>
      <c r="L227" s="72"/>
      <c r="M227" s="72"/>
      <c r="N227" s="72"/>
      <c r="O227" s="72"/>
      <c r="P227" s="72"/>
      <c r="Q227" s="72"/>
      <c r="R227" s="72"/>
      <c r="S227" s="72"/>
      <c r="T227" s="72"/>
      <c r="U227" s="72"/>
      <c r="V227" s="72"/>
      <c r="W227" s="72"/>
      <c r="X227" s="72"/>
      <c r="Y227" s="72"/>
      <c r="Z227" s="72"/>
      <c r="AA227" s="72"/>
      <c r="AB227" s="72"/>
      <c r="AC227" s="72"/>
      <c r="AD227" s="72"/>
      <c r="AE227" s="72"/>
      <c r="AF227" s="72"/>
      <c r="AG227" s="72"/>
      <c r="AH227" s="72"/>
      <c r="AI227" s="72"/>
      <c r="AJ227" s="72"/>
      <c r="AK227" s="72"/>
      <c r="AL227" s="72"/>
      <c r="AM227" s="72"/>
      <c r="AN227" s="72"/>
      <c r="AO227" s="72"/>
      <c r="AP227" s="72"/>
      <c r="AQ227" s="72"/>
      <c r="AR227" s="72"/>
      <c r="AS227" s="72"/>
      <c r="AT227" s="72"/>
      <c r="AU227" s="72"/>
      <c r="AV227" s="72"/>
    </row>
    <row r="228" spans="1:48" s="37" customFormat="1" ht="16.5" x14ac:dyDescent="0.3">
      <c r="A228" s="72"/>
      <c r="B228" s="72"/>
      <c r="C228" s="72"/>
      <c r="D228" s="72"/>
      <c r="E228" s="72"/>
      <c r="F228" s="72"/>
      <c r="G228" s="72"/>
      <c r="H228" s="72"/>
      <c r="I228" s="72"/>
      <c r="J228" s="72"/>
      <c r="K228" s="72"/>
      <c r="L228" s="72"/>
      <c r="M228" s="72"/>
      <c r="N228" s="72"/>
      <c r="O228" s="72"/>
      <c r="P228" s="72"/>
      <c r="Q228" s="72"/>
      <c r="R228" s="72"/>
      <c r="S228" s="72"/>
      <c r="T228" s="72"/>
      <c r="U228" s="72"/>
      <c r="V228" s="72"/>
      <c r="W228" s="72"/>
      <c r="X228" s="72"/>
      <c r="Y228" s="72"/>
      <c r="Z228" s="72"/>
      <c r="AA228" s="72"/>
      <c r="AB228" s="72"/>
      <c r="AC228" s="72"/>
      <c r="AD228" s="72"/>
      <c r="AE228" s="72"/>
      <c r="AF228" s="72"/>
      <c r="AG228" s="72"/>
      <c r="AH228" s="72"/>
      <c r="AI228" s="72"/>
      <c r="AJ228" s="72"/>
      <c r="AK228" s="72"/>
      <c r="AL228" s="72"/>
      <c r="AM228" s="72"/>
      <c r="AN228" s="72"/>
      <c r="AO228" s="72"/>
      <c r="AP228" s="72"/>
      <c r="AQ228" s="72"/>
      <c r="AR228" s="72"/>
      <c r="AS228" s="72"/>
      <c r="AT228" s="72"/>
      <c r="AU228" s="72"/>
      <c r="AV228" s="72"/>
    </row>
    <row r="229" spans="1:48" s="37" customFormat="1" ht="16.5" x14ac:dyDescent="0.3">
      <c r="A229" s="72"/>
      <c r="B229" s="72"/>
      <c r="C229" s="72"/>
      <c r="D229" s="72"/>
      <c r="E229" s="72"/>
      <c r="F229" s="72"/>
      <c r="G229" s="72"/>
      <c r="H229" s="72"/>
      <c r="I229" s="72"/>
      <c r="J229" s="72"/>
      <c r="K229" s="72"/>
      <c r="L229" s="72"/>
      <c r="M229" s="72"/>
      <c r="N229" s="72"/>
      <c r="O229" s="72"/>
      <c r="P229" s="72"/>
      <c r="Q229" s="72"/>
      <c r="R229" s="72"/>
      <c r="S229" s="72"/>
      <c r="T229" s="72"/>
      <c r="U229" s="72"/>
      <c r="V229" s="72"/>
      <c r="W229" s="72"/>
      <c r="X229" s="72"/>
      <c r="Y229" s="72"/>
      <c r="Z229" s="72"/>
      <c r="AA229" s="72"/>
      <c r="AB229" s="72"/>
      <c r="AC229" s="72"/>
      <c r="AD229" s="72"/>
      <c r="AE229" s="72"/>
      <c r="AF229" s="72"/>
      <c r="AG229" s="72"/>
      <c r="AH229" s="72"/>
      <c r="AI229" s="72"/>
      <c r="AJ229" s="72"/>
      <c r="AK229" s="72"/>
      <c r="AL229" s="72"/>
      <c r="AM229" s="72"/>
      <c r="AN229" s="72"/>
      <c r="AO229" s="72"/>
      <c r="AP229" s="72"/>
      <c r="AQ229" s="72"/>
      <c r="AR229" s="72"/>
      <c r="AS229" s="72"/>
      <c r="AT229" s="72"/>
      <c r="AU229" s="72"/>
      <c r="AV229" s="72"/>
    </row>
    <row r="230" spans="1:48" s="37" customFormat="1" ht="16.5" x14ac:dyDescent="0.3">
      <c r="A230" s="72"/>
      <c r="B230" s="72"/>
      <c r="C230" s="72"/>
      <c r="D230" s="72"/>
      <c r="E230" s="72"/>
      <c r="F230" s="72"/>
      <c r="G230" s="72"/>
      <c r="H230" s="72"/>
      <c r="I230" s="72"/>
      <c r="J230" s="72"/>
      <c r="K230" s="72"/>
      <c r="L230" s="72"/>
      <c r="M230" s="72"/>
      <c r="N230" s="72"/>
      <c r="O230" s="72"/>
      <c r="P230" s="72"/>
      <c r="Q230" s="72"/>
      <c r="R230" s="72"/>
      <c r="S230" s="72"/>
      <c r="T230" s="72"/>
      <c r="U230" s="72"/>
      <c r="V230" s="72"/>
      <c r="W230" s="72"/>
      <c r="X230" s="72"/>
      <c r="Y230" s="72"/>
      <c r="Z230" s="72"/>
      <c r="AA230" s="72"/>
      <c r="AB230" s="72"/>
      <c r="AC230" s="72"/>
      <c r="AD230" s="72"/>
      <c r="AE230" s="72"/>
      <c r="AF230" s="72"/>
      <c r="AG230" s="72"/>
      <c r="AH230" s="72"/>
      <c r="AI230" s="72"/>
      <c r="AJ230" s="72"/>
      <c r="AK230" s="72"/>
      <c r="AL230" s="72"/>
      <c r="AM230" s="72"/>
      <c r="AN230" s="72"/>
      <c r="AO230" s="72"/>
      <c r="AP230" s="72"/>
      <c r="AQ230" s="72"/>
      <c r="AR230" s="72"/>
      <c r="AS230" s="72"/>
      <c r="AT230" s="72"/>
      <c r="AU230" s="72"/>
      <c r="AV230" s="72"/>
    </row>
    <row r="231" spans="1:48" s="37" customFormat="1" ht="16.5" x14ac:dyDescent="0.3">
      <c r="A231" s="72"/>
      <c r="B231" s="72"/>
      <c r="C231" s="72"/>
      <c r="D231" s="72"/>
      <c r="E231" s="72"/>
      <c r="F231" s="72"/>
      <c r="G231" s="72"/>
      <c r="H231" s="72"/>
      <c r="I231" s="72"/>
      <c r="J231" s="72"/>
      <c r="K231" s="72"/>
      <c r="L231" s="72"/>
      <c r="M231" s="72"/>
      <c r="N231" s="72"/>
      <c r="O231" s="72"/>
      <c r="P231" s="72"/>
      <c r="Q231" s="72"/>
      <c r="R231" s="72"/>
      <c r="S231" s="72"/>
      <c r="T231" s="72"/>
      <c r="U231" s="72"/>
      <c r="V231" s="72"/>
      <c r="W231" s="72"/>
      <c r="X231" s="72"/>
      <c r="Y231" s="72"/>
      <c r="Z231" s="72"/>
      <c r="AA231" s="72"/>
      <c r="AB231" s="72"/>
      <c r="AC231" s="72"/>
      <c r="AD231" s="72"/>
      <c r="AE231" s="72"/>
      <c r="AF231" s="72"/>
      <c r="AG231" s="72"/>
      <c r="AH231" s="72"/>
      <c r="AI231" s="72"/>
      <c r="AJ231" s="72"/>
      <c r="AK231" s="72"/>
      <c r="AL231" s="72"/>
      <c r="AM231" s="72"/>
      <c r="AN231" s="72"/>
      <c r="AO231" s="72"/>
      <c r="AP231" s="72"/>
      <c r="AQ231" s="72"/>
      <c r="AR231" s="72"/>
      <c r="AS231" s="72"/>
      <c r="AT231" s="72"/>
      <c r="AU231" s="72"/>
      <c r="AV231" s="72"/>
    </row>
    <row r="232" spans="1:48" s="37" customFormat="1" ht="16.5" x14ac:dyDescent="0.3">
      <c r="A232" s="72"/>
      <c r="B232" s="72"/>
      <c r="C232" s="72"/>
      <c r="D232" s="72"/>
      <c r="E232" s="72"/>
      <c r="F232" s="72"/>
      <c r="G232" s="72"/>
      <c r="H232" s="72"/>
      <c r="I232" s="72"/>
      <c r="J232" s="72"/>
      <c r="K232" s="72"/>
      <c r="L232" s="72"/>
      <c r="M232" s="72"/>
      <c r="N232" s="72"/>
      <c r="O232" s="72"/>
      <c r="P232" s="72"/>
      <c r="Q232" s="72"/>
      <c r="R232" s="72"/>
      <c r="S232" s="72"/>
      <c r="T232" s="72"/>
      <c r="U232" s="72"/>
      <c r="V232" s="72"/>
      <c r="W232" s="72"/>
      <c r="X232" s="72"/>
      <c r="Y232" s="72"/>
      <c r="Z232" s="72"/>
      <c r="AA232" s="72"/>
      <c r="AB232" s="72"/>
      <c r="AC232" s="72"/>
      <c r="AD232" s="72"/>
      <c r="AE232" s="72"/>
      <c r="AF232" s="72"/>
      <c r="AG232" s="72"/>
      <c r="AH232" s="72"/>
      <c r="AI232" s="72"/>
      <c r="AJ232" s="72"/>
      <c r="AK232" s="72"/>
      <c r="AL232" s="72"/>
      <c r="AM232" s="72"/>
      <c r="AN232" s="72"/>
      <c r="AO232" s="72"/>
      <c r="AP232" s="72"/>
      <c r="AQ232" s="72"/>
      <c r="AR232" s="72"/>
      <c r="AS232" s="72"/>
      <c r="AT232" s="72"/>
      <c r="AU232" s="72"/>
      <c r="AV232" s="72"/>
    </row>
    <row r="233" spans="1:48" s="37" customFormat="1" ht="16.5" x14ac:dyDescent="0.3">
      <c r="A233" s="72"/>
      <c r="B233" s="72"/>
      <c r="C233" s="72"/>
      <c r="D233" s="72"/>
      <c r="E233" s="72"/>
      <c r="F233" s="72"/>
      <c r="G233" s="72"/>
      <c r="H233" s="72"/>
      <c r="I233" s="72"/>
      <c r="J233" s="72"/>
      <c r="K233" s="72"/>
      <c r="L233" s="72"/>
      <c r="M233" s="72"/>
      <c r="N233" s="72"/>
      <c r="O233" s="72"/>
      <c r="P233" s="72"/>
      <c r="Q233" s="72"/>
      <c r="R233" s="72"/>
      <c r="S233" s="72"/>
      <c r="T233" s="72"/>
      <c r="U233" s="72"/>
      <c r="V233" s="72"/>
      <c r="W233" s="72"/>
      <c r="X233" s="72"/>
      <c r="Y233" s="72"/>
      <c r="Z233" s="72"/>
      <c r="AA233" s="72"/>
      <c r="AB233" s="72"/>
      <c r="AC233" s="72"/>
      <c r="AD233" s="72"/>
      <c r="AE233" s="72"/>
      <c r="AF233" s="72"/>
      <c r="AG233" s="72"/>
      <c r="AH233" s="72"/>
      <c r="AI233" s="72"/>
      <c r="AJ233" s="72"/>
      <c r="AK233" s="72"/>
      <c r="AL233" s="72"/>
      <c r="AM233" s="72"/>
      <c r="AN233" s="72"/>
      <c r="AO233" s="72"/>
      <c r="AP233" s="72"/>
      <c r="AQ233" s="72"/>
      <c r="AR233" s="72"/>
      <c r="AS233" s="72"/>
      <c r="AT233" s="72"/>
      <c r="AU233" s="72"/>
      <c r="AV233" s="72"/>
    </row>
    <row r="234" spans="1:48" s="37" customFormat="1" ht="16.5" x14ac:dyDescent="0.3">
      <c r="A234" s="72"/>
      <c r="B234" s="72"/>
      <c r="C234" s="72"/>
      <c r="D234" s="72"/>
      <c r="E234" s="72"/>
      <c r="F234" s="72"/>
      <c r="G234" s="72"/>
      <c r="H234" s="72"/>
      <c r="I234" s="72"/>
      <c r="J234" s="72"/>
      <c r="K234" s="72"/>
      <c r="L234" s="72"/>
      <c r="M234" s="72"/>
      <c r="N234" s="72"/>
      <c r="O234" s="72"/>
      <c r="P234" s="72"/>
      <c r="Q234" s="72"/>
      <c r="R234" s="72"/>
      <c r="S234" s="72"/>
      <c r="T234" s="72"/>
      <c r="U234" s="72"/>
      <c r="V234" s="72"/>
      <c r="W234" s="72"/>
      <c r="X234" s="72"/>
      <c r="Y234" s="72"/>
      <c r="Z234" s="72"/>
      <c r="AA234" s="72"/>
      <c r="AB234" s="72"/>
      <c r="AC234" s="72"/>
      <c r="AD234" s="72"/>
      <c r="AE234" s="72"/>
      <c r="AF234" s="72"/>
      <c r="AG234" s="72"/>
      <c r="AH234" s="72"/>
      <c r="AI234" s="72"/>
      <c r="AJ234" s="72"/>
      <c r="AK234" s="72"/>
      <c r="AL234" s="72"/>
      <c r="AM234" s="72"/>
      <c r="AN234" s="72"/>
      <c r="AO234" s="72"/>
      <c r="AP234" s="72"/>
      <c r="AQ234" s="72"/>
      <c r="AR234" s="72"/>
      <c r="AS234" s="72"/>
      <c r="AT234" s="72"/>
      <c r="AU234" s="72"/>
      <c r="AV234" s="72"/>
    </row>
    <row r="235" spans="1:48" s="37" customFormat="1" ht="16.5" x14ac:dyDescent="0.3">
      <c r="A235" s="72"/>
      <c r="B235" s="72"/>
      <c r="C235" s="72"/>
      <c r="D235" s="72"/>
      <c r="E235" s="72"/>
      <c r="F235" s="72"/>
      <c r="G235" s="72"/>
      <c r="H235" s="72"/>
      <c r="I235" s="72"/>
      <c r="J235" s="72"/>
      <c r="K235" s="72"/>
      <c r="L235" s="72"/>
      <c r="M235" s="72"/>
      <c r="N235" s="72"/>
      <c r="O235" s="72"/>
      <c r="P235" s="72"/>
      <c r="Q235" s="72"/>
      <c r="R235" s="72"/>
      <c r="S235" s="72"/>
      <c r="T235" s="72"/>
      <c r="U235" s="72"/>
      <c r="V235" s="72"/>
      <c r="W235" s="72"/>
      <c r="X235" s="72"/>
      <c r="Y235" s="72"/>
      <c r="Z235" s="72"/>
      <c r="AA235" s="72"/>
      <c r="AB235" s="72"/>
      <c r="AC235" s="72"/>
      <c r="AD235" s="72"/>
      <c r="AE235" s="72"/>
      <c r="AF235" s="72"/>
      <c r="AG235" s="72"/>
      <c r="AH235" s="72"/>
      <c r="AI235" s="72"/>
      <c r="AJ235" s="72"/>
      <c r="AK235" s="72"/>
      <c r="AL235" s="72"/>
      <c r="AM235" s="72"/>
      <c r="AN235" s="72"/>
      <c r="AO235" s="72"/>
      <c r="AP235" s="72"/>
      <c r="AQ235" s="72"/>
      <c r="AR235" s="72"/>
      <c r="AS235" s="72"/>
      <c r="AT235" s="72"/>
      <c r="AU235" s="72"/>
      <c r="AV235" s="72"/>
    </row>
    <row r="236" spans="1:48" s="37" customFormat="1" ht="16.5" x14ac:dyDescent="0.3">
      <c r="A236" s="72"/>
      <c r="B236" s="72"/>
      <c r="C236" s="72"/>
      <c r="D236" s="72"/>
      <c r="E236" s="72"/>
      <c r="F236" s="72"/>
      <c r="G236" s="72"/>
      <c r="H236" s="72"/>
      <c r="I236" s="72"/>
      <c r="J236" s="72"/>
      <c r="K236" s="72"/>
      <c r="L236" s="72"/>
      <c r="M236" s="72"/>
      <c r="N236" s="72"/>
      <c r="O236" s="72"/>
      <c r="P236" s="72"/>
      <c r="Q236" s="72"/>
      <c r="R236" s="72"/>
      <c r="S236" s="72"/>
      <c r="T236" s="72"/>
      <c r="U236" s="72"/>
      <c r="V236" s="72"/>
      <c r="W236" s="72"/>
      <c r="X236" s="72"/>
      <c r="Y236" s="72"/>
      <c r="Z236" s="72"/>
      <c r="AA236" s="72"/>
      <c r="AB236" s="72"/>
      <c r="AC236" s="72"/>
      <c r="AD236" s="72"/>
      <c r="AE236" s="72"/>
      <c r="AF236" s="72"/>
      <c r="AG236" s="72"/>
      <c r="AH236" s="72"/>
      <c r="AI236" s="72"/>
      <c r="AJ236" s="72"/>
      <c r="AK236" s="72"/>
      <c r="AL236" s="72"/>
      <c r="AM236" s="72"/>
      <c r="AN236" s="72"/>
      <c r="AO236" s="72"/>
      <c r="AP236" s="72"/>
      <c r="AQ236" s="72"/>
      <c r="AR236" s="72"/>
      <c r="AS236" s="72"/>
      <c r="AT236" s="72"/>
      <c r="AU236" s="72"/>
      <c r="AV236" s="72"/>
    </row>
    <row r="237" spans="1:48" s="37" customFormat="1" ht="16.5" x14ac:dyDescent="0.3">
      <c r="A237" s="72"/>
      <c r="B237" s="72"/>
      <c r="C237" s="72"/>
      <c r="D237" s="72"/>
      <c r="E237" s="72"/>
      <c r="F237" s="72"/>
      <c r="G237" s="72"/>
      <c r="H237" s="72"/>
      <c r="I237" s="72"/>
      <c r="J237" s="72"/>
      <c r="K237" s="72"/>
      <c r="L237" s="72"/>
      <c r="M237" s="72"/>
      <c r="N237" s="72"/>
      <c r="O237" s="72"/>
      <c r="P237" s="72"/>
      <c r="Q237" s="72"/>
      <c r="R237" s="72"/>
      <c r="S237" s="72"/>
      <c r="T237" s="72"/>
      <c r="U237" s="72"/>
      <c r="V237" s="72"/>
      <c r="W237" s="72"/>
      <c r="X237" s="72"/>
      <c r="Y237" s="72"/>
      <c r="Z237" s="72"/>
      <c r="AA237" s="72"/>
      <c r="AB237" s="72"/>
      <c r="AC237" s="72"/>
      <c r="AD237" s="72"/>
      <c r="AE237" s="72"/>
      <c r="AF237" s="72"/>
      <c r="AG237" s="72"/>
      <c r="AH237" s="72"/>
      <c r="AI237" s="72"/>
      <c r="AJ237" s="72"/>
      <c r="AK237" s="72"/>
      <c r="AL237" s="72"/>
      <c r="AM237" s="72"/>
      <c r="AN237" s="72"/>
      <c r="AO237" s="72"/>
      <c r="AP237" s="72"/>
      <c r="AQ237" s="72"/>
      <c r="AR237" s="72"/>
      <c r="AS237" s="72"/>
      <c r="AT237" s="72"/>
      <c r="AU237" s="72"/>
      <c r="AV237" s="72"/>
    </row>
    <row r="238" spans="1:48" s="37" customFormat="1" ht="16.5" x14ac:dyDescent="0.3">
      <c r="A238" s="72"/>
      <c r="B238" s="72"/>
      <c r="C238" s="72"/>
      <c r="D238" s="72"/>
      <c r="E238" s="72"/>
      <c r="F238" s="72"/>
      <c r="G238" s="72"/>
      <c r="H238" s="72"/>
      <c r="I238" s="72"/>
      <c r="J238" s="72"/>
      <c r="K238" s="72"/>
      <c r="L238" s="72"/>
      <c r="M238" s="72"/>
      <c r="N238" s="72"/>
      <c r="O238" s="72"/>
      <c r="P238" s="72"/>
      <c r="Q238" s="72"/>
      <c r="R238" s="72"/>
      <c r="S238" s="72"/>
      <c r="T238" s="72"/>
      <c r="U238" s="72"/>
      <c r="V238" s="72"/>
      <c r="W238" s="72"/>
      <c r="X238" s="72"/>
      <c r="Y238" s="72"/>
      <c r="Z238" s="72"/>
      <c r="AA238" s="72"/>
      <c r="AB238" s="72"/>
      <c r="AC238" s="72"/>
      <c r="AD238" s="72"/>
      <c r="AE238" s="72"/>
      <c r="AF238" s="72"/>
      <c r="AG238" s="72"/>
      <c r="AH238" s="72"/>
      <c r="AI238" s="72"/>
      <c r="AJ238" s="72"/>
      <c r="AK238" s="72"/>
      <c r="AL238" s="72"/>
      <c r="AM238" s="72"/>
      <c r="AN238" s="72"/>
      <c r="AO238" s="72"/>
      <c r="AP238" s="72"/>
      <c r="AQ238" s="72"/>
      <c r="AR238" s="72"/>
      <c r="AS238" s="72"/>
      <c r="AT238" s="72"/>
      <c r="AU238" s="72"/>
      <c r="AV238" s="72"/>
    </row>
    <row r="239" spans="1:48" s="37" customFormat="1" ht="16.5" x14ac:dyDescent="0.3">
      <c r="A239" s="72"/>
      <c r="B239" s="72"/>
      <c r="C239" s="72"/>
      <c r="D239" s="72"/>
      <c r="E239" s="72"/>
      <c r="F239" s="72"/>
      <c r="G239" s="72"/>
      <c r="H239" s="72"/>
      <c r="I239" s="72"/>
      <c r="J239" s="72"/>
      <c r="K239" s="72"/>
      <c r="L239" s="72"/>
      <c r="M239" s="72"/>
      <c r="N239" s="72"/>
      <c r="O239" s="72"/>
      <c r="P239" s="72"/>
      <c r="Q239" s="72"/>
      <c r="R239" s="72"/>
      <c r="S239" s="72"/>
      <c r="T239" s="72"/>
      <c r="U239" s="72"/>
      <c r="V239" s="72"/>
      <c r="W239" s="72"/>
      <c r="X239" s="72"/>
      <c r="Y239" s="72"/>
      <c r="Z239" s="72"/>
      <c r="AA239" s="72"/>
      <c r="AB239" s="72"/>
      <c r="AC239" s="72"/>
      <c r="AD239" s="72"/>
      <c r="AE239" s="72"/>
      <c r="AF239" s="72"/>
      <c r="AG239" s="72"/>
      <c r="AH239" s="72"/>
      <c r="AI239" s="72"/>
      <c r="AJ239" s="72"/>
      <c r="AK239" s="72"/>
      <c r="AL239" s="72"/>
      <c r="AM239" s="72"/>
      <c r="AN239" s="72"/>
      <c r="AO239" s="72"/>
      <c r="AP239" s="72"/>
      <c r="AQ239" s="72"/>
      <c r="AR239" s="72"/>
      <c r="AS239" s="72"/>
      <c r="AT239" s="72"/>
      <c r="AU239" s="72"/>
      <c r="AV239" s="72"/>
    </row>
    <row r="240" spans="1:48" s="37" customFormat="1" ht="16.5" x14ac:dyDescent="0.3">
      <c r="A240" s="72"/>
      <c r="B240" s="72"/>
      <c r="C240" s="72"/>
      <c r="D240" s="72"/>
      <c r="E240" s="72"/>
      <c r="F240" s="72"/>
      <c r="G240" s="72"/>
      <c r="H240" s="72"/>
      <c r="I240" s="72"/>
      <c r="J240" s="72"/>
      <c r="K240" s="72"/>
      <c r="L240" s="72"/>
      <c r="M240" s="72"/>
      <c r="N240" s="72"/>
      <c r="O240" s="72"/>
      <c r="P240" s="72"/>
      <c r="Q240" s="72"/>
      <c r="R240" s="72"/>
      <c r="S240" s="72"/>
      <c r="T240" s="72"/>
      <c r="U240" s="72"/>
      <c r="V240" s="72"/>
      <c r="W240" s="72"/>
      <c r="X240" s="72"/>
      <c r="Y240" s="72"/>
      <c r="Z240" s="72"/>
      <c r="AA240" s="72"/>
      <c r="AB240" s="72"/>
      <c r="AC240" s="72"/>
      <c r="AD240" s="72"/>
      <c r="AE240" s="72"/>
      <c r="AF240" s="72"/>
      <c r="AG240" s="72"/>
      <c r="AH240" s="72"/>
      <c r="AI240" s="72"/>
      <c r="AJ240" s="72"/>
      <c r="AK240" s="72"/>
      <c r="AL240" s="72"/>
      <c r="AM240" s="72"/>
      <c r="AN240" s="72"/>
      <c r="AO240" s="72"/>
      <c r="AP240" s="72"/>
      <c r="AQ240" s="72"/>
      <c r="AR240" s="72"/>
      <c r="AS240" s="72"/>
      <c r="AT240" s="72"/>
      <c r="AU240" s="72"/>
      <c r="AV240" s="72"/>
    </row>
    <row r="241" spans="1:48" s="37" customFormat="1" ht="16.5" x14ac:dyDescent="0.3">
      <c r="A241" s="72"/>
      <c r="B241" s="72"/>
      <c r="C241" s="72"/>
      <c r="D241" s="72"/>
      <c r="E241" s="72"/>
      <c r="F241" s="72"/>
      <c r="G241" s="72"/>
      <c r="H241" s="72"/>
      <c r="I241" s="72"/>
      <c r="J241" s="72"/>
      <c r="K241" s="72"/>
      <c r="L241" s="72"/>
      <c r="M241" s="72"/>
      <c r="N241" s="72"/>
      <c r="O241" s="72"/>
      <c r="P241" s="72"/>
      <c r="Q241" s="72"/>
      <c r="R241" s="72"/>
      <c r="S241" s="72"/>
      <c r="T241" s="72"/>
      <c r="U241" s="72"/>
      <c r="V241" s="72"/>
      <c r="W241" s="72"/>
      <c r="X241" s="72"/>
      <c r="Y241" s="72"/>
      <c r="Z241" s="72"/>
      <c r="AA241" s="72"/>
      <c r="AB241" s="72"/>
      <c r="AC241" s="72"/>
      <c r="AD241" s="72"/>
      <c r="AE241" s="72"/>
      <c r="AF241" s="72"/>
      <c r="AG241" s="72"/>
      <c r="AH241" s="72"/>
      <c r="AI241" s="72"/>
      <c r="AJ241" s="72"/>
      <c r="AK241" s="72"/>
      <c r="AL241" s="72"/>
      <c r="AM241" s="72"/>
      <c r="AN241" s="72"/>
      <c r="AO241" s="72"/>
      <c r="AP241" s="72"/>
      <c r="AQ241" s="72"/>
      <c r="AR241" s="72"/>
      <c r="AS241" s="72"/>
      <c r="AT241" s="72"/>
      <c r="AU241" s="72"/>
      <c r="AV241" s="72"/>
    </row>
    <row r="242" spans="1:48" s="37" customFormat="1" ht="16.5" x14ac:dyDescent="0.3">
      <c r="A242" s="72"/>
      <c r="B242" s="72"/>
      <c r="C242" s="72"/>
      <c r="D242" s="72"/>
      <c r="E242" s="72"/>
      <c r="F242" s="72"/>
      <c r="G242" s="72"/>
      <c r="H242" s="72"/>
      <c r="I242" s="72"/>
      <c r="J242" s="72"/>
      <c r="K242" s="72"/>
      <c r="L242" s="72"/>
      <c r="M242" s="72"/>
      <c r="N242" s="72"/>
      <c r="O242" s="72"/>
      <c r="P242" s="72"/>
      <c r="Q242" s="72"/>
      <c r="R242" s="72"/>
      <c r="S242" s="72"/>
      <c r="T242" s="72"/>
      <c r="U242" s="72"/>
      <c r="V242" s="72"/>
      <c r="W242" s="72"/>
      <c r="X242" s="72"/>
      <c r="Y242" s="72"/>
      <c r="Z242" s="72"/>
      <c r="AA242" s="72"/>
      <c r="AB242" s="72"/>
      <c r="AC242" s="72"/>
      <c r="AD242" s="72"/>
      <c r="AE242" s="72"/>
      <c r="AF242" s="72"/>
      <c r="AG242" s="72"/>
      <c r="AH242" s="72"/>
      <c r="AI242" s="72"/>
      <c r="AJ242" s="72"/>
      <c r="AK242" s="72"/>
      <c r="AL242" s="72"/>
      <c r="AM242" s="72"/>
      <c r="AN242" s="72"/>
      <c r="AO242" s="72"/>
      <c r="AP242" s="72"/>
      <c r="AQ242" s="72"/>
      <c r="AR242" s="72"/>
      <c r="AS242" s="72"/>
      <c r="AT242" s="72"/>
      <c r="AU242" s="72"/>
      <c r="AV242" s="72"/>
    </row>
    <row r="243" spans="1:48" s="37" customFormat="1" ht="16.5" x14ac:dyDescent="0.3">
      <c r="A243" s="72"/>
      <c r="B243" s="72"/>
      <c r="C243" s="72"/>
      <c r="D243" s="72"/>
      <c r="E243" s="72"/>
      <c r="F243" s="72"/>
      <c r="G243" s="72"/>
      <c r="H243" s="72"/>
      <c r="I243" s="72"/>
      <c r="J243" s="72"/>
      <c r="K243" s="72"/>
      <c r="L243" s="72"/>
      <c r="M243" s="72"/>
      <c r="N243" s="72"/>
      <c r="O243" s="72"/>
      <c r="P243" s="72"/>
      <c r="Q243" s="72"/>
      <c r="R243" s="72"/>
      <c r="S243" s="72"/>
      <c r="T243" s="72"/>
      <c r="U243" s="72"/>
      <c r="V243" s="72"/>
      <c r="W243" s="72"/>
      <c r="X243" s="72"/>
      <c r="Y243" s="72"/>
      <c r="Z243" s="72"/>
      <c r="AA243" s="72"/>
      <c r="AB243" s="72"/>
      <c r="AC243" s="72"/>
      <c r="AD243" s="72"/>
      <c r="AE243" s="72"/>
      <c r="AF243" s="72"/>
      <c r="AG243" s="72"/>
      <c r="AH243" s="72"/>
      <c r="AI243" s="72"/>
      <c r="AJ243" s="72"/>
      <c r="AK243" s="72"/>
      <c r="AL243" s="72"/>
      <c r="AM243" s="72"/>
      <c r="AN243" s="72"/>
      <c r="AO243" s="72"/>
      <c r="AP243" s="72"/>
      <c r="AQ243" s="72"/>
      <c r="AR243" s="72"/>
      <c r="AS243" s="72"/>
      <c r="AT243" s="72"/>
      <c r="AU243" s="72"/>
      <c r="AV243" s="72"/>
    </row>
    <row r="244" spans="1:48" s="37" customFormat="1" ht="16.5" x14ac:dyDescent="0.3">
      <c r="A244" s="72"/>
      <c r="B244" s="72"/>
      <c r="C244" s="72"/>
      <c r="D244" s="72"/>
      <c r="E244" s="72"/>
      <c r="F244" s="72"/>
      <c r="G244" s="72"/>
      <c r="H244" s="72"/>
      <c r="I244" s="72"/>
      <c r="J244" s="72"/>
      <c r="K244" s="72"/>
      <c r="L244" s="72"/>
      <c r="M244" s="72"/>
      <c r="N244" s="72"/>
      <c r="O244" s="72"/>
      <c r="P244" s="72"/>
      <c r="Q244" s="72"/>
      <c r="R244" s="72"/>
      <c r="S244" s="72"/>
      <c r="T244" s="72"/>
      <c r="U244" s="72"/>
      <c r="V244" s="72"/>
      <c r="W244" s="72"/>
      <c r="X244" s="72"/>
      <c r="Y244" s="72"/>
      <c r="Z244" s="72"/>
      <c r="AA244" s="72"/>
      <c r="AB244" s="72"/>
      <c r="AC244" s="72"/>
      <c r="AD244" s="72"/>
      <c r="AE244" s="72"/>
      <c r="AF244" s="72"/>
      <c r="AG244" s="72"/>
      <c r="AH244" s="72"/>
      <c r="AI244" s="72"/>
      <c r="AJ244" s="72"/>
      <c r="AK244" s="72"/>
      <c r="AL244" s="72"/>
      <c r="AM244" s="72"/>
      <c r="AN244" s="72"/>
      <c r="AO244" s="72"/>
      <c r="AP244" s="72"/>
      <c r="AQ244" s="72"/>
      <c r="AR244" s="72"/>
      <c r="AS244" s="72"/>
      <c r="AT244" s="72"/>
      <c r="AU244" s="72"/>
      <c r="AV244" s="72"/>
    </row>
    <row r="245" spans="1:48" s="37" customFormat="1" ht="16.5" x14ac:dyDescent="0.3">
      <c r="A245" s="72"/>
      <c r="B245" s="72"/>
      <c r="C245" s="72"/>
      <c r="D245" s="72"/>
      <c r="E245" s="72"/>
      <c r="F245" s="72"/>
      <c r="G245" s="72"/>
      <c r="H245" s="72"/>
      <c r="I245" s="72"/>
      <c r="J245" s="72"/>
      <c r="K245" s="72"/>
      <c r="L245" s="72"/>
      <c r="M245" s="72"/>
      <c r="N245" s="72"/>
      <c r="O245" s="72"/>
      <c r="P245" s="72"/>
      <c r="Q245" s="72"/>
      <c r="R245" s="72"/>
      <c r="S245" s="72"/>
      <c r="T245" s="72"/>
      <c r="U245" s="72"/>
      <c r="V245" s="72"/>
      <c r="W245" s="72"/>
      <c r="X245" s="72"/>
      <c r="Y245" s="72"/>
      <c r="Z245" s="72"/>
      <c r="AA245" s="72"/>
      <c r="AB245" s="72"/>
      <c r="AC245" s="72"/>
      <c r="AD245" s="72"/>
      <c r="AE245" s="72"/>
      <c r="AF245" s="72"/>
      <c r="AG245" s="72"/>
      <c r="AH245" s="72"/>
      <c r="AI245" s="72"/>
      <c r="AJ245" s="72"/>
      <c r="AK245" s="72"/>
      <c r="AL245" s="72"/>
      <c r="AM245" s="72"/>
      <c r="AN245" s="72"/>
      <c r="AO245" s="72"/>
      <c r="AP245" s="72"/>
      <c r="AQ245" s="72"/>
      <c r="AR245" s="72"/>
      <c r="AS245" s="72"/>
      <c r="AT245" s="72"/>
      <c r="AU245" s="72"/>
      <c r="AV245" s="72"/>
    </row>
    <row r="246" spans="1:48" s="37" customFormat="1" ht="16.5" x14ac:dyDescent="0.3">
      <c r="A246" s="72"/>
      <c r="B246" s="72"/>
      <c r="C246" s="72"/>
      <c r="D246" s="72"/>
      <c r="E246" s="72"/>
      <c r="F246" s="72"/>
      <c r="G246" s="72"/>
      <c r="H246" s="72"/>
      <c r="I246" s="72"/>
      <c r="J246" s="72"/>
      <c r="K246" s="72"/>
      <c r="L246" s="72"/>
      <c r="M246" s="72"/>
      <c r="N246" s="72"/>
      <c r="O246" s="72"/>
      <c r="P246" s="72"/>
      <c r="Q246" s="72"/>
      <c r="R246" s="72"/>
      <c r="S246" s="72"/>
      <c r="T246" s="72"/>
      <c r="U246" s="72"/>
      <c r="V246" s="72"/>
      <c r="W246" s="72"/>
      <c r="X246" s="72"/>
      <c r="Y246" s="72"/>
      <c r="Z246" s="72"/>
      <c r="AA246" s="72"/>
      <c r="AB246" s="72"/>
      <c r="AC246" s="72"/>
      <c r="AD246" s="72"/>
      <c r="AE246" s="72"/>
      <c r="AF246" s="72"/>
      <c r="AG246" s="72"/>
      <c r="AH246" s="72"/>
      <c r="AI246" s="72"/>
      <c r="AJ246" s="72"/>
      <c r="AK246" s="72"/>
      <c r="AL246" s="72"/>
      <c r="AM246" s="72"/>
      <c r="AN246" s="72"/>
      <c r="AO246" s="72"/>
      <c r="AP246" s="72"/>
      <c r="AQ246" s="72"/>
      <c r="AR246" s="72"/>
      <c r="AS246" s="72"/>
      <c r="AT246" s="72"/>
      <c r="AU246" s="72"/>
      <c r="AV246" s="72"/>
    </row>
    <row r="247" spans="1:48" s="37" customFormat="1" ht="16.5" x14ac:dyDescent="0.3">
      <c r="A247" s="72"/>
      <c r="B247" s="72"/>
      <c r="C247" s="72"/>
      <c r="D247" s="72"/>
      <c r="E247" s="72"/>
      <c r="F247" s="72"/>
      <c r="G247" s="72"/>
      <c r="H247" s="72"/>
      <c r="I247" s="72"/>
      <c r="J247" s="72"/>
      <c r="K247" s="72"/>
      <c r="L247" s="72"/>
      <c r="M247" s="72"/>
      <c r="N247" s="72"/>
      <c r="O247" s="72"/>
      <c r="P247" s="72"/>
      <c r="Q247" s="72"/>
      <c r="R247" s="72"/>
      <c r="S247" s="72"/>
      <c r="T247" s="72"/>
      <c r="U247" s="72"/>
      <c r="V247" s="72"/>
      <c r="W247" s="72"/>
      <c r="X247" s="72"/>
      <c r="Y247" s="72"/>
      <c r="Z247" s="72"/>
      <c r="AA247" s="72"/>
      <c r="AB247" s="72"/>
      <c r="AC247" s="72"/>
      <c r="AD247" s="72"/>
      <c r="AE247" s="72"/>
      <c r="AF247" s="72"/>
      <c r="AG247" s="72"/>
      <c r="AH247" s="72"/>
      <c r="AI247" s="72"/>
      <c r="AJ247" s="72"/>
      <c r="AK247" s="72"/>
      <c r="AL247" s="72"/>
      <c r="AM247" s="72"/>
      <c r="AN247" s="72"/>
      <c r="AO247" s="72"/>
      <c r="AP247" s="72"/>
      <c r="AQ247" s="72"/>
      <c r="AR247" s="72"/>
      <c r="AS247" s="72"/>
      <c r="AT247" s="72"/>
      <c r="AU247" s="72"/>
      <c r="AV247" s="72"/>
    </row>
    <row r="248" spans="1:48" s="37" customFormat="1" ht="16.5" x14ac:dyDescent="0.3">
      <c r="A248" s="72"/>
      <c r="B248" s="72"/>
      <c r="C248" s="72"/>
      <c r="D248" s="72"/>
      <c r="E248" s="72"/>
      <c r="F248" s="72"/>
      <c r="G248" s="72"/>
      <c r="H248" s="72"/>
      <c r="I248" s="72"/>
      <c r="J248" s="72"/>
      <c r="K248" s="72"/>
      <c r="L248" s="72"/>
      <c r="M248" s="72"/>
      <c r="N248" s="72"/>
      <c r="O248" s="72"/>
      <c r="P248" s="72"/>
      <c r="Q248" s="72"/>
      <c r="R248" s="72"/>
      <c r="S248" s="72"/>
      <c r="T248" s="72"/>
      <c r="U248" s="72"/>
      <c r="V248" s="72"/>
      <c r="W248" s="72"/>
      <c r="X248" s="72"/>
      <c r="Y248" s="72"/>
      <c r="Z248" s="72"/>
      <c r="AA248" s="72"/>
      <c r="AB248" s="72"/>
      <c r="AC248" s="72"/>
      <c r="AD248" s="72"/>
      <c r="AE248" s="72"/>
      <c r="AF248" s="72"/>
      <c r="AG248" s="72"/>
      <c r="AH248" s="72"/>
      <c r="AI248" s="72"/>
      <c r="AJ248" s="72"/>
      <c r="AK248" s="72"/>
      <c r="AL248" s="72"/>
      <c r="AM248" s="72"/>
      <c r="AN248" s="72"/>
      <c r="AO248" s="72"/>
      <c r="AP248" s="72"/>
      <c r="AQ248" s="72"/>
      <c r="AR248" s="72"/>
      <c r="AS248" s="72"/>
      <c r="AT248" s="72"/>
      <c r="AU248" s="72"/>
      <c r="AV248" s="72"/>
    </row>
    <row r="249" spans="1:48" s="37" customFormat="1" ht="16.5" x14ac:dyDescent="0.3">
      <c r="A249" s="72"/>
      <c r="B249" s="72"/>
      <c r="C249" s="72"/>
      <c r="D249" s="72"/>
      <c r="E249" s="72"/>
      <c r="F249" s="72"/>
      <c r="G249" s="72"/>
      <c r="H249" s="72"/>
      <c r="I249" s="72"/>
      <c r="J249" s="72"/>
      <c r="K249" s="72"/>
      <c r="L249" s="72"/>
      <c r="M249" s="72"/>
      <c r="N249" s="72"/>
      <c r="O249" s="72"/>
      <c r="P249" s="72"/>
      <c r="Q249" s="72"/>
      <c r="R249" s="72"/>
      <c r="S249" s="72"/>
      <c r="T249" s="72"/>
      <c r="U249" s="72"/>
      <c r="V249" s="72"/>
      <c r="W249" s="72"/>
      <c r="X249" s="72"/>
      <c r="Y249" s="72"/>
      <c r="Z249" s="72"/>
      <c r="AA249" s="72"/>
      <c r="AB249" s="72"/>
      <c r="AC249" s="72"/>
      <c r="AD249" s="72"/>
      <c r="AE249" s="72"/>
      <c r="AF249" s="72"/>
      <c r="AG249" s="72"/>
      <c r="AH249" s="72"/>
      <c r="AI249" s="72"/>
      <c r="AJ249" s="72"/>
      <c r="AK249" s="72"/>
      <c r="AL249" s="72"/>
      <c r="AM249" s="72"/>
      <c r="AN249" s="72"/>
      <c r="AO249" s="72"/>
      <c r="AP249" s="72"/>
      <c r="AQ249" s="72"/>
      <c r="AR249" s="72"/>
      <c r="AS249" s="72"/>
      <c r="AT249" s="72"/>
      <c r="AU249" s="72"/>
      <c r="AV249" s="72"/>
    </row>
    <row r="250" spans="1:48" s="37" customFormat="1" ht="16.5" x14ac:dyDescent="0.3">
      <c r="A250" s="72"/>
      <c r="B250" s="72"/>
      <c r="C250" s="72"/>
      <c r="D250" s="72"/>
      <c r="E250" s="72"/>
      <c r="F250" s="72"/>
      <c r="G250" s="72"/>
      <c r="H250" s="72"/>
      <c r="I250" s="72"/>
      <c r="J250" s="72"/>
      <c r="K250" s="72"/>
      <c r="L250" s="72"/>
      <c r="M250" s="72"/>
      <c r="N250" s="72"/>
      <c r="O250" s="72"/>
      <c r="P250" s="72"/>
      <c r="Q250" s="72"/>
      <c r="R250" s="72"/>
      <c r="S250" s="72"/>
      <c r="T250" s="72"/>
      <c r="U250" s="72"/>
      <c r="V250" s="72"/>
      <c r="W250" s="72"/>
      <c r="X250" s="72"/>
      <c r="Y250" s="72"/>
      <c r="Z250" s="72"/>
      <c r="AA250" s="72"/>
      <c r="AB250" s="72"/>
      <c r="AC250" s="72"/>
      <c r="AD250" s="72"/>
      <c r="AE250" s="72"/>
      <c r="AF250" s="72"/>
      <c r="AG250" s="72"/>
      <c r="AH250" s="72"/>
      <c r="AI250" s="72"/>
      <c r="AJ250" s="72"/>
      <c r="AK250" s="72"/>
      <c r="AL250" s="72"/>
      <c r="AM250" s="72"/>
      <c r="AN250" s="72"/>
      <c r="AO250" s="72"/>
      <c r="AP250" s="72"/>
      <c r="AQ250" s="72"/>
      <c r="AR250" s="72"/>
      <c r="AS250" s="72"/>
      <c r="AT250" s="72"/>
      <c r="AU250" s="72"/>
      <c r="AV250" s="72"/>
    </row>
    <row r="251" spans="1:48" s="37" customFormat="1" ht="16.5" x14ac:dyDescent="0.3">
      <c r="A251" s="72"/>
      <c r="B251" s="72"/>
      <c r="C251" s="72"/>
      <c r="D251" s="72"/>
      <c r="E251" s="72"/>
      <c r="F251" s="72"/>
      <c r="G251" s="72"/>
      <c r="H251" s="72"/>
      <c r="I251" s="72"/>
      <c r="J251" s="72"/>
      <c r="K251" s="72"/>
      <c r="L251" s="72"/>
      <c r="M251" s="72"/>
      <c r="N251" s="72"/>
      <c r="O251" s="72"/>
      <c r="P251" s="72"/>
      <c r="Q251" s="72"/>
      <c r="R251" s="72"/>
      <c r="S251" s="72"/>
      <c r="T251" s="72"/>
      <c r="U251" s="72"/>
      <c r="V251" s="72"/>
      <c r="W251" s="72"/>
      <c r="X251" s="72"/>
      <c r="Y251" s="72"/>
      <c r="Z251" s="72"/>
      <c r="AA251" s="72"/>
      <c r="AB251" s="72"/>
      <c r="AC251" s="72"/>
      <c r="AD251" s="72"/>
      <c r="AE251" s="72"/>
      <c r="AF251" s="72"/>
      <c r="AG251" s="72"/>
      <c r="AH251" s="72"/>
      <c r="AI251" s="72"/>
      <c r="AJ251" s="72"/>
      <c r="AK251" s="72"/>
      <c r="AL251" s="72"/>
      <c r="AM251" s="72"/>
      <c r="AN251" s="72"/>
      <c r="AO251" s="72"/>
      <c r="AP251" s="72"/>
      <c r="AQ251" s="72"/>
      <c r="AR251" s="72"/>
      <c r="AS251" s="72"/>
      <c r="AT251" s="72"/>
      <c r="AU251" s="72"/>
      <c r="AV251" s="72"/>
    </row>
    <row r="252" spans="1:48" s="37" customFormat="1" ht="16.5" x14ac:dyDescent="0.3">
      <c r="A252" s="72"/>
      <c r="B252" s="72"/>
      <c r="C252" s="72"/>
      <c r="D252" s="72"/>
      <c r="E252" s="72"/>
      <c r="F252" s="72"/>
      <c r="G252" s="72"/>
      <c r="H252" s="72"/>
      <c r="I252" s="72"/>
      <c r="J252" s="72"/>
      <c r="K252" s="72"/>
      <c r="L252" s="72"/>
      <c r="M252" s="72"/>
      <c r="N252" s="72"/>
      <c r="O252" s="72"/>
      <c r="P252" s="72"/>
      <c r="Q252" s="72"/>
      <c r="R252" s="72"/>
      <c r="S252" s="72"/>
      <c r="T252" s="72"/>
      <c r="U252" s="72"/>
      <c r="V252" s="72"/>
      <c r="W252" s="72"/>
      <c r="X252" s="72"/>
      <c r="Y252" s="72"/>
      <c r="Z252" s="72"/>
      <c r="AA252" s="72"/>
      <c r="AB252" s="72"/>
      <c r="AC252" s="72"/>
      <c r="AD252" s="72"/>
      <c r="AE252" s="72"/>
      <c r="AF252" s="72"/>
      <c r="AG252" s="72"/>
      <c r="AH252" s="72"/>
      <c r="AI252" s="72"/>
      <c r="AJ252" s="72"/>
      <c r="AK252" s="72"/>
      <c r="AL252" s="72"/>
      <c r="AM252" s="72"/>
      <c r="AN252" s="72"/>
      <c r="AO252" s="72"/>
      <c r="AP252" s="72"/>
      <c r="AQ252" s="72"/>
      <c r="AR252" s="72"/>
      <c r="AS252" s="72"/>
      <c r="AT252" s="72"/>
      <c r="AU252" s="72"/>
      <c r="AV252" s="72"/>
    </row>
    <row r="253" spans="1:48" s="37" customFormat="1" ht="16.5" x14ac:dyDescent="0.3">
      <c r="A253" s="72"/>
      <c r="B253" s="72"/>
      <c r="C253" s="72"/>
      <c r="D253" s="72"/>
      <c r="E253" s="72"/>
      <c r="F253" s="72"/>
      <c r="G253" s="72"/>
      <c r="H253" s="72"/>
      <c r="I253" s="72"/>
      <c r="J253" s="72"/>
      <c r="K253" s="72"/>
      <c r="L253" s="72"/>
      <c r="M253" s="72"/>
      <c r="N253" s="72"/>
      <c r="O253" s="72"/>
      <c r="P253" s="72"/>
      <c r="Q253" s="72"/>
      <c r="R253" s="72"/>
      <c r="S253" s="72"/>
      <c r="T253" s="72"/>
      <c r="U253" s="72"/>
      <c r="V253" s="72"/>
      <c r="W253" s="72"/>
      <c r="X253" s="72"/>
      <c r="Y253" s="72"/>
      <c r="Z253" s="72"/>
      <c r="AA253" s="72"/>
      <c r="AB253" s="72"/>
      <c r="AC253" s="72"/>
      <c r="AD253" s="72"/>
      <c r="AE253" s="72"/>
      <c r="AF253" s="72"/>
      <c r="AG253" s="72"/>
      <c r="AH253" s="72"/>
      <c r="AI253" s="72"/>
      <c r="AJ253" s="72"/>
      <c r="AK253" s="72"/>
      <c r="AL253" s="72"/>
      <c r="AM253" s="72"/>
      <c r="AN253" s="72"/>
      <c r="AO253" s="72"/>
      <c r="AP253" s="72"/>
      <c r="AQ253" s="72"/>
      <c r="AR253" s="72"/>
      <c r="AS253" s="72"/>
      <c r="AT253" s="72"/>
      <c r="AU253" s="72"/>
      <c r="AV253" s="72"/>
    </row>
    <row r="254" spans="1:48" s="37" customFormat="1" ht="16.5" x14ac:dyDescent="0.3">
      <c r="A254" s="72"/>
      <c r="B254" s="72"/>
      <c r="C254" s="72"/>
      <c r="D254" s="72"/>
      <c r="E254" s="72"/>
      <c r="F254" s="72"/>
      <c r="G254" s="72"/>
      <c r="H254" s="72"/>
      <c r="I254" s="72"/>
      <c r="J254" s="72"/>
      <c r="K254" s="72"/>
      <c r="L254" s="72"/>
      <c r="M254" s="72"/>
      <c r="N254" s="72"/>
      <c r="O254" s="72"/>
      <c r="P254" s="72"/>
      <c r="Q254" s="72"/>
      <c r="R254" s="72"/>
      <c r="S254" s="72"/>
      <c r="T254" s="72"/>
      <c r="U254" s="72"/>
      <c r="V254" s="72"/>
      <c r="W254" s="72"/>
      <c r="X254" s="72"/>
      <c r="Y254" s="72"/>
      <c r="Z254" s="72"/>
      <c r="AA254" s="72"/>
      <c r="AB254" s="72"/>
      <c r="AC254" s="72"/>
      <c r="AD254" s="72"/>
      <c r="AE254" s="72"/>
      <c r="AF254" s="72"/>
      <c r="AG254" s="72"/>
      <c r="AH254" s="72"/>
      <c r="AI254" s="72"/>
      <c r="AJ254" s="72"/>
      <c r="AK254" s="72"/>
      <c r="AL254" s="72"/>
      <c r="AM254" s="72"/>
      <c r="AN254" s="72"/>
      <c r="AO254" s="72"/>
      <c r="AP254" s="72"/>
      <c r="AQ254" s="72"/>
      <c r="AR254" s="72"/>
      <c r="AS254" s="72"/>
      <c r="AT254" s="72"/>
      <c r="AU254" s="72"/>
      <c r="AV254" s="72"/>
    </row>
    <row r="255" spans="1:48" s="37" customFormat="1" ht="16.5" x14ac:dyDescent="0.3">
      <c r="A255" s="72"/>
      <c r="B255" s="72"/>
      <c r="C255" s="72"/>
      <c r="D255" s="72"/>
      <c r="E255" s="72"/>
      <c r="F255" s="72"/>
      <c r="G255" s="72"/>
      <c r="H255" s="72"/>
      <c r="I255" s="72"/>
      <c r="J255" s="72"/>
      <c r="K255" s="72"/>
      <c r="L255" s="72"/>
      <c r="M255" s="72"/>
      <c r="N255" s="72"/>
      <c r="O255" s="72"/>
      <c r="P255" s="72"/>
      <c r="Q255" s="72"/>
      <c r="R255" s="72"/>
      <c r="S255" s="72"/>
      <c r="T255" s="72"/>
      <c r="U255" s="72"/>
      <c r="V255" s="72"/>
      <c r="W255" s="72"/>
      <c r="X255" s="72"/>
      <c r="Y255" s="72"/>
      <c r="Z255" s="72"/>
      <c r="AA255" s="72"/>
      <c r="AB255" s="72"/>
      <c r="AC255" s="72"/>
      <c r="AD255" s="72"/>
      <c r="AE255" s="72"/>
      <c r="AF255" s="72"/>
      <c r="AG255" s="72"/>
      <c r="AH255" s="72"/>
      <c r="AI255" s="72"/>
      <c r="AJ255" s="72"/>
      <c r="AK255" s="72"/>
      <c r="AL255" s="72"/>
      <c r="AM255" s="72"/>
      <c r="AN255" s="72"/>
      <c r="AO255" s="72"/>
      <c r="AP255" s="72"/>
      <c r="AQ255" s="72"/>
      <c r="AR255" s="72"/>
      <c r="AS255" s="72"/>
      <c r="AT255" s="72"/>
      <c r="AU255" s="72"/>
      <c r="AV255" s="72"/>
    </row>
    <row r="256" spans="1:48" s="37" customFormat="1" ht="16.5" x14ac:dyDescent="0.3">
      <c r="A256" s="72"/>
      <c r="B256" s="72"/>
      <c r="C256" s="72"/>
      <c r="D256" s="72"/>
      <c r="E256" s="72"/>
      <c r="F256" s="72"/>
      <c r="G256" s="72"/>
      <c r="H256" s="72"/>
      <c r="I256" s="72"/>
      <c r="J256" s="72"/>
      <c r="K256" s="72"/>
      <c r="L256" s="72"/>
      <c r="M256" s="72"/>
      <c r="N256" s="72"/>
      <c r="O256" s="72"/>
      <c r="P256" s="72"/>
      <c r="Q256" s="72"/>
      <c r="R256" s="72"/>
      <c r="S256" s="72"/>
      <c r="T256" s="72"/>
      <c r="U256" s="72"/>
      <c r="V256" s="72"/>
      <c r="W256" s="72"/>
      <c r="X256" s="72"/>
      <c r="Y256" s="72"/>
      <c r="Z256" s="72"/>
      <c r="AA256" s="72"/>
      <c r="AB256" s="72"/>
      <c r="AC256" s="72"/>
      <c r="AD256" s="72"/>
      <c r="AE256" s="72"/>
      <c r="AF256" s="72"/>
      <c r="AG256" s="72"/>
      <c r="AH256" s="72"/>
      <c r="AI256" s="72"/>
      <c r="AJ256" s="72"/>
      <c r="AK256" s="72"/>
      <c r="AL256" s="72"/>
      <c r="AM256" s="72"/>
      <c r="AN256" s="72"/>
      <c r="AO256" s="72"/>
      <c r="AP256" s="72"/>
      <c r="AQ256" s="72"/>
      <c r="AR256" s="72"/>
      <c r="AS256" s="72"/>
      <c r="AT256" s="72"/>
      <c r="AU256" s="72"/>
      <c r="AV256" s="72"/>
    </row>
    <row r="257" spans="1:48" s="37" customFormat="1" ht="16.5" x14ac:dyDescent="0.3">
      <c r="A257" s="72"/>
      <c r="B257" s="72"/>
      <c r="C257" s="72"/>
      <c r="D257" s="72"/>
      <c r="E257" s="72"/>
      <c r="F257" s="72"/>
      <c r="G257" s="72"/>
      <c r="H257" s="72"/>
      <c r="I257" s="72"/>
      <c r="J257" s="72"/>
      <c r="K257" s="72"/>
      <c r="L257" s="72"/>
      <c r="M257" s="72"/>
      <c r="N257" s="72"/>
      <c r="O257" s="72"/>
      <c r="P257" s="72"/>
      <c r="Q257" s="72"/>
      <c r="R257" s="72"/>
      <c r="S257" s="72"/>
      <c r="T257" s="72"/>
      <c r="U257" s="72"/>
      <c r="V257" s="72"/>
      <c r="W257" s="72"/>
      <c r="X257" s="72"/>
      <c r="Y257" s="72"/>
      <c r="Z257" s="72"/>
      <c r="AA257" s="72"/>
      <c r="AB257" s="72"/>
      <c r="AC257" s="72"/>
      <c r="AD257" s="72"/>
      <c r="AE257" s="72"/>
      <c r="AF257" s="72"/>
      <c r="AG257" s="72"/>
      <c r="AH257" s="72"/>
      <c r="AI257" s="72"/>
      <c r="AJ257" s="72"/>
      <c r="AK257" s="72"/>
      <c r="AL257" s="72"/>
      <c r="AM257" s="72"/>
      <c r="AN257" s="72"/>
      <c r="AO257" s="72"/>
      <c r="AP257" s="72"/>
      <c r="AQ257" s="72"/>
      <c r="AR257" s="72"/>
      <c r="AS257" s="72"/>
      <c r="AT257" s="72"/>
      <c r="AU257" s="72"/>
      <c r="AV257" s="72"/>
    </row>
    <row r="258" spans="1:48" s="37" customFormat="1" ht="16.5" x14ac:dyDescent="0.3">
      <c r="A258" s="72"/>
      <c r="B258" s="72"/>
      <c r="C258" s="72"/>
      <c r="D258" s="72"/>
      <c r="E258" s="72"/>
      <c r="F258" s="72"/>
      <c r="G258" s="72"/>
      <c r="H258" s="72"/>
      <c r="I258" s="72"/>
      <c r="J258" s="72"/>
      <c r="K258" s="72"/>
      <c r="L258" s="72"/>
      <c r="M258" s="72"/>
      <c r="N258" s="72"/>
      <c r="O258" s="72"/>
      <c r="P258" s="72"/>
      <c r="Q258" s="72"/>
      <c r="R258" s="72"/>
      <c r="S258" s="72"/>
      <c r="T258" s="72"/>
      <c r="U258" s="72"/>
      <c r="V258" s="72"/>
      <c r="W258" s="72"/>
      <c r="X258" s="72"/>
      <c r="Y258" s="72"/>
      <c r="Z258" s="72"/>
      <c r="AA258" s="72"/>
      <c r="AB258" s="72"/>
      <c r="AC258" s="72"/>
      <c r="AD258" s="72"/>
      <c r="AE258" s="72"/>
      <c r="AF258" s="72"/>
      <c r="AG258" s="72"/>
      <c r="AH258" s="72"/>
      <c r="AI258" s="72"/>
      <c r="AJ258" s="72"/>
      <c r="AK258" s="72"/>
      <c r="AL258" s="72"/>
      <c r="AM258" s="72"/>
      <c r="AN258" s="72"/>
      <c r="AO258" s="72"/>
      <c r="AP258" s="72"/>
      <c r="AQ258" s="72"/>
      <c r="AR258" s="72"/>
      <c r="AS258" s="72"/>
      <c r="AT258" s="72"/>
      <c r="AU258" s="72"/>
      <c r="AV258" s="72"/>
    </row>
    <row r="259" spans="1:48" s="37" customFormat="1" ht="16.5" x14ac:dyDescent="0.3">
      <c r="A259" s="72"/>
      <c r="B259" s="72"/>
      <c r="C259" s="72"/>
      <c r="D259" s="72"/>
      <c r="E259" s="72"/>
      <c r="F259" s="72"/>
      <c r="G259" s="72"/>
      <c r="H259" s="72"/>
      <c r="I259" s="72"/>
      <c r="J259" s="72"/>
      <c r="K259" s="72"/>
      <c r="L259" s="72"/>
      <c r="M259" s="72"/>
      <c r="N259" s="72"/>
      <c r="O259" s="72"/>
      <c r="P259" s="72"/>
      <c r="Q259" s="72"/>
      <c r="R259" s="72"/>
      <c r="S259" s="72"/>
      <c r="T259" s="72"/>
      <c r="U259" s="72"/>
      <c r="V259" s="72"/>
      <c r="W259" s="72"/>
      <c r="X259" s="72"/>
      <c r="Y259" s="72"/>
      <c r="Z259" s="72"/>
      <c r="AA259" s="72"/>
      <c r="AB259" s="72"/>
      <c r="AC259" s="72"/>
      <c r="AD259" s="72"/>
      <c r="AE259" s="72"/>
      <c r="AF259" s="72"/>
      <c r="AG259" s="72"/>
      <c r="AH259" s="72"/>
      <c r="AI259" s="72"/>
      <c r="AJ259" s="72"/>
      <c r="AK259" s="72"/>
      <c r="AL259" s="72"/>
      <c r="AM259" s="72"/>
      <c r="AN259" s="72"/>
      <c r="AO259" s="72"/>
      <c r="AP259" s="72"/>
      <c r="AQ259" s="72"/>
      <c r="AR259" s="72"/>
      <c r="AS259" s="72"/>
      <c r="AT259" s="72"/>
      <c r="AU259" s="72"/>
      <c r="AV259" s="72"/>
    </row>
    <row r="260" spans="1:48" s="37" customFormat="1" ht="16.5" x14ac:dyDescent="0.3">
      <c r="A260" s="72"/>
      <c r="B260" s="72"/>
      <c r="C260" s="72"/>
      <c r="D260" s="72"/>
      <c r="E260" s="72"/>
      <c r="F260" s="72"/>
      <c r="G260" s="72"/>
      <c r="H260" s="72"/>
      <c r="I260" s="72"/>
      <c r="J260" s="72"/>
      <c r="K260" s="72"/>
      <c r="L260" s="72"/>
      <c r="M260" s="72"/>
      <c r="N260" s="72"/>
      <c r="O260" s="72"/>
      <c r="P260" s="72"/>
      <c r="Q260" s="72"/>
      <c r="R260" s="72"/>
      <c r="S260" s="72"/>
      <c r="T260" s="72"/>
      <c r="U260" s="72"/>
      <c r="V260" s="72"/>
      <c r="W260" s="72"/>
      <c r="X260" s="72"/>
      <c r="Y260" s="72"/>
      <c r="Z260" s="72"/>
      <c r="AA260" s="72"/>
      <c r="AB260" s="72"/>
      <c r="AC260" s="72"/>
      <c r="AD260" s="72"/>
      <c r="AE260" s="72"/>
      <c r="AF260" s="72"/>
      <c r="AG260" s="72"/>
      <c r="AH260" s="72"/>
      <c r="AI260" s="72"/>
      <c r="AJ260" s="72"/>
      <c r="AK260" s="72"/>
      <c r="AL260" s="72"/>
      <c r="AM260" s="72"/>
      <c r="AN260" s="72"/>
      <c r="AO260" s="72"/>
      <c r="AP260" s="72"/>
      <c r="AQ260" s="72"/>
      <c r="AR260" s="72"/>
      <c r="AS260" s="72"/>
      <c r="AT260" s="72"/>
      <c r="AU260" s="72"/>
      <c r="AV260" s="72"/>
    </row>
    <row r="261" spans="1:48" s="37" customFormat="1" ht="16.5" x14ac:dyDescent="0.3">
      <c r="A261" s="72"/>
      <c r="B261" s="72"/>
      <c r="C261" s="72"/>
      <c r="D261" s="72"/>
      <c r="E261" s="72"/>
      <c r="F261" s="72"/>
      <c r="G261" s="72"/>
      <c r="H261" s="72"/>
      <c r="I261" s="72"/>
      <c r="J261" s="72"/>
      <c r="K261" s="72"/>
      <c r="L261" s="72"/>
      <c r="M261" s="72"/>
      <c r="N261" s="72"/>
      <c r="O261" s="72"/>
      <c r="P261" s="72"/>
      <c r="Q261" s="72"/>
      <c r="R261" s="72"/>
      <c r="S261" s="72"/>
      <c r="T261" s="72"/>
      <c r="U261" s="72"/>
      <c r="V261" s="72"/>
      <c r="W261" s="72"/>
      <c r="X261" s="72"/>
      <c r="Y261" s="72"/>
      <c r="Z261" s="72"/>
      <c r="AA261" s="72"/>
      <c r="AB261" s="72"/>
      <c r="AC261" s="72"/>
      <c r="AD261" s="72"/>
      <c r="AE261" s="72"/>
      <c r="AF261" s="72"/>
      <c r="AG261" s="72"/>
      <c r="AH261" s="72"/>
      <c r="AI261" s="72"/>
      <c r="AJ261" s="72"/>
      <c r="AK261" s="72"/>
      <c r="AL261" s="72"/>
      <c r="AM261" s="72"/>
      <c r="AN261" s="72"/>
      <c r="AO261" s="72"/>
      <c r="AP261" s="72"/>
      <c r="AQ261" s="72"/>
      <c r="AR261" s="72"/>
      <c r="AS261" s="72"/>
      <c r="AT261" s="72"/>
      <c r="AU261" s="72"/>
      <c r="AV261" s="72"/>
    </row>
    <row r="262" spans="1:48" s="37" customFormat="1" ht="16.5" x14ac:dyDescent="0.3">
      <c r="A262" s="72"/>
      <c r="B262" s="72"/>
      <c r="C262" s="72"/>
      <c r="D262" s="72"/>
      <c r="E262" s="72"/>
      <c r="F262" s="72"/>
      <c r="G262" s="72"/>
      <c r="H262" s="72"/>
      <c r="I262" s="72"/>
      <c r="J262" s="72"/>
      <c r="K262" s="72"/>
      <c r="L262" s="72"/>
      <c r="M262" s="72"/>
      <c r="N262" s="72"/>
      <c r="O262" s="72"/>
      <c r="P262" s="72"/>
      <c r="Q262" s="72"/>
      <c r="R262" s="72"/>
      <c r="S262" s="72"/>
      <c r="T262" s="72"/>
      <c r="U262" s="72"/>
      <c r="V262" s="72"/>
      <c r="W262" s="72"/>
      <c r="X262" s="72"/>
      <c r="Y262" s="72"/>
      <c r="Z262" s="72"/>
      <c r="AA262" s="72"/>
      <c r="AB262" s="72"/>
      <c r="AC262" s="72"/>
      <c r="AD262" s="72"/>
      <c r="AE262" s="72"/>
      <c r="AF262" s="72"/>
      <c r="AG262" s="72"/>
      <c r="AH262" s="72"/>
      <c r="AI262" s="72"/>
      <c r="AJ262" s="72"/>
      <c r="AK262" s="72"/>
      <c r="AL262" s="72"/>
      <c r="AM262" s="72"/>
      <c r="AN262" s="72"/>
      <c r="AO262" s="72"/>
      <c r="AP262" s="72"/>
      <c r="AQ262" s="72"/>
      <c r="AR262" s="72"/>
      <c r="AS262" s="72"/>
      <c r="AT262" s="72"/>
      <c r="AU262" s="72"/>
      <c r="AV262" s="72"/>
    </row>
    <row r="263" spans="1:48" s="37" customFormat="1" ht="16.5" x14ac:dyDescent="0.3">
      <c r="A263" s="72"/>
      <c r="B263" s="72"/>
      <c r="C263" s="72"/>
      <c r="D263" s="72"/>
      <c r="E263" s="72"/>
      <c r="F263" s="72"/>
      <c r="G263" s="72"/>
      <c r="H263" s="72"/>
      <c r="I263" s="72"/>
      <c r="J263" s="72"/>
      <c r="K263" s="72"/>
      <c r="L263" s="72"/>
      <c r="M263" s="72"/>
      <c r="N263" s="72"/>
      <c r="O263" s="72"/>
      <c r="P263" s="72"/>
      <c r="Q263" s="72"/>
      <c r="R263" s="72"/>
      <c r="S263" s="72"/>
      <c r="T263" s="72"/>
      <c r="U263" s="72"/>
      <c r="V263" s="72"/>
      <c r="W263" s="72"/>
      <c r="X263" s="72"/>
      <c r="Y263" s="72"/>
      <c r="Z263" s="72"/>
      <c r="AA263" s="72"/>
      <c r="AB263" s="72"/>
      <c r="AC263" s="72"/>
      <c r="AD263" s="72"/>
      <c r="AE263" s="72"/>
      <c r="AF263" s="72"/>
      <c r="AG263" s="72"/>
      <c r="AH263" s="72"/>
      <c r="AI263" s="72"/>
      <c r="AJ263" s="72"/>
      <c r="AK263" s="72"/>
      <c r="AL263" s="72"/>
      <c r="AM263" s="72"/>
      <c r="AN263" s="72"/>
      <c r="AO263" s="72"/>
      <c r="AP263" s="72"/>
      <c r="AQ263" s="72"/>
      <c r="AR263" s="72"/>
      <c r="AS263" s="72"/>
      <c r="AT263" s="72"/>
      <c r="AU263" s="72"/>
      <c r="AV263" s="72"/>
    </row>
    <row r="264" spans="1:48" s="37" customFormat="1" ht="16.5" x14ac:dyDescent="0.3">
      <c r="A264" s="72"/>
      <c r="B264" s="72"/>
      <c r="C264" s="72"/>
      <c r="D264" s="72"/>
      <c r="E264" s="72"/>
      <c r="F264" s="72"/>
      <c r="G264" s="72"/>
      <c r="H264" s="72"/>
      <c r="I264" s="72"/>
      <c r="J264" s="72"/>
      <c r="K264" s="72"/>
      <c r="L264" s="72"/>
      <c r="M264" s="72"/>
      <c r="N264" s="72"/>
      <c r="O264" s="72"/>
      <c r="P264" s="72"/>
      <c r="Q264" s="72"/>
      <c r="R264" s="72"/>
      <c r="S264" s="72"/>
      <c r="T264" s="72"/>
      <c r="U264" s="72"/>
      <c r="V264" s="72"/>
      <c r="W264" s="72"/>
      <c r="X264" s="72"/>
      <c r="Y264" s="72"/>
      <c r="Z264" s="72"/>
      <c r="AA264" s="72"/>
      <c r="AB264" s="72"/>
      <c r="AC264" s="72"/>
      <c r="AD264" s="72"/>
      <c r="AE264" s="72"/>
      <c r="AF264" s="72"/>
      <c r="AG264" s="72"/>
      <c r="AH264" s="72"/>
      <c r="AI264" s="72"/>
      <c r="AJ264" s="72"/>
      <c r="AK264" s="72"/>
      <c r="AL264" s="72"/>
      <c r="AM264" s="72"/>
      <c r="AN264" s="72"/>
      <c r="AO264" s="72"/>
      <c r="AP264" s="72"/>
      <c r="AQ264" s="72"/>
      <c r="AR264" s="72"/>
      <c r="AS264" s="72"/>
      <c r="AT264" s="72"/>
      <c r="AU264" s="72"/>
      <c r="AV264" s="72"/>
    </row>
    <row r="265" spans="1:48" s="37" customFormat="1" ht="16.5" x14ac:dyDescent="0.3">
      <c r="A265" s="72"/>
      <c r="B265" s="72"/>
      <c r="C265" s="72"/>
      <c r="D265" s="72"/>
      <c r="E265" s="72"/>
      <c r="F265" s="72"/>
      <c r="G265" s="72"/>
      <c r="H265" s="72"/>
      <c r="I265" s="72"/>
      <c r="J265" s="72"/>
      <c r="K265" s="72"/>
      <c r="L265" s="72"/>
      <c r="M265" s="72"/>
      <c r="N265" s="72"/>
      <c r="O265" s="72"/>
      <c r="P265" s="72"/>
      <c r="Q265" s="72"/>
      <c r="R265" s="72"/>
      <c r="S265" s="72"/>
      <c r="T265" s="72"/>
      <c r="U265" s="72"/>
      <c r="V265" s="72"/>
      <c r="W265" s="72"/>
      <c r="X265" s="72"/>
      <c r="Y265" s="72"/>
      <c r="Z265" s="72"/>
      <c r="AA265" s="72"/>
      <c r="AB265" s="72"/>
      <c r="AC265" s="72"/>
      <c r="AD265" s="72"/>
      <c r="AE265" s="72"/>
      <c r="AF265" s="72"/>
      <c r="AG265" s="72"/>
      <c r="AH265" s="72"/>
      <c r="AI265" s="72"/>
      <c r="AJ265" s="72"/>
      <c r="AK265" s="72"/>
      <c r="AL265" s="72"/>
      <c r="AM265" s="72"/>
      <c r="AN265" s="72"/>
      <c r="AO265" s="72"/>
      <c r="AP265" s="72"/>
      <c r="AQ265" s="72"/>
      <c r="AR265" s="72"/>
      <c r="AS265" s="72"/>
      <c r="AT265" s="72"/>
      <c r="AU265" s="72"/>
      <c r="AV265" s="72"/>
    </row>
    <row r="266" spans="1:48" s="37" customFormat="1" ht="16.5" x14ac:dyDescent="0.3">
      <c r="A266" s="72"/>
      <c r="B266" s="72"/>
      <c r="C266" s="72"/>
      <c r="D266" s="72"/>
      <c r="E266" s="72"/>
      <c r="F266" s="72"/>
      <c r="G266" s="72"/>
      <c r="H266" s="72"/>
      <c r="I266" s="72"/>
      <c r="J266" s="72"/>
      <c r="K266" s="72"/>
      <c r="L266" s="72"/>
      <c r="M266" s="72"/>
      <c r="N266" s="72"/>
      <c r="O266" s="72"/>
      <c r="P266" s="72"/>
      <c r="Q266" s="72"/>
      <c r="R266" s="72"/>
      <c r="S266" s="72"/>
      <c r="T266" s="72"/>
      <c r="U266" s="72"/>
      <c r="V266" s="72"/>
      <c r="W266" s="72"/>
      <c r="X266" s="72"/>
      <c r="Y266" s="72"/>
      <c r="Z266" s="72"/>
      <c r="AA266" s="72"/>
      <c r="AB266" s="72"/>
      <c r="AC266" s="72"/>
      <c r="AD266" s="72"/>
      <c r="AE266" s="72"/>
      <c r="AF266" s="72"/>
      <c r="AG266" s="72"/>
      <c r="AH266" s="72"/>
      <c r="AI266" s="72"/>
      <c r="AJ266" s="72"/>
      <c r="AK266" s="72"/>
      <c r="AL266" s="72"/>
      <c r="AM266" s="72"/>
      <c r="AN266" s="72"/>
      <c r="AO266" s="72"/>
      <c r="AP266" s="72"/>
      <c r="AQ266" s="72"/>
      <c r="AR266" s="72"/>
      <c r="AS266" s="72"/>
      <c r="AT266" s="72"/>
      <c r="AU266" s="72"/>
      <c r="AV266" s="72"/>
    </row>
    <row r="267" spans="1:48" s="37" customFormat="1" ht="16.5" x14ac:dyDescent="0.3">
      <c r="A267" s="72"/>
      <c r="B267" s="72"/>
      <c r="C267" s="72"/>
      <c r="D267" s="72"/>
      <c r="E267" s="72"/>
      <c r="F267" s="72"/>
      <c r="G267" s="72"/>
      <c r="H267" s="72"/>
      <c r="I267" s="72"/>
      <c r="J267" s="72"/>
      <c r="K267" s="72"/>
      <c r="L267" s="72"/>
      <c r="M267" s="72"/>
      <c r="N267" s="72"/>
      <c r="O267" s="72"/>
      <c r="P267" s="72"/>
      <c r="Q267" s="72"/>
      <c r="R267" s="72"/>
      <c r="S267" s="72"/>
      <c r="T267" s="72"/>
      <c r="U267" s="72"/>
      <c r="V267" s="72"/>
      <c r="W267" s="72"/>
      <c r="X267" s="72"/>
      <c r="Y267" s="72"/>
      <c r="Z267" s="72"/>
      <c r="AA267" s="72"/>
      <c r="AB267" s="72"/>
      <c r="AC267" s="72"/>
      <c r="AD267" s="72"/>
      <c r="AE267" s="72"/>
      <c r="AF267" s="72"/>
      <c r="AG267" s="72"/>
      <c r="AH267" s="72"/>
      <c r="AI267" s="72"/>
      <c r="AJ267" s="72"/>
      <c r="AK267" s="72"/>
      <c r="AL267" s="72"/>
      <c r="AM267" s="72"/>
      <c r="AN267" s="72"/>
      <c r="AO267" s="72"/>
      <c r="AP267" s="72"/>
      <c r="AQ267" s="72"/>
      <c r="AR267" s="72"/>
      <c r="AS267" s="72"/>
      <c r="AT267" s="72"/>
      <c r="AU267" s="72"/>
      <c r="AV267" s="72"/>
    </row>
    <row r="268" spans="1:48" s="37" customFormat="1" ht="16.5" x14ac:dyDescent="0.3">
      <c r="A268" s="72"/>
      <c r="B268" s="72"/>
      <c r="C268" s="72"/>
      <c r="D268" s="72"/>
      <c r="E268" s="72"/>
      <c r="F268" s="72"/>
      <c r="G268" s="72"/>
      <c r="H268" s="72"/>
      <c r="I268" s="72"/>
      <c r="J268" s="72"/>
      <c r="K268" s="72"/>
      <c r="L268" s="72"/>
      <c r="M268" s="72"/>
      <c r="N268" s="72"/>
      <c r="O268" s="72"/>
      <c r="P268" s="72"/>
      <c r="Q268" s="72"/>
      <c r="R268" s="72"/>
      <c r="S268" s="72"/>
      <c r="T268" s="72"/>
      <c r="U268" s="72"/>
      <c r="V268" s="72"/>
      <c r="W268" s="72"/>
      <c r="X268" s="72"/>
      <c r="Y268" s="72"/>
      <c r="Z268" s="72"/>
      <c r="AA268" s="72"/>
      <c r="AB268" s="72"/>
      <c r="AC268" s="72"/>
      <c r="AD268" s="72"/>
      <c r="AE268" s="72"/>
      <c r="AF268" s="72"/>
      <c r="AG268" s="72"/>
      <c r="AH268" s="72"/>
      <c r="AI268" s="72"/>
      <c r="AJ268" s="72"/>
      <c r="AK268" s="72"/>
      <c r="AL268" s="72"/>
      <c r="AM268" s="72"/>
      <c r="AN268" s="72"/>
      <c r="AO268" s="72"/>
      <c r="AP268" s="72"/>
      <c r="AQ268" s="72"/>
      <c r="AR268" s="72"/>
      <c r="AS268" s="72"/>
      <c r="AT268" s="72"/>
      <c r="AU268" s="72"/>
      <c r="AV268" s="72"/>
    </row>
    <row r="269" spans="1:48" s="37" customFormat="1" ht="16.5" x14ac:dyDescent="0.3">
      <c r="A269" s="72"/>
      <c r="B269" s="72"/>
      <c r="C269" s="72"/>
      <c r="D269" s="72"/>
      <c r="E269" s="72"/>
      <c r="F269" s="72"/>
      <c r="G269" s="72"/>
      <c r="H269" s="72"/>
      <c r="I269" s="72"/>
      <c r="J269" s="72"/>
      <c r="K269" s="72"/>
      <c r="L269" s="72"/>
      <c r="M269" s="72"/>
      <c r="N269" s="72"/>
      <c r="O269" s="72"/>
      <c r="P269" s="72"/>
      <c r="Q269" s="72"/>
      <c r="R269" s="72"/>
      <c r="S269" s="72"/>
      <c r="T269" s="72"/>
      <c r="U269" s="72"/>
      <c r="V269" s="72"/>
      <c r="W269" s="72"/>
      <c r="X269" s="72"/>
      <c r="Y269" s="72"/>
      <c r="Z269" s="72"/>
      <c r="AA269" s="72"/>
      <c r="AB269" s="72"/>
      <c r="AC269" s="72"/>
      <c r="AD269" s="72"/>
      <c r="AE269" s="72"/>
      <c r="AF269" s="72"/>
      <c r="AG269" s="72"/>
      <c r="AH269" s="72"/>
      <c r="AI269" s="72"/>
      <c r="AJ269" s="72"/>
      <c r="AK269" s="72"/>
      <c r="AL269" s="72"/>
      <c r="AM269" s="72"/>
      <c r="AN269" s="72"/>
      <c r="AO269" s="72"/>
      <c r="AP269" s="72"/>
      <c r="AQ269" s="72"/>
      <c r="AR269" s="72"/>
      <c r="AS269" s="72"/>
      <c r="AT269" s="72"/>
      <c r="AU269" s="72"/>
      <c r="AV269" s="72"/>
    </row>
    <row r="270" spans="1:48" s="37" customFormat="1" ht="16.5" x14ac:dyDescent="0.3">
      <c r="A270" s="72"/>
      <c r="B270" s="72"/>
      <c r="C270" s="72"/>
      <c r="D270" s="72"/>
      <c r="E270" s="72"/>
      <c r="F270" s="72"/>
      <c r="G270" s="72"/>
      <c r="H270" s="72"/>
      <c r="I270" s="72"/>
      <c r="J270" s="72"/>
      <c r="K270" s="72"/>
      <c r="L270" s="72"/>
      <c r="M270" s="72"/>
      <c r="N270" s="72"/>
      <c r="O270" s="72"/>
      <c r="P270" s="72"/>
      <c r="Q270" s="72"/>
      <c r="R270" s="72"/>
      <c r="S270" s="72"/>
      <c r="T270" s="72"/>
      <c r="U270" s="72"/>
      <c r="V270" s="72"/>
      <c r="W270" s="72"/>
      <c r="X270" s="72"/>
      <c r="Y270" s="72"/>
      <c r="Z270" s="72"/>
      <c r="AA270" s="72"/>
      <c r="AB270" s="72"/>
      <c r="AC270" s="72"/>
      <c r="AD270" s="72"/>
      <c r="AE270" s="72"/>
      <c r="AF270" s="72"/>
      <c r="AG270" s="72"/>
      <c r="AH270" s="72"/>
      <c r="AI270" s="72"/>
      <c r="AJ270" s="72"/>
      <c r="AK270" s="72"/>
      <c r="AL270" s="72"/>
      <c r="AM270" s="72"/>
      <c r="AN270" s="72"/>
      <c r="AO270" s="72"/>
      <c r="AP270" s="72"/>
      <c r="AQ270" s="72"/>
      <c r="AR270" s="72"/>
      <c r="AS270" s="72"/>
      <c r="AT270" s="72"/>
      <c r="AU270" s="72"/>
      <c r="AV270" s="72"/>
    </row>
    <row r="271" spans="1:48" s="37" customFormat="1" ht="16.5" x14ac:dyDescent="0.3">
      <c r="A271" s="72"/>
      <c r="B271" s="72"/>
      <c r="C271" s="72"/>
      <c r="D271" s="72"/>
      <c r="E271" s="72"/>
      <c r="F271" s="72"/>
      <c r="G271" s="72"/>
      <c r="H271" s="72"/>
      <c r="I271" s="72"/>
      <c r="J271" s="72"/>
      <c r="K271" s="72"/>
      <c r="L271" s="72"/>
      <c r="M271" s="72"/>
      <c r="N271" s="72"/>
      <c r="O271" s="72"/>
      <c r="P271" s="72"/>
      <c r="Q271" s="72"/>
      <c r="R271" s="72"/>
      <c r="S271" s="72"/>
      <c r="T271" s="72"/>
      <c r="U271" s="72"/>
      <c r="V271" s="72"/>
      <c r="W271" s="72"/>
      <c r="X271" s="72"/>
      <c r="Y271" s="72"/>
      <c r="Z271" s="72"/>
      <c r="AA271" s="72"/>
      <c r="AB271" s="72"/>
      <c r="AC271" s="72"/>
      <c r="AD271" s="72"/>
      <c r="AE271" s="72"/>
      <c r="AF271" s="72"/>
      <c r="AG271" s="72"/>
      <c r="AH271" s="72"/>
      <c r="AI271" s="72"/>
      <c r="AJ271" s="72"/>
      <c r="AK271" s="72"/>
      <c r="AL271" s="72"/>
      <c r="AM271" s="72"/>
      <c r="AN271" s="72"/>
      <c r="AO271" s="72"/>
      <c r="AP271" s="72"/>
      <c r="AQ271" s="72"/>
      <c r="AR271" s="72"/>
      <c r="AS271" s="72"/>
      <c r="AT271" s="72"/>
      <c r="AU271" s="72"/>
      <c r="AV271" s="72"/>
    </row>
    <row r="272" spans="1:48" s="37" customFormat="1" ht="16.5" x14ac:dyDescent="0.3">
      <c r="A272" s="72"/>
      <c r="B272" s="72"/>
      <c r="C272" s="72"/>
      <c r="D272" s="72"/>
      <c r="E272" s="72"/>
      <c r="F272" s="72"/>
      <c r="G272" s="72"/>
      <c r="H272" s="72"/>
      <c r="I272" s="72"/>
      <c r="J272" s="72"/>
      <c r="K272" s="72"/>
      <c r="L272" s="72"/>
      <c r="M272" s="72"/>
      <c r="N272" s="72"/>
      <c r="O272" s="72"/>
      <c r="P272" s="72"/>
      <c r="Q272" s="72"/>
      <c r="R272" s="72"/>
      <c r="S272" s="72"/>
      <c r="T272" s="72"/>
      <c r="U272" s="72"/>
      <c r="V272" s="72"/>
      <c r="W272" s="72"/>
      <c r="X272" s="72"/>
      <c r="Y272" s="72"/>
      <c r="Z272" s="72"/>
      <c r="AA272" s="72"/>
      <c r="AB272" s="72"/>
      <c r="AC272" s="72"/>
      <c r="AD272" s="72"/>
      <c r="AE272" s="72"/>
      <c r="AF272" s="72"/>
      <c r="AG272" s="72"/>
      <c r="AH272" s="72"/>
      <c r="AI272" s="72"/>
      <c r="AJ272" s="72"/>
      <c r="AK272" s="72"/>
      <c r="AL272" s="72"/>
      <c r="AM272" s="72"/>
      <c r="AN272" s="72"/>
      <c r="AO272" s="72"/>
      <c r="AP272" s="72"/>
      <c r="AQ272" s="72"/>
      <c r="AR272" s="72"/>
      <c r="AS272" s="72"/>
      <c r="AT272" s="72"/>
      <c r="AU272" s="72"/>
      <c r="AV272" s="72"/>
    </row>
    <row r="273" spans="1:48" s="37" customFormat="1" ht="16.5" x14ac:dyDescent="0.3">
      <c r="A273" s="72"/>
      <c r="B273" s="72"/>
      <c r="C273" s="72"/>
      <c r="D273" s="72"/>
      <c r="E273" s="72"/>
      <c r="F273" s="72"/>
      <c r="G273" s="72"/>
      <c r="H273" s="72"/>
      <c r="I273" s="72"/>
      <c r="J273" s="72"/>
      <c r="K273" s="72"/>
      <c r="L273" s="72"/>
      <c r="M273" s="72"/>
      <c r="N273" s="72"/>
      <c r="O273" s="72"/>
      <c r="P273" s="72"/>
      <c r="Q273" s="72"/>
      <c r="R273" s="72"/>
      <c r="S273" s="72"/>
      <c r="T273" s="72"/>
      <c r="U273" s="72"/>
      <c r="V273" s="72"/>
      <c r="W273" s="72"/>
      <c r="X273" s="72"/>
      <c r="Y273" s="72"/>
      <c r="Z273" s="72"/>
      <c r="AA273" s="72"/>
      <c r="AB273" s="72"/>
      <c r="AC273" s="72"/>
      <c r="AD273" s="72"/>
      <c r="AE273" s="72"/>
      <c r="AF273" s="72"/>
      <c r="AG273" s="72"/>
      <c r="AH273" s="72"/>
      <c r="AI273" s="72"/>
      <c r="AJ273" s="72"/>
      <c r="AK273" s="72"/>
      <c r="AL273" s="72"/>
      <c r="AM273" s="72"/>
      <c r="AN273" s="72"/>
      <c r="AO273" s="72"/>
      <c r="AP273" s="72"/>
      <c r="AQ273" s="72"/>
      <c r="AR273" s="72"/>
      <c r="AS273" s="72"/>
      <c r="AT273" s="72"/>
      <c r="AU273" s="72"/>
      <c r="AV273" s="72"/>
    </row>
    <row r="274" spans="1:48" s="37" customFormat="1" ht="16.5" x14ac:dyDescent="0.3">
      <c r="A274" s="72"/>
      <c r="B274" s="72"/>
      <c r="C274" s="72"/>
      <c r="D274" s="72"/>
      <c r="E274" s="72"/>
      <c r="F274" s="72"/>
      <c r="G274" s="72"/>
      <c r="H274" s="72"/>
      <c r="I274" s="72"/>
      <c r="J274" s="72"/>
      <c r="K274" s="72"/>
      <c r="L274" s="72"/>
      <c r="M274" s="72"/>
      <c r="N274" s="72"/>
      <c r="O274" s="72"/>
      <c r="P274" s="72"/>
      <c r="Q274" s="72"/>
      <c r="R274" s="72"/>
      <c r="S274" s="72"/>
      <c r="T274" s="72"/>
      <c r="U274" s="72"/>
      <c r="V274" s="72"/>
      <c r="W274" s="72"/>
      <c r="X274" s="72"/>
      <c r="Y274" s="72"/>
      <c r="Z274" s="72"/>
      <c r="AA274" s="72"/>
      <c r="AB274" s="72"/>
      <c r="AC274" s="72"/>
      <c r="AD274" s="72"/>
      <c r="AE274" s="72"/>
      <c r="AF274" s="72"/>
      <c r="AG274" s="72"/>
      <c r="AH274" s="72"/>
      <c r="AI274" s="72"/>
      <c r="AJ274" s="72"/>
      <c r="AK274" s="72"/>
      <c r="AL274" s="72"/>
      <c r="AM274" s="72"/>
      <c r="AN274" s="72"/>
      <c r="AO274" s="72"/>
      <c r="AP274" s="72"/>
      <c r="AQ274" s="72"/>
      <c r="AR274" s="72"/>
      <c r="AS274" s="72"/>
      <c r="AT274" s="72"/>
      <c r="AU274" s="72"/>
      <c r="AV274" s="72"/>
    </row>
    <row r="275" spans="1:48" s="37" customFormat="1" ht="16.5" x14ac:dyDescent="0.3">
      <c r="A275" s="72"/>
      <c r="B275" s="72"/>
      <c r="C275" s="72"/>
      <c r="D275" s="72"/>
      <c r="E275" s="72"/>
      <c r="F275" s="72"/>
      <c r="G275" s="72"/>
      <c r="H275" s="72"/>
      <c r="I275" s="72"/>
      <c r="J275" s="72"/>
      <c r="K275" s="72"/>
      <c r="L275" s="72"/>
      <c r="M275" s="72"/>
      <c r="N275" s="72"/>
      <c r="O275" s="72"/>
      <c r="P275" s="72"/>
      <c r="Q275" s="72"/>
      <c r="R275" s="72"/>
      <c r="S275" s="72"/>
      <c r="T275" s="72"/>
      <c r="U275" s="72"/>
      <c r="V275" s="72"/>
      <c r="W275" s="72"/>
      <c r="X275" s="72"/>
      <c r="Y275" s="72"/>
      <c r="Z275" s="72"/>
      <c r="AA275" s="72"/>
      <c r="AB275" s="72"/>
      <c r="AC275" s="72"/>
      <c r="AD275" s="72"/>
      <c r="AE275" s="72"/>
      <c r="AF275" s="72"/>
      <c r="AG275" s="72"/>
      <c r="AH275" s="72"/>
      <c r="AI275" s="72"/>
      <c r="AJ275" s="72"/>
      <c r="AK275" s="72"/>
      <c r="AL275" s="72"/>
      <c r="AM275" s="72"/>
      <c r="AN275" s="72"/>
      <c r="AO275" s="72"/>
      <c r="AP275" s="72"/>
      <c r="AQ275" s="72"/>
      <c r="AR275" s="72"/>
      <c r="AS275" s="72"/>
      <c r="AT275" s="72"/>
      <c r="AU275" s="72"/>
      <c r="AV275" s="72"/>
    </row>
    <row r="276" spans="1:48" s="37" customFormat="1" ht="16.5" x14ac:dyDescent="0.3">
      <c r="A276" s="72"/>
      <c r="B276" s="72"/>
      <c r="C276" s="72"/>
      <c r="D276" s="72"/>
      <c r="E276" s="72"/>
      <c r="F276" s="72"/>
      <c r="G276" s="72"/>
      <c r="H276" s="72"/>
      <c r="I276" s="72"/>
      <c r="J276" s="72"/>
      <c r="K276" s="72"/>
      <c r="L276" s="72"/>
      <c r="M276" s="72"/>
      <c r="N276" s="72"/>
      <c r="O276" s="72"/>
      <c r="P276" s="72"/>
      <c r="Q276" s="72"/>
      <c r="R276" s="72"/>
      <c r="S276" s="72"/>
      <c r="T276" s="72"/>
      <c r="U276" s="72"/>
      <c r="V276" s="72"/>
      <c r="W276" s="72"/>
      <c r="X276" s="72"/>
      <c r="Y276" s="72"/>
      <c r="Z276" s="72"/>
      <c r="AA276" s="72"/>
      <c r="AB276" s="72"/>
      <c r="AC276" s="72"/>
      <c r="AD276" s="72"/>
      <c r="AE276" s="72"/>
      <c r="AF276" s="72"/>
      <c r="AG276" s="72"/>
      <c r="AH276" s="72"/>
      <c r="AI276" s="72"/>
      <c r="AJ276" s="72"/>
      <c r="AK276" s="72"/>
      <c r="AL276" s="72"/>
      <c r="AM276" s="72"/>
      <c r="AN276" s="72"/>
      <c r="AO276" s="72"/>
      <c r="AP276" s="72"/>
      <c r="AQ276" s="72"/>
      <c r="AR276" s="72"/>
      <c r="AS276" s="72"/>
      <c r="AT276" s="72"/>
      <c r="AU276" s="72"/>
      <c r="AV276" s="72"/>
    </row>
    <row r="277" spans="1:48" s="37" customFormat="1" ht="16.5" x14ac:dyDescent="0.3">
      <c r="A277" s="72"/>
      <c r="B277" s="72"/>
      <c r="C277" s="72"/>
      <c r="D277" s="72"/>
      <c r="E277" s="72"/>
      <c r="F277" s="72"/>
      <c r="G277" s="72"/>
      <c r="H277" s="72"/>
      <c r="I277" s="72"/>
      <c r="J277" s="72"/>
      <c r="K277" s="72"/>
      <c r="L277" s="72"/>
      <c r="M277" s="72"/>
      <c r="N277" s="72"/>
      <c r="O277" s="72"/>
      <c r="P277" s="72"/>
      <c r="Q277" s="72"/>
      <c r="R277" s="72"/>
      <c r="S277" s="72"/>
      <c r="T277" s="72"/>
      <c r="U277" s="72"/>
      <c r="V277" s="72"/>
      <c r="W277" s="72"/>
      <c r="X277" s="72"/>
      <c r="Y277" s="72"/>
      <c r="Z277" s="72"/>
      <c r="AA277" s="72"/>
      <c r="AB277" s="72"/>
      <c r="AC277" s="72"/>
      <c r="AD277" s="72"/>
      <c r="AE277" s="72"/>
      <c r="AF277" s="72"/>
      <c r="AG277" s="72"/>
      <c r="AH277" s="72"/>
      <c r="AI277" s="72"/>
      <c r="AJ277" s="72"/>
      <c r="AK277" s="72"/>
      <c r="AL277" s="72"/>
      <c r="AM277" s="72"/>
      <c r="AN277" s="72"/>
      <c r="AO277" s="72"/>
      <c r="AP277" s="72"/>
      <c r="AQ277" s="72"/>
      <c r="AR277" s="72"/>
      <c r="AS277" s="72"/>
      <c r="AT277" s="72"/>
      <c r="AU277" s="72"/>
      <c r="AV277" s="72"/>
    </row>
    <row r="278" spans="1:48" s="37" customFormat="1" ht="16.5" x14ac:dyDescent="0.3">
      <c r="A278" s="72"/>
      <c r="B278" s="72"/>
      <c r="C278" s="72"/>
      <c r="D278" s="72"/>
      <c r="E278" s="72"/>
      <c r="F278" s="72"/>
      <c r="G278" s="72"/>
      <c r="H278" s="72"/>
      <c r="I278" s="72"/>
      <c r="J278" s="72"/>
      <c r="K278" s="72"/>
      <c r="L278" s="72"/>
      <c r="M278" s="72"/>
      <c r="N278" s="72"/>
      <c r="O278" s="72"/>
      <c r="P278" s="72"/>
      <c r="Q278" s="72"/>
      <c r="R278" s="72"/>
      <c r="S278" s="72"/>
      <c r="T278" s="72"/>
      <c r="U278" s="72"/>
      <c r="V278" s="72"/>
      <c r="W278" s="72"/>
      <c r="X278" s="72"/>
      <c r="Y278" s="72"/>
      <c r="Z278" s="72"/>
      <c r="AA278" s="72"/>
      <c r="AB278" s="72"/>
      <c r="AC278" s="72"/>
      <c r="AD278" s="72"/>
      <c r="AE278" s="72"/>
      <c r="AF278" s="72"/>
      <c r="AG278" s="72"/>
      <c r="AH278" s="72"/>
      <c r="AI278" s="72"/>
      <c r="AJ278" s="72"/>
      <c r="AK278" s="72"/>
      <c r="AL278" s="72"/>
      <c r="AM278" s="72"/>
      <c r="AN278" s="72"/>
      <c r="AO278" s="72"/>
      <c r="AP278" s="72"/>
      <c r="AQ278" s="72"/>
      <c r="AR278" s="72"/>
      <c r="AS278" s="72"/>
      <c r="AT278" s="72"/>
      <c r="AU278" s="72"/>
      <c r="AV278" s="72"/>
    </row>
    <row r="279" spans="1:48" s="37" customFormat="1" ht="16.5" x14ac:dyDescent="0.3">
      <c r="A279" s="72"/>
      <c r="B279" s="72"/>
      <c r="C279" s="72"/>
      <c r="D279" s="72"/>
      <c r="E279" s="72"/>
      <c r="F279" s="72"/>
      <c r="G279" s="72"/>
      <c r="H279" s="72"/>
      <c r="I279" s="72"/>
      <c r="J279" s="72"/>
      <c r="K279" s="72"/>
      <c r="L279" s="72"/>
      <c r="M279" s="72"/>
      <c r="N279" s="72"/>
      <c r="O279" s="72"/>
      <c r="P279" s="72"/>
      <c r="Q279" s="72"/>
      <c r="R279" s="72"/>
      <c r="S279" s="72"/>
      <c r="T279" s="72"/>
      <c r="U279" s="72"/>
      <c r="V279" s="72"/>
      <c r="W279" s="72"/>
      <c r="X279" s="72"/>
      <c r="Y279" s="72"/>
      <c r="Z279" s="72"/>
      <c r="AA279" s="72"/>
      <c r="AB279" s="72"/>
      <c r="AC279" s="72"/>
      <c r="AD279" s="72"/>
      <c r="AE279" s="72"/>
      <c r="AF279" s="72"/>
      <c r="AG279" s="72"/>
      <c r="AH279" s="72"/>
      <c r="AI279" s="72"/>
      <c r="AJ279" s="72"/>
      <c r="AK279" s="72"/>
      <c r="AL279" s="72"/>
      <c r="AM279" s="72"/>
      <c r="AN279" s="72"/>
      <c r="AO279" s="72"/>
      <c r="AP279" s="72"/>
      <c r="AQ279" s="72"/>
      <c r="AR279" s="72"/>
      <c r="AS279" s="72"/>
      <c r="AT279" s="72"/>
      <c r="AU279" s="72"/>
      <c r="AV279" s="72"/>
    </row>
    <row r="280" spans="1:48" s="37" customFormat="1" ht="16.5" x14ac:dyDescent="0.3">
      <c r="A280" s="72"/>
      <c r="B280" s="72"/>
      <c r="C280" s="72"/>
      <c r="D280" s="72"/>
      <c r="E280" s="72"/>
      <c r="F280" s="72"/>
      <c r="G280" s="72"/>
      <c r="H280" s="72"/>
      <c r="I280" s="72"/>
      <c r="J280" s="72"/>
      <c r="K280" s="72"/>
      <c r="L280" s="72"/>
      <c r="M280" s="72"/>
      <c r="N280" s="72"/>
      <c r="O280" s="72"/>
      <c r="P280" s="72"/>
      <c r="Q280" s="72"/>
      <c r="R280" s="72"/>
      <c r="S280" s="72"/>
      <c r="T280" s="72"/>
      <c r="U280" s="72"/>
      <c r="V280" s="72"/>
      <c r="W280" s="72"/>
      <c r="X280" s="72"/>
      <c r="Y280" s="72"/>
      <c r="Z280" s="72"/>
      <c r="AA280" s="72"/>
      <c r="AB280" s="72"/>
      <c r="AC280" s="72"/>
      <c r="AD280" s="72"/>
      <c r="AE280" s="72"/>
      <c r="AF280" s="72"/>
      <c r="AG280" s="72"/>
      <c r="AH280" s="72"/>
      <c r="AI280" s="72"/>
      <c r="AJ280" s="72"/>
      <c r="AK280" s="72"/>
      <c r="AL280" s="72"/>
      <c r="AM280" s="72"/>
      <c r="AN280" s="72"/>
      <c r="AO280" s="72"/>
      <c r="AP280" s="72"/>
      <c r="AQ280" s="72"/>
      <c r="AR280" s="72"/>
      <c r="AS280" s="72"/>
      <c r="AT280" s="72"/>
      <c r="AU280" s="72"/>
      <c r="AV280" s="72"/>
    </row>
    <row r="281" spans="1:48" s="37" customFormat="1" ht="16.5" x14ac:dyDescent="0.3">
      <c r="A281" s="72"/>
      <c r="B281" s="72"/>
      <c r="C281" s="72"/>
      <c r="D281" s="72"/>
      <c r="E281" s="72"/>
      <c r="F281" s="72"/>
      <c r="G281" s="72"/>
      <c r="H281" s="72"/>
      <c r="I281" s="72"/>
      <c r="J281" s="72"/>
      <c r="K281" s="72"/>
      <c r="L281" s="72"/>
      <c r="M281" s="72"/>
      <c r="N281" s="72"/>
      <c r="O281" s="72"/>
      <c r="P281" s="72"/>
      <c r="Q281" s="72"/>
      <c r="R281" s="72"/>
      <c r="S281" s="72"/>
      <c r="T281" s="72"/>
      <c r="U281" s="72"/>
      <c r="V281" s="72"/>
      <c r="W281" s="72"/>
      <c r="X281" s="72"/>
      <c r="Y281" s="72"/>
      <c r="Z281" s="72"/>
      <c r="AA281" s="72"/>
      <c r="AB281" s="72"/>
      <c r="AC281" s="72"/>
      <c r="AD281" s="72"/>
      <c r="AE281" s="72"/>
      <c r="AF281" s="72"/>
      <c r="AG281" s="72"/>
      <c r="AH281" s="72"/>
      <c r="AI281" s="72"/>
      <c r="AJ281" s="72"/>
      <c r="AK281" s="72"/>
      <c r="AL281" s="72"/>
      <c r="AM281" s="72"/>
      <c r="AN281" s="72"/>
      <c r="AO281" s="72"/>
      <c r="AP281" s="72"/>
      <c r="AQ281" s="72"/>
      <c r="AR281" s="72"/>
      <c r="AS281" s="72"/>
      <c r="AT281" s="72"/>
      <c r="AU281" s="72"/>
      <c r="AV281" s="72"/>
    </row>
    <row r="282" spans="1:48" s="37" customFormat="1" ht="16.5" x14ac:dyDescent="0.3">
      <c r="A282" s="72"/>
      <c r="B282" s="72"/>
      <c r="C282" s="72"/>
      <c r="D282" s="72"/>
      <c r="E282" s="72"/>
      <c r="F282" s="72"/>
      <c r="G282" s="72"/>
      <c r="H282" s="72"/>
      <c r="I282" s="72"/>
      <c r="J282" s="72"/>
      <c r="K282" s="72"/>
      <c r="L282" s="72"/>
      <c r="M282" s="72"/>
      <c r="N282" s="72"/>
      <c r="O282" s="72"/>
      <c r="P282" s="72"/>
      <c r="Q282" s="72"/>
      <c r="R282" s="72"/>
      <c r="S282" s="72"/>
      <c r="T282" s="72"/>
      <c r="U282" s="72"/>
      <c r="V282" s="72"/>
      <c r="W282" s="72"/>
      <c r="X282" s="72"/>
      <c r="Y282" s="72"/>
      <c r="Z282" s="72"/>
      <c r="AA282" s="72"/>
      <c r="AB282" s="72"/>
      <c r="AC282" s="72"/>
      <c r="AD282" s="72"/>
      <c r="AE282" s="72"/>
      <c r="AF282" s="72"/>
      <c r="AG282" s="72"/>
      <c r="AH282" s="72"/>
      <c r="AI282" s="72"/>
      <c r="AJ282" s="72"/>
      <c r="AK282" s="72"/>
      <c r="AL282" s="72"/>
      <c r="AM282" s="72"/>
      <c r="AN282" s="72"/>
      <c r="AO282" s="72"/>
      <c r="AP282" s="72"/>
      <c r="AQ282" s="72"/>
      <c r="AR282" s="72"/>
      <c r="AS282" s="72"/>
      <c r="AT282" s="72"/>
      <c r="AU282" s="72"/>
      <c r="AV282" s="72"/>
    </row>
    <row r="283" spans="1:48" s="37" customFormat="1" ht="16.5" x14ac:dyDescent="0.3">
      <c r="A283" s="72"/>
      <c r="B283" s="72"/>
      <c r="C283" s="72"/>
      <c r="D283" s="72"/>
      <c r="E283" s="72"/>
      <c r="F283" s="72"/>
      <c r="G283" s="72"/>
      <c r="H283" s="72"/>
      <c r="I283" s="72"/>
      <c r="J283" s="72"/>
      <c r="K283" s="72"/>
      <c r="L283" s="72"/>
      <c r="M283" s="72"/>
      <c r="N283" s="72"/>
      <c r="O283" s="72"/>
      <c r="P283" s="72"/>
      <c r="Q283" s="72"/>
      <c r="R283" s="72"/>
      <c r="S283" s="72"/>
      <c r="T283" s="72"/>
      <c r="U283" s="72"/>
      <c r="V283" s="72"/>
      <c r="W283" s="72"/>
      <c r="X283" s="72"/>
      <c r="Y283" s="72"/>
      <c r="Z283" s="72"/>
      <c r="AA283" s="72"/>
      <c r="AB283" s="72"/>
      <c r="AC283" s="72"/>
      <c r="AD283" s="72"/>
      <c r="AE283" s="72"/>
      <c r="AF283" s="72"/>
      <c r="AG283" s="72"/>
      <c r="AH283" s="72"/>
      <c r="AI283" s="72"/>
      <c r="AJ283" s="72"/>
      <c r="AK283" s="72"/>
      <c r="AL283" s="72"/>
      <c r="AM283" s="72"/>
      <c r="AN283" s="72"/>
      <c r="AO283" s="72"/>
      <c r="AP283" s="72"/>
      <c r="AQ283" s="72"/>
      <c r="AR283" s="72"/>
      <c r="AS283" s="72"/>
      <c r="AT283" s="72"/>
      <c r="AU283" s="72"/>
      <c r="AV283" s="72"/>
    </row>
    <row r="284" spans="1:48" s="37" customFormat="1" ht="16.5" x14ac:dyDescent="0.3">
      <c r="A284" s="72"/>
      <c r="B284" s="72"/>
      <c r="C284" s="72"/>
      <c r="D284" s="72"/>
      <c r="E284" s="72"/>
      <c r="F284" s="72"/>
      <c r="G284" s="72"/>
      <c r="H284" s="72"/>
      <c r="I284" s="72"/>
      <c r="J284" s="72"/>
      <c r="K284" s="72"/>
      <c r="L284" s="72"/>
      <c r="M284" s="72"/>
      <c r="N284" s="72"/>
      <c r="O284" s="72"/>
      <c r="P284" s="72"/>
      <c r="Q284" s="72"/>
      <c r="R284" s="72"/>
      <c r="S284" s="72"/>
      <c r="T284" s="72"/>
      <c r="U284" s="72"/>
      <c r="V284" s="72"/>
      <c r="W284" s="72"/>
      <c r="X284" s="72"/>
      <c r="Y284" s="72"/>
      <c r="Z284" s="72"/>
      <c r="AA284" s="72"/>
      <c r="AB284" s="72"/>
      <c r="AC284" s="72"/>
      <c r="AD284" s="72"/>
      <c r="AE284" s="72"/>
      <c r="AF284" s="72"/>
      <c r="AG284" s="72"/>
      <c r="AH284" s="72"/>
      <c r="AI284" s="72"/>
      <c r="AJ284" s="72"/>
      <c r="AK284" s="72"/>
      <c r="AL284" s="72"/>
      <c r="AM284" s="72"/>
      <c r="AN284" s="72"/>
      <c r="AO284" s="72"/>
      <c r="AP284" s="72"/>
      <c r="AQ284" s="72"/>
      <c r="AR284" s="72"/>
      <c r="AS284" s="72"/>
      <c r="AT284" s="72"/>
      <c r="AU284" s="72"/>
      <c r="AV284" s="72"/>
    </row>
    <row r="285" spans="1:48" s="37" customFormat="1" ht="16.5" x14ac:dyDescent="0.3">
      <c r="A285" s="72"/>
      <c r="B285" s="72"/>
      <c r="C285" s="72"/>
      <c r="D285" s="72"/>
      <c r="E285" s="72"/>
      <c r="F285" s="72"/>
      <c r="G285" s="72"/>
      <c r="H285" s="72"/>
      <c r="I285" s="72"/>
      <c r="J285" s="72"/>
      <c r="K285" s="72"/>
      <c r="L285" s="72"/>
      <c r="M285" s="72"/>
      <c r="N285" s="72"/>
      <c r="O285" s="72"/>
      <c r="P285" s="72"/>
      <c r="Q285" s="72"/>
      <c r="R285" s="72"/>
      <c r="S285" s="72"/>
      <c r="T285" s="72"/>
      <c r="U285" s="72"/>
      <c r="V285" s="72"/>
      <c r="W285" s="72"/>
      <c r="X285" s="72"/>
      <c r="Y285" s="72"/>
      <c r="Z285" s="72"/>
      <c r="AA285" s="72"/>
      <c r="AB285" s="72"/>
      <c r="AC285" s="72"/>
      <c r="AD285" s="72"/>
      <c r="AE285" s="72"/>
      <c r="AF285" s="72"/>
      <c r="AG285" s="72"/>
      <c r="AH285" s="72"/>
      <c r="AI285" s="72"/>
      <c r="AJ285" s="72"/>
      <c r="AK285" s="72"/>
      <c r="AL285" s="72"/>
      <c r="AM285" s="72"/>
      <c r="AN285" s="72"/>
      <c r="AO285" s="72"/>
      <c r="AP285" s="72"/>
      <c r="AQ285" s="72"/>
      <c r="AR285" s="72"/>
      <c r="AS285" s="72"/>
      <c r="AT285" s="72"/>
      <c r="AU285" s="72"/>
      <c r="AV285" s="72"/>
    </row>
    <row r="286" spans="1:48" s="37" customFormat="1" ht="16.5" x14ac:dyDescent="0.3">
      <c r="A286" s="72"/>
      <c r="B286" s="72"/>
      <c r="C286" s="72"/>
      <c r="D286" s="72"/>
      <c r="E286" s="72"/>
      <c r="F286" s="72"/>
      <c r="G286" s="72"/>
      <c r="H286" s="72"/>
      <c r="I286" s="72"/>
      <c r="J286" s="72"/>
      <c r="K286" s="72"/>
      <c r="L286" s="72"/>
      <c r="M286" s="72"/>
      <c r="N286" s="72"/>
      <c r="O286" s="72"/>
      <c r="P286" s="72"/>
      <c r="Q286" s="72"/>
      <c r="R286" s="72"/>
      <c r="S286" s="72"/>
      <c r="T286" s="72"/>
      <c r="U286" s="72"/>
      <c r="V286" s="72"/>
      <c r="W286" s="72"/>
      <c r="X286" s="72"/>
      <c r="Y286" s="72"/>
      <c r="Z286" s="72"/>
      <c r="AA286" s="72"/>
      <c r="AB286" s="72"/>
      <c r="AC286" s="72"/>
      <c r="AD286" s="72"/>
      <c r="AE286" s="72"/>
      <c r="AF286" s="72"/>
      <c r="AG286" s="72"/>
      <c r="AH286" s="72"/>
      <c r="AI286" s="72"/>
      <c r="AJ286" s="72"/>
      <c r="AK286" s="72"/>
      <c r="AL286" s="72"/>
      <c r="AM286" s="72"/>
      <c r="AN286" s="72"/>
      <c r="AO286" s="72"/>
      <c r="AP286" s="72"/>
      <c r="AQ286" s="72"/>
      <c r="AR286" s="72"/>
      <c r="AS286" s="72"/>
      <c r="AT286" s="72"/>
      <c r="AU286" s="72"/>
      <c r="AV286" s="72"/>
    </row>
    <row r="287" spans="1:48" s="37" customFormat="1" ht="16.5" x14ac:dyDescent="0.3">
      <c r="A287" s="72"/>
      <c r="B287" s="72"/>
      <c r="C287" s="72"/>
      <c r="D287" s="72"/>
      <c r="E287" s="72"/>
      <c r="F287" s="72"/>
      <c r="G287" s="72"/>
      <c r="H287" s="72"/>
      <c r="I287" s="72"/>
      <c r="J287" s="72"/>
      <c r="K287" s="72"/>
      <c r="L287" s="72"/>
      <c r="M287" s="72"/>
      <c r="N287" s="72"/>
      <c r="O287" s="72"/>
      <c r="P287" s="72"/>
      <c r="Q287" s="72"/>
      <c r="R287" s="72"/>
      <c r="S287" s="72"/>
      <c r="T287" s="72"/>
      <c r="U287" s="72"/>
      <c r="V287" s="72"/>
      <c r="W287" s="72"/>
      <c r="X287" s="72"/>
      <c r="Y287" s="72"/>
      <c r="Z287" s="72"/>
      <c r="AA287" s="72"/>
      <c r="AB287" s="72"/>
      <c r="AC287" s="72"/>
      <c r="AD287" s="72"/>
      <c r="AE287" s="72"/>
      <c r="AF287" s="72"/>
      <c r="AG287" s="72"/>
      <c r="AH287" s="72"/>
      <c r="AI287" s="72"/>
      <c r="AJ287" s="72"/>
      <c r="AK287" s="72"/>
      <c r="AL287" s="72"/>
      <c r="AM287" s="72"/>
      <c r="AN287" s="72"/>
      <c r="AO287" s="72"/>
      <c r="AP287" s="72"/>
      <c r="AQ287" s="72"/>
      <c r="AR287" s="72"/>
      <c r="AS287" s="72"/>
      <c r="AT287" s="72"/>
      <c r="AU287" s="72"/>
      <c r="AV287" s="72"/>
    </row>
    <row r="288" spans="1:48" s="37" customFormat="1" ht="16.5" x14ac:dyDescent="0.3">
      <c r="A288" s="72"/>
      <c r="B288" s="72"/>
      <c r="C288" s="72"/>
      <c r="D288" s="72"/>
      <c r="E288" s="72"/>
      <c r="F288" s="72"/>
      <c r="G288" s="72"/>
      <c r="H288" s="72"/>
      <c r="I288" s="72"/>
      <c r="J288" s="72"/>
      <c r="K288" s="72"/>
      <c r="L288" s="72"/>
      <c r="M288" s="72"/>
      <c r="N288" s="72"/>
      <c r="O288" s="72"/>
      <c r="P288" s="72"/>
      <c r="Q288" s="72"/>
      <c r="R288" s="72"/>
      <c r="S288" s="72"/>
      <c r="T288" s="72"/>
      <c r="U288" s="72"/>
      <c r="V288" s="72"/>
      <c r="W288" s="72"/>
      <c r="X288" s="72"/>
      <c r="Y288" s="72"/>
      <c r="Z288" s="72"/>
      <c r="AA288" s="72"/>
      <c r="AB288" s="72"/>
      <c r="AC288" s="72"/>
      <c r="AD288" s="72"/>
      <c r="AE288" s="72"/>
      <c r="AF288" s="72"/>
      <c r="AG288" s="72"/>
      <c r="AH288" s="72"/>
      <c r="AI288" s="72"/>
      <c r="AJ288" s="72"/>
      <c r="AK288" s="72"/>
      <c r="AL288" s="72"/>
      <c r="AM288" s="72"/>
      <c r="AN288" s="72"/>
      <c r="AO288" s="72"/>
      <c r="AP288" s="72"/>
      <c r="AQ288" s="72"/>
      <c r="AR288" s="72"/>
      <c r="AS288" s="72"/>
      <c r="AT288" s="72"/>
      <c r="AU288" s="72"/>
      <c r="AV288" s="72"/>
    </row>
    <row r="289" spans="1:48" s="37" customFormat="1" ht="16.5" x14ac:dyDescent="0.3">
      <c r="A289" s="72"/>
      <c r="B289" s="72"/>
      <c r="C289" s="72"/>
      <c r="D289" s="72"/>
      <c r="E289" s="72"/>
      <c r="F289" s="72"/>
      <c r="G289" s="72"/>
      <c r="H289" s="72"/>
      <c r="I289" s="72"/>
      <c r="J289" s="72"/>
      <c r="K289" s="72"/>
      <c r="L289" s="72"/>
      <c r="M289" s="72"/>
      <c r="N289" s="72"/>
      <c r="O289" s="72"/>
      <c r="P289" s="72"/>
      <c r="Q289" s="72"/>
      <c r="R289" s="72"/>
      <c r="S289" s="72"/>
      <c r="T289" s="72"/>
      <c r="U289" s="72"/>
      <c r="V289" s="72"/>
      <c r="W289" s="72"/>
      <c r="X289" s="72"/>
      <c r="Y289" s="72"/>
      <c r="Z289" s="72"/>
      <c r="AA289" s="72"/>
      <c r="AB289" s="72"/>
      <c r="AC289" s="72"/>
      <c r="AD289" s="72"/>
      <c r="AE289" s="72"/>
      <c r="AF289" s="72"/>
      <c r="AG289" s="72"/>
      <c r="AH289" s="72"/>
      <c r="AI289" s="72"/>
      <c r="AJ289" s="72"/>
      <c r="AK289" s="72"/>
      <c r="AL289" s="72"/>
      <c r="AM289" s="72"/>
      <c r="AN289" s="72"/>
      <c r="AO289" s="72"/>
      <c r="AP289" s="72"/>
      <c r="AQ289" s="72"/>
      <c r="AR289" s="72"/>
      <c r="AS289" s="72"/>
      <c r="AT289" s="72"/>
      <c r="AU289" s="72"/>
      <c r="AV289" s="72"/>
    </row>
    <row r="290" spans="1:48" s="37" customFormat="1" ht="16.5" x14ac:dyDescent="0.3">
      <c r="A290" s="72"/>
      <c r="B290" s="72"/>
      <c r="C290" s="72"/>
      <c r="D290" s="72"/>
      <c r="E290" s="72"/>
      <c r="F290" s="72"/>
      <c r="G290" s="72"/>
      <c r="H290" s="72"/>
      <c r="I290" s="72"/>
      <c r="J290" s="72"/>
      <c r="K290" s="72"/>
      <c r="L290" s="72"/>
      <c r="M290" s="72"/>
      <c r="N290" s="72"/>
      <c r="O290" s="72"/>
      <c r="P290" s="72"/>
      <c r="Q290" s="72"/>
      <c r="R290" s="72"/>
      <c r="S290" s="72"/>
      <c r="T290" s="72"/>
      <c r="U290" s="72"/>
      <c r="V290" s="72"/>
      <c r="W290" s="72"/>
      <c r="X290" s="72"/>
      <c r="Y290" s="72"/>
      <c r="Z290" s="72"/>
      <c r="AA290" s="72"/>
      <c r="AB290" s="72"/>
      <c r="AC290" s="72"/>
      <c r="AD290" s="72"/>
      <c r="AE290" s="72"/>
      <c r="AF290" s="72"/>
      <c r="AG290" s="72"/>
      <c r="AH290" s="72"/>
      <c r="AI290" s="72"/>
      <c r="AJ290" s="72"/>
      <c r="AK290" s="72"/>
      <c r="AL290" s="72"/>
      <c r="AM290" s="72"/>
      <c r="AN290" s="72"/>
      <c r="AO290" s="72"/>
      <c r="AP290" s="72"/>
      <c r="AQ290" s="72"/>
      <c r="AR290" s="72"/>
      <c r="AS290" s="72"/>
      <c r="AT290" s="72"/>
      <c r="AU290" s="72"/>
      <c r="AV290" s="72"/>
    </row>
    <row r="291" spans="1:48" s="37" customFormat="1" ht="16.5" x14ac:dyDescent="0.3">
      <c r="A291" s="72"/>
      <c r="B291" s="72"/>
      <c r="C291" s="72"/>
      <c r="D291" s="72"/>
      <c r="E291" s="72"/>
      <c r="F291" s="72"/>
      <c r="G291" s="72"/>
      <c r="H291" s="72"/>
      <c r="I291" s="72"/>
      <c r="J291" s="72"/>
      <c r="K291" s="72"/>
      <c r="L291" s="72"/>
      <c r="M291" s="72"/>
      <c r="N291" s="72"/>
      <c r="O291" s="72"/>
      <c r="P291" s="72"/>
      <c r="Q291" s="72"/>
      <c r="R291" s="72"/>
      <c r="S291" s="72"/>
      <c r="T291" s="72"/>
      <c r="U291" s="72"/>
      <c r="V291" s="72"/>
      <c r="W291" s="72"/>
      <c r="X291" s="72"/>
      <c r="Y291" s="72"/>
      <c r="Z291" s="72"/>
      <c r="AA291" s="72"/>
      <c r="AB291" s="72"/>
      <c r="AC291" s="72"/>
      <c r="AD291" s="72"/>
      <c r="AE291" s="72"/>
      <c r="AF291" s="72"/>
      <c r="AG291" s="72"/>
      <c r="AH291" s="72"/>
      <c r="AI291" s="72"/>
      <c r="AJ291" s="72"/>
      <c r="AK291" s="72"/>
      <c r="AL291" s="72"/>
      <c r="AM291" s="72"/>
      <c r="AN291" s="72"/>
      <c r="AO291" s="72"/>
      <c r="AP291" s="72"/>
      <c r="AQ291" s="72"/>
      <c r="AR291" s="72"/>
      <c r="AS291" s="72"/>
      <c r="AT291" s="72"/>
      <c r="AU291" s="72"/>
      <c r="AV291" s="72"/>
    </row>
    <row r="292" spans="1:48" s="37" customFormat="1" ht="16.5" x14ac:dyDescent="0.3">
      <c r="A292" s="72"/>
      <c r="B292" s="72"/>
      <c r="C292" s="72"/>
      <c r="D292" s="72"/>
      <c r="E292" s="72"/>
      <c r="F292" s="72"/>
      <c r="G292" s="72"/>
      <c r="H292" s="72"/>
      <c r="I292" s="72"/>
      <c r="J292" s="72"/>
      <c r="K292" s="72"/>
      <c r="L292" s="72"/>
      <c r="M292" s="72"/>
      <c r="N292" s="72"/>
      <c r="O292" s="72"/>
      <c r="P292" s="72"/>
      <c r="Q292" s="72"/>
      <c r="R292" s="72"/>
      <c r="S292" s="72"/>
      <c r="T292" s="72"/>
      <c r="U292" s="72"/>
      <c r="V292" s="72"/>
      <c r="W292" s="72"/>
      <c r="X292" s="72"/>
      <c r="Y292" s="72"/>
      <c r="Z292" s="72"/>
      <c r="AA292" s="72"/>
      <c r="AB292" s="72"/>
      <c r="AC292" s="72"/>
      <c r="AD292" s="72"/>
      <c r="AE292" s="72"/>
      <c r="AF292" s="72"/>
      <c r="AG292" s="72"/>
      <c r="AH292" s="72"/>
      <c r="AI292" s="72"/>
      <c r="AJ292" s="72"/>
      <c r="AK292" s="72"/>
      <c r="AL292" s="72"/>
      <c r="AM292" s="72"/>
      <c r="AN292" s="72"/>
      <c r="AO292" s="72"/>
      <c r="AP292" s="72"/>
      <c r="AQ292" s="72"/>
      <c r="AR292" s="72"/>
      <c r="AS292" s="72"/>
      <c r="AT292" s="72"/>
      <c r="AU292" s="72"/>
      <c r="AV292" s="72"/>
    </row>
    <row r="293" spans="1:48" s="37" customFormat="1" ht="16.5" x14ac:dyDescent="0.3">
      <c r="A293" s="72"/>
      <c r="B293" s="72"/>
      <c r="C293" s="72"/>
      <c r="D293" s="72"/>
      <c r="E293" s="72"/>
      <c r="F293" s="72"/>
      <c r="G293" s="72"/>
      <c r="H293" s="72"/>
      <c r="I293" s="72"/>
      <c r="J293" s="72"/>
      <c r="K293" s="72"/>
      <c r="L293" s="72"/>
      <c r="M293" s="72"/>
      <c r="N293" s="72"/>
      <c r="O293" s="72"/>
      <c r="P293" s="72"/>
      <c r="Q293" s="72"/>
      <c r="R293" s="72"/>
      <c r="S293" s="72"/>
      <c r="T293" s="72"/>
      <c r="U293" s="72"/>
      <c r="V293" s="72"/>
      <c r="W293" s="72"/>
      <c r="X293" s="72"/>
      <c r="Y293" s="72"/>
      <c r="Z293" s="72"/>
      <c r="AA293" s="72"/>
      <c r="AB293" s="72"/>
      <c r="AC293" s="72"/>
      <c r="AD293" s="72"/>
      <c r="AE293" s="72"/>
      <c r="AF293" s="72"/>
      <c r="AG293" s="72"/>
      <c r="AH293" s="72"/>
      <c r="AI293" s="72"/>
      <c r="AJ293" s="72"/>
      <c r="AK293" s="72"/>
      <c r="AL293" s="72"/>
      <c r="AM293" s="72"/>
      <c r="AN293" s="72"/>
      <c r="AO293" s="72"/>
      <c r="AP293" s="72"/>
      <c r="AQ293" s="72"/>
      <c r="AR293" s="72"/>
      <c r="AS293" s="72"/>
      <c r="AT293" s="72"/>
      <c r="AU293" s="72"/>
      <c r="AV293" s="72"/>
    </row>
    <row r="294" spans="1:48" s="37" customFormat="1" ht="16.5" x14ac:dyDescent="0.3">
      <c r="A294" s="72"/>
      <c r="B294" s="72"/>
      <c r="C294" s="72"/>
      <c r="D294" s="72"/>
      <c r="E294" s="72"/>
      <c r="F294" s="72"/>
      <c r="G294" s="72"/>
      <c r="H294" s="72"/>
      <c r="I294" s="72"/>
      <c r="J294" s="72"/>
      <c r="K294" s="72"/>
      <c r="L294" s="72"/>
      <c r="M294" s="72"/>
      <c r="N294" s="72"/>
      <c r="O294" s="72"/>
      <c r="P294" s="72"/>
      <c r="Q294" s="72"/>
      <c r="R294" s="72"/>
      <c r="S294" s="72"/>
      <c r="T294" s="72"/>
      <c r="U294" s="72"/>
      <c r="V294" s="72"/>
      <c r="W294" s="72"/>
      <c r="X294" s="72"/>
      <c r="Y294" s="72"/>
      <c r="Z294" s="72"/>
      <c r="AA294" s="72"/>
      <c r="AB294" s="72"/>
      <c r="AC294" s="72"/>
      <c r="AD294" s="72"/>
      <c r="AE294" s="72"/>
      <c r="AF294" s="72"/>
      <c r="AG294" s="72"/>
      <c r="AH294" s="72"/>
      <c r="AI294" s="72"/>
      <c r="AJ294" s="72"/>
      <c r="AK294" s="72"/>
      <c r="AL294" s="72"/>
      <c r="AM294" s="72"/>
      <c r="AN294" s="72"/>
      <c r="AO294" s="72"/>
      <c r="AP294" s="72"/>
      <c r="AQ294" s="72"/>
      <c r="AR294" s="72"/>
      <c r="AS294" s="72"/>
      <c r="AT294" s="72"/>
      <c r="AU294" s="72"/>
      <c r="AV294" s="72"/>
    </row>
    <row r="295" spans="1:48" s="37" customFormat="1" ht="16.5" x14ac:dyDescent="0.3">
      <c r="A295" s="72"/>
      <c r="B295" s="72"/>
      <c r="C295" s="72"/>
      <c r="D295" s="72"/>
      <c r="E295" s="72"/>
      <c r="F295" s="72"/>
      <c r="G295" s="72"/>
      <c r="H295" s="72"/>
      <c r="I295" s="72"/>
      <c r="J295" s="72"/>
      <c r="K295" s="72"/>
      <c r="L295" s="72"/>
      <c r="M295" s="72"/>
      <c r="N295" s="72"/>
      <c r="O295" s="72"/>
      <c r="P295" s="72"/>
      <c r="Q295" s="72"/>
      <c r="R295" s="72"/>
      <c r="S295" s="72"/>
      <c r="T295" s="72"/>
      <c r="U295" s="72"/>
      <c r="V295" s="72"/>
      <c r="W295" s="72"/>
      <c r="X295" s="72"/>
      <c r="Y295" s="72"/>
      <c r="Z295" s="72"/>
      <c r="AA295" s="72"/>
      <c r="AB295" s="72"/>
      <c r="AC295" s="72"/>
      <c r="AD295" s="72"/>
      <c r="AE295" s="72"/>
      <c r="AF295" s="72"/>
      <c r="AG295" s="72"/>
      <c r="AH295" s="72"/>
      <c r="AI295" s="72"/>
      <c r="AJ295" s="72"/>
      <c r="AK295" s="72"/>
      <c r="AL295" s="72"/>
      <c r="AM295" s="72"/>
      <c r="AN295" s="72"/>
      <c r="AO295" s="72"/>
      <c r="AP295" s="72"/>
      <c r="AQ295" s="72"/>
      <c r="AR295" s="72"/>
      <c r="AS295" s="72"/>
      <c r="AT295" s="72"/>
      <c r="AU295" s="72"/>
      <c r="AV295" s="72"/>
    </row>
    <row r="296" spans="1:48" s="37" customFormat="1" ht="16.5" x14ac:dyDescent="0.3">
      <c r="A296" s="72"/>
      <c r="B296" s="72"/>
      <c r="C296" s="72"/>
      <c r="D296" s="72"/>
      <c r="E296" s="72"/>
      <c r="F296" s="72"/>
      <c r="G296" s="72"/>
      <c r="H296" s="72"/>
      <c r="I296" s="72"/>
      <c r="J296" s="72"/>
      <c r="K296" s="72"/>
      <c r="L296" s="72"/>
      <c r="M296" s="72"/>
      <c r="N296" s="72"/>
      <c r="O296" s="72"/>
      <c r="P296" s="72"/>
      <c r="Q296" s="72"/>
      <c r="R296" s="72"/>
      <c r="S296" s="72"/>
      <c r="T296" s="72"/>
      <c r="U296" s="72"/>
      <c r="V296" s="72"/>
      <c r="W296" s="72"/>
      <c r="X296" s="72"/>
      <c r="Y296" s="72"/>
      <c r="Z296" s="72"/>
      <c r="AA296" s="72"/>
      <c r="AB296" s="72"/>
      <c r="AC296" s="72"/>
      <c r="AD296" s="72"/>
      <c r="AE296" s="72"/>
      <c r="AF296" s="72"/>
      <c r="AG296" s="72"/>
      <c r="AH296" s="72"/>
      <c r="AI296" s="72"/>
      <c r="AJ296" s="72"/>
      <c r="AK296" s="72"/>
      <c r="AL296" s="72"/>
      <c r="AM296" s="72"/>
      <c r="AN296" s="72"/>
      <c r="AO296" s="72"/>
      <c r="AP296" s="72"/>
      <c r="AQ296" s="72"/>
      <c r="AR296" s="72"/>
      <c r="AS296" s="72"/>
      <c r="AT296" s="72"/>
      <c r="AU296" s="72"/>
      <c r="AV296" s="72"/>
    </row>
    <row r="297" spans="1:48" s="37" customFormat="1" ht="16.5" x14ac:dyDescent="0.3">
      <c r="A297" s="72"/>
      <c r="B297" s="72"/>
      <c r="C297" s="72"/>
      <c r="D297" s="72"/>
      <c r="E297" s="72"/>
      <c r="F297" s="72"/>
      <c r="G297" s="72"/>
      <c r="H297" s="72"/>
      <c r="I297" s="72"/>
      <c r="J297" s="72"/>
      <c r="K297" s="72"/>
      <c r="L297" s="72"/>
      <c r="M297" s="72"/>
      <c r="N297" s="72"/>
      <c r="O297" s="72"/>
      <c r="P297" s="72"/>
      <c r="Q297" s="72"/>
      <c r="R297" s="72"/>
      <c r="S297" s="72"/>
      <c r="T297" s="72"/>
      <c r="U297" s="72"/>
      <c r="V297" s="72"/>
      <c r="W297" s="72"/>
      <c r="X297" s="72"/>
      <c r="Y297" s="72"/>
      <c r="Z297" s="72"/>
      <c r="AA297" s="72"/>
      <c r="AB297" s="72"/>
      <c r="AC297" s="72"/>
      <c r="AD297" s="72"/>
      <c r="AE297" s="72"/>
      <c r="AF297" s="72"/>
      <c r="AG297" s="72"/>
      <c r="AH297" s="72"/>
      <c r="AI297" s="72"/>
      <c r="AJ297" s="72"/>
      <c r="AK297" s="72"/>
      <c r="AL297" s="72"/>
      <c r="AM297" s="72"/>
      <c r="AN297" s="72"/>
      <c r="AO297" s="72"/>
      <c r="AP297" s="72"/>
      <c r="AQ297" s="72"/>
      <c r="AR297" s="72"/>
      <c r="AS297" s="72"/>
      <c r="AT297" s="72"/>
      <c r="AU297" s="72"/>
      <c r="AV297" s="72"/>
    </row>
    <row r="298" spans="1:48" s="37" customFormat="1" ht="16.5" x14ac:dyDescent="0.3">
      <c r="A298" s="72"/>
      <c r="B298" s="72"/>
      <c r="C298" s="72"/>
      <c r="D298" s="72"/>
      <c r="E298" s="72"/>
      <c r="F298" s="72"/>
      <c r="G298" s="72"/>
      <c r="H298" s="72"/>
      <c r="I298" s="72"/>
      <c r="J298" s="72"/>
      <c r="K298" s="72"/>
      <c r="L298" s="72"/>
      <c r="M298" s="72"/>
      <c r="N298" s="72"/>
      <c r="O298" s="72"/>
      <c r="P298" s="72"/>
      <c r="Q298" s="72"/>
      <c r="R298" s="72"/>
      <c r="S298" s="72"/>
      <c r="T298" s="72"/>
      <c r="U298" s="72"/>
      <c r="V298" s="72"/>
      <c r="W298" s="72"/>
      <c r="X298" s="72"/>
      <c r="Y298" s="72"/>
      <c r="Z298" s="72"/>
      <c r="AA298" s="72"/>
      <c r="AB298" s="72"/>
      <c r="AC298" s="72"/>
      <c r="AD298" s="72"/>
      <c r="AE298" s="72"/>
      <c r="AF298" s="72"/>
      <c r="AG298" s="72"/>
      <c r="AH298" s="72"/>
      <c r="AI298" s="72"/>
      <c r="AJ298" s="72"/>
      <c r="AK298" s="72"/>
      <c r="AL298" s="72"/>
      <c r="AM298" s="72"/>
      <c r="AN298" s="72"/>
      <c r="AO298" s="72"/>
      <c r="AP298" s="72"/>
      <c r="AQ298" s="72"/>
      <c r="AR298" s="72"/>
      <c r="AS298" s="72"/>
      <c r="AT298" s="72"/>
      <c r="AU298" s="72"/>
      <c r="AV298" s="72"/>
    </row>
    <row r="299" spans="1:48" s="37" customFormat="1" ht="16.5" x14ac:dyDescent="0.3">
      <c r="A299" s="72"/>
      <c r="B299" s="72"/>
      <c r="C299" s="72"/>
      <c r="D299" s="72"/>
      <c r="E299" s="72"/>
      <c r="F299" s="72"/>
      <c r="G299" s="72"/>
      <c r="H299" s="72"/>
      <c r="I299" s="72"/>
      <c r="J299" s="72"/>
      <c r="K299" s="72"/>
      <c r="L299" s="72"/>
      <c r="M299" s="72"/>
      <c r="N299" s="72"/>
      <c r="O299" s="72"/>
      <c r="P299" s="72"/>
      <c r="Q299" s="72"/>
      <c r="R299" s="72"/>
      <c r="S299" s="72"/>
      <c r="T299" s="72"/>
      <c r="U299" s="72"/>
      <c r="V299" s="72"/>
      <c r="W299" s="72"/>
      <c r="X299" s="72"/>
      <c r="Y299" s="72"/>
      <c r="Z299" s="72"/>
      <c r="AA299" s="72"/>
      <c r="AB299" s="72"/>
      <c r="AC299" s="72"/>
      <c r="AD299" s="72"/>
      <c r="AE299" s="72"/>
      <c r="AF299" s="72"/>
      <c r="AG299" s="72"/>
      <c r="AH299" s="72"/>
      <c r="AI299" s="72"/>
      <c r="AJ299" s="72"/>
      <c r="AK299" s="72"/>
      <c r="AL299" s="72"/>
      <c r="AM299" s="72"/>
      <c r="AN299" s="72"/>
      <c r="AO299" s="72"/>
      <c r="AP299" s="72"/>
      <c r="AQ299" s="72"/>
      <c r="AR299" s="72"/>
      <c r="AS299" s="72"/>
      <c r="AT299" s="72"/>
      <c r="AU299" s="72"/>
      <c r="AV299" s="72"/>
    </row>
    <row r="300" spans="1:48" s="37" customFormat="1" ht="16.5" x14ac:dyDescent="0.3">
      <c r="A300" s="72"/>
      <c r="B300" s="72"/>
      <c r="C300" s="72"/>
      <c r="D300" s="72"/>
      <c r="E300" s="72"/>
      <c r="F300" s="72"/>
      <c r="G300" s="72"/>
      <c r="H300" s="72"/>
      <c r="I300" s="72"/>
      <c r="J300" s="72"/>
      <c r="K300" s="72"/>
      <c r="L300" s="72"/>
      <c r="M300" s="72"/>
      <c r="N300" s="72"/>
      <c r="O300" s="72"/>
      <c r="P300" s="72"/>
      <c r="Q300" s="72"/>
      <c r="R300" s="72"/>
      <c r="S300" s="72"/>
      <c r="T300" s="72"/>
      <c r="U300" s="72"/>
      <c r="V300" s="72"/>
      <c r="W300" s="72"/>
      <c r="X300" s="72"/>
      <c r="Y300" s="72"/>
      <c r="Z300" s="72"/>
      <c r="AA300" s="72"/>
      <c r="AB300" s="72"/>
      <c r="AC300" s="72"/>
      <c r="AD300" s="72"/>
      <c r="AE300" s="72"/>
      <c r="AF300" s="72"/>
      <c r="AG300" s="72"/>
      <c r="AH300" s="72"/>
      <c r="AI300" s="72"/>
      <c r="AJ300" s="72"/>
      <c r="AK300" s="72"/>
      <c r="AL300" s="72"/>
      <c r="AM300" s="72"/>
      <c r="AN300" s="72"/>
      <c r="AO300" s="72"/>
      <c r="AP300" s="72"/>
      <c r="AQ300" s="72"/>
      <c r="AR300" s="72"/>
      <c r="AS300" s="72"/>
      <c r="AT300" s="72"/>
      <c r="AU300" s="72"/>
      <c r="AV300" s="72"/>
    </row>
    <row r="301" spans="1:48" s="37" customFormat="1" ht="16.5" x14ac:dyDescent="0.3">
      <c r="A301" s="72"/>
      <c r="B301" s="72"/>
      <c r="C301" s="72"/>
      <c r="D301" s="72"/>
      <c r="E301" s="72"/>
      <c r="F301" s="72"/>
      <c r="G301" s="72"/>
      <c r="H301" s="72"/>
      <c r="I301" s="72"/>
      <c r="J301" s="72"/>
      <c r="K301" s="72"/>
      <c r="L301" s="72"/>
      <c r="M301" s="72"/>
      <c r="N301" s="72"/>
      <c r="O301" s="72"/>
      <c r="P301" s="72"/>
      <c r="Q301" s="72"/>
      <c r="R301" s="72"/>
      <c r="S301" s="72"/>
      <c r="T301" s="72"/>
      <c r="U301" s="72"/>
      <c r="V301" s="72"/>
      <c r="W301" s="72"/>
      <c r="X301" s="72"/>
      <c r="Y301" s="72"/>
      <c r="Z301" s="72"/>
      <c r="AA301" s="72"/>
      <c r="AB301" s="72"/>
      <c r="AC301" s="72"/>
      <c r="AD301" s="72"/>
      <c r="AE301" s="72"/>
      <c r="AF301" s="72"/>
      <c r="AG301" s="72"/>
      <c r="AH301" s="72"/>
      <c r="AI301" s="72"/>
      <c r="AJ301" s="72"/>
      <c r="AK301" s="72"/>
      <c r="AL301" s="72"/>
      <c r="AM301" s="72"/>
      <c r="AN301" s="72"/>
      <c r="AO301" s="72"/>
      <c r="AP301" s="72"/>
      <c r="AQ301" s="72"/>
      <c r="AR301" s="72"/>
      <c r="AS301" s="72"/>
      <c r="AT301" s="72"/>
      <c r="AU301" s="72"/>
      <c r="AV301" s="72"/>
    </row>
    <row r="302" spans="1:48" s="37" customFormat="1" ht="16.5" x14ac:dyDescent="0.3">
      <c r="A302" s="72"/>
      <c r="B302" s="72"/>
      <c r="C302" s="72"/>
      <c r="D302" s="72"/>
      <c r="E302" s="72"/>
      <c r="F302" s="72"/>
      <c r="G302" s="72"/>
      <c r="H302" s="72"/>
      <c r="I302" s="72"/>
      <c r="J302" s="72"/>
      <c r="K302" s="72"/>
      <c r="L302" s="72"/>
      <c r="M302" s="72"/>
      <c r="N302" s="72"/>
      <c r="O302" s="72"/>
      <c r="P302" s="72"/>
      <c r="Q302" s="72"/>
      <c r="R302" s="72"/>
      <c r="S302" s="72"/>
      <c r="T302" s="72"/>
      <c r="U302" s="72"/>
      <c r="V302" s="72"/>
      <c r="W302" s="72"/>
      <c r="X302" s="72"/>
      <c r="Y302" s="72"/>
      <c r="Z302" s="72"/>
      <c r="AA302" s="72"/>
      <c r="AB302" s="72"/>
      <c r="AC302" s="72"/>
      <c r="AD302" s="72"/>
      <c r="AE302" s="72"/>
      <c r="AF302" s="72"/>
      <c r="AG302" s="72"/>
      <c r="AH302" s="72"/>
      <c r="AI302" s="72"/>
      <c r="AJ302" s="72"/>
      <c r="AK302" s="72"/>
      <c r="AL302" s="72"/>
      <c r="AM302" s="72"/>
      <c r="AN302" s="72"/>
      <c r="AO302" s="72"/>
      <c r="AP302" s="72"/>
      <c r="AQ302" s="72"/>
      <c r="AR302" s="72"/>
      <c r="AS302" s="72"/>
      <c r="AT302" s="72"/>
      <c r="AU302" s="72"/>
      <c r="AV302" s="72"/>
    </row>
    <row r="303" spans="1:48" s="37" customFormat="1" ht="16.5" x14ac:dyDescent="0.3">
      <c r="A303" s="72"/>
      <c r="B303" s="72"/>
      <c r="C303" s="72"/>
      <c r="D303" s="72"/>
      <c r="E303" s="72"/>
      <c r="F303" s="72"/>
      <c r="G303" s="72"/>
      <c r="H303" s="72"/>
      <c r="I303" s="72"/>
      <c r="J303" s="72"/>
      <c r="K303" s="72"/>
      <c r="L303" s="72"/>
      <c r="M303" s="72"/>
      <c r="N303" s="72"/>
      <c r="O303" s="72"/>
      <c r="P303" s="72"/>
      <c r="Q303" s="72"/>
      <c r="R303" s="72"/>
      <c r="S303" s="72"/>
      <c r="T303" s="72"/>
      <c r="U303" s="72"/>
      <c r="V303" s="72"/>
      <c r="W303" s="72"/>
      <c r="X303" s="72"/>
      <c r="Y303" s="72"/>
      <c r="Z303" s="72"/>
      <c r="AA303" s="72"/>
      <c r="AB303" s="72"/>
      <c r="AC303" s="72"/>
      <c r="AD303" s="72"/>
      <c r="AE303" s="72"/>
      <c r="AF303" s="72"/>
      <c r="AG303" s="72"/>
      <c r="AH303" s="72"/>
      <c r="AI303" s="72"/>
      <c r="AJ303" s="72"/>
      <c r="AK303" s="72"/>
      <c r="AL303" s="72"/>
      <c r="AM303" s="72"/>
      <c r="AN303" s="72"/>
      <c r="AO303" s="72"/>
      <c r="AP303" s="72"/>
      <c r="AQ303" s="72"/>
      <c r="AR303" s="72"/>
      <c r="AS303" s="72"/>
      <c r="AT303" s="72"/>
      <c r="AU303" s="72"/>
      <c r="AV303" s="72"/>
    </row>
    <row r="304" spans="1:48" s="37" customFormat="1" ht="16.5" x14ac:dyDescent="0.3">
      <c r="A304" s="72"/>
      <c r="B304" s="72"/>
      <c r="C304" s="72"/>
      <c r="D304" s="72"/>
      <c r="E304" s="72"/>
      <c r="F304" s="72"/>
      <c r="G304" s="72"/>
      <c r="H304" s="72"/>
      <c r="I304" s="72"/>
      <c r="J304" s="72"/>
      <c r="K304" s="72"/>
      <c r="L304" s="72"/>
      <c r="M304" s="72"/>
      <c r="N304" s="72"/>
      <c r="O304" s="72"/>
      <c r="P304" s="72"/>
      <c r="Q304" s="72"/>
      <c r="R304" s="72"/>
      <c r="S304" s="72"/>
      <c r="T304" s="72"/>
      <c r="U304" s="72"/>
      <c r="V304" s="72"/>
      <c r="W304" s="72"/>
      <c r="X304" s="72"/>
      <c r="Y304" s="72"/>
      <c r="Z304" s="72"/>
      <c r="AA304" s="72"/>
      <c r="AB304" s="72"/>
      <c r="AC304" s="72"/>
      <c r="AD304" s="72"/>
      <c r="AE304" s="72"/>
      <c r="AF304" s="72"/>
      <c r="AG304" s="72"/>
      <c r="AH304" s="72"/>
      <c r="AI304" s="72"/>
      <c r="AJ304" s="72"/>
      <c r="AK304" s="72"/>
      <c r="AL304" s="72"/>
      <c r="AM304" s="72"/>
      <c r="AN304" s="72"/>
      <c r="AO304" s="72"/>
      <c r="AP304" s="72"/>
      <c r="AQ304" s="72"/>
      <c r="AR304" s="72"/>
      <c r="AS304" s="72"/>
      <c r="AT304" s="72"/>
      <c r="AU304" s="72"/>
      <c r="AV304" s="72"/>
    </row>
    <row r="305" spans="1:48" s="37" customFormat="1" ht="16.5" x14ac:dyDescent="0.3">
      <c r="A305" s="72"/>
      <c r="B305" s="72"/>
      <c r="C305" s="72"/>
      <c r="D305" s="72"/>
      <c r="E305" s="72"/>
      <c r="F305" s="72"/>
      <c r="G305" s="72"/>
      <c r="H305" s="72"/>
      <c r="I305" s="72"/>
      <c r="J305" s="72"/>
      <c r="K305" s="72"/>
      <c r="L305" s="72"/>
      <c r="M305" s="72"/>
      <c r="N305" s="72"/>
      <c r="O305" s="72"/>
      <c r="P305" s="72"/>
      <c r="Q305" s="72"/>
      <c r="R305" s="72"/>
      <c r="S305" s="72"/>
      <c r="T305" s="72"/>
      <c r="U305" s="72"/>
      <c r="V305" s="72"/>
      <c r="W305" s="72"/>
      <c r="X305" s="72"/>
      <c r="Y305" s="72"/>
      <c r="Z305" s="72"/>
      <c r="AA305" s="72"/>
      <c r="AB305" s="72"/>
      <c r="AC305" s="72"/>
      <c r="AD305" s="72"/>
      <c r="AE305" s="72"/>
      <c r="AF305" s="72"/>
      <c r="AG305" s="72"/>
      <c r="AH305" s="72"/>
      <c r="AI305" s="72"/>
      <c r="AJ305" s="72"/>
      <c r="AK305" s="72"/>
      <c r="AL305" s="72"/>
      <c r="AM305" s="72"/>
      <c r="AN305" s="72"/>
      <c r="AO305" s="72"/>
      <c r="AP305" s="72"/>
      <c r="AQ305" s="72"/>
      <c r="AR305" s="72"/>
      <c r="AS305" s="72"/>
      <c r="AT305" s="72"/>
      <c r="AU305" s="72"/>
      <c r="AV305" s="72"/>
    </row>
    <row r="306" spans="1:48" s="37" customFormat="1" ht="16.5" x14ac:dyDescent="0.3">
      <c r="A306" s="72"/>
      <c r="B306" s="72"/>
      <c r="C306" s="72"/>
      <c r="D306" s="72"/>
      <c r="E306" s="72"/>
      <c r="F306" s="72"/>
      <c r="G306" s="72"/>
      <c r="H306" s="72"/>
      <c r="I306" s="72"/>
      <c r="J306" s="72"/>
      <c r="K306" s="72"/>
      <c r="L306" s="72"/>
      <c r="M306" s="72"/>
      <c r="N306" s="72"/>
      <c r="O306" s="72"/>
      <c r="P306" s="72"/>
      <c r="Q306" s="72"/>
      <c r="R306" s="72"/>
      <c r="S306" s="72"/>
      <c r="T306" s="72"/>
      <c r="U306" s="72"/>
      <c r="V306" s="72"/>
      <c r="W306" s="72"/>
      <c r="X306" s="72"/>
      <c r="Y306" s="72"/>
      <c r="Z306" s="72"/>
      <c r="AA306" s="72"/>
      <c r="AB306" s="72"/>
      <c r="AC306" s="72"/>
      <c r="AD306" s="72"/>
      <c r="AE306" s="72"/>
      <c r="AF306" s="72"/>
      <c r="AG306" s="72"/>
      <c r="AH306" s="72"/>
      <c r="AI306" s="72"/>
      <c r="AJ306" s="72"/>
      <c r="AK306" s="72"/>
      <c r="AL306" s="72"/>
      <c r="AM306" s="72"/>
      <c r="AN306" s="72"/>
      <c r="AO306" s="72"/>
      <c r="AP306" s="72"/>
      <c r="AQ306" s="72"/>
      <c r="AR306" s="72"/>
      <c r="AS306" s="72"/>
      <c r="AT306" s="72"/>
      <c r="AU306" s="72"/>
      <c r="AV306" s="72"/>
    </row>
    <row r="307" spans="1:48" s="37" customFormat="1" ht="16.5" x14ac:dyDescent="0.3">
      <c r="A307" s="72"/>
      <c r="B307" s="72"/>
      <c r="C307" s="72"/>
      <c r="D307" s="72"/>
      <c r="E307" s="72"/>
      <c r="F307" s="72"/>
      <c r="G307" s="72"/>
      <c r="H307" s="72"/>
      <c r="I307" s="72"/>
      <c r="J307" s="72"/>
      <c r="K307" s="72"/>
      <c r="L307" s="72"/>
      <c r="M307" s="72"/>
      <c r="N307" s="72"/>
      <c r="O307" s="72"/>
      <c r="P307" s="72"/>
      <c r="Q307" s="72"/>
      <c r="R307" s="72"/>
      <c r="S307" s="72"/>
      <c r="T307" s="72"/>
      <c r="U307" s="72"/>
      <c r="V307" s="72"/>
      <c r="W307" s="72"/>
      <c r="X307" s="72"/>
      <c r="Y307" s="72"/>
      <c r="Z307" s="72"/>
      <c r="AA307" s="72"/>
      <c r="AB307" s="72"/>
      <c r="AC307" s="72"/>
      <c r="AD307" s="72"/>
      <c r="AE307" s="72"/>
      <c r="AF307" s="72"/>
      <c r="AG307" s="72"/>
      <c r="AH307" s="72"/>
      <c r="AI307" s="72"/>
      <c r="AJ307" s="72"/>
      <c r="AK307" s="72"/>
      <c r="AL307" s="72"/>
      <c r="AM307" s="72"/>
      <c r="AN307" s="72"/>
      <c r="AO307" s="72"/>
      <c r="AP307" s="72"/>
      <c r="AQ307" s="72"/>
      <c r="AR307" s="72"/>
      <c r="AS307" s="72"/>
      <c r="AT307" s="72"/>
      <c r="AU307" s="72"/>
      <c r="AV307" s="72"/>
    </row>
    <row r="308" spans="1:48" s="37" customFormat="1" ht="16.5" x14ac:dyDescent="0.3">
      <c r="A308" s="72"/>
      <c r="B308" s="72"/>
      <c r="C308" s="72"/>
      <c r="D308" s="72"/>
      <c r="E308" s="72"/>
      <c r="F308" s="72"/>
      <c r="G308" s="72"/>
      <c r="H308" s="72"/>
      <c r="I308" s="72"/>
      <c r="J308" s="72"/>
      <c r="K308" s="72"/>
      <c r="L308" s="72"/>
      <c r="M308" s="72"/>
      <c r="N308" s="72"/>
      <c r="O308" s="72"/>
      <c r="P308" s="72"/>
      <c r="Q308" s="72"/>
      <c r="R308" s="72"/>
      <c r="S308" s="72"/>
      <c r="T308" s="72"/>
      <c r="U308" s="72"/>
      <c r="V308" s="72"/>
      <c r="W308" s="72"/>
      <c r="X308" s="72"/>
      <c r="Y308" s="72"/>
      <c r="Z308" s="72"/>
      <c r="AA308" s="72"/>
      <c r="AB308" s="72"/>
      <c r="AC308" s="72"/>
      <c r="AD308" s="72"/>
      <c r="AE308" s="72"/>
      <c r="AF308" s="72"/>
      <c r="AG308" s="72"/>
      <c r="AH308" s="72"/>
      <c r="AI308" s="72"/>
      <c r="AJ308" s="72"/>
      <c r="AK308" s="72"/>
      <c r="AL308" s="72"/>
      <c r="AM308" s="72"/>
      <c r="AN308" s="72"/>
      <c r="AO308" s="72"/>
      <c r="AP308" s="72"/>
      <c r="AQ308" s="72"/>
      <c r="AR308" s="72"/>
      <c r="AS308" s="72"/>
      <c r="AT308" s="72"/>
      <c r="AU308" s="72"/>
      <c r="AV308" s="72"/>
    </row>
    <row r="309" spans="1:48" s="37" customFormat="1" ht="16.5" x14ac:dyDescent="0.3">
      <c r="A309" s="72"/>
      <c r="B309" s="72"/>
      <c r="C309" s="72"/>
      <c r="D309" s="72"/>
      <c r="E309" s="72"/>
      <c r="F309" s="72"/>
      <c r="G309" s="72"/>
      <c r="H309" s="72"/>
      <c r="I309" s="72"/>
      <c r="J309" s="72"/>
      <c r="K309" s="72"/>
      <c r="L309" s="72"/>
      <c r="M309" s="72"/>
      <c r="N309" s="72"/>
      <c r="O309" s="72"/>
      <c r="P309" s="72"/>
      <c r="Q309" s="72"/>
      <c r="R309" s="72"/>
      <c r="S309" s="72"/>
      <c r="T309" s="72"/>
      <c r="U309" s="72"/>
      <c r="V309" s="72"/>
      <c r="W309" s="72"/>
      <c r="X309" s="72"/>
      <c r="Y309" s="72"/>
      <c r="Z309" s="72"/>
      <c r="AA309" s="72"/>
      <c r="AB309" s="72"/>
      <c r="AC309" s="72"/>
      <c r="AD309" s="72"/>
      <c r="AE309" s="72"/>
      <c r="AF309" s="72"/>
      <c r="AG309" s="72"/>
      <c r="AH309" s="72"/>
      <c r="AI309" s="72"/>
      <c r="AJ309" s="72"/>
      <c r="AK309" s="72"/>
      <c r="AL309" s="72"/>
      <c r="AM309" s="72"/>
      <c r="AN309" s="72"/>
      <c r="AO309" s="72"/>
      <c r="AP309" s="72"/>
      <c r="AQ309" s="72"/>
      <c r="AR309" s="72"/>
      <c r="AS309" s="72"/>
      <c r="AT309" s="72"/>
      <c r="AU309" s="72"/>
      <c r="AV309" s="72"/>
    </row>
    <row r="310" spans="1:48" s="37" customFormat="1" ht="16.5" x14ac:dyDescent="0.3">
      <c r="A310" s="72"/>
      <c r="B310" s="72"/>
      <c r="C310" s="72"/>
      <c r="D310" s="72"/>
      <c r="E310" s="72"/>
      <c r="F310" s="72"/>
      <c r="G310" s="72"/>
      <c r="H310" s="72"/>
      <c r="I310" s="72"/>
      <c r="J310" s="72"/>
      <c r="K310" s="72"/>
      <c r="L310" s="72"/>
      <c r="M310" s="72"/>
      <c r="N310" s="72"/>
      <c r="O310" s="72"/>
      <c r="P310" s="72"/>
      <c r="Q310" s="72"/>
      <c r="R310" s="72"/>
      <c r="S310" s="72"/>
      <c r="T310" s="72"/>
      <c r="U310" s="72"/>
      <c r="V310" s="72"/>
      <c r="W310" s="72"/>
      <c r="X310" s="72"/>
      <c r="Y310" s="72"/>
      <c r="Z310" s="72"/>
      <c r="AA310" s="72"/>
      <c r="AB310" s="72"/>
      <c r="AC310" s="72"/>
      <c r="AD310" s="72"/>
      <c r="AE310" s="72"/>
      <c r="AF310" s="72"/>
      <c r="AG310" s="72"/>
      <c r="AH310" s="72"/>
      <c r="AI310" s="72"/>
      <c r="AJ310" s="72"/>
      <c r="AK310" s="72"/>
      <c r="AL310" s="72"/>
      <c r="AM310" s="72"/>
      <c r="AN310" s="72"/>
      <c r="AO310" s="72"/>
      <c r="AP310" s="72"/>
      <c r="AQ310" s="72"/>
      <c r="AR310" s="72"/>
      <c r="AS310" s="72"/>
      <c r="AT310" s="72"/>
      <c r="AU310" s="72"/>
      <c r="AV310" s="72"/>
    </row>
    <row r="311" spans="1:48" s="37" customFormat="1" ht="16.5" x14ac:dyDescent="0.3">
      <c r="A311" s="72"/>
      <c r="B311" s="72"/>
      <c r="C311" s="72"/>
      <c r="D311" s="72"/>
      <c r="E311" s="72"/>
      <c r="F311" s="72"/>
      <c r="G311" s="72"/>
      <c r="H311" s="72"/>
      <c r="I311" s="72"/>
      <c r="J311" s="72"/>
      <c r="K311" s="72"/>
      <c r="L311" s="72"/>
      <c r="M311" s="72"/>
      <c r="N311" s="72"/>
      <c r="O311" s="72"/>
      <c r="P311" s="72"/>
      <c r="Q311" s="72"/>
      <c r="R311" s="72"/>
      <c r="S311" s="72"/>
      <c r="T311" s="72"/>
      <c r="U311" s="72"/>
      <c r="V311" s="72"/>
      <c r="W311" s="72"/>
      <c r="X311" s="72"/>
      <c r="Y311" s="72"/>
      <c r="Z311" s="72"/>
      <c r="AA311" s="72"/>
      <c r="AB311" s="72"/>
      <c r="AC311" s="72"/>
      <c r="AD311" s="72"/>
      <c r="AE311" s="72"/>
      <c r="AF311" s="72"/>
      <c r="AG311" s="72"/>
      <c r="AH311" s="72"/>
      <c r="AI311" s="72"/>
      <c r="AJ311" s="72"/>
      <c r="AK311" s="72"/>
      <c r="AL311" s="72"/>
      <c r="AM311" s="72"/>
      <c r="AN311" s="72"/>
      <c r="AO311" s="72"/>
      <c r="AP311" s="72"/>
      <c r="AQ311" s="72"/>
      <c r="AR311" s="72"/>
      <c r="AS311" s="72"/>
      <c r="AT311" s="72"/>
      <c r="AU311" s="72"/>
      <c r="AV311" s="72"/>
    </row>
    <row r="312" spans="1:48" s="37" customFormat="1" ht="16.5" x14ac:dyDescent="0.3">
      <c r="A312" s="72"/>
      <c r="B312" s="72"/>
      <c r="C312" s="72"/>
      <c r="D312" s="72"/>
      <c r="E312" s="72"/>
      <c r="F312" s="72"/>
      <c r="G312" s="72"/>
      <c r="H312" s="72"/>
      <c r="I312" s="72"/>
      <c r="J312" s="72"/>
      <c r="K312" s="72"/>
      <c r="L312" s="72"/>
      <c r="M312" s="72"/>
      <c r="N312" s="72"/>
      <c r="O312" s="72"/>
      <c r="P312" s="72"/>
      <c r="Q312" s="72"/>
      <c r="R312" s="72"/>
      <c r="S312" s="72"/>
      <c r="T312" s="72"/>
      <c r="U312" s="72"/>
      <c r="V312" s="72"/>
      <c r="W312" s="72"/>
      <c r="X312" s="72"/>
      <c r="Y312" s="72"/>
      <c r="Z312" s="72"/>
      <c r="AA312" s="72"/>
      <c r="AB312" s="72"/>
      <c r="AC312" s="72"/>
      <c r="AD312" s="72"/>
      <c r="AE312" s="72"/>
      <c r="AF312" s="72"/>
      <c r="AG312" s="72"/>
      <c r="AH312" s="72"/>
      <c r="AI312" s="72"/>
      <c r="AJ312" s="72"/>
      <c r="AK312" s="72"/>
      <c r="AL312" s="72"/>
      <c r="AM312" s="72"/>
      <c r="AN312" s="72"/>
      <c r="AO312" s="72"/>
      <c r="AP312" s="72"/>
      <c r="AQ312" s="72"/>
      <c r="AR312" s="72"/>
      <c r="AS312" s="72"/>
      <c r="AT312" s="72"/>
      <c r="AU312" s="72"/>
      <c r="AV312" s="72"/>
    </row>
    <row r="313" spans="1:48" s="37" customFormat="1" ht="16.5" x14ac:dyDescent="0.3">
      <c r="A313" s="72"/>
      <c r="B313" s="72"/>
      <c r="C313" s="72"/>
      <c r="D313" s="72"/>
      <c r="E313" s="72"/>
      <c r="F313" s="72"/>
      <c r="G313" s="72"/>
      <c r="H313" s="72"/>
      <c r="I313" s="72"/>
      <c r="J313" s="72"/>
      <c r="K313" s="72"/>
      <c r="L313" s="72"/>
      <c r="M313" s="72"/>
      <c r="N313" s="72"/>
      <c r="O313" s="72"/>
      <c r="P313" s="72"/>
      <c r="Q313" s="72"/>
      <c r="R313" s="72"/>
      <c r="S313" s="72"/>
      <c r="T313" s="72"/>
      <c r="U313" s="72"/>
      <c r="V313" s="72"/>
      <c r="W313" s="72"/>
      <c r="X313" s="72"/>
      <c r="Y313" s="72"/>
      <c r="Z313" s="72"/>
      <c r="AA313" s="72"/>
      <c r="AB313" s="72"/>
      <c r="AC313" s="72"/>
      <c r="AD313" s="72"/>
      <c r="AE313" s="72"/>
      <c r="AF313" s="72"/>
      <c r="AG313" s="72"/>
      <c r="AH313" s="72"/>
      <c r="AI313" s="72"/>
      <c r="AJ313" s="72"/>
      <c r="AK313" s="72"/>
      <c r="AL313" s="72"/>
      <c r="AM313" s="72"/>
      <c r="AN313" s="72"/>
      <c r="AO313" s="72"/>
      <c r="AP313" s="72"/>
      <c r="AQ313" s="72"/>
      <c r="AR313" s="72"/>
      <c r="AS313" s="72"/>
      <c r="AT313" s="72"/>
      <c r="AU313" s="72"/>
      <c r="AV313" s="72"/>
    </row>
    <row r="314" spans="1:48" s="37" customFormat="1" ht="16.5" x14ac:dyDescent="0.3">
      <c r="A314" s="72"/>
      <c r="B314" s="72"/>
      <c r="C314" s="72"/>
      <c r="D314" s="72"/>
      <c r="E314" s="72"/>
      <c r="F314" s="72"/>
      <c r="G314" s="72"/>
      <c r="H314" s="72"/>
      <c r="I314" s="72"/>
      <c r="J314" s="72"/>
      <c r="K314" s="72"/>
      <c r="L314" s="72"/>
      <c r="M314" s="72"/>
      <c r="N314" s="72"/>
      <c r="O314" s="72"/>
      <c r="P314" s="72"/>
      <c r="Q314" s="72"/>
      <c r="R314" s="72"/>
      <c r="S314" s="72"/>
      <c r="T314" s="72"/>
      <c r="U314" s="72"/>
      <c r="V314" s="72"/>
      <c r="W314" s="72"/>
      <c r="X314" s="72"/>
      <c r="Y314" s="72"/>
      <c r="Z314" s="72"/>
      <c r="AA314" s="72"/>
      <c r="AB314" s="72"/>
      <c r="AC314" s="72"/>
      <c r="AD314" s="72"/>
      <c r="AE314" s="72"/>
      <c r="AF314" s="72"/>
      <c r="AG314" s="72"/>
      <c r="AH314" s="72"/>
      <c r="AI314" s="72"/>
      <c r="AJ314" s="72"/>
      <c r="AK314" s="72"/>
      <c r="AL314" s="72"/>
      <c r="AM314" s="72"/>
      <c r="AN314" s="72"/>
      <c r="AO314" s="72"/>
      <c r="AP314" s="72"/>
      <c r="AQ314" s="72"/>
      <c r="AR314" s="72"/>
      <c r="AS314" s="72"/>
      <c r="AT314" s="72"/>
      <c r="AU314" s="72"/>
      <c r="AV314" s="72"/>
    </row>
    <row r="315" spans="1:48" s="37" customFormat="1" ht="16.5" x14ac:dyDescent="0.3">
      <c r="A315" s="72"/>
      <c r="B315" s="72"/>
      <c r="C315" s="72"/>
      <c r="D315" s="72"/>
      <c r="E315" s="72"/>
      <c r="F315" s="72"/>
      <c r="G315" s="72"/>
      <c r="H315" s="72"/>
      <c r="I315" s="72"/>
      <c r="J315" s="72"/>
      <c r="K315" s="72"/>
      <c r="L315" s="72"/>
      <c r="M315" s="72"/>
      <c r="N315" s="72"/>
      <c r="O315" s="72"/>
      <c r="P315" s="72"/>
      <c r="Q315" s="72"/>
      <c r="R315" s="72"/>
      <c r="S315" s="72"/>
      <c r="T315" s="72"/>
      <c r="U315" s="72"/>
      <c r="V315" s="72"/>
      <c r="W315" s="72"/>
      <c r="X315" s="72"/>
      <c r="Y315" s="72"/>
      <c r="Z315" s="72"/>
      <c r="AA315" s="72"/>
      <c r="AB315" s="72"/>
      <c r="AC315" s="72"/>
      <c r="AD315" s="72"/>
      <c r="AE315" s="72"/>
      <c r="AF315" s="72"/>
      <c r="AG315" s="72"/>
      <c r="AH315" s="72"/>
      <c r="AI315" s="72"/>
      <c r="AJ315" s="72"/>
      <c r="AK315" s="72"/>
      <c r="AL315" s="72"/>
      <c r="AM315" s="72"/>
      <c r="AN315" s="72"/>
      <c r="AO315" s="72"/>
      <c r="AP315" s="72"/>
      <c r="AQ315" s="72"/>
      <c r="AR315" s="72"/>
      <c r="AS315" s="72"/>
      <c r="AT315" s="72"/>
      <c r="AU315" s="72"/>
      <c r="AV315" s="72"/>
    </row>
    <row r="316" spans="1:48" s="37" customFormat="1" ht="16.5" x14ac:dyDescent="0.3">
      <c r="A316" s="72"/>
      <c r="B316" s="72"/>
      <c r="C316" s="72"/>
      <c r="D316" s="72"/>
      <c r="E316" s="72"/>
      <c r="F316" s="72"/>
      <c r="G316" s="72"/>
      <c r="H316" s="72"/>
      <c r="I316" s="72"/>
      <c r="J316" s="72"/>
      <c r="K316" s="72"/>
      <c r="L316" s="72"/>
      <c r="M316" s="72"/>
      <c r="N316" s="72"/>
      <c r="O316" s="72"/>
      <c r="P316" s="72"/>
      <c r="Q316" s="72"/>
      <c r="R316" s="72"/>
      <c r="S316" s="72"/>
      <c r="T316" s="72"/>
      <c r="U316" s="72"/>
      <c r="V316" s="72"/>
      <c r="W316" s="72"/>
      <c r="X316" s="72"/>
      <c r="Y316" s="72"/>
      <c r="Z316" s="72"/>
      <c r="AA316" s="72"/>
      <c r="AB316" s="72"/>
      <c r="AC316" s="72"/>
      <c r="AD316" s="72"/>
      <c r="AE316" s="72"/>
      <c r="AF316" s="72"/>
      <c r="AG316" s="72"/>
      <c r="AH316" s="72"/>
      <c r="AI316" s="72"/>
      <c r="AJ316" s="72"/>
      <c r="AK316" s="72"/>
      <c r="AL316" s="72"/>
      <c r="AM316" s="72"/>
      <c r="AN316" s="72"/>
      <c r="AO316" s="72"/>
      <c r="AP316" s="72"/>
      <c r="AQ316" s="72"/>
      <c r="AR316" s="72"/>
      <c r="AS316" s="72"/>
      <c r="AT316" s="72"/>
      <c r="AU316" s="72"/>
      <c r="AV316" s="72"/>
    </row>
    <row r="317" spans="1:48" s="37" customFormat="1" ht="16.5" x14ac:dyDescent="0.3">
      <c r="A317" s="72"/>
      <c r="B317" s="72"/>
      <c r="C317" s="72"/>
      <c r="D317" s="72"/>
      <c r="E317" s="72"/>
      <c r="F317" s="72"/>
      <c r="G317" s="72"/>
      <c r="H317" s="72"/>
      <c r="I317" s="72"/>
      <c r="J317" s="72"/>
      <c r="K317" s="72"/>
      <c r="L317" s="72"/>
      <c r="M317" s="72"/>
      <c r="N317" s="72"/>
      <c r="O317" s="72"/>
      <c r="P317" s="72"/>
      <c r="Q317" s="72"/>
      <c r="R317" s="72"/>
      <c r="S317" s="72"/>
      <c r="T317" s="72"/>
      <c r="U317" s="72"/>
      <c r="V317" s="72"/>
      <c r="W317" s="72"/>
      <c r="X317" s="72"/>
      <c r="Y317" s="72"/>
      <c r="Z317" s="72"/>
      <c r="AA317" s="72"/>
      <c r="AB317" s="72"/>
      <c r="AC317" s="72"/>
      <c r="AD317" s="72"/>
      <c r="AE317" s="72"/>
      <c r="AF317" s="72"/>
      <c r="AG317" s="72"/>
      <c r="AH317" s="72"/>
      <c r="AI317" s="72"/>
      <c r="AJ317" s="72"/>
      <c r="AK317" s="72"/>
      <c r="AL317" s="72"/>
      <c r="AM317" s="72"/>
      <c r="AN317" s="72"/>
      <c r="AO317" s="72"/>
      <c r="AP317" s="72"/>
      <c r="AQ317" s="72"/>
      <c r="AR317" s="72"/>
      <c r="AS317" s="72"/>
      <c r="AT317" s="72"/>
      <c r="AU317" s="72"/>
      <c r="AV317" s="72"/>
    </row>
    <row r="318" spans="1:48" s="37" customFormat="1" ht="16.5" x14ac:dyDescent="0.3">
      <c r="A318" s="72"/>
      <c r="B318" s="72"/>
      <c r="C318" s="72"/>
      <c r="D318" s="72"/>
      <c r="E318" s="72"/>
      <c r="F318" s="72"/>
      <c r="G318" s="72"/>
      <c r="H318" s="72"/>
      <c r="I318" s="72"/>
      <c r="J318" s="72"/>
      <c r="K318" s="72"/>
      <c r="L318" s="72"/>
      <c r="M318" s="72"/>
      <c r="N318" s="72"/>
      <c r="O318" s="72"/>
      <c r="P318" s="72"/>
      <c r="Q318" s="72"/>
      <c r="R318" s="72"/>
      <c r="S318" s="72"/>
      <c r="T318" s="72"/>
      <c r="U318" s="72"/>
      <c r="V318" s="72"/>
      <c r="W318" s="72"/>
      <c r="X318" s="72"/>
      <c r="Y318" s="72"/>
      <c r="Z318" s="72"/>
      <c r="AA318" s="72"/>
      <c r="AB318" s="72"/>
      <c r="AC318" s="72"/>
      <c r="AD318" s="72"/>
      <c r="AE318" s="72"/>
      <c r="AF318" s="72"/>
      <c r="AG318" s="72"/>
      <c r="AH318" s="72"/>
      <c r="AI318" s="72"/>
      <c r="AJ318" s="72"/>
      <c r="AK318" s="72"/>
      <c r="AL318" s="72"/>
      <c r="AM318" s="72"/>
      <c r="AN318" s="72"/>
      <c r="AO318" s="72"/>
      <c r="AP318" s="72"/>
      <c r="AQ318" s="72"/>
      <c r="AR318" s="72"/>
      <c r="AS318" s="72"/>
      <c r="AT318" s="72"/>
      <c r="AU318" s="72"/>
      <c r="AV318" s="72"/>
    </row>
    <row r="319" spans="1:48" s="37" customFormat="1" ht="16.5" x14ac:dyDescent="0.3">
      <c r="A319" s="72"/>
      <c r="B319" s="72"/>
      <c r="C319" s="72"/>
      <c r="D319" s="72"/>
      <c r="E319" s="72"/>
      <c r="F319" s="72"/>
      <c r="G319" s="72"/>
      <c r="H319" s="72"/>
      <c r="I319" s="72"/>
      <c r="J319" s="72"/>
      <c r="K319" s="72"/>
      <c r="L319" s="72"/>
      <c r="M319" s="72"/>
      <c r="N319" s="72"/>
      <c r="O319" s="72"/>
      <c r="P319" s="72"/>
      <c r="Q319" s="72"/>
      <c r="R319" s="72"/>
      <c r="S319" s="72"/>
      <c r="T319" s="72"/>
      <c r="U319" s="72"/>
      <c r="V319" s="72"/>
      <c r="W319" s="72"/>
      <c r="X319" s="72"/>
      <c r="Y319" s="72"/>
      <c r="Z319" s="72"/>
      <c r="AA319" s="72"/>
      <c r="AB319" s="72"/>
      <c r="AC319" s="72"/>
      <c r="AD319" s="72"/>
      <c r="AE319" s="72"/>
      <c r="AF319" s="72"/>
      <c r="AG319" s="72"/>
      <c r="AH319" s="72"/>
      <c r="AI319" s="72"/>
      <c r="AJ319" s="72"/>
      <c r="AK319" s="72"/>
      <c r="AL319" s="72"/>
      <c r="AM319" s="72"/>
      <c r="AN319" s="72"/>
      <c r="AO319" s="72"/>
      <c r="AP319" s="72"/>
      <c r="AQ319" s="72"/>
      <c r="AR319" s="72"/>
      <c r="AS319" s="72"/>
      <c r="AT319" s="72"/>
      <c r="AU319" s="72"/>
      <c r="AV319" s="72"/>
    </row>
    <row r="320" spans="1:48" s="37" customFormat="1" ht="16.5" x14ac:dyDescent="0.3">
      <c r="A320" s="72"/>
      <c r="B320" s="72"/>
      <c r="C320" s="72"/>
      <c r="D320" s="72"/>
      <c r="E320" s="72"/>
      <c r="F320" s="72"/>
      <c r="G320" s="72"/>
      <c r="H320" s="72"/>
      <c r="I320" s="72"/>
      <c r="J320" s="72"/>
      <c r="K320" s="72"/>
      <c r="L320" s="72"/>
      <c r="M320" s="72"/>
      <c r="N320" s="72"/>
      <c r="O320" s="72"/>
      <c r="P320" s="72"/>
      <c r="Q320" s="72"/>
      <c r="R320" s="72"/>
      <c r="S320" s="72"/>
      <c r="T320" s="72"/>
      <c r="U320" s="72"/>
      <c r="V320" s="72"/>
      <c r="W320" s="72"/>
      <c r="X320" s="72"/>
      <c r="Y320" s="72"/>
      <c r="Z320" s="72"/>
      <c r="AA320" s="72"/>
      <c r="AB320" s="72"/>
      <c r="AC320" s="72"/>
      <c r="AD320" s="72"/>
      <c r="AE320" s="72"/>
      <c r="AF320" s="72"/>
      <c r="AG320" s="72"/>
      <c r="AH320" s="72"/>
      <c r="AI320" s="72"/>
      <c r="AJ320" s="72"/>
      <c r="AK320" s="72"/>
      <c r="AL320" s="72"/>
      <c r="AM320" s="72"/>
      <c r="AN320" s="72"/>
      <c r="AO320" s="72"/>
      <c r="AP320" s="72"/>
      <c r="AQ320" s="72"/>
      <c r="AR320" s="72"/>
      <c r="AS320" s="72"/>
      <c r="AT320" s="72"/>
      <c r="AU320" s="72"/>
      <c r="AV320" s="72"/>
    </row>
    <row r="321" spans="1:48" s="37" customFormat="1" ht="16.5" x14ac:dyDescent="0.3">
      <c r="A321" s="72"/>
      <c r="B321" s="72"/>
      <c r="C321" s="72"/>
      <c r="D321" s="72"/>
      <c r="E321" s="72"/>
      <c r="F321" s="72"/>
      <c r="G321" s="72"/>
      <c r="H321" s="72"/>
      <c r="I321" s="72"/>
      <c r="J321" s="72"/>
      <c r="K321" s="72"/>
      <c r="L321" s="72"/>
      <c r="M321" s="72"/>
      <c r="N321" s="72"/>
      <c r="O321" s="72"/>
      <c r="P321" s="72"/>
      <c r="Q321" s="72"/>
      <c r="R321" s="72"/>
      <c r="S321" s="72"/>
      <c r="T321" s="72"/>
      <c r="U321" s="72"/>
      <c r="V321" s="72"/>
      <c r="W321" s="72"/>
      <c r="X321" s="72"/>
      <c r="Y321" s="72"/>
      <c r="Z321" s="72"/>
      <c r="AA321" s="72"/>
      <c r="AB321" s="72"/>
      <c r="AC321" s="72"/>
      <c r="AD321" s="72"/>
      <c r="AE321" s="72"/>
      <c r="AF321" s="72"/>
      <c r="AG321" s="72"/>
      <c r="AH321" s="72"/>
      <c r="AI321" s="72"/>
      <c r="AJ321" s="72"/>
      <c r="AK321" s="72"/>
      <c r="AL321" s="72"/>
      <c r="AM321" s="72"/>
      <c r="AN321" s="72"/>
      <c r="AO321" s="72"/>
      <c r="AP321" s="72"/>
      <c r="AQ321" s="72"/>
      <c r="AR321" s="72"/>
      <c r="AS321" s="72"/>
      <c r="AT321" s="72"/>
      <c r="AU321" s="72"/>
      <c r="AV321" s="72"/>
    </row>
    <row r="322" spans="1:48" s="37" customFormat="1" ht="16.5" x14ac:dyDescent="0.3">
      <c r="A322" s="72"/>
      <c r="B322" s="72"/>
      <c r="C322" s="72"/>
      <c r="D322" s="72"/>
      <c r="E322" s="72"/>
      <c r="F322" s="72"/>
      <c r="G322" s="72"/>
      <c r="H322" s="72"/>
      <c r="I322" s="72"/>
      <c r="J322" s="72"/>
      <c r="K322" s="72"/>
      <c r="L322" s="72"/>
      <c r="M322" s="72"/>
      <c r="N322" s="72"/>
      <c r="O322" s="72"/>
      <c r="P322" s="72"/>
      <c r="Q322" s="72"/>
      <c r="R322" s="72"/>
      <c r="S322" s="72"/>
      <c r="T322" s="72"/>
      <c r="U322" s="72"/>
      <c r="V322" s="72"/>
      <c r="W322" s="72"/>
      <c r="X322" s="72"/>
      <c r="Y322" s="72"/>
      <c r="Z322" s="72"/>
      <c r="AA322" s="72"/>
      <c r="AB322" s="72"/>
      <c r="AC322" s="72"/>
      <c r="AD322" s="72"/>
      <c r="AE322" s="72"/>
      <c r="AF322" s="72"/>
      <c r="AG322" s="72"/>
      <c r="AH322" s="72"/>
      <c r="AI322" s="72"/>
      <c r="AJ322" s="72"/>
      <c r="AK322" s="72"/>
      <c r="AL322" s="72"/>
      <c r="AM322" s="72"/>
      <c r="AN322" s="72"/>
      <c r="AO322" s="72"/>
      <c r="AP322" s="72"/>
      <c r="AQ322" s="72"/>
      <c r="AR322" s="72"/>
      <c r="AS322" s="72"/>
      <c r="AT322" s="72"/>
      <c r="AU322" s="72"/>
      <c r="AV322" s="72"/>
    </row>
    <row r="323" spans="1:48" s="37" customFormat="1" ht="16.5" x14ac:dyDescent="0.3">
      <c r="A323" s="72"/>
      <c r="B323" s="72"/>
      <c r="C323" s="72"/>
      <c r="D323" s="72"/>
      <c r="E323" s="72"/>
      <c r="F323" s="72"/>
      <c r="G323" s="72"/>
      <c r="H323" s="72"/>
      <c r="I323" s="72"/>
      <c r="J323" s="72"/>
      <c r="K323" s="72"/>
      <c r="L323" s="72"/>
      <c r="M323" s="72"/>
      <c r="N323" s="72"/>
      <c r="O323" s="72"/>
      <c r="P323" s="72"/>
      <c r="Q323" s="72"/>
      <c r="R323" s="72"/>
      <c r="S323" s="72"/>
      <c r="T323" s="72"/>
      <c r="U323" s="72"/>
      <c r="V323" s="72"/>
      <c r="W323" s="72"/>
      <c r="X323" s="72"/>
      <c r="Y323" s="72"/>
      <c r="Z323" s="72"/>
      <c r="AA323" s="72"/>
      <c r="AB323" s="72"/>
      <c r="AC323" s="72"/>
      <c r="AD323" s="72"/>
      <c r="AE323" s="72"/>
      <c r="AF323" s="72"/>
      <c r="AG323" s="72"/>
      <c r="AH323" s="72"/>
      <c r="AI323" s="72"/>
      <c r="AJ323" s="72"/>
      <c r="AK323" s="72"/>
      <c r="AL323" s="72"/>
      <c r="AM323" s="72"/>
      <c r="AN323" s="72"/>
      <c r="AO323" s="72"/>
      <c r="AP323" s="72"/>
      <c r="AQ323" s="72"/>
      <c r="AR323" s="72"/>
      <c r="AS323" s="72"/>
      <c r="AT323" s="72"/>
      <c r="AU323" s="72"/>
      <c r="AV323" s="72"/>
    </row>
    <row r="324" spans="1:48" s="37" customFormat="1" ht="16.5" x14ac:dyDescent="0.3">
      <c r="A324" s="72"/>
      <c r="B324" s="72"/>
      <c r="C324" s="72"/>
      <c r="D324" s="72"/>
      <c r="E324" s="72"/>
      <c r="F324" s="72"/>
      <c r="G324" s="72"/>
      <c r="H324" s="72"/>
      <c r="I324" s="72"/>
      <c r="J324" s="72"/>
      <c r="K324" s="72"/>
      <c r="L324" s="72"/>
      <c r="M324" s="72"/>
      <c r="N324" s="72"/>
      <c r="O324" s="72"/>
      <c r="P324" s="72"/>
      <c r="Q324" s="72"/>
      <c r="R324" s="72"/>
      <c r="S324" s="72"/>
      <c r="T324" s="72"/>
      <c r="U324" s="72"/>
      <c r="V324" s="72"/>
      <c r="W324" s="72"/>
      <c r="X324" s="72"/>
      <c r="Y324" s="72"/>
      <c r="Z324" s="72"/>
      <c r="AA324" s="72"/>
      <c r="AB324" s="72"/>
      <c r="AC324" s="72"/>
      <c r="AD324" s="72"/>
      <c r="AE324" s="72"/>
      <c r="AF324" s="72"/>
      <c r="AG324" s="72"/>
      <c r="AH324" s="72"/>
      <c r="AI324" s="72"/>
      <c r="AJ324" s="72"/>
      <c r="AK324" s="72"/>
      <c r="AL324" s="72"/>
      <c r="AM324" s="72"/>
      <c r="AN324" s="72"/>
      <c r="AO324" s="72"/>
      <c r="AP324" s="72"/>
      <c r="AQ324" s="72"/>
      <c r="AR324" s="72"/>
      <c r="AS324" s="72"/>
      <c r="AT324" s="72"/>
      <c r="AU324" s="72"/>
      <c r="AV324" s="72"/>
    </row>
    <row r="325" spans="1:48" s="37" customFormat="1" ht="16.5" x14ac:dyDescent="0.3">
      <c r="A325" s="72"/>
      <c r="B325" s="72"/>
      <c r="C325" s="72"/>
      <c r="D325" s="72"/>
      <c r="E325" s="72"/>
      <c r="F325" s="72"/>
      <c r="G325" s="72"/>
      <c r="H325" s="72"/>
      <c r="I325" s="72"/>
      <c r="J325" s="72"/>
      <c r="K325" s="72"/>
      <c r="L325" s="72"/>
      <c r="M325" s="72"/>
      <c r="N325" s="72"/>
      <c r="O325" s="72"/>
      <c r="P325" s="72"/>
      <c r="Q325" s="72"/>
      <c r="R325" s="72"/>
      <c r="S325" s="72"/>
      <c r="T325" s="72"/>
      <c r="U325" s="72"/>
      <c r="V325" s="72"/>
      <c r="W325" s="72"/>
      <c r="X325" s="72"/>
      <c r="Y325" s="72"/>
      <c r="Z325" s="72"/>
      <c r="AA325" s="72"/>
      <c r="AB325" s="72"/>
      <c r="AC325" s="72"/>
      <c r="AD325" s="72"/>
      <c r="AE325" s="72"/>
      <c r="AF325" s="72"/>
      <c r="AG325" s="72"/>
      <c r="AH325" s="72"/>
      <c r="AI325" s="72"/>
      <c r="AJ325" s="72"/>
      <c r="AK325" s="72"/>
      <c r="AL325" s="72"/>
      <c r="AM325" s="72"/>
      <c r="AN325" s="72"/>
      <c r="AO325" s="72"/>
      <c r="AP325" s="72"/>
      <c r="AQ325" s="72"/>
      <c r="AR325" s="72"/>
      <c r="AS325" s="72"/>
      <c r="AT325" s="72"/>
      <c r="AU325" s="72"/>
      <c r="AV325" s="72"/>
    </row>
    <row r="326" spans="1:48" s="37" customFormat="1" ht="16.5" x14ac:dyDescent="0.3">
      <c r="A326" s="72"/>
      <c r="B326" s="72"/>
      <c r="C326" s="72"/>
      <c r="D326" s="72"/>
      <c r="E326" s="72"/>
      <c r="F326" s="72"/>
      <c r="G326" s="72"/>
      <c r="H326" s="72"/>
      <c r="I326" s="72"/>
      <c r="J326" s="72"/>
      <c r="K326" s="72"/>
      <c r="L326" s="72"/>
      <c r="M326" s="72"/>
      <c r="N326" s="72"/>
      <c r="O326" s="72"/>
      <c r="P326" s="72"/>
      <c r="Q326" s="72"/>
      <c r="R326" s="72"/>
      <c r="S326" s="72"/>
      <c r="T326" s="72"/>
      <c r="U326" s="72"/>
      <c r="V326" s="72"/>
      <c r="W326" s="72"/>
      <c r="X326" s="72"/>
      <c r="Y326" s="72"/>
      <c r="Z326" s="72"/>
      <c r="AA326" s="72"/>
      <c r="AB326" s="72"/>
      <c r="AC326" s="72"/>
      <c r="AD326" s="72"/>
      <c r="AE326" s="72"/>
      <c r="AF326" s="72"/>
      <c r="AG326" s="72"/>
      <c r="AH326" s="72"/>
      <c r="AI326" s="72"/>
      <c r="AJ326" s="72"/>
      <c r="AK326" s="72"/>
      <c r="AL326" s="72"/>
      <c r="AM326" s="72"/>
      <c r="AN326" s="72"/>
      <c r="AO326" s="72"/>
      <c r="AP326" s="72"/>
      <c r="AQ326" s="72"/>
      <c r="AR326" s="72"/>
      <c r="AS326" s="72"/>
      <c r="AT326" s="72"/>
      <c r="AU326" s="72"/>
      <c r="AV326" s="72"/>
    </row>
    <row r="327" spans="1:48" s="37" customFormat="1" ht="16.5" x14ac:dyDescent="0.3">
      <c r="A327" s="72"/>
      <c r="B327" s="72"/>
      <c r="C327" s="72"/>
      <c r="D327" s="72"/>
      <c r="E327" s="72"/>
      <c r="F327" s="72"/>
      <c r="G327" s="72"/>
      <c r="H327" s="72"/>
      <c r="I327" s="72"/>
      <c r="J327" s="72"/>
      <c r="K327" s="72"/>
      <c r="L327" s="72"/>
      <c r="M327" s="72"/>
      <c r="N327" s="72"/>
      <c r="O327" s="72"/>
      <c r="P327" s="72"/>
      <c r="Q327" s="72"/>
      <c r="R327" s="72"/>
      <c r="S327" s="72"/>
      <c r="T327" s="72"/>
      <c r="U327" s="72"/>
      <c r="V327" s="72"/>
      <c r="W327" s="72"/>
      <c r="X327" s="72"/>
      <c r="Y327" s="72"/>
      <c r="Z327" s="72"/>
      <c r="AA327" s="72"/>
      <c r="AB327" s="72"/>
      <c r="AC327" s="72"/>
      <c r="AD327" s="72"/>
      <c r="AE327" s="72"/>
      <c r="AF327" s="72"/>
      <c r="AG327" s="72"/>
      <c r="AH327" s="72"/>
      <c r="AI327" s="72"/>
      <c r="AJ327" s="72"/>
      <c r="AK327" s="72"/>
      <c r="AL327" s="72"/>
      <c r="AM327" s="72"/>
      <c r="AN327" s="72"/>
      <c r="AO327" s="72"/>
      <c r="AP327" s="72"/>
      <c r="AQ327" s="72"/>
      <c r="AR327" s="72"/>
      <c r="AS327" s="72"/>
      <c r="AT327" s="72"/>
      <c r="AU327" s="72"/>
      <c r="AV327" s="72"/>
    </row>
    <row r="328" spans="1:48" s="37" customFormat="1" ht="16.5" x14ac:dyDescent="0.3">
      <c r="A328" s="72"/>
      <c r="B328" s="72"/>
      <c r="C328" s="72"/>
      <c r="D328" s="72"/>
      <c r="E328" s="72"/>
      <c r="F328" s="72"/>
      <c r="G328" s="72"/>
      <c r="H328" s="72"/>
      <c r="I328" s="72"/>
      <c r="J328" s="72"/>
      <c r="K328" s="72"/>
      <c r="L328" s="72"/>
      <c r="M328" s="72"/>
      <c r="N328" s="72"/>
      <c r="O328" s="72"/>
      <c r="P328" s="72"/>
      <c r="Q328" s="72"/>
      <c r="R328" s="72"/>
      <c r="S328" s="72"/>
      <c r="T328" s="72"/>
      <c r="U328" s="72"/>
      <c r="V328" s="72"/>
      <c r="W328" s="72"/>
      <c r="X328" s="72"/>
      <c r="Y328" s="72"/>
      <c r="Z328" s="72"/>
      <c r="AA328" s="72"/>
      <c r="AB328" s="72"/>
      <c r="AC328" s="72"/>
      <c r="AD328" s="72"/>
      <c r="AE328" s="72"/>
      <c r="AF328" s="72"/>
      <c r="AG328" s="72"/>
      <c r="AH328" s="72"/>
      <c r="AI328" s="72"/>
      <c r="AJ328" s="72"/>
      <c r="AK328" s="72"/>
      <c r="AL328" s="72"/>
      <c r="AM328" s="72"/>
      <c r="AN328" s="72"/>
      <c r="AO328" s="72"/>
      <c r="AP328" s="72"/>
      <c r="AQ328" s="72"/>
      <c r="AR328" s="72"/>
      <c r="AS328" s="72"/>
      <c r="AT328" s="72"/>
      <c r="AU328" s="72"/>
      <c r="AV328" s="72"/>
    </row>
    <row r="329" spans="1:48" s="37" customFormat="1" ht="16.5" x14ac:dyDescent="0.3">
      <c r="A329" s="72"/>
      <c r="B329" s="72"/>
      <c r="C329" s="72"/>
      <c r="D329" s="72"/>
      <c r="E329" s="72"/>
      <c r="F329" s="72"/>
      <c r="G329" s="72"/>
      <c r="H329" s="72"/>
      <c r="I329" s="72"/>
      <c r="J329" s="72"/>
      <c r="K329" s="72"/>
      <c r="L329" s="72"/>
      <c r="M329" s="72"/>
      <c r="N329" s="72"/>
      <c r="O329" s="72"/>
      <c r="P329" s="72"/>
      <c r="Q329" s="72"/>
      <c r="R329" s="72"/>
      <c r="S329" s="72"/>
      <c r="T329" s="72"/>
      <c r="U329" s="72"/>
      <c r="V329" s="72"/>
      <c r="W329" s="72"/>
      <c r="X329" s="72"/>
      <c r="Y329" s="72"/>
      <c r="Z329" s="72"/>
      <c r="AA329" s="72"/>
      <c r="AB329" s="72"/>
      <c r="AC329" s="72"/>
      <c r="AD329" s="72"/>
      <c r="AE329" s="72"/>
      <c r="AF329" s="72"/>
      <c r="AG329" s="72"/>
      <c r="AH329" s="72"/>
      <c r="AI329" s="72"/>
      <c r="AJ329" s="72"/>
      <c r="AK329" s="72"/>
      <c r="AL329" s="72"/>
      <c r="AM329" s="72"/>
      <c r="AN329" s="72"/>
      <c r="AO329" s="72"/>
      <c r="AP329" s="72"/>
      <c r="AQ329" s="72"/>
      <c r="AR329" s="72"/>
      <c r="AS329" s="72"/>
      <c r="AT329" s="72"/>
      <c r="AU329" s="72"/>
      <c r="AV329" s="72"/>
    </row>
    <row r="330" spans="1:48" s="37" customFormat="1" ht="16.5" x14ac:dyDescent="0.3">
      <c r="A330" s="72"/>
      <c r="B330" s="72"/>
      <c r="C330" s="72"/>
      <c r="D330" s="72"/>
      <c r="E330" s="72"/>
      <c r="F330" s="72"/>
      <c r="G330" s="72"/>
      <c r="H330" s="72"/>
      <c r="I330" s="72"/>
      <c r="J330" s="72"/>
      <c r="K330" s="72"/>
      <c r="L330" s="72"/>
      <c r="M330" s="72"/>
      <c r="N330" s="72"/>
      <c r="O330" s="72"/>
      <c r="P330" s="72"/>
      <c r="Q330" s="72"/>
      <c r="R330" s="72"/>
      <c r="S330" s="72"/>
      <c r="T330" s="72"/>
      <c r="U330" s="72"/>
      <c r="V330" s="72"/>
      <c r="W330" s="72"/>
      <c r="X330" s="72"/>
      <c r="Y330" s="72"/>
      <c r="Z330" s="72"/>
      <c r="AA330" s="72"/>
      <c r="AB330" s="72"/>
      <c r="AC330" s="72"/>
      <c r="AD330" s="72"/>
      <c r="AE330" s="72"/>
      <c r="AF330" s="72"/>
      <c r="AG330" s="72"/>
      <c r="AH330" s="72"/>
      <c r="AI330" s="72"/>
      <c r="AJ330" s="72"/>
      <c r="AK330" s="72"/>
      <c r="AL330" s="72"/>
      <c r="AM330" s="72"/>
      <c r="AN330" s="72"/>
      <c r="AO330" s="72"/>
      <c r="AP330" s="72"/>
      <c r="AQ330" s="72"/>
      <c r="AR330" s="72"/>
      <c r="AS330" s="72"/>
      <c r="AT330" s="72"/>
      <c r="AU330" s="72"/>
      <c r="AV330" s="72"/>
    </row>
    <row r="331" spans="1:48" s="37" customFormat="1" ht="16.5" x14ac:dyDescent="0.3">
      <c r="A331" s="72"/>
      <c r="B331" s="72"/>
      <c r="C331" s="72"/>
      <c r="D331" s="72"/>
      <c r="E331" s="72"/>
      <c r="F331" s="72"/>
      <c r="G331" s="72"/>
      <c r="H331" s="72"/>
      <c r="I331" s="72"/>
      <c r="J331" s="72"/>
      <c r="K331" s="72"/>
      <c r="L331" s="72"/>
      <c r="M331" s="72"/>
      <c r="N331" s="72"/>
      <c r="O331" s="72"/>
      <c r="P331" s="72"/>
      <c r="Q331" s="72"/>
      <c r="R331" s="72"/>
      <c r="S331" s="72"/>
      <c r="T331" s="72"/>
      <c r="U331" s="72"/>
      <c r="V331" s="72"/>
      <c r="W331" s="72"/>
      <c r="X331" s="72"/>
      <c r="Y331" s="72"/>
      <c r="Z331" s="72"/>
      <c r="AA331" s="72"/>
      <c r="AB331" s="72"/>
      <c r="AC331" s="72"/>
      <c r="AD331" s="72"/>
      <c r="AE331" s="72"/>
      <c r="AF331" s="72"/>
      <c r="AG331" s="72"/>
      <c r="AH331" s="72"/>
      <c r="AI331" s="72"/>
      <c r="AJ331" s="72"/>
      <c r="AK331" s="72"/>
      <c r="AL331" s="72"/>
      <c r="AM331" s="72"/>
      <c r="AN331" s="72"/>
      <c r="AO331" s="72"/>
      <c r="AP331" s="72"/>
      <c r="AQ331" s="72"/>
      <c r="AR331" s="72"/>
      <c r="AS331" s="72"/>
      <c r="AT331" s="72"/>
      <c r="AU331" s="72"/>
      <c r="AV331" s="72"/>
    </row>
    <row r="332" spans="1:48" s="37" customFormat="1" ht="16.5" x14ac:dyDescent="0.3">
      <c r="A332" s="72"/>
      <c r="B332" s="72"/>
      <c r="C332" s="72"/>
      <c r="D332" s="72"/>
      <c r="E332" s="72"/>
      <c r="F332" s="72"/>
      <c r="G332" s="72"/>
      <c r="H332" s="72"/>
      <c r="I332" s="72"/>
      <c r="J332" s="72"/>
      <c r="K332" s="72"/>
      <c r="L332" s="72"/>
      <c r="M332" s="72"/>
      <c r="N332" s="72"/>
      <c r="O332" s="72"/>
      <c r="P332" s="72"/>
      <c r="Q332" s="72"/>
      <c r="R332" s="72"/>
      <c r="S332" s="72"/>
      <c r="T332" s="72"/>
      <c r="U332" s="72"/>
      <c r="V332" s="72"/>
      <c r="W332" s="72"/>
      <c r="X332" s="72"/>
      <c r="Y332" s="72"/>
      <c r="Z332" s="72"/>
      <c r="AA332" s="72"/>
      <c r="AB332" s="72"/>
      <c r="AC332" s="72"/>
      <c r="AD332" s="72"/>
      <c r="AE332" s="72"/>
      <c r="AF332" s="72"/>
      <c r="AG332" s="72"/>
      <c r="AH332" s="72"/>
      <c r="AI332" s="72"/>
      <c r="AJ332" s="72"/>
      <c r="AK332" s="72"/>
      <c r="AL332" s="72"/>
      <c r="AM332" s="72"/>
      <c r="AN332" s="72"/>
      <c r="AO332" s="72"/>
      <c r="AP332" s="72"/>
      <c r="AQ332" s="72"/>
      <c r="AR332" s="72"/>
      <c r="AS332" s="72"/>
      <c r="AT332" s="72"/>
      <c r="AU332" s="72"/>
      <c r="AV332" s="72"/>
    </row>
    <row r="333" spans="1:48" s="37" customFormat="1" ht="16.5" x14ac:dyDescent="0.3">
      <c r="A333" s="72"/>
      <c r="B333" s="72"/>
      <c r="C333" s="72"/>
      <c r="D333" s="72"/>
      <c r="E333" s="72"/>
      <c r="F333" s="72"/>
      <c r="G333" s="72"/>
      <c r="H333" s="72"/>
      <c r="I333" s="72"/>
      <c r="J333" s="72"/>
      <c r="K333" s="72"/>
      <c r="L333" s="72"/>
      <c r="M333" s="72"/>
      <c r="N333" s="72"/>
      <c r="O333" s="72"/>
      <c r="P333" s="72"/>
      <c r="Q333" s="72"/>
      <c r="R333" s="72"/>
      <c r="S333" s="72"/>
      <c r="T333" s="72"/>
      <c r="U333" s="72"/>
      <c r="V333" s="72"/>
      <c r="W333" s="72"/>
      <c r="X333" s="72"/>
      <c r="Y333" s="72"/>
      <c r="Z333" s="72"/>
      <c r="AA333" s="72"/>
      <c r="AB333" s="72"/>
      <c r="AC333" s="72"/>
      <c r="AD333" s="72"/>
      <c r="AE333" s="72"/>
      <c r="AF333" s="72"/>
      <c r="AG333" s="72"/>
      <c r="AH333" s="72"/>
      <c r="AI333" s="72"/>
      <c r="AJ333" s="72"/>
      <c r="AK333" s="72"/>
      <c r="AL333" s="72"/>
      <c r="AM333" s="72"/>
      <c r="AN333" s="72"/>
      <c r="AO333" s="72"/>
      <c r="AP333" s="72"/>
      <c r="AQ333" s="72"/>
      <c r="AR333" s="72"/>
      <c r="AS333" s="72"/>
      <c r="AT333" s="72"/>
      <c r="AU333" s="72"/>
      <c r="AV333" s="72"/>
    </row>
    <row r="334" spans="1:48" s="37" customFormat="1" ht="16.5" x14ac:dyDescent="0.3">
      <c r="A334" s="72"/>
      <c r="B334" s="72"/>
      <c r="C334" s="72"/>
      <c r="D334" s="72"/>
      <c r="E334" s="72"/>
      <c r="F334" s="72"/>
      <c r="G334" s="72"/>
      <c r="H334" s="72"/>
      <c r="I334" s="72"/>
      <c r="J334" s="72"/>
      <c r="K334" s="72"/>
      <c r="L334" s="72"/>
      <c r="M334" s="72"/>
      <c r="N334" s="72"/>
      <c r="O334" s="72"/>
      <c r="P334" s="72"/>
      <c r="Q334" s="72"/>
      <c r="R334" s="72"/>
      <c r="S334" s="72"/>
      <c r="T334" s="72"/>
      <c r="U334" s="72"/>
      <c r="V334" s="72"/>
      <c r="W334" s="72"/>
      <c r="X334" s="72"/>
      <c r="Y334" s="72"/>
      <c r="Z334" s="72"/>
      <c r="AA334" s="72"/>
      <c r="AB334" s="72"/>
      <c r="AC334" s="72"/>
      <c r="AD334" s="72"/>
      <c r="AE334" s="72"/>
      <c r="AF334" s="72"/>
      <c r="AG334" s="72"/>
      <c r="AH334" s="72"/>
      <c r="AI334" s="72"/>
      <c r="AJ334" s="72"/>
      <c r="AK334" s="72"/>
      <c r="AL334" s="72"/>
      <c r="AM334" s="72"/>
      <c r="AN334" s="72"/>
      <c r="AO334" s="72"/>
      <c r="AP334" s="72"/>
      <c r="AQ334" s="72"/>
      <c r="AR334" s="72"/>
      <c r="AS334" s="72"/>
      <c r="AT334" s="72"/>
      <c r="AU334" s="72"/>
      <c r="AV334" s="72"/>
    </row>
    <row r="335" spans="1:48" s="37" customFormat="1" ht="16.5" x14ac:dyDescent="0.3">
      <c r="A335" s="72"/>
      <c r="B335" s="72"/>
      <c r="C335" s="72"/>
      <c r="D335" s="72"/>
      <c r="E335" s="72"/>
      <c r="F335" s="72"/>
      <c r="G335" s="72"/>
      <c r="H335" s="72"/>
      <c r="I335" s="72"/>
      <c r="J335" s="72"/>
      <c r="K335" s="72"/>
      <c r="L335" s="72"/>
      <c r="M335" s="72"/>
      <c r="N335" s="72"/>
      <c r="O335" s="72"/>
      <c r="P335" s="72"/>
      <c r="Q335" s="72"/>
      <c r="R335" s="72"/>
      <c r="S335" s="72"/>
      <c r="T335" s="72"/>
      <c r="U335" s="72"/>
      <c r="V335" s="72"/>
      <c r="W335" s="72"/>
      <c r="X335" s="72"/>
      <c r="Y335" s="72"/>
      <c r="Z335" s="72"/>
      <c r="AA335" s="72"/>
      <c r="AB335" s="72"/>
      <c r="AC335" s="72"/>
      <c r="AD335" s="72"/>
      <c r="AE335" s="72"/>
      <c r="AF335" s="72"/>
      <c r="AG335" s="72"/>
      <c r="AH335" s="72"/>
      <c r="AI335" s="72"/>
      <c r="AJ335" s="72"/>
      <c r="AK335" s="72"/>
      <c r="AL335" s="72"/>
      <c r="AM335" s="72"/>
      <c r="AN335" s="72"/>
      <c r="AO335" s="72"/>
      <c r="AP335" s="72"/>
      <c r="AQ335" s="72"/>
      <c r="AR335" s="72"/>
      <c r="AS335" s="72"/>
      <c r="AT335" s="72"/>
      <c r="AU335" s="72"/>
      <c r="AV335" s="72"/>
    </row>
    <row r="336" spans="1:48" s="37" customFormat="1" ht="16.5" x14ac:dyDescent="0.3">
      <c r="A336" s="72"/>
      <c r="B336" s="72"/>
      <c r="C336" s="72"/>
      <c r="D336" s="72"/>
      <c r="E336" s="72"/>
      <c r="F336" s="72"/>
      <c r="G336" s="72"/>
      <c r="H336" s="72"/>
      <c r="I336" s="72"/>
      <c r="J336" s="72"/>
      <c r="K336" s="72"/>
      <c r="L336" s="72"/>
      <c r="M336" s="72"/>
      <c r="N336" s="72"/>
      <c r="O336" s="72"/>
      <c r="P336" s="72"/>
      <c r="Q336" s="72"/>
      <c r="R336" s="72"/>
      <c r="S336" s="72"/>
      <c r="T336" s="72"/>
      <c r="U336" s="72"/>
      <c r="V336" s="72"/>
      <c r="W336" s="72"/>
      <c r="X336" s="72"/>
      <c r="Y336" s="72"/>
      <c r="Z336" s="72"/>
      <c r="AA336" s="72"/>
      <c r="AB336" s="72"/>
      <c r="AC336" s="72"/>
      <c r="AD336" s="72"/>
      <c r="AE336" s="72"/>
      <c r="AF336" s="72"/>
      <c r="AG336" s="72"/>
      <c r="AH336" s="72"/>
      <c r="AI336" s="72"/>
      <c r="AJ336" s="72"/>
      <c r="AK336" s="72"/>
      <c r="AL336" s="72"/>
      <c r="AM336" s="72"/>
      <c r="AN336" s="72"/>
      <c r="AO336" s="72"/>
      <c r="AP336" s="72"/>
      <c r="AQ336" s="72"/>
      <c r="AR336" s="72"/>
      <c r="AS336" s="72"/>
      <c r="AT336" s="72"/>
      <c r="AU336" s="72"/>
      <c r="AV336" s="72"/>
    </row>
    <row r="337" spans="1:48" s="37" customFormat="1" ht="16.5" x14ac:dyDescent="0.3">
      <c r="A337" s="72"/>
      <c r="B337" s="72"/>
      <c r="C337" s="72"/>
      <c r="D337" s="72"/>
      <c r="E337" s="72"/>
      <c r="F337" s="72"/>
      <c r="G337" s="72"/>
      <c r="H337" s="72"/>
      <c r="I337" s="72"/>
      <c r="J337" s="72"/>
      <c r="K337" s="72"/>
      <c r="L337" s="72"/>
      <c r="M337" s="72"/>
      <c r="N337" s="72"/>
      <c r="O337" s="72"/>
      <c r="P337" s="72"/>
      <c r="Q337" s="72"/>
      <c r="R337" s="72"/>
      <c r="S337" s="72"/>
      <c r="T337" s="72"/>
      <c r="U337" s="72"/>
      <c r="V337" s="72"/>
      <c r="W337" s="72"/>
      <c r="X337" s="72"/>
      <c r="Y337" s="72"/>
      <c r="Z337" s="72"/>
      <c r="AA337" s="72"/>
      <c r="AB337" s="72"/>
      <c r="AC337" s="72"/>
      <c r="AD337" s="72"/>
      <c r="AE337" s="72"/>
      <c r="AF337" s="72"/>
      <c r="AG337" s="72"/>
      <c r="AH337" s="72"/>
      <c r="AI337" s="72"/>
      <c r="AJ337" s="72"/>
      <c r="AK337" s="72"/>
      <c r="AL337" s="72"/>
      <c r="AM337" s="72"/>
      <c r="AN337" s="72"/>
      <c r="AO337" s="72"/>
      <c r="AP337" s="72"/>
      <c r="AQ337" s="72"/>
      <c r="AR337" s="72"/>
      <c r="AS337" s="72"/>
      <c r="AT337" s="72"/>
      <c r="AU337" s="72"/>
      <c r="AV337" s="72"/>
    </row>
    <row r="338" spans="1:48" s="37" customFormat="1" ht="16.5" x14ac:dyDescent="0.3">
      <c r="A338" s="72"/>
      <c r="B338" s="72"/>
      <c r="C338" s="72"/>
      <c r="D338" s="72"/>
      <c r="E338" s="72"/>
      <c r="F338" s="72"/>
      <c r="G338" s="72"/>
      <c r="H338" s="72"/>
      <c r="I338" s="72"/>
      <c r="J338" s="72"/>
      <c r="K338" s="72"/>
      <c r="L338" s="72"/>
      <c r="M338" s="72"/>
      <c r="N338" s="72"/>
      <c r="O338" s="72"/>
      <c r="P338" s="72"/>
      <c r="Q338" s="72"/>
      <c r="R338" s="72"/>
      <c r="S338" s="72"/>
      <c r="T338" s="72"/>
      <c r="U338" s="72"/>
      <c r="V338" s="72"/>
      <c r="W338" s="72"/>
      <c r="X338" s="72"/>
      <c r="Y338" s="72"/>
      <c r="Z338" s="72"/>
      <c r="AA338" s="72"/>
      <c r="AB338" s="72"/>
      <c r="AC338" s="72"/>
      <c r="AD338" s="72"/>
      <c r="AE338" s="72"/>
      <c r="AF338" s="72"/>
      <c r="AG338" s="72"/>
      <c r="AH338" s="72"/>
      <c r="AI338" s="72"/>
      <c r="AJ338" s="72"/>
      <c r="AK338" s="72"/>
      <c r="AL338" s="72"/>
      <c r="AM338" s="72"/>
      <c r="AN338" s="72"/>
      <c r="AO338" s="72"/>
      <c r="AP338" s="72"/>
      <c r="AQ338" s="72"/>
      <c r="AR338" s="72"/>
      <c r="AS338" s="72"/>
      <c r="AT338" s="72"/>
      <c r="AU338" s="72"/>
      <c r="AV338" s="72"/>
    </row>
    <row r="339" spans="1:48" s="37" customFormat="1" ht="16.5" x14ac:dyDescent="0.3">
      <c r="A339" s="72"/>
      <c r="B339" s="72"/>
      <c r="C339" s="72"/>
      <c r="D339" s="72"/>
      <c r="E339" s="72"/>
      <c r="F339" s="72"/>
      <c r="G339" s="72"/>
      <c r="H339" s="72"/>
      <c r="I339" s="72"/>
      <c r="J339" s="72"/>
      <c r="K339" s="72"/>
      <c r="L339" s="72"/>
      <c r="M339" s="72"/>
      <c r="N339" s="72"/>
      <c r="O339" s="72"/>
      <c r="P339" s="72"/>
      <c r="Q339" s="72"/>
      <c r="R339" s="72"/>
      <c r="S339" s="72"/>
      <c r="T339" s="72"/>
      <c r="U339" s="72"/>
      <c r="V339" s="72"/>
      <c r="W339" s="72"/>
      <c r="X339" s="72"/>
      <c r="Y339" s="72"/>
      <c r="Z339" s="72"/>
      <c r="AA339" s="72"/>
      <c r="AB339" s="72"/>
      <c r="AC339" s="72"/>
      <c r="AD339" s="72"/>
      <c r="AE339" s="72"/>
      <c r="AF339" s="72"/>
      <c r="AG339" s="72"/>
      <c r="AH339" s="72"/>
      <c r="AI339" s="72"/>
      <c r="AJ339" s="72"/>
      <c r="AK339" s="72"/>
      <c r="AL339" s="72"/>
      <c r="AM339" s="72"/>
      <c r="AN339" s="72"/>
      <c r="AO339" s="72"/>
      <c r="AP339" s="72"/>
      <c r="AQ339" s="72"/>
      <c r="AR339" s="72"/>
      <c r="AS339" s="72"/>
      <c r="AT339" s="72"/>
      <c r="AU339" s="72"/>
      <c r="AV339" s="72"/>
    </row>
    <row r="340" spans="1:48" s="37" customFormat="1" ht="16.5" x14ac:dyDescent="0.3">
      <c r="A340" s="72"/>
      <c r="B340" s="72"/>
      <c r="C340" s="72"/>
      <c r="D340" s="72"/>
      <c r="E340" s="72"/>
      <c r="F340" s="72"/>
      <c r="G340" s="72"/>
      <c r="H340" s="72"/>
      <c r="I340" s="72"/>
      <c r="J340" s="72"/>
      <c r="K340" s="72"/>
      <c r="L340" s="72"/>
      <c r="M340" s="72"/>
      <c r="N340" s="72"/>
      <c r="O340" s="72"/>
      <c r="P340" s="72"/>
      <c r="Q340" s="72"/>
      <c r="R340" s="72"/>
      <c r="S340" s="72"/>
      <c r="T340" s="72"/>
      <c r="U340" s="72"/>
      <c r="V340" s="72"/>
      <c r="W340" s="72"/>
      <c r="X340" s="72"/>
      <c r="Y340" s="72"/>
      <c r="Z340" s="72"/>
      <c r="AA340" s="72"/>
      <c r="AB340" s="72"/>
      <c r="AC340" s="72"/>
      <c r="AD340" s="72"/>
      <c r="AE340" s="72"/>
      <c r="AF340" s="72"/>
      <c r="AG340" s="72"/>
      <c r="AH340" s="72"/>
      <c r="AI340" s="72"/>
      <c r="AJ340" s="72"/>
      <c r="AK340" s="72"/>
      <c r="AL340" s="72"/>
      <c r="AM340" s="72"/>
      <c r="AN340" s="72"/>
      <c r="AO340" s="72"/>
      <c r="AP340" s="72"/>
      <c r="AQ340" s="72"/>
      <c r="AR340" s="72"/>
      <c r="AS340" s="72"/>
      <c r="AT340" s="72"/>
      <c r="AU340" s="72"/>
      <c r="AV340" s="72"/>
    </row>
    <row r="341" spans="1:48" s="37" customFormat="1" ht="16.5" x14ac:dyDescent="0.3">
      <c r="A341" s="72"/>
      <c r="B341" s="72"/>
      <c r="C341" s="72"/>
      <c r="D341" s="72"/>
      <c r="E341" s="72"/>
      <c r="F341" s="72"/>
      <c r="G341" s="72"/>
      <c r="H341" s="72"/>
      <c r="I341" s="72"/>
      <c r="J341" s="72"/>
      <c r="K341" s="72"/>
      <c r="L341" s="72"/>
      <c r="M341" s="72"/>
      <c r="N341" s="72"/>
      <c r="O341" s="72"/>
      <c r="P341" s="72"/>
      <c r="Q341" s="72"/>
      <c r="R341" s="72"/>
      <c r="S341" s="72"/>
      <c r="T341" s="72"/>
      <c r="U341" s="72"/>
      <c r="V341" s="72"/>
      <c r="W341" s="72"/>
      <c r="X341" s="72"/>
      <c r="Y341" s="72"/>
      <c r="Z341" s="72"/>
      <c r="AA341" s="72"/>
      <c r="AB341" s="72"/>
      <c r="AC341" s="72"/>
      <c r="AD341" s="72"/>
      <c r="AE341" s="72"/>
      <c r="AF341" s="72"/>
      <c r="AG341" s="72"/>
      <c r="AH341" s="72"/>
      <c r="AI341" s="72"/>
      <c r="AJ341" s="72"/>
      <c r="AK341" s="72"/>
      <c r="AL341" s="72"/>
      <c r="AM341" s="72"/>
      <c r="AN341" s="72"/>
      <c r="AO341" s="72"/>
      <c r="AP341" s="72"/>
      <c r="AQ341" s="72"/>
      <c r="AR341" s="72"/>
      <c r="AS341" s="72"/>
      <c r="AT341" s="72"/>
      <c r="AU341" s="72"/>
      <c r="AV341" s="72"/>
    </row>
    <row r="342" spans="1:48" s="37" customFormat="1" ht="16.5" x14ac:dyDescent="0.3">
      <c r="A342" s="72"/>
      <c r="B342" s="72"/>
      <c r="C342" s="72"/>
      <c r="D342" s="72"/>
      <c r="E342" s="72"/>
      <c r="F342" s="72"/>
      <c r="G342" s="72"/>
      <c r="H342" s="72"/>
      <c r="I342" s="72"/>
      <c r="J342" s="72"/>
      <c r="K342" s="72"/>
      <c r="L342" s="72"/>
      <c r="M342" s="72"/>
      <c r="N342" s="72"/>
      <c r="O342" s="72"/>
      <c r="P342" s="72"/>
      <c r="Q342" s="72"/>
      <c r="R342" s="72"/>
      <c r="S342" s="72"/>
      <c r="T342" s="72"/>
      <c r="U342" s="72"/>
      <c r="V342" s="72"/>
      <c r="W342" s="72"/>
      <c r="X342" s="72"/>
      <c r="Y342" s="72"/>
      <c r="Z342" s="72"/>
      <c r="AA342" s="72"/>
      <c r="AB342" s="72"/>
      <c r="AC342" s="72"/>
      <c r="AD342" s="72"/>
      <c r="AE342" s="72"/>
      <c r="AF342" s="72"/>
      <c r="AG342" s="72"/>
      <c r="AH342" s="72"/>
      <c r="AI342" s="72"/>
      <c r="AJ342" s="72"/>
      <c r="AK342" s="72"/>
      <c r="AL342" s="72"/>
      <c r="AM342" s="72"/>
      <c r="AN342" s="72"/>
      <c r="AO342" s="72"/>
      <c r="AP342" s="72"/>
      <c r="AQ342" s="72"/>
      <c r="AR342" s="72"/>
      <c r="AS342" s="72"/>
      <c r="AT342" s="72"/>
      <c r="AU342" s="72"/>
      <c r="AV342" s="72"/>
    </row>
    <row r="343" spans="1:48" s="37" customFormat="1" ht="16.5" x14ac:dyDescent="0.3">
      <c r="A343" s="72"/>
      <c r="B343" s="72"/>
      <c r="C343" s="72"/>
      <c r="D343" s="72"/>
      <c r="E343" s="72"/>
      <c r="F343" s="72"/>
      <c r="G343" s="72"/>
      <c r="H343" s="72"/>
      <c r="I343" s="72"/>
      <c r="J343" s="72"/>
      <c r="K343" s="72"/>
      <c r="L343" s="72"/>
      <c r="M343" s="72"/>
      <c r="N343" s="72"/>
      <c r="O343" s="72"/>
      <c r="P343" s="72"/>
      <c r="Q343" s="72"/>
      <c r="R343" s="72"/>
      <c r="S343" s="72"/>
      <c r="T343" s="72"/>
      <c r="U343" s="72"/>
      <c r="V343" s="72"/>
      <c r="W343" s="72"/>
      <c r="X343" s="72"/>
      <c r="Y343" s="72"/>
      <c r="Z343" s="72"/>
      <c r="AA343" s="72"/>
      <c r="AB343" s="72"/>
      <c r="AC343" s="72"/>
      <c r="AD343" s="72"/>
      <c r="AE343" s="72"/>
      <c r="AF343" s="72"/>
      <c r="AG343" s="72"/>
      <c r="AH343" s="72"/>
      <c r="AI343" s="72"/>
      <c r="AJ343" s="72"/>
      <c r="AK343" s="72"/>
      <c r="AL343" s="72"/>
      <c r="AM343" s="72"/>
      <c r="AN343" s="72"/>
      <c r="AO343" s="72"/>
      <c r="AP343" s="72"/>
      <c r="AQ343" s="72"/>
      <c r="AR343" s="72"/>
      <c r="AS343" s="72"/>
      <c r="AT343" s="72"/>
      <c r="AU343" s="72"/>
      <c r="AV343" s="72"/>
    </row>
    <row r="344" spans="1:48" s="37" customFormat="1" ht="16.5" x14ac:dyDescent="0.3">
      <c r="A344" s="72"/>
      <c r="B344" s="72"/>
      <c r="C344" s="72"/>
      <c r="D344" s="72"/>
      <c r="E344" s="72"/>
      <c r="F344" s="72"/>
      <c r="G344" s="72"/>
      <c r="H344" s="72"/>
      <c r="I344" s="72"/>
      <c r="J344" s="72"/>
      <c r="K344" s="72"/>
      <c r="L344" s="72"/>
      <c r="M344" s="72"/>
      <c r="N344" s="72"/>
      <c r="O344" s="72"/>
      <c r="P344" s="72"/>
      <c r="Q344" s="72"/>
      <c r="R344" s="72"/>
      <c r="S344" s="72"/>
      <c r="T344" s="72"/>
      <c r="U344" s="72"/>
      <c r="V344" s="72"/>
      <c r="W344" s="72"/>
      <c r="X344" s="72"/>
      <c r="Y344" s="72"/>
      <c r="Z344" s="72"/>
      <c r="AA344" s="72"/>
      <c r="AB344" s="72"/>
      <c r="AC344" s="72"/>
      <c r="AD344" s="72"/>
      <c r="AE344" s="72"/>
      <c r="AF344" s="72"/>
      <c r="AG344" s="72"/>
      <c r="AH344" s="72"/>
      <c r="AI344" s="72"/>
      <c r="AJ344" s="72"/>
      <c r="AK344" s="72"/>
      <c r="AL344" s="72"/>
      <c r="AM344" s="72"/>
      <c r="AN344" s="72"/>
      <c r="AO344" s="72"/>
      <c r="AP344" s="72"/>
      <c r="AQ344" s="72"/>
      <c r="AR344" s="72"/>
      <c r="AS344" s="72"/>
      <c r="AT344" s="72"/>
      <c r="AU344" s="72"/>
      <c r="AV344" s="72"/>
    </row>
    <row r="345" spans="1:48" s="37" customFormat="1" ht="16.5" x14ac:dyDescent="0.3">
      <c r="A345" s="72"/>
      <c r="B345" s="72"/>
      <c r="C345" s="72"/>
      <c r="D345" s="72"/>
      <c r="E345" s="72"/>
      <c r="F345" s="72"/>
      <c r="G345" s="72"/>
      <c r="H345" s="72"/>
      <c r="I345" s="72"/>
      <c r="J345" s="72"/>
      <c r="K345" s="72"/>
      <c r="L345" s="72"/>
      <c r="M345" s="72"/>
      <c r="N345" s="72"/>
      <c r="O345" s="72"/>
      <c r="P345" s="72"/>
      <c r="Q345" s="72"/>
      <c r="R345" s="72"/>
      <c r="S345" s="72"/>
      <c r="T345" s="72"/>
      <c r="U345" s="72"/>
      <c r="V345" s="72"/>
      <c r="W345" s="72"/>
      <c r="X345" s="72"/>
      <c r="Y345" s="72"/>
      <c r="Z345" s="72"/>
      <c r="AA345" s="72"/>
      <c r="AB345" s="72"/>
      <c r="AC345" s="72"/>
      <c r="AD345" s="72"/>
      <c r="AE345" s="72"/>
      <c r="AF345" s="72"/>
      <c r="AG345" s="72"/>
      <c r="AH345" s="72"/>
      <c r="AI345" s="72"/>
      <c r="AJ345" s="72"/>
      <c r="AK345" s="72"/>
      <c r="AL345" s="72"/>
      <c r="AM345" s="72"/>
      <c r="AN345" s="72"/>
      <c r="AO345" s="72"/>
      <c r="AP345" s="72"/>
      <c r="AQ345" s="72"/>
      <c r="AR345" s="72"/>
      <c r="AS345" s="72"/>
      <c r="AT345" s="72"/>
      <c r="AU345" s="72"/>
      <c r="AV345" s="72"/>
    </row>
    <row r="346" spans="1:48" s="37" customFormat="1" ht="16.5" x14ac:dyDescent="0.3">
      <c r="A346" s="72"/>
      <c r="B346" s="72"/>
      <c r="C346" s="72"/>
      <c r="D346" s="72"/>
      <c r="E346" s="72"/>
      <c r="F346" s="72"/>
      <c r="G346" s="72"/>
      <c r="H346" s="72"/>
      <c r="I346" s="72"/>
      <c r="J346" s="72"/>
      <c r="K346" s="72"/>
      <c r="L346" s="72"/>
      <c r="M346" s="72"/>
      <c r="N346" s="72"/>
      <c r="O346" s="72"/>
      <c r="P346" s="72"/>
      <c r="Q346" s="72"/>
      <c r="R346" s="72"/>
      <c r="S346" s="72"/>
      <c r="T346" s="72"/>
      <c r="U346" s="72"/>
      <c r="V346" s="72"/>
      <c r="W346" s="72"/>
      <c r="X346" s="72"/>
      <c r="Y346" s="72"/>
      <c r="Z346" s="72"/>
      <c r="AA346" s="72"/>
      <c r="AB346" s="72"/>
      <c r="AC346" s="72"/>
      <c r="AD346" s="72"/>
      <c r="AE346" s="72"/>
      <c r="AF346" s="72"/>
      <c r="AG346" s="72"/>
      <c r="AH346" s="72"/>
      <c r="AI346" s="72"/>
      <c r="AJ346" s="72"/>
      <c r="AK346" s="72"/>
      <c r="AL346" s="72"/>
      <c r="AM346" s="72"/>
      <c r="AN346" s="72"/>
      <c r="AO346" s="72"/>
      <c r="AP346" s="72"/>
      <c r="AQ346" s="72"/>
      <c r="AR346" s="72"/>
      <c r="AS346" s="72"/>
      <c r="AT346" s="72"/>
      <c r="AU346" s="72"/>
      <c r="AV346" s="72"/>
    </row>
    <row r="347" spans="1:48" s="37" customFormat="1" ht="16.5" x14ac:dyDescent="0.3">
      <c r="A347" s="72"/>
      <c r="B347" s="72"/>
      <c r="C347" s="72"/>
      <c r="D347" s="72"/>
      <c r="E347" s="72"/>
      <c r="F347" s="72"/>
      <c r="G347" s="72"/>
      <c r="H347" s="72"/>
      <c r="I347" s="72"/>
      <c r="J347" s="72"/>
      <c r="K347" s="72"/>
      <c r="L347" s="72"/>
      <c r="M347" s="72"/>
      <c r="N347" s="72"/>
      <c r="O347" s="72"/>
      <c r="P347" s="72"/>
      <c r="Q347" s="72"/>
      <c r="R347" s="72"/>
      <c r="S347" s="72"/>
      <c r="T347" s="72"/>
      <c r="U347" s="72"/>
      <c r="V347" s="72"/>
      <c r="W347" s="72"/>
      <c r="X347" s="72"/>
      <c r="Y347" s="72"/>
      <c r="Z347" s="72"/>
      <c r="AA347" s="72"/>
      <c r="AB347" s="72"/>
      <c r="AC347" s="72"/>
      <c r="AD347" s="72"/>
      <c r="AE347" s="72"/>
      <c r="AF347" s="72"/>
      <c r="AG347" s="72"/>
      <c r="AH347" s="72"/>
      <c r="AI347" s="72"/>
      <c r="AJ347" s="72"/>
      <c r="AK347" s="72"/>
      <c r="AL347" s="72"/>
      <c r="AM347" s="72"/>
      <c r="AN347" s="72"/>
      <c r="AO347" s="72"/>
      <c r="AP347" s="72"/>
      <c r="AQ347" s="72"/>
      <c r="AR347" s="72"/>
      <c r="AS347" s="72"/>
      <c r="AT347" s="72"/>
      <c r="AU347" s="72"/>
      <c r="AV347" s="72"/>
    </row>
    <row r="348" spans="1:48" s="37" customFormat="1" ht="16.5" x14ac:dyDescent="0.3">
      <c r="A348" s="72"/>
      <c r="B348" s="72"/>
      <c r="C348" s="72"/>
      <c r="D348" s="72"/>
      <c r="E348" s="72"/>
      <c r="F348" s="72"/>
      <c r="G348" s="72"/>
      <c r="H348" s="72"/>
      <c r="I348" s="72"/>
      <c r="J348" s="72"/>
      <c r="K348" s="72"/>
      <c r="L348" s="72"/>
      <c r="M348" s="72"/>
      <c r="N348" s="72"/>
      <c r="O348" s="72"/>
      <c r="P348" s="72"/>
      <c r="Q348" s="72"/>
      <c r="R348" s="72"/>
      <c r="S348" s="72"/>
      <c r="T348" s="72"/>
      <c r="U348" s="72"/>
      <c r="V348" s="72"/>
      <c r="W348" s="72"/>
      <c r="X348" s="72"/>
      <c r="Y348" s="72"/>
      <c r="Z348" s="72"/>
      <c r="AA348" s="72"/>
      <c r="AB348" s="72"/>
      <c r="AC348" s="72"/>
      <c r="AD348" s="72"/>
      <c r="AE348" s="72"/>
      <c r="AF348" s="72"/>
      <c r="AG348" s="72"/>
      <c r="AH348" s="72"/>
      <c r="AI348" s="72"/>
      <c r="AJ348" s="72"/>
      <c r="AK348" s="72"/>
      <c r="AL348" s="72"/>
      <c r="AM348" s="72"/>
      <c r="AN348" s="72"/>
      <c r="AO348" s="72"/>
      <c r="AP348" s="72"/>
      <c r="AQ348" s="72"/>
      <c r="AR348" s="72"/>
      <c r="AS348" s="72"/>
      <c r="AT348" s="72"/>
      <c r="AU348" s="72"/>
      <c r="AV348" s="72"/>
    </row>
    <row r="349" spans="1:48" s="37" customFormat="1" ht="16.5" x14ac:dyDescent="0.3">
      <c r="A349" s="72"/>
      <c r="B349" s="72"/>
      <c r="C349" s="72"/>
      <c r="D349" s="72"/>
      <c r="E349" s="72"/>
      <c r="F349" s="72"/>
      <c r="G349" s="72"/>
      <c r="H349" s="72"/>
      <c r="I349" s="72"/>
      <c r="J349" s="72"/>
      <c r="K349" s="72"/>
      <c r="L349" s="72"/>
      <c r="M349" s="72"/>
      <c r="N349" s="72"/>
      <c r="O349" s="72"/>
      <c r="P349" s="72"/>
      <c r="Q349" s="72"/>
      <c r="R349" s="72"/>
      <c r="S349" s="72"/>
      <c r="T349" s="72"/>
      <c r="U349" s="72"/>
      <c r="V349" s="72"/>
      <c r="W349" s="72"/>
      <c r="X349" s="72"/>
      <c r="Y349" s="72"/>
      <c r="Z349" s="72"/>
      <c r="AA349" s="72"/>
      <c r="AB349" s="72"/>
      <c r="AC349" s="72"/>
      <c r="AD349" s="72"/>
      <c r="AE349" s="72"/>
      <c r="AF349" s="72"/>
      <c r="AG349" s="72"/>
      <c r="AH349" s="72"/>
      <c r="AI349" s="72"/>
      <c r="AJ349" s="72"/>
      <c r="AK349" s="72"/>
      <c r="AL349" s="72"/>
      <c r="AM349" s="72"/>
      <c r="AN349" s="72"/>
      <c r="AO349" s="72"/>
      <c r="AP349" s="72"/>
      <c r="AQ349" s="72"/>
      <c r="AR349" s="72"/>
      <c r="AS349" s="72"/>
      <c r="AT349" s="72"/>
      <c r="AU349" s="72"/>
      <c r="AV349" s="72"/>
    </row>
    <row r="350" spans="1:48" s="37" customFormat="1" ht="16.5" x14ac:dyDescent="0.3">
      <c r="A350" s="72"/>
      <c r="B350" s="72"/>
      <c r="C350" s="72"/>
      <c r="D350" s="72"/>
      <c r="E350" s="72"/>
      <c r="F350" s="72"/>
      <c r="G350" s="72"/>
      <c r="H350" s="72"/>
      <c r="I350" s="72"/>
      <c r="J350" s="72"/>
      <c r="K350" s="72"/>
      <c r="L350" s="72"/>
      <c r="M350" s="72"/>
      <c r="N350" s="72"/>
      <c r="O350" s="72"/>
      <c r="P350" s="72"/>
      <c r="Q350" s="72"/>
      <c r="R350" s="72"/>
      <c r="S350" s="72"/>
      <c r="T350" s="72"/>
      <c r="U350" s="72"/>
      <c r="V350" s="72"/>
      <c r="W350" s="72"/>
      <c r="X350" s="72"/>
      <c r="Y350" s="72"/>
      <c r="Z350" s="72"/>
      <c r="AA350" s="72"/>
      <c r="AB350" s="72"/>
      <c r="AC350" s="72"/>
      <c r="AD350" s="72"/>
      <c r="AE350" s="72"/>
      <c r="AF350" s="72"/>
      <c r="AG350" s="72"/>
      <c r="AH350" s="72"/>
      <c r="AI350" s="72"/>
      <c r="AJ350" s="72"/>
      <c r="AK350" s="72"/>
      <c r="AL350" s="72"/>
      <c r="AM350" s="72"/>
      <c r="AN350" s="72"/>
      <c r="AO350" s="72"/>
      <c r="AP350" s="72"/>
      <c r="AQ350" s="72"/>
      <c r="AR350" s="72"/>
      <c r="AS350" s="72"/>
      <c r="AT350" s="72"/>
      <c r="AU350" s="72"/>
      <c r="AV350" s="72"/>
    </row>
    <row r="351" spans="1:48" s="37" customFormat="1" ht="16.5" x14ac:dyDescent="0.3">
      <c r="A351" s="72"/>
      <c r="B351" s="72"/>
      <c r="C351" s="72"/>
      <c r="D351" s="72"/>
      <c r="E351" s="72"/>
      <c r="F351" s="72"/>
      <c r="G351" s="72"/>
      <c r="H351" s="72"/>
      <c r="I351" s="72"/>
      <c r="J351" s="72"/>
      <c r="K351" s="72"/>
      <c r="L351" s="72"/>
      <c r="M351" s="72"/>
      <c r="N351" s="72"/>
      <c r="O351" s="72"/>
      <c r="P351" s="72"/>
      <c r="Q351" s="72"/>
      <c r="R351" s="72"/>
      <c r="S351" s="72"/>
      <c r="T351" s="72"/>
      <c r="U351" s="72"/>
      <c r="V351" s="72"/>
      <c r="W351" s="72"/>
      <c r="X351" s="72"/>
      <c r="Y351" s="72"/>
      <c r="Z351" s="72"/>
      <c r="AA351" s="72"/>
      <c r="AB351" s="72"/>
      <c r="AC351" s="72"/>
      <c r="AD351" s="72"/>
      <c r="AE351" s="72"/>
      <c r="AF351" s="72"/>
      <c r="AG351" s="72"/>
      <c r="AH351" s="72"/>
      <c r="AI351" s="72"/>
      <c r="AJ351" s="72"/>
      <c r="AK351" s="72"/>
      <c r="AL351" s="72"/>
      <c r="AM351" s="72"/>
      <c r="AN351" s="72"/>
      <c r="AO351" s="72"/>
      <c r="AP351" s="72"/>
      <c r="AQ351" s="72"/>
      <c r="AR351" s="72"/>
      <c r="AS351" s="72"/>
      <c r="AT351" s="72"/>
      <c r="AU351" s="72"/>
      <c r="AV351" s="72"/>
    </row>
    <row r="352" spans="1:48" s="37" customFormat="1" ht="16.5" x14ac:dyDescent="0.3">
      <c r="A352" s="72"/>
      <c r="B352" s="72"/>
      <c r="C352" s="72"/>
      <c r="D352" s="72"/>
      <c r="E352" s="72"/>
      <c r="F352" s="72"/>
      <c r="G352" s="72"/>
      <c r="H352" s="72"/>
      <c r="I352" s="72"/>
      <c r="J352" s="72"/>
      <c r="K352" s="72"/>
      <c r="L352" s="72"/>
      <c r="M352" s="72"/>
      <c r="N352" s="72"/>
      <c r="O352" s="72"/>
      <c r="P352" s="72"/>
      <c r="Q352" s="72"/>
      <c r="R352" s="72"/>
      <c r="S352" s="72"/>
      <c r="T352" s="72"/>
      <c r="U352" s="72"/>
      <c r="V352" s="72"/>
      <c r="W352" s="72"/>
      <c r="X352" s="72"/>
      <c r="Y352" s="72"/>
      <c r="Z352" s="72"/>
      <c r="AA352" s="72"/>
      <c r="AB352" s="72"/>
      <c r="AC352" s="72"/>
      <c r="AD352" s="72"/>
      <c r="AE352" s="72"/>
      <c r="AF352" s="72"/>
      <c r="AG352" s="72"/>
      <c r="AH352" s="72"/>
      <c r="AI352" s="72"/>
      <c r="AJ352" s="72"/>
      <c r="AK352" s="72"/>
      <c r="AL352" s="72"/>
      <c r="AM352" s="72"/>
      <c r="AN352" s="72"/>
      <c r="AO352" s="72"/>
      <c r="AP352" s="72"/>
      <c r="AQ352" s="72"/>
      <c r="AR352" s="72"/>
      <c r="AS352" s="72"/>
      <c r="AT352" s="72"/>
      <c r="AU352" s="72"/>
      <c r="AV352" s="72"/>
    </row>
    <row r="353" spans="1:48" s="37" customFormat="1" ht="16.5" x14ac:dyDescent="0.3">
      <c r="A353" s="72"/>
      <c r="B353" s="72"/>
      <c r="C353" s="72"/>
      <c r="D353" s="72"/>
      <c r="E353" s="72"/>
      <c r="F353" s="72"/>
      <c r="G353" s="72"/>
      <c r="H353" s="72"/>
      <c r="I353" s="72"/>
      <c r="J353" s="72"/>
      <c r="K353" s="72"/>
      <c r="L353" s="72"/>
      <c r="M353" s="72"/>
      <c r="N353" s="72"/>
      <c r="O353" s="72"/>
      <c r="P353" s="72"/>
      <c r="Q353" s="72"/>
      <c r="R353" s="72"/>
      <c r="S353" s="72"/>
      <c r="T353" s="72"/>
      <c r="U353" s="72"/>
      <c r="V353" s="72"/>
      <c r="W353" s="72"/>
      <c r="X353" s="72"/>
      <c r="Y353" s="72"/>
      <c r="Z353" s="72"/>
      <c r="AA353" s="72"/>
      <c r="AB353" s="72"/>
      <c r="AC353" s="72"/>
      <c r="AD353" s="72"/>
      <c r="AE353" s="72"/>
      <c r="AF353" s="72"/>
      <c r="AG353" s="72"/>
      <c r="AH353" s="72"/>
      <c r="AI353" s="72"/>
      <c r="AJ353" s="72"/>
      <c r="AK353" s="72"/>
      <c r="AL353" s="72"/>
      <c r="AM353" s="72"/>
      <c r="AN353" s="72"/>
      <c r="AO353" s="72"/>
      <c r="AP353" s="72"/>
      <c r="AQ353" s="72"/>
      <c r="AR353" s="72"/>
      <c r="AS353" s="72"/>
      <c r="AT353" s="72"/>
      <c r="AU353" s="72"/>
      <c r="AV353" s="72"/>
    </row>
    <row r="354" spans="1:48" s="37" customFormat="1" ht="16.5" x14ac:dyDescent="0.3">
      <c r="A354" s="72"/>
      <c r="B354" s="72"/>
      <c r="C354" s="72"/>
      <c r="D354" s="72"/>
      <c r="E354" s="72"/>
      <c r="F354" s="72"/>
      <c r="G354" s="72"/>
      <c r="H354" s="72"/>
      <c r="I354" s="72"/>
      <c r="J354" s="72"/>
      <c r="K354" s="72"/>
      <c r="L354" s="72"/>
      <c r="M354" s="72"/>
      <c r="N354" s="72"/>
      <c r="O354" s="72"/>
      <c r="P354" s="72"/>
      <c r="Q354" s="72"/>
      <c r="R354" s="72"/>
      <c r="S354" s="72"/>
      <c r="T354" s="72"/>
      <c r="U354" s="72"/>
      <c r="V354" s="72"/>
      <c r="W354" s="72"/>
      <c r="X354" s="72"/>
      <c r="Y354" s="72"/>
      <c r="Z354" s="72"/>
      <c r="AA354" s="72"/>
      <c r="AB354" s="72"/>
      <c r="AC354" s="72"/>
      <c r="AD354" s="72"/>
      <c r="AE354" s="72"/>
      <c r="AF354" s="72"/>
      <c r="AG354" s="72"/>
      <c r="AH354" s="72"/>
      <c r="AI354" s="72"/>
      <c r="AJ354" s="72"/>
      <c r="AK354" s="72"/>
      <c r="AL354" s="72"/>
      <c r="AM354" s="72"/>
      <c r="AN354" s="72"/>
      <c r="AO354" s="72"/>
      <c r="AP354" s="72"/>
      <c r="AQ354" s="72"/>
      <c r="AR354" s="72"/>
      <c r="AS354" s="72"/>
      <c r="AT354" s="72"/>
      <c r="AU354" s="72"/>
      <c r="AV354" s="72"/>
    </row>
    <row r="355" spans="1:48" s="37" customFormat="1" ht="16.5" x14ac:dyDescent="0.3">
      <c r="A355" s="72"/>
      <c r="B355" s="72"/>
      <c r="C355" s="72"/>
      <c r="D355" s="72"/>
      <c r="E355" s="72"/>
      <c r="F355" s="72"/>
      <c r="G355" s="72"/>
      <c r="H355" s="72"/>
      <c r="I355" s="72"/>
      <c r="J355" s="72"/>
      <c r="K355" s="72"/>
      <c r="L355" s="72"/>
      <c r="M355" s="72"/>
      <c r="N355" s="72"/>
      <c r="O355" s="72"/>
      <c r="P355" s="72"/>
      <c r="Q355" s="72"/>
      <c r="R355" s="72"/>
      <c r="S355" s="72"/>
      <c r="T355" s="72"/>
      <c r="U355" s="72"/>
      <c r="V355" s="72"/>
      <c r="W355" s="72"/>
      <c r="X355" s="72"/>
      <c r="Y355" s="72"/>
      <c r="Z355" s="72"/>
      <c r="AA355" s="72"/>
      <c r="AB355" s="72"/>
      <c r="AC355" s="72"/>
      <c r="AD355" s="72"/>
      <c r="AE355" s="72"/>
      <c r="AF355" s="72"/>
      <c r="AG355" s="72"/>
      <c r="AH355" s="72"/>
      <c r="AI355" s="72"/>
      <c r="AJ355" s="72"/>
      <c r="AK355" s="72"/>
      <c r="AL355" s="72"/>
      <c r="AM355" s="72"/>
      <c r="AN355" s="72"/>
      <c r="AO355" s="72"/>
      <c r="AP355" s="72"/>
      <c r="AQ355" s="72"/>
      <c r="AR355" s="72"/>
      <c r="AS355" s="72"/>
      <c r="AT355" s="72"/>
      <c r="AU355" s="72"/>
      <c r="AV355" s="72"/>
    </row>
    <row r="356" spans="1:48" s="37" customFormat="1" ht="16.5" x14ac:dyDescent="0.3">
      <c r="A356" s="72"/>
      <c r="B356" s="72"/>
      <c r="C356" s="72"/>
      <c r="D356" s="72"/>
      <c r="E356" s="72"/>
      <c r="F356" s="72"/>
      <c r="G356" s="72"/>
      <c r="H356" s="72"/>
      <c r="I356" s="72"/>
      <c r="J356" s="72"/>
      <c r="K356" s="72"/>
      <c r="L356" s="72"/>
      <c r="M356" s="72"/>
      <c r="N356" s="72"/>
      <c r="O356" s="72"/>
      <c r="P356" s="72"/>
      <c r="Q356" s="72"/>
      <c r="R356" s="72"/>
      <c r="S356" s="72"/>
      <c r="T356" s="72"/>
      <c r="U356" s="72"/>
      <c r="V356" s="72"/>
      <c r="W356" s="72"/>
      <c r="X356" s="72"/>
      <c r="Y356" s="72"/>
      <c r="Z356" s="72"/>
      <c r="AA356" s="72"/>
      <c r="AB356" s="72"/>
      <c r="AC356" s="72"/>
      <c r="AD356" s="72"/>
      <c r="AE356" s="72"/>
      <c r="AF356" s="72"/>
      <c r="AG356" s="72"/>
      <c r="AH356" s="72"/>
      <c r="AI356" s="72"/>
      <c r="AJ356" s="72"/>
      <c r="AK356" s="72"/>
      <c r="AL356" s="72"/>
      <c r="AM356" s="72"/>
      <c r="AN356" s="72"/>
      <c r="AO356" s="72"/>
      <c r="AP356" s="72"/>
      <c r="AQ356" s="72"/>
      <c r="AR356" s="72"/>
      <c r="AS356" s="72"/>
      <c r="AT356" s="72"/>
      <c r="AU356" s="72"/>
      <c r="AV356" s="72"/>
    </row>
    <row r="357" spans="1:48" s="37" customFormat="1" ht="16.5" x14ac:dyDescent="0.3">
      <c r="A357" s="72"/>
      <c r="B357" s="72"/>
      <c r="C357" s="72"/>
      <c r="D357" s="72"/>
      <c r="E357" s="72"/>
      <c r="F357" s="72"/>
      <c r="G357" s="72"/>
      <c r="H357" s="72"/>
      <c r="I357" s="72"/>
      <c r="J357" s="72"/>
      <c r="K357" s="72"/>
      <c r="L357" s="72"/>
      <c r="M357" s="72"/>
      <c r="N357" s="72"/>
      <c r="O357" s="72"/>
      <c r="P357" s="72"/>
      <c r="Q357" s="72"/>
      <c r="R357" s="72"/>
      <c r="S357" s="72"/>
      <c r="T357" s="72"/>
      <c r="U357" s="72"/>
      <c r="V357" s="72"/>
      <c r="W357" s="72"/>
      <c r="X357" s="72"/>
      <c r="Y357" s="72"/>
      <c r="Z357" s="72"/>
      <c r="AA357" s="72"/>
      <c r="AB357" s="72"/>
      <c r="AC357" s="72"/>
      <c r="AD357" s="72"/>
      <c r="AE357" s="72"/>
      <c r="AF357" s="72"/>
      <c r="AG357" s="72"/>
      <c r="AH357" s="72"/>
      <c r="AI357" s="72"/>
      <c r="AJ357" s="72"/>
      <c r="AK357" s="72"/>
      <c r="AL357" s="72"/>
      <c r="AM357" s="72"/>
      <c r="AN357" s="72"/>
      <c r="AO357" s="72"/>
      <c r="AP357" s="72"/>
      <c r="AQ357" s="72"/>
      <c r="AR357" s="72"/>
      <c r="AS357" s="72"/>
      <c r="AT357" s="72"/>
      <c r="AU357" s="72"/>
      <c r="AV357" s="72"/>
    </row>
    <row r="358" spans="1:48" s="37" customFormat="1" ht="16.5" x14ac:dyDescent="0.3">
      <c r="A358" s="72"/>
      <c r="B358" s="72"/>
      <c r="C358" s="72"/>
      <c r="D358" s="72"/>
      <c r="E358" s="72"/>
      <c r="F358" s="72"/>
      <c r="G358" s="72"/>
      <c r="H358" s="72"/>
      <c r="I358" s="72"/>
      <c r="J358" s="72"/>
      <c r="K358" s="72"/>
      <c r="L358" s="72"/>
      <c r="M358" s="72"/>
      <c r="N358" s="72"/>
      <c r="O358" s="72"/>
      <c r="P358" s="72"/>
      <c r="Q358" s="72"/>
      <c r="R358" s="72"/>
      <c r="S358" s="72"/>
      <c r="T358" s="72"/>
      <c r="U358" s="72"/>
      <c r="V358" s="72"/>
      <c r="W358" s="72"/>
      <c r="X358" s="72"/>
      <c r="Y358" s="72"/>
      <c r="Z358" s="72"/>
      <c r="AA358" s="72"/>
      <c r="AB358" s="72"/>
      <c r="AC358" s="72"/>
      <c r="AD358" s="72"/>
      <c r="AE358" s="72"/>
      <c r="AF358" s="72"/>
      <c r="AG358" s="72"/>
      <c r="AH358" s="72"/>
      <c r="AI358" s="72"/>
      <c r="AJ358" s="72"/>
      <c r="AK358" s="72"/>
      <c r="AL358" s="72"/>
      <c r="AM358" s="72"/>
      <c r="AN358" s="72"/>
      <c r="AO358" s="72"/>
      <c r="AP358" s="72"/>
      <c r="AQ358" s="72"/>
      <c r="AR358" s="72"/>
      <c r="AS358" s="72"/>
      <c r="AT358" s="72"/>
      <c r="AU358" s="72"/>
      <c r="AV358" s="72"/>
    </row>
    <row r="359" spans="1:48" s="37" customFormat="1" ht="16.5" x14ac:dyDescent="0.3">
      <c r="A359" s="72"/>
      <c r="B359" s="72"/>
      <c r="C359" s="72"/>
      <c r="D359" s="72"/>
      <c r="E359" s="72"/>
      <c r="F359" s="72"/>
      <c r="G359" s="72"/>
      <c r="H359" s="72"/>
      <c r="I359" s="72"/>
      <c r="J359" s="72"/>
      <c r="K359" s="72"/>
      <c r="L359" s="72"/>
      <c r="M359" s="72"/>
      <c r="N359" s="72"/>
      <c r="O359" s="72"/>
      <c r="P359" s="72"/>
      <c r="Q359" s="72"/>
      <c r="R359" s="72"/>
      <c r="S359" s="72"/>
      <c r="T359" s="72"/>
      <c r="U359" s="72"/>
      <c r="V359" s="72"/>
      <c r="W359" s="72"/>
      <c r="X359" s="72"/>
      <c r="Y359" s="72"/>
      <c r="Z359" s="72"/>
      <c r="AA359" s="72"/>
      <c r="AB359" s="72"/>
      <c r="AC359" s="72"/>
      <c r="AD359" s="72"/>
      <c r="AE359" s="72"/>
      <c r="AF359" s="72"/>
      <c r="AG359" s="72"/>
      <c r="AH359" s="72"/>
      <c r="AI359" s="72"/>
      <c r="AJ359" s="72"/>
      <c r="AK359" s="72"/>
      <c r="AL359" s="72"/>
      <c r="AM359" s="72"/>
      <c r="AN359" s="72"/>
      <c r="AO359" s="72"/>
      <c r="AP359" s="72"/>
      <c r="AQ359" s="72"/>
      <c r="AR359" s="72"/>
      <c r="AS359" s="72"/>
      <c r="AT359" s="72"/>
      <c r="AU359" s="72"/>
      <c r="AV359" s="72"/>
    </row>
    <row r="360" spans="1:48" s="37" customFormat="1" ht="16.5" x14ac:dyDescent="0.3">
      <c r="A360" s="72"/>
      <c r="B360" s="72"/>
      <c r="C360" s="72"/>
      <c r="D360" s="72"/>
      <c r="E360" s="72"/>
      <c r="F360" s="72"/>
      <c r="G360" s="72"/>
      <c r="H360" s="72"/>
      <c r="I360" s="72"/>
      <c r="J360" s="72"/>
      <c r="K360" s="72"/>
      <c r="L360" s="72"/>
      <c r="M360" s="72"/>
      <c r="N360" s="72"/>
      <c r="O360" s="72"/>
      <c r="P360" s="72"/>
      <c r="Q360" s="72"/>
      <c r="R360" s="72"/>
      <c r="S360" s="72"/>
      <c r="T360" s="72"/>
      <c r="U360" s="72"/>
      <c r="V360" s="72"/>
      <c r="W360" s="72"/>
      <c r="X360" s="72"/>
      <c r="Y360" s="72"/>
      <c r="Z360" s="72"/>
      <c r="AA360" s="72"/>
      <c r="AB360" s="72"/>
      <c r="AC360" s="72"/>
      <c r="AD360" s="72"/>
      <c r="AE360" s="72"/>
      <c r="AF360" s="72"/>
      <c r="AG360" s="72"/>
      <c r="AH360" s="72"/>
      <c r="AI360" s="72"/>
      <c r="AJ360" s="72"/>
      <c r="AK360" s="72"/>
      <c r="AL360" s="72"/>
      <c r="AM360" s="72"/>
      <c r="AN360" s="72"/>
      <c r="AO360" s="72"/>
      <c r="AP360" s="72"/>
      <c r="AQ360" s="72"/>
      <c r="AR360" s="72"/>
      <c r="AS360" s="72"/>
      <c r="AT360" s="72"/>
      <c r="AU360" s="72"/>
      <c r="AV360" s="72"/>
    </row>
    <row r="361" spans="1:48" s="37" customFormat="1" ht="16.5" x14ac:dyDescent="0.3">
      <c r="A361" s="72"/>
      <c r="B361" s="72"/>
      <c r="C361" s="72"/>
      <c r="D361" s="72"/>
      <c r="E361" s="72"/>
      <c r="F361" s="72"/>
      <c r="G361" s="72"/>
      <c r="H361" s="72"/>
      <c r="I361" s="72"/>
      <c r="J361" s="72"/>
      <c r="K361" s="72"/>
      <c r="L361" s="72"/>
      <c r="M361" s="72"/>
      <c r="N361" s="72"/>
      <c r="O361" s="72"/>
      <c r="P361" s="72"/>
      <c r="Q361" s="72"/>
      <c r="R361" s="72"/>
      <c r="S361" s="72"/>
      <c r="T361" s="72"/>
      <c r="U361" s="72"/>
      <c r="V361" s="72"/>
      <c r="W361" s="72"/>
      <c r="X361" s="72"/>
      <c r="Y361" s="72"/>
      <c r="Z361" s="72"/>
      <c r="AA361" s="72"/>
      <c r="AB361" s="72"/>
      <c r="AC361" s="72"/>
      <c r="AD361" s="72"/>
      <c r="AE361" s="72"/>
      <c r="AF361" s="72"/>
      <c r="AG361" s="72"/>
      <c r="AH361" s="72"/>
      <c r="AI361" s="72"/>
      <c r="AJ361" s="72"/>
      <c r="AK361" s="72"/>
      <c r="AL361" s="72"/>
      <c r="AM361" s="72"/>
      <c r="AN361" s="72"/>
      <c r="AO361" s="72"/>
      <c r="AP361" s="72"/>
      <c r="AQ361" s="72"/>
      <c r="AR361" s="72"/>
      <c r="AS361" s="72"/>
      <c r="AT361" s="72"/>
      <c r="AU361" s="72"/>
      <c r="AV361" s="72"/>
    </row>
    <row r="362" spans="1:48" s="37" customFormat="1" ht="16.5" x14ac:dyDescent="0.3">
      <c r="A362" s="72"/>
      <c r="B362" s="72"/>
      <c r="C362" s="72"/>
      <c r="D362" s="72"/>
      <c r="E362" s="72"/>
      <c r="F362" s="72"/>
      <c r="G362" s="72"/>
      <c r="H362" s="72"/>
      <c r="I362" s="72"/>
      <c r="J362" s="72"/>
      <c r="K362" s="72"/>
      <c r="L362" s="72"/>
      <c r="M362" s="72"/>
      <c r="N362" s="72"/>
      <c r="O362" s="72"/>
      <c r="P362" s="72"/>
      <c r="Q362" s="72"/>
      <c r="R362" s="72"/>
      <c r="S362" s="72"/>
      <c r="T362" s="72"/>
      <c r="U362" s="72"/>
      <c r="V362" s="72"/>
      <c r="W362" s="72"/>
      <c r="X362" s="72"/>
      <c r="Y362" s="72"/>
      <c r="Z362" s="72"/>
      <c r="AA362" s="72"/>
      <c r="AB362" s="72"/>
      <c r="AC362" s="72"/>
      <c r="AD362" s="72"/>
      <c r="AE362" s="72"/>
      <c r="AF362" s="72"/>
      <c r="AG362" s="72"/>
      <c r="AH362" s="72"/>
      <c r="AI362" s="72"/>
      <c r="AJ362" s="72"/>
      <c r="AK362" s="72"/>
      <c r="AL362" s="72"/>
      <c r="AM362" s="72"/>
      <c r="AN362" s="72"/>
      <c r="AO362" s="72"/>
      <c r="AP362" s="72"/>
      <c r="AQ362" s="72"/>
      <c r="AR362" s="72"/>
      <c r="AS362" s="72"/>
      <c r="AT362" s="72"/>
      <c r="AU362" s="72"/>
      <c r="AV362" s="72"/>
    </row>
    <row r="363" spans="1:48" s="37" customFormat="1" ht="16.5" x14ac:dyDescent="0.3">
      <c r="A363" s="72"/>
      <c r="B363" s="72"/>
      <c r="C363" s="72"/>
      <c r="D363" s="72"/>
      <c r="E363" s="72"/>
      <c r="F363" s="72"/>
      <c r="G363" s="72"/>
      <c r="H363" s="72"/>
      <c r="I363" s="72"/>
      <c r="J363" s="72"/>
      <c r="K363" s="72"/>
      <c r="L363" s="72"/>
      <c r="M363" s="72"/>
      <c r="N363" s="72"/>
      <c r="O363" s="72"/>
      <c r="P363" s="72"/>
      <c r="Q363" s="72"/>
      <c r="R363" s="72"/>
      <c r="S363" s="72"/>
      <c r="T363" s="72"/>
      <c r="U363" s="72"/>
      <c r="V363" s="72"/>
      <c r="W363" s="72"/>
      <c r="X363" s="72"/>
      <c r="Y363" s="72"/>
      <c r="Z363" s="72"/>
      <c r="AA363" s="72"/>
      <c r="AB363" s="72"/>
      <c r="AC363" s="72"/>
      <c r="AD363" s="72"/>
      <c r="AE363" s="72"/>
      <c r="AF363" s="72"/>
      <c r="AG363" s="72"/>
      <c r="AH363" s="72"/>
      <c r="AI363" s="72"/>
      <c r="AJ363" s="72"/>
      <c r="AK363" s="72"/>
      <c r="AL363" s="72"/>
      <c r="AM363" s="72"/>
      <c r="AN363" s="72"/>
      <c r="AO363" s="72"/>
      <c r="AP363" s="72"/>
      <c r="AQ363" s="72"/>
      <c r="AR363" s="72"/>
      <c r="AS363" s="72"/>
      <c r="AT363" s="72"/>
      <c r="AU363" s="72"/>
      <c r="AV363" s="72"/>
    </row>
    <row r="364" spans="1:48" s="37" customFormat="1" ht="16.5" x14ac:dyDescent="0.3">
      <c r="A364" s="72"/>
      <c r="B364" s="72"/>
      <c r="C364" s="72"/>
      <c r="D364" s="72"/>
      <c r="E364" s="72"/>
      <c r="F364" s="72"/>
      <c r="G364" s="72"/>
      <c r="H364" s="72"/>
      <c r="I364" s="72"/>
      <c r="J364" s="72"/>
      <c r="K364" s="72"/>
      <c r="L364" s="72"/>
      <c r="M364" s="72"/>
      <c r="N364" s="72"/>
      <c r="O364" s="72"/>
      <c r="P364" s="72"/>
      <c r="Q364" s="72"/>
      <c r="R364" s="72"/>
      <c r="S364" s="72"/>
      <c r="T364" s="72"/>
      <c r="U364" s="72"/>
      <c r="V364" s="72"/>
      <c r="W364" s="72"/>
      <c r="X364" s="72"/>
      <c r="Y364" s="72"/>
      <c r="Z364" s="72"/>
      <c r="AA364" s="72"/>
      <c r="AB364" s="72"/>
      <c r="AC364" s="72"/>
      <c r="AD364" s="72"/>
      <c r="AE364" s="72"/>
      <c r="AF364" s="72"/>
      <c r="AG364" s="72"/>
      <c r="AH364" s="72"/>
      <c r="AI364" s="72"/>
      <c r="AJ364" s="72"/>
      <c r="AK364" s="72"/>
      <c r="AL364" s="72"/>
      <c r="AM364" s="72"/>
      <c r="AN364" s="72"/>
      <c r="AO364" s="72"/>
      <c r="AP364" s="72"/>
      <c r="AQ364" s="72"/>
      <c r="AR364" s="72"/>
      <c r="AS364" s="72"/>
      <c r="AT364" s="72"/>
      <c r="AU364" s="72"/>
      <c r="AV364" s="72"/>
    </row>
    <row r="365" spans="1:48" s="37" customFormat="1" ht="16.5" x14ac:dyDescent="0.3">
      <c r="A365" s="72"/>
      <c r="B365" s="72"/>
      <c r="C365" s="72"/>
      <c r="D365" s="72"/>
      <c r="E365" s="72"/>
      <c r="F365" s="72"/>
      <c r="G365" s="72"/>
      <c r="H365" s="72"/>
      <c r="I365" s="72"/>
      <c r="J365" s="72"/>
      <c r="K365" s="72"/>
      <c r="L365" s="72"/>
      <c r="M365" s="72"/>
      <c r="N365" s="72"/>
      <c r="O365" s="72"/>
      <c r="P365" s="72"/>
      <c r="Q365" s="72"/>
      <c r="R365" s="72"/>
      <c r="S365" s="72"/>
      <c r="T365" s="72"/>
      <c r="U365" s="72"/>
      <c r="V365" s="72"/>
      <c r="W365" s="72"/>
      <c r="X365" s="72"/>
      <c r="Y365" s="72"/>
      <c r="Z365" s="72"/>
      <c r="AA365" s="72"/>
      <c r="AB365" s="72"/>
      <c r="AC365" s="72"/>
      <c r="AD365" s="72"/>
      <c r="AE365" s="72"/>
      <c r="AF365" s="72"/>
      <c r="AG365" s="72"/>
      <c r="AH365" s="72"/>
      <c r="AI365" s="72"/>
      <c r="AJ365" s="72"/>
      <c r="AK365" s="72"/>
      <c r="AL365" s="72"/>
      <c r="AM365" s="72"/>
      <c r="AN365" s="72"/>
      <c r="AO365" s="72"/>
      <c r="AP365" s="72"/>
      <c r="AQ365" s="72"/>
      <c r="AR365" s="72"/>
      <c r="AS365" s="72"/>
      <c r="AT365" s="72"/>
      <c r="AU365" s="72"/>
      <c r="AV365" s="72"/>
    </row>
    <row r="366" spans="1:48" s="37" customFormat="1" ht="16.5" x14ac:dyDescent="0.3">
      <c r="A366" s="72"/>
      <c r="B366" s="72"/>
      <c r="C366" s="72"/>
      <c r="D366" s="72"/>
      <c r="E366" s="72"/>
      <c r="F366" s="72"/>
      <c r="G366" s="72"/>
      <c r="H366" s="72"/>
      <c r="I366" s="72"/>
      <c r="J366" s="72"/>
      <c r="K366" s="72"/>
      <c r="L366" s="72"/>
      <c r="M366" s="72"/>
      <c r="N366" s="72"/>
      <c r="O366" s="72"/>
      <c r="P366" s="72"/>
      <c r="Q366" s="72"/>
      <c r="R366" s="72"/>
      <c r="S366" s="72"/>
      <c r="T366" s="72"/>
      <c r="U366" s="72"/>
      <c r="V366" s="72"/>
      <c r="W366" s="72"/>
      <c r="X366" s="72"/>
      <c r="Y366" s="72"/>
      <c r="Z366" s="72"/>
      <c r="AA366" s="72"/>
      <c r="AB366" s="72"/>
      <c r="AC366" s="72"/>
      <c r="AD366" s="72"/>
      <c r="AE366" s="72"/>
      <c r="AF366" s="72"/>
      <c r="AG366" s="72"/>
      <c r="AH366" s="72"/>
      <c r="AI366" s="72"/>
      <c r="AJ366" s="72"/>
      <c r="AK366" s="72"/>
      <c r="AL366" s="72"/>
      <c r="AM366" s="72"/>
      <c r="AN366" s="72"/>
      <c r="AO366" s="72"/>
      <c r="AP366" s="72"/>
      <c r="AQ366" s="72"/>
      <c r="AR366" s="72"/>
      <c r="AS366" s="72"/>
      <c r="AT366" s="72"/>
      <c r="AU366" s="72"/>
      <c r="AV366" s="72"/>
    </row>
    <row r="367" spans="1:48" s="37" customFormat="1" ht="16.5" x14ac:dyDescent="0.3">
      <c r="A367" s="72"/>
      <c r="B367" s="72"/>
      <c r="C367" s="72"/>
      <c r="D367" s="72"/>
      <c r="E367" s="72"/>
      <c r="F367" s="72"/>
      <c r="G367" s="72"/>
      <c r="H367" s="72"/>
      <c r="I367" s="72"/>
      <c r="J367" s="72"/>
      <c r="K367" s="72"/>
      <c r="L367" s="72"/>
      <c r="M367" s="72"/>
      <c r="N367" s="72"/>
      <c r="O367" s="72"/>
      <c r="P367" s="72"/>
      <c r="Q367" s="72"/>
      <c r="R367" s="72"/>
      <c r="S367" s="72"/>
      <c r="T367" s="72"/>
      <c r="U367" s="72"/>
      <c r="V367" s="72"/>
      <c r="W367" s="72"/>
      <c r="X367" s="72"/>
      <c r="Y367" s="72"/>
      <c r="Z367" s="72"/>
      <c r="AA367" s="72"/>
      <c r="AB367" s="72"/>
      <c r="AC367" s="72"/>
      <c r="AD367" s="72"/>
      <c r="AE367" s="72"/>
      <c r="AF367" s="72"/>
      <c r="AG367" s="72"/>
      <c r="AH367" s="72"/>
      <c r="AI367" s="72"/>
      <c r="AJ367" s="72"/>
      <c r="AK367" s="72"/>
      <c r="AL367" s="72"/>
      <c r="AM367" s="72"/>
      <c r="AN367" s="72"/>
      <c r="AO367" s="72"/>
      <c r="AP367" s="72"/>
      <c r="AQ367" s="72"/>
      <c r="AR367" s="72"/>
      <c r="AS367" s="72"/>
      <c r="AT367" s="72"/>
      <c r="AU367" s="72"/>
      <c r="AV367" s="72"/>
    </row>
    <row r="368" spans="1:48" s="37" customFormat="1" ht="16.5" x14ac:dyDescent="0.3">
      <c r="A368" s="72"/>
      <c r="B368" s="72"/>
      <c r="C368" s="72"/>
      <c r="D368" s="72"/>
      <c r="E368" s="72"/>
      <c r="F368" s="72"/>
      <c r="G368" s="72"/>
      <c r="H368" s="72"/>
      <c r="I368" s="72"/>
      <c r="J368" s="72"/>
      <c r="K368" s="72"/>
      <c r="L368" s="72"/>
      <c r="M368" s="72"/>
      <c r="N368" s="72"/>
      <c r="O368" s="72"/>
      <c r="P368" s="72"/>
      <c r="Q368" s="72"/>
      <c r="R368" s="72"/>
      <c r="S368" s="72"/>
      <c r="T368" s="72"/>
      <c r="U368" s="72"/>
      <c r="V368" s="72"/>
      <c r="W368" s="72"/>
      <c r="X368" s="72"/>
      <c r="Y368" s="72"/>
      <c r="Z368" s="72"/>
      <c r="AA368" s="72"/>
      <c r="AB368" s="72"/>
      <c r="AC368" s="72"/>
      <c r="AD368" s="72"/>
      <c r="AE368" s="72"/>
      <c r="AF368" s="72"/>
      <c r="AG368" s="72"/>
      <c r="AH368" s="72"/>
      <c r="AI368" s="72"/>
      <c r="AJ368" s="72"/>
      <c r="AK368" s="72"/>
      <c r="AL368" s="72"/>
      <c r="AM368" s="72"/>
      <c r="AN368" s="72"/>
      <c r="AO368" s="72"/>
      <c r="AP368" s="72"/>
      <c r="AQ368" s="72"/>
      <c r="AR368" s="72"/>
      <c r="AS368" s="72"/>
      <c r="AT368" s="72"/>
      <c r="AU368" s="72"/>
      <c r="AV368" s="72"/>
    </row>
    <row r="369" spans="1:48" s="37" customFormat="1" ht="16.5" x14ac:dyDescent="0.3">
      <c r="A369" s="72"/>
      <c r="B369" s="72"/>
      <c r="C369" s="72"/>
      <c r="D369" s="72"/>
      <c r="E369" s="72"/>
      <c r="F369" s="72"/>
      <c r="G369" s="72"/>
      <c r="H369" s="72"/>
      <c r="I369" s="72"/>
      <c r="J369" s="72"/>
      <c r="K369" s="72"/>
      <c r="L369" s="72"/>
      <c r="M369" s="72"/>
      <c r="N369" s="72"/>
      <c r="O369" s="72"/>
      <c r="P369" s="72"/>
      <c r="Q369" s="72"/>
      <c r="R369" s="72"/>
      <c r="S369" s="72"/>
      <c r="T369" s="72"/>
      <c r="U369" s="72"/>
      <c r="V369" s="72"/>
      <c r="W369" s="72"/>
      <c r="X369" s="72"/>
      <c r="Y369" s="72"/>
      <c r="Z369" s="72"/>
      <c r="AA369" s="72"/>
      <c r="AB369" s="72"/>
      <c r="AC369" s="72"/>
      <c r="AD369" s="72"/>
      <c r="AE369" s="72"/>
      <c r="AF369" s="72"/>
      <c r="AG369" s="72"/>
      <c r="AH369" s="72"/>
      <c r="AI369" s="72"/>
      <c r="AJ369" s="72"/>
      <c r="AK369" s="72"/>
      <c r="AL369" s="72"/>
      <c r="AM369" s="72"/>
      <c r="AN369" s="72"/>
      <c r="AO369" s="72"/>
      <c r="AP369" s="72"/>
      <c r="AQ369" s="72"/>
      <c r="AR369" s="72"/>
      <c r="AS369" s="72"/>
      <c r="AT369" s="72"/>
      <c r="AU369" s="72"/>
      <c r="AV369" s="72"/>
    </row>
    <row r="370" spans="1:48" s="37" customFormat="1" ht="16.5" x14ac:dyDescent="0.3">
      <c r="A370" s="72"/>
      <c r="B370" s="72"/>
      <c r="C370" s="72"/>
      <c r="D370" s="72"/>
      <c r="E370" s="72"/>
      <c r="F370" s="72"/>
      <c r="G370" s="72"/>
      <c r="H370" s="72"/>
      <c r="I370" s="72"/>
      <c r="J370" s="72"/>
      <c r="K370" s="72"/>
      <c r="L370" s="72"/>
      <c r="M370" s="72"/>
      <c r="N370" s="72"/>
      <c r="O370" s="72"/>
      <c r="P370" s="72"/>
      <c r="Q370" s="72"/>
      <c r="R370" s="72"/>
      <c r="S370" s="72"/>
      <c r="T370" s="72"/>
      <c r="U370" s="72"/>
      <c r="V370" s="72"/>
      <c r="W370" s="72"/>
      <c r="X370" s="72"/>
      <c r="Y370" s="72"/>
      <c r="Z370" s="72"/>
      <c r="AA370" s="72"/>
      <c r="AB370" s="72"/>
      <c r="AC370" s="72"/>
      <c r="AD370" s="72"/>
      <c r="AE370" s="72"/>
      <c r="AF370" s="72"/>
      <c r="AG370" s="72"/>
      <c r="AH370" s="72"/>
      <c r="AI370" s="72"/>
      <c r="AJ370" s="72"/>
      <c r="AK370" s="72"/>
      <c r="AL370" s="72"/>
      <c r="AM370" s="72"/>
      <c r="AN370" s="72"/>
      <c r="AO370" s="72"/>
      <c r="AP370" s="72"/>
      <c r="AQ370" s="72"/>
      <c r="AR370" s="72"/>
      <c r="AS370" s="72"/>
      <c r="AT370" s="72"/>
      <c r="AU370" s="72"/>
      <c r="AV370" s="72"/>
    </row>
    <row r="371" spans="1:48" s="37" customFormat="1" ht="16.5" x14ac:dyDescent="0.3">
      <c r="A371" s="72"/>
      <c r="B371" s="72"/>
      <c r="C371" s="72"/>
      <c r="D371" s="72"/>
      <c r="E371" s="72"/>
      <c r="F371" s="72"/>
      <c r="G371" s="72"/>
      <c r="H371" s="72"/>
      <c r="I371" s="72"/>
      <c r="J371" s="72"/>
      <c r="K371" s="72"/>
      <c r="L371" s="72"/>
      <c r="M371" s="72"/>
      <c r="N371" s="72"/>
      <c r="O371" s="72"/>
      <c r="P371" s="72"/>
      <c r="Q371" s="72"/>
      <c r="R371" s="72"/>
      <c r="S371" s="72"/>
      <c r="T371" s="72"/>
      <c r="U371" s="72"/>
      <c r="V371" s="72"/>
      <c r="W371" s="72"/>
      <c r="X371" s="72"/>
      <c r="Y371" s="72"/>
      <c r="Z371" s="72"/>
      <c r="AA371" s="72"/>
      <c r="AB371" s="72"/>
      <c r="AC371" s="72"/>
      <c r="AD371" s="72"/>
      <c r="AE371" s="72"/>
      <c r="AF371" s="72"/>
      <c r="AG371" s="72"/>
      <c r="AH371" s="72"/>
      <c r="AI371" s="72"/>
      <c r="AJ371" s="72"/>
      <c r="AK371" s="72"/>
      <c r="AL371" s="72"/>
      <c r="AM371" s="72"/>
      <c r="AN371" s="72"/>
      <c r="AO371" s="72"/>
      <c r="AP371" s="72"/>
      <c r="AQ371" s="72"/>
      <c r="AR371" s="72"/>
      <c r="AS371" s="72"/>
      <c r="AT371" s="72"/>
      <c r="AU371" s="72"/>
      <c r="AV371" s="72"/>
    </row>
    <row r="372" spans="1:48" s="37" customFormat="1" ht="16.5" x14ac:dyDescent="0.3">
      <c r="A372" s="72"/>
      <c r="B372" s="72"/>
      <c r="C372" s="72"/>
      <c r="D372" s="72"/>
      <c r="E372" s="72"/>
      <c r="F372" s="72"/>
      <c r="G372" s="72"/>
      <c r="H372" s="72"/>
      <c r="I372" s="72"/>
      <c r="J372" s="72"/>
      <c r="K372" s="72"/>
      <c r="L372" s="72"/>
      <c r="M372" s="72"/>
      <c r="N372" s="72"/>
      <c r="O372" s="72"/>
      <c r="P372" s="72"/>
      <c r="Q372" s="72"/>
      <c r="R372" s="72"/>
      <c r="S372" s="72"/>
      <c r="T372" s="72"/>
      <c r="U372" s="72"/>
      <c r="V372" s="72"/>
      <c r="W372" s="72"/>
      <c r="X372" s="72"/>
      <c r="Y372" s="72"/>
      <c r="Z372" s="72"/>
      <c r="AA372" s="72"/>
      <c r="AB372" s="72"/>
      <c r="AC372" s="72"/>
      <c r="AD372" s="72"/>
      <c r="AE372" s="72"/>
      <c r="AF372" s="72"/>
      <c r="AG372" s="72"/>
      <c r="AH372" s="72"/>
      <c r="AI372" s="72"/>
      <c r="AJ372" s="72"/>
      <c r="AK372" s="72"/>
      <c r="AL372" s="72"/>
      <c r="AM372" s="72"/>
      <c r="AN372" s="72"/>
      <c r="AO372" s="72"/>
      <c r="AP372" s="72"/>
      <c r="AQ372" s="72"/>
      <c r="AR372" s="72"/>
      <c r="AS372" s="72"/>
      <c r="AT372" s="72"/>
      <c r="AU372" s="72"/>
      <c r="AV372" s="72"/>
    </row>
    <row r="373" spans="1:48" s="37" customFormat="1" ht="16.5" x14ac:dyDescent="0.3">
      <c r="A373" s="72"/>
      <c r="B373" s="72"/>
      <c r="C373" s="72"/>
      <c r="D373" s="72"/>
      <c r="E373" s="72"/>
      <c r="F373" s="72"/>
      <c r="G373" s="72"/>
      <c r="H373" s="72"/>
      <c r="I373" s="72"/>
      <c r="J373" s="72"/>
      <c r="K373" s="72"/>
      <c r="L373" s="72"/>
      <c r="M373" s="72"/>
      <c r="N373" s="72"/>
      <c r="O373" s="72"/>
      <c r="P373" s="72"/>
      <c r="Q373" s="72"/>
      <c r="R373" s="72"/>
      <c r="S373" s="72"/>
      <c r="T373" s="72"/>
      <c r="U373" s="72"/>
      <c r="V373" s="72"/>
      <c r="W373" s="72"/>
      <c r="X373" s="72"/>
      <c r="Y373" s="72"/>
      <c r="Z373" s="72"/>
      <c r="AA373" s="72"/>
      <c r="AB373" s="72"/>
      <c r="AC373" s="72"/>
      <c r="AD373" s="72"/>
      <c r="AE373" s="72"/>
      <c r="AF373" s="72"/>
      <c r="AG373" s="72"/>
      <c r="AH373" s="72"/>
      <c r="AI373" s="72"/>
      <c r="AJ373" s="72"/>
      <c r="AK373" s="72"/>
      <c r="AL373" s="72"/>
      <c r="AM373" s="72"/>
      <c r="AN373" s="72"/>
      <c r="AO373" s="72"/>
      <c r="AP373" s="72"/>
      <c r="AQ373" s="72"/>
      <c r="AR373" s="72"/>
      <c r="AS373" s="72"/>
      <c r="AT373" s="72"/>
      <c r="AU373" s="72"/>
      <c r="AV373" s="72"/>
    </row>
    <row r="374" spans="1:48" s="37" customFormat="1" ht="16.5" x14ac:dyDescent="0.3">
      <c r="A374" s="72"/>
      <c r="B374" s="72"/>
      <c r="C374" s="72"/>
      <c r="D374" s="72"/>
      <c r="E374" s="72"/>
      <c r="F374" s="72"/>
      <c r="G374" s="72"/>
      <c r="H374" s="72"/>
      <c r="I374" s="72"/>
      <c r="J374" s="72"/>
      <c r="K374" s="72"/>
      <c r="L374" s="72"/>
      <c r="M374" s="72"/>
      <c r="N374" s="72"/>
      <c r="O374" s="72"/>
      <c r="P374" s="72"/>
      <c r="Q374" s="72"/>
      <c r="R374" s="72"/>
      <c r="S374" s="72"/>
      <c r="T374" s="72"/>
      <c r="U374" s="72"/>
      <c r="V374" s="72"/>
      <c r="W374" s="72"/>
      <c r="X374" s="72"/>
      <c r="Y374" s="72"/>
      <c r="Z374" s="72"/>
      <c r="AA374" s="72"/>
      <c r="AB374" s="72"/>
      <c r="AC374" s="72"/>
      <c r="AD374" s="72"/>
      <c r="AE374" s="72"/>
      <c r="AF374" s="72"/>
      <c r="AG374" s="72"/>
      <c r="AH374" s="72"/>
      <c r="AI374" s="72"/>
      <c r="AJ374" s="72"/>
      <c r="AK374" s="72"/>
      <c r="AL374" s="72"/>
      <c r="AM374" s="72"/>
      <c r="AN374" s="72"/>
      <c r="AO374" s="72"/>
      <c r="AP374" s="72"/>
      <c r="AQ374" s="72"/>
      <c r="AR374" s="72"/>
      <c r="AS374" s="72"/>
      <c r="AT374" s="72"/>
      <c r="AU374" s="72"/>
      <c r="AV374" s="72"/>
    </row>
    <row r="375" spans="1:48" s="37" customFormat="1" ht="16.5" x14ac:dyDescent="0.3">
      <c r="A375" s="72"/>
      <c r="B375" s="72"/>
      <c r="C375" s="72"/>
      <c r="D375" s="72"/>
      <c r="E375" s="72"/>
      <c r="F375" s="72"/>
      <c r="G375" s="72"/>
      <c r="H375" s="72"/>
      <c r="I375" s="72"/>
      <c r="J375" s="72"/>
      <c r="K375" s="72"/>
      <c r="L375" s="72"/>
      <c r="M375" s="72"/>
      <c r="N375" s="72"/>
      <c r="O375" s="72"/>
      <c r="P375" s="72"/>
      <c r="Q375" s="72"/>
      <c r="R375" s="72"/>
      <c r="S375" s="72"/>
      <c r="T375" s="72"/>
      <c r="U375" s="72"/>
      <c r="V375" s="72"/>
      <c r="W375" s="72"/>
      <c r="X375" s="72"/>
      <c r="Y375" s="72"/>
      <c r="Z375" s="72"/>
      <c r="AA375" s="72"/>
      <c r="AB375" s="72"/>
      <c r="AC375" s="72"/>
      <c r="AD375" s="72"/>
      <c r="AE375" s="72"/>
      <c r="AF375" s="72"/>
      <c r="AG375" s="72"/>
      <c r="AH375" s="72"/>
      <c r="AI375" s="72"/>
      <c r="AJ375" s="72"/>
      <c r="AK375" s="72"/>
      <c r="AL375" s="72"/>
      <c r="AM375" s="72"/>
      <c r="AN375" s="72"/>
      <c r="AO375" s="72"/>
      <c r="AP375" s="72"/>
      <c r="AQ375" s="72"/>
      <c r="AR375" s="72"/>
      <c r="AS375" s="72"/>
      <c r="AT375" s="72"/>
      <c r="AU375" s="72"/>
      <c r="AV375" s="72"/>
    </row>
    <row r="376" spans="1:48" s="37" customFormat="1" ht="16.5" x14ac:dyDescent="0.3">
      <c r="A376" s="72"/>
      <c r="B376" s="72"/>
      <c r="C376" s="72"/>
      <c r="D376" s="72"/>
      <c r="E376" s="72"/>
      <c r="F376" s="72"/>
      <c r="G376" s="72"/>
      <c r="H376" s="72"/>
      <c r="I376" s="72"/>
      <c r="J376" s="72"/>
      <c r="K376" s="72"/>
      <c r="L376" s="72"/>
      <c r="M376" s="72"/>
      <c r="N376" s="72"/>
      <c r="O376" s="72"/>
      <c r="P376" s="72"/>
      <c r="Q376" s="72"/>
      <c r="R376" s="72"/>
      <c r="S376" s="72"/>
      <c r="T376" s="72"/>
      <c r="U376" s="72"/>
      <c r="V376" s="72"/>
      <c r="W376" s="72"/>
      <c r="X376" s="72"/>
      <c r="Y376" s="72"/>
      <c r="Z376" s="72"/>
      <c r="AA376" s="72"/>
      <c r="AB376" s="72"/>
      <c r="AC376" s="72"/>
      <c r="AD376" s="72"/>
      <c r="AE376" s="72"/>
      <c r="AF376" s="72"/>
      <c r="AG376" s="72"/>
      <c r="AH376" s="72"/>
      <c r="AI376" s="72"/>
      <c r="AJ376" s="72"/>
      <c r="AK376" s="72"/>
      <c r="AL376" s="72"/>
      <c r="AM376" s="72"/>
      <c r="AN376" s="72"/>
      <c r="AO376" s="72"/>
      <c r="AP376" s="72"/>
      <c r="AQ376" s="72"/>
      <c r="AR376" s="72"/>
      <c r="AS376" s="72"/>
      <c r="AT376" s="72"/>
      <c r="AU376" s="72"/>
      <c r="AV376" s="72"/>
    </row>
    <row r="377" spans="1:48" s="37" customFormat="1" ht="16.5" x14ac:dyDescent="0.3">
      <c r="A377" s="72"/>
      <c r="B377" s="72"/>
      <c r="C377" s="72"/>
      <c r="D377" s="72"/>
      <c r="E377" s="72"/>
      <c r="F377" s="72"/>
      <c r="G377" s="72"/>
      <c r="H377" s="72"/>
      <c r="I377" s="72"/>
      <c r="J377" s="72"/>
      <c r="K377" s="72"/>
      <c r="L377" s="72"/>
      <c r="M377" s="72"/>
      <c r="N377" s="72"/>
      <c r="O377" s="72"/>
      <c r="P377" s="72"/>
      <c r="Q377" s="72"/>
      <c r="R377" s="72"/>
      <c r="S377" s="72"/>
      <c r="T377" s="72"/>
      <c r="U377" s="72"/>
      <c r="V377" s="72"/>
      <c r="W377" s="72"/>
      <c r="X377" s="72"/>
      <c r="Y377" s="72"/>
      <c r="Z377" s="72"/>
      <c r="AA377" s="72"/>
      <c r="AB377" s="72"/>
      <c r="AC377" s="72"/>
      <c r="AD377" s="72"/>
      <c r="AE377" s="72"/>
      <c r="AF377" s="72"/>
      <c r="AG377" s="72"/>
      <c r="AH377" s="72"/>
      <c r="AI377" s="72"/>
      <c r="AJ377" s="72"/>
      <c r="AK377" s="72"/>
      <c r="AL377" s="72"/>
      <c r="AM377" s="72"/>
      <c r="AN377" s="72"/>
      <c r="AO377" s="72"/>
      <c r="AP377" s="72"/>
      <c r="AQ377" s="72"/>
      <c r="AR377" s="72"/>
      <c r="AS377" s="72"/>
      <c r="AT377" s="72"/>
      <c r="AU377" s="72"/>
      <c r="AV377" s="72"/>
    </row>
    <row r="378" spans="1:48" s="37" customFormat="1" ht="16.5" x14ac:dyDescent="0.3">
      <c r="A378" s="72"/>
      <c r="B378" s="72"/>
      <c r="C378" s="72"/>
      <c r="D378" s="72"/>
      <c r="E378" s="72"/>
      <c r="F378" s="72"/>
      <c r="G378" s="72"/>
      <c r="H378" s="72"/>
      <c r="I378" s="72"/>
      <c r="J378" s="72"/>
      <c r="K378" s="72"/>
      <c r="L378" s="72"/>
      <c r="M378" s="72"/>
      <c r="N378" s="72"/>
      <c r="O378" s="72"/>
      <c r="P378" s="72"/>
      <c r="Q378" s="72"/>
      <c r="R378" s="72"/>
      <c r="S378" s="72"/>
      <c r="T378" s="72"/>
      <c r="U378" s="72"/>
      <c r="V378" s="72"/>
      <c r="W378" s="72"/>
      <c r="X378" s="72"/>
      <c r="Y378" s="72"/>
      <c r="Z378" s="72"/>
      <c r="AA378" s="72"/>
      <c r="AB378" s="72"/>
      <c r="AC378" s="72"/>
      <c r="AD378" s="72"/>
      <c r="AE378" s="72"/>
      <c r="AF378" s="72"/>
      <c r="AG378" s="72"/>
      <c r="AH378" s="72"/>
      <c r="AI378" s="72"/>
      <c r="AJ378" s="72"/>
      <c r="AK378" s="72"/>
      <c r="AL378" s="72"/>
      <c r="AM378" s="72"/>
      <c r="AN378" s="72"/>
      <c r="AO378" s="72"/>
      <c r="AP378" s="72"/>
      <c r="AQ378" s="72"/>
      <c r="AR378" s="72"/>
      <c r="AS378" s="72"/>
      <c r="AT378" s="72"/>
      <c r="AU378" s="72"/>
      <c r="AV378" s="72"/>
    </row>
    <row r="379" spans="1:48" s="37" customFormat="1" ht="16.5" x14ac:dyDescent="0.3">
      <c r="A379" s="72"/>
      <c r="B379" s="72"/>
      <c r="C379" s="72"/>
      <c r="D379" s="72"/>
      <c r="E379" s="72"/>
      <c r="F379" s="72"/>
      <c r="G379" s="72"/>
      <c r="H379" s="72"/>
      <c r="I379" s="72"/>
      <c r="J379" s="72"/>
      <c r="K379" s="72"/>
      <c r="L379" s="72"/>
      <c r="M379" s="72"/>
      <c r="N379" s="72"/>
      <c r="O379" s="72"/>
      <c r="P379" s="72"/>
      <c r="Q379" s="72"/>
      <c r="R379" s="72"/>
      <c r="S379" s="72"/>
      <c r="T379" s="72"/>
      <c r="U379" s="72"/>
      <c r="V379" s="72"/>
      <c r="W379" s="72"/>
      <c r="X379" s="72"/>
      <c r="Y379" s="72"/>
      <c r="Z379" s="72"/>
      <c r="AA379" s="72"/>
      <c r="AB379" s="72"/>
      <c r="AC379" s="72"/>
      <c r="AD379" s="72"/>
      <c r="AE379" s="72"/>
      <c r="AF379" s="72"/>
      <c r="AG379" s="72"/>
      <c r="AH379" s="72"/>
      <c r="AI379" s="72"/>
      <c r="AJ379" s="72"/>
      <c r="AK379" s="72"/>
      <c r="AL379" s="72"/>
      <c r="AM379" s="72"/>
      <c r="AN379" s="72"/>
      <c r="AO379" s="72"/>
      <c r="AP379" s="72"/>
      <c r="AQ379" s="72"/>
      <c r="AR379" s="72"/>
      <c r="AS379" s="72"/>
      <c r="AT379" s="72"/>
      <c r="AU379" s="72"/>
      <c r="AV379" s="72"/>
    </row>
    <row r="380" spans="1:48" s="37" customFormat="1" ht="16.5" x14ac:dyDescent="0.3">
      <c r="A380" s="72"/>
      <c r="B380" s="72"/>
      <c r="C380" s="72"/>
      <c r="D380" s="72"/>
      <c r="E380" s="72"/>
      <c r="F380" s="72"/>
      <c r="G380" s="72"/>
      <c r="H380" s="72"/>
      <c r="I380" s="72"/>
      <c r="J380" s="72"/>
      <c r="K380" s="72"/>
      <c r="L380" s="72"/>
      <c r="M380" s="72"/>
      <c r="N380" s="72"/>
      <c r="O380" s="72"/>
      <c r="P380" s="72"/>
      <c r="Q380" s="72"/>
      <c r="R380" s="72"/>
      <c r="S380" s="72"/>
      <c r="T380" s="72"/>
      <c r="U380" s="72"/>
      <c r="V380" s="72"/>
      <c r="W380" s="72"/>
      <c r="X380" s="72"/>
      <c r="Y380" s="72"/>
      <c r="Z380" s="72"/>
      <c r="AA380" s="72"/>
      <c r="AB380" s="72"/>
      <c r="AC380" s="72"/>
      <c r="AD380" s="72"/>
      <c r="AE380" s="72"/>
      <c r="AF380" s="72"/>
      <c r="AG380" s="72"/>
      <c r="AH380" s="72"/>
      <c r="AI380" s="72"/>
      <c r="AJ380" s="72"/>
      <c r="AK380" s="72"/>
      <c r="AL380" s="72"/>
      <c r="AM380" s="72"/>
      <c r="AN380" s="72"/>
      <c r="AO380" s="72"/>
      <c r="AP380" s="72"/>
      <c r="AQ380" s="72"/>
      <c r="AR380" s="72"/>
      <c r="AS380" s="72"/>
      <c r="AT380" s="72"/>
      <c r="AU380" s="72"/>
      <c r="AV380" s="72"/>
    </row>
    <row r="381" spans="1:48" s="37" customFormat="1" ht="16.5" x14ac:dyDescent="0.3">
      <c r="A381" s="72"/>
      <c r="B381" s="72"/>
      <c r="C381" s="72"/>
      <c r="D381" s="72"/>
      <c r="E381" s="72"/>
      <c r="F381" s="72"/>
      <c r="G381" s="72"/>
      <c r="H381" s="72"/>
      <c r="I381" s="72"/>
      <c r="J381" s="72"/>
      <c r="K381" s="72"/>
      <c r="L381" s="72"/>
      <c r="M381" s="72"/>
      <c r="N381" s="72"/>
      <c r="O381" s="72"/>
      <c r="P381" s="72"/>
      <c r="Q381" s="72"/>
      <c r="R381" s="72"/>
      <c r="S381" s="72"/>
      <c r="T381" s="72"/>
      <c r="U381" s="72"/>
      <c r="V381" s="72"/>
      <c r="W381" s="72"/>
      <c r="X381" s="72"/>
      <c r="Y381" s="72"/>
      <c r="Z381" s="72"/>
      <c r="AA381" s="72"/>
      <c r="AB381" s="72"/>
      <c r="AC381" s="72"/>
      <c r="AD381" s="72"/>
      <c r="AE381" s="72"/>
      <c r="AF381" s="72"/>
      <c r="AG381" s="72"/>
      <c r="AH381" s="72"/>
      <c r="AI381" s="72"/>
      <c r="AJ381" s="72"/>
      <c r="AK381" s="72"/>
      <c r="AL381" s="72"/>
      <c r="AM381" s="72"/>
      <c r="AN381" s="72"/>
      <c r="AO381" s="72"/>
      <c r="AP381" s="72"/>
      <c r="AQ381" s="72"/>
      <c r="AR381" s="72"/>
      <c r="AS381" s="72"/>
      <c r="AT381" s="72"/>
      <c r="AU381" s="72"/>
      <c r="AV381" s="72"/>
    </row>
    <row r="382" spans="1:48" s="37" customFormat="1" ht="16.5" x14ac:dyDescent="0.3">
      <c r="A382" s="72"/>
      <c r="B382" s="72"/>
      <c r="C382" s="72"/>
      <c r="D382" s="72"/>
      <c r="E382" s="72"/>
      <c r="F382" s="72"/>
      <c r="G382" s="72"/>
      <c r="H382" s="72"/>
      <c r="I382" s="72"/>
      <c r="J382" s="72"/>
      <c r="K382" s="72"/>
      <c r="L382" s="72"/>
      <c r="M382" s="72"/>
      <c r="N382" s="72"/>
      <c r="O382" s="72"/>
      <c r="P382" s="72"/>
      <c r="Q382" s="72"/>
      <c r="R382" s="72"/>
      <c r="S382" s="72"/>
      <c r="T382" s="72"/>
      <c r="U382" s="72"/>
      <c r="V382" s="72"/>
      <c r="W382" s="72"/>
      <c r="X382" s="72"/>
      <c r="Y382" s="72"/>
      <c r="Z382" s="72"/>
      <c r="AA382" s="72"/>
      <c r="AB382" s="72"/>
      <c r="AC382" s="72"/>
      <c r="AD382" s="72"/>
      <c r="AE382" s="72"/>
      <c r="AF382" s="72"/>
      <c r="AG382" s="72"/>
      <c r="AH382" s="72"/>
      <c r="AI382" s="72"/>
      <c r="AJ382" s="72"/>
      <c r="AK382" s="72"/>
      <c r="AL382" s="72"/>
      <c r="AM382" s="72"/>
      <c r="AN382" s="72"/>
      <c r="AO382" s="72"/>
      <c r="AP382" s="72"/>
      <c r="AQ382" s="72"/>
      <c r="AR382" s="72"/>
      <c r="AS382" s="72"/>
      <c r="AT382" s="72"/>
      <c r="AU382" s="72"/>
      <c r="AV382" s="72"/>
    </row>
    <row r="383" spans="1:48" s="37" customFormat="1" ht="16.5" x14ac:dyDescent="0.3">
      <c r="A383" s="72"/>
      <c r="B383" s="72"/>
      <c r="C383" s="72"/>
      <c r="D383" s="72"/>
      <c r="E383" s="72"/>
      <c r="F383" s="72"/>
      <c r="G383" s="72"/>
      <c r="H383" s="72"/>
      <c r="I383" s="72"/>
      <c r="J383" s="72"/>
      <c r="K383" s="72"/>
      <c r="L383" s="72"/>
      <c r="M383" s="72"/>
      <c r="N383" s="72"/>
      <c r="O383" s="72"/>
      <c r="P383" s="72"/>
      <c r="Q383" s="72"/>
      <c r="R383" s="72"/>
      <c r="S383" s="72"/>
      <c r="T383" s="72"/>
      <c r="U383" s="72"/>
      <c r="V383" s="72"/>
      <c r="W383" s="72"/>
      <c r="X383" s="72"/>
      <c r="Y383" s="72"/>
      <c r="Z383" s="72"/>
      <c r="AA383" s="72"/>
      <c r="AB383" s="72"/>
      <c r="AC383" s="72"/>
      <c r="AD383" s="72"/>
      <c r="AE383" s="72"/>
      <c r="AF383" s="72"/>
      <c r="AG383" s="72"/>
      <c r="AH383" s="72"/>
      <c r="AI383" s="72"/>
      <c r="AJ383" s="72"/>
      <c r="AK383" s="72"/>
      <c r="AL383" s="72"/>
      <c r="AM383" s="72"/>
      <c r="AN383" s="72"/>
      <c r="AO383" s="72"/>
      <c r="AP383" s="72"/>
      <c r="AQ383" s="72"/>
      <c r="AR383" s="72"/>
      <c r="AS383" s="72"/>
      <c r="AT383" s="72"/>
      <c r="AU383" s="72"/>
      <c r="AV383" s="72"/>
    </row>
    <row r="384" spans="1:48" s="37" customFormat="1" ht="16.5" x14ac:dyDescent="0.3">
      <c r="A384" s="72"/>
      <c r="B384" s="72"/>
      <c r="C384" s="72"/>
      <c r="D384" s="72"/>
      <c r="E384" s="72"/>
      <c r="F384" s="72"/>
      <c r="G384" s="72"/>
      <c r="H384" s="72"/>
      <c r="I384" s="72"/>
      <c r="J384" s="72"/>
      <c r="K384" s="72"/>
      <c r="L384" s="72"/>
      <c r="M384" s="72"/>
      <c r="N384" s="72"/>
      <c r="O384" s="72"/>
      <c r="P384" s="72"/>
      <c r="Q384" s="72"/>
      <c r="R384" s="72"/>
      <c r="S384" s="72"/>
      <c r="T384" s="72"/>
      <c r="U384" s="72"/>
      <c r="V384" s="72"/>
      <c r="W384" s="72"/>
      <c r="X384" s="72"/>
      <c r="Y384" s="72"/>
      <c r="Z384" s="72"/>
      <c r="AA384" s="72"/>
      <c r="AB384" s="72"/>
      <c r="AC384" s="72"/>
      <c r="AD384" s="72"/>
      <c r="AE384" s="72"/>
      <c r="AF384" s="72"/>
      <c r="AG384" s="72"/>
      <c r="AH384" s="72"/>
      <c r="AI384" s="72"/>
      <c r="AJ384" s="72"/>
      <c r="AK384" s="72"/>
      <c r="AL384" s="72"/>
      <c r="AM384" s="72"/>
      <c r="AN384" s="72"/>
      <c r="AO384" s="72"/>
      <c r="AP384" s="72"/>
      <c r="AQ384" s="72"/>
      <c r="AR384" s="72"/>
      <c r="AS384" s="72"/>
      <c r="AT384" s="72"/>
      <c r="AU384" s="72"/>
      <c r="AV384" s="72"/>
    </row>
    <row r="385" spans="1:48" s="37" customFormat="1" ht="16.5" x14ac:dyDescent="0.3">
      <c r="A385" s="72"/>
      <c r="B385" s="72"/>
      <c r="C385" s="72"/>
      <c r="D385" s="72"/>
      <c r="E385" s="72"/>
      <c r="F385" s="72"/>
      <c r="G385" s="72"/>
      <c r="H385" s="72"/>
      <c r="I385" s="72"/>
      <c r="J385" s="72"/>
      <c r="K385" s="72"/>
      <c r="L385" s="72"/>
      <c r="M385" s="72"/>
      <c r="N385" s="72"/>
      <c r="O385" s="72"/>
      <c r="P385" s="72"/>
      <c r="Q385" s="72"/>
      <c r="R385" s="72"/>
      <c r="S385" s="72"/>
      <c r="T385" s="72"/>
      <c r="U385" s="72"/>
      <c r="V385" s="72"/>
      <c r="W385" s="72"/>
      <c r="X385" s="72"/>
      <c r="Y385" s="72"/>
      <c r="Z385" s="72"/>
      <c r="AA385" s="72"/>
      <c r="AB385" s="72"/>
      <c r="AC385" s="72"/>
      <c r="AD385" s="72"/>
      <c r="AE385" s="72"/>
      <c r="AF385" s="72"/>
      <c r="AG385" s="72"/>
      <c r="AH385" s="72"/>
      <c r="AI385" s="72"/>
      <c r="AJ385" s="72"/>
      <c r="AK385" s="72"/>
      <c r="AL385" s="72"/>
      <c r="AM385" s="72"/>
      <c r="AN385" s="72"/>
      <c r="AO385" s="72"/>
      <c r="AP385" s="72"/>
      <c r="AQ385" s="72"/>
      <c r="AR385" s="72"/>
      <c r="AS385" s="72"/>
      <c r="AT385" s="72"/>
      <c r="AU385" s="72"/>
      <c r="AV385" s="72"/>
    </row>
    <row r="386" spans="1:48" s="37" customFormat="1" ht="16.5" x14ac:dyDescent="0.3">
      <c r="A386" s="72"/>
      <c r="B386" s="72"/>
      <c r="C386" s="72"/>
      <c r="D386" s="72"/>
      <c r="E386" s="72"/>
      <c r="F386" s="72"/>
      <c r="G386" s="72"/>
      <c r="H386" s="72"/>
      <c r="I386" s="72"/>
      <c r="J386" s="72"/>
      <c r="K386" s="72"/>
      <c r="L386" s="72"/>
      <c r="M386" s="72"/>
      <c r="N386" s="72"/>
      <c r="O386" s="72"/>
      <c r="P386" s="72"/>
      <c r="Q386" s="72"/>
      <c r="R386" s="72"/>
      <c r="S386" s="72"/>
      <c r="T386" s="72"/>
      <c r="U386" s="72"/>
      <c r="V386" s="72"/>
      <c r="W386" s="72"/>
      <c r="X386" s="72"/>
      <c r="Y386" s="72"/>
      <c r="Z386" s="72"/>
      <c r="AA386" s="72"/>
      <c r="AB386" s="72"/>
      <c r="AC386" s="72"/>
      <c r="AD386" s="72"/>
      <c r="AE386" s="72"/>
      <c r="AF386" s="72"/>
      <c r="AG386" s="72"/>
      <c r="AH386" s="72"/>
      <c r="AI386" s="72"/>
      <c r="AJ386" s="72"/>
      <c r="AK386" s="72"/>
      <c r="AL386" s="72"/>
      <c r="AM386" s="72"/>
      <c r="AN386" s="72"/>
      <c r="AO386" s="72"/>
      <c r="AP386" s="72"/>
      <c r="AQ386" s="72"/>
      <c r="AR386" s="72"/>
      <c r="AS386" s="72"/>
      <c r="AT386" s="72"/>
      <c r="AU386" s="72"/>
      <c r="AV386" s="72"/>
    </row>
    <row r="387" spans="1:48" s="37" customFormat="1" ht="16.5" x14ac:dyDescent="0.3">
      <c r="A387" s="72"/>
      <c r="B387" s="72"/>
      <c r="C387" s="72"/>
      <c r="D387" s="72"/>
      <c r="E387" s="72"/>
      <c r="F387" s="72"/>
      <c r="G387" s="72"/>
      <c r="H387" s="72"/>
      <c r="I387" s="72"/>
      <c r="J387" s="72"/>
      <c r="K387" s="72"/>
      <c r="L387" s="72"/>
      <c r="M387" s="72"/>
      <c r="N387" s="72"/>
      <c r="O387" s="72"/>
      <c r="P387" s="72"/>
      <c r="Q387" s="72"/>
      <c r="R387" s="72"/>
      <c r="S387" s="72"/>
      <c r="T387" s="72"/>
      <c r="U387" s="72"/>
      <c r="V387" s="72"/>
      <c r="W387" s="72"/>
      <c r="X387" s="72"/>
      <c r="Y387" s="72"/>
      <c r="Z387" s="72"/>
      <c r="AA387" s="72"/>
      <c r="AB387" s="72"/>
      <c r="AC387" s="72"/>
      <c r="AD387" s="72"/>
      <c r="AE387" s="72"/>
      <c r="AF387" s="72"/>
      <c r="AG387" s="72"/>
      <c r="AH387" s="72"/>
      <c r="AI387" s="72"/>
      <c r="AJ387" s="72"/>
      <c r="AK387" s="72"/>
      <c r="AL387" s="72"/>
      <c r="AM387" s="72"/>
      <c r="AN387" s="72"/>
      <c r="AO387" s="72"/>
      <c r="AP387" s="72"/>
      <c r="AQ387" s="72"/>
      <c r="AR387" s="72"/>
      <c r="AS387" s="72"/>
      <c r="AT387" s="72"/>
      <c r="AU387" s="72"/>
      <c r="AV387" s="72"/>
    </row>
    <row r="388" spans="1:48" s="37" customFormat="1" ht="16.5" x14ac:dyDescent="0.3">
      <c r="A388" s="72"/>
      <c r="B388" s="72"/>
      <c r="C388" s="72"/>
      <c r="D388" s="72"/>
      <c r="E388" s="72"/>
      <c r="F388" s="72"/>
      <c r="G388" s="72"/>
      <c r="H388" s="72"/>
      <c r="I388" s="72"/>
      <c r="J388" s="72"/>
      <c r="K388" s="72"/>
      <c r="L388" s="72"/>
      <c r="M388" s="72"/>
      <c r="N388" s="72"/>
      <c r="O388" s="72"/>
      <c r="P388" s="72"/>
      <c r="Q388" s="72"/>
      <c r="R388" s="72"/>
      <c r="S388" s="72"/>
      <c r="T388" s="72"/>
      <c r="U388" s="72"/>
      <c r="V388" s="72"/>
      <c r="W388" s="72"/>
      <c r="X388" s="72"/>
      <c r="Y388" s="72"/>
      <c r="Z388" s="72"/>
      <c r="AA388" s="72"/>
      <c r="AB388" s="72"/>
      <c r="AC388" s="72"/>
      <c r="AD388" s="72"/>
      <c r="AE388" s="72"/>
      <c r="AF388" s="72"/>
      <c r="AG388" s="72"/>
      <c r="AH388" s="72"/>
      <c r="AI388" s="72"/>
      <c r="AJ388" s="72"/>
      <c r="AK388" s="72"/>
      <c r="AL388" s="72"/>
      <c r="AM388" s="72"/>
      <c r="AN388" s="72"/>
      <c r="AO388" s="72"/>
      <c r="AP388" s="72"/>
      <c r="AQ388" s="72"/>
      <c r="AR388" s="72"/>
      <c r="AS388" s="72"/>
      <c r="AT388" s="72"/>
      <c r="AU388" s="72"/>
      <c r="AV388" s="72"/>
    </row>
    <row r="389" spans="1:48" s="37" customFormat="1" ht="16.5" x14ac:dyDescent="0.3">
      <c r="A389" s="72"/>
      <c r="B389" s="72"/>
      <c r="C389" s="72"/>
      <c r="D389" s="72"/>
      <c r="E389" s="72"/>
      <c r="F389" s="72"/>
      <c r="G389" s="72"/>
      <c r="H389" s="72"/>
      <c r="I389" s="72"/>
      <c r="J389" s="72"/>
      <c r="K389" s="72"/>
      <c r="L389" s="72"/>
      <c r="M389" s="72"/>
      <c r="N389" s="72"/>
      <c r="O389" s="72"/>
      <c r="P389" s="72"/>
      <c r="Q389" s="72"/>
      <c r="R389" s="72"/>
      <c r="S389" s="72"/>
      <c r="T389" s="72"/>
      <c r="U389" s="72"/>
      <c r="V389" s="72"/>
      <c r="W389" s="72"/>
      <c r="X389" s="72"/>
      <c r="Y389" s="72"/>
      <c r="Z389" s="72"/>
      <c r="AA389" s="72"/>
      <c r="AB389" s="72"/>
      <c r="AC389" s="72"/>
      <c r="AD389" s="72"/>
      <c r="AE389" s="72"/>
      <c r="AF389" s="72"/>
      <c r="AG389" s="72"/>
      <c r="AH389" s="72"/>
      <c r="AI389" s="72"/>
      <c r="AJ389" s="72"/>
      <c r="AK389" s="72"/>
      <c r="AL389" s="72"/>
      <c r="AM389" s="72"/>
      <c r="AN389" s="72"/>
      <c r="AO389" s="72"/>
      <c r="AP389" s="72"/>
      <c r="AQ389" s="72"/>
      <c r="AR389" s="72"/>
      <c r="AS389" s="72"/>
      <c r="AT389" s="72"/>
      <c r="AU389" s="72"/>
      <c r="AV389" s="72"/>
    </row>
    <row r="390" spans="1:48" s="37" customFormat="1" ht="16.5" x14ac:dyDescent="0.3">
      <c r="A390" s="72"/>
      <c r="B390" s="72"/>
      <c r="C390" s="72"/>
      <c r="D390" s="72"/>
      <c r="E390" s="72"/>
      <c r="F390" s="72"/>
      <c r="G390" s="72"/>
      <c r="H390" s="72"/>
      <c r="I390" s="72"/>
      <c r="J390" s="72"/>
      <c r="K390" s="72"/>
      <c r="L390" s="72"/>
      <c r="M390" s="72"/>
      <c r="N390" s="72"/>
      <c r="O390" s="72"/>
      <c r="P390" s="72"/>
      <c r="Q390" s="72"/>
      <c r="R390" s="72"/>
      <c r="S390" s="72"/>
      <c r="T390" s="72"/>
      <c r="U390" s="72"/>
      <c r="V390" s="72"/>
      <c r="W390" s="72"/>
      <c r="X390" s="72"/>
      <c r="Y390" s="72"/>
      <c r="Z390" s="72"/>
      <c r="AA390" s="72"/>
      <c r="AB390" s="72"/>
      <c r="AC390" s="72"/>
      <c r="AD390" s="72"/>
      <c r="AE390" s="72"/>
      <c r="AF390" s="72"/>
      <c r="AG390" s="72"/>
      <c r="AH390" s="72"/>
      <c r="AI390" s="72"/>
      <c r="AJ390" s="72"/>
      <c r="AK390" s="72"/>
      <c r="AL390" s="72"/>
      <c r="AM390" s="72"/>
      <c r="AN390" s="72"/>
      <c r="AO390" s="72"/>
      <c r="AP390" s="72"/>
      <c r="AQ390" s="72"/>
      <c r="AR390" s="72"/>
      <c r="AS390" s="72"/>
      <c r="AT390" s="72"/>
      <c r="AU390" s="72"/>
      <c r="AV390" s="72"/>
    </row>
    <row r="391" spans="1:48" s="37" customFormat="1" ht="16.5" x14ac:dyDescent="0.3">
      <c r="A391" s="72"/>
      <c r="B391" s="72"/>
      <c r="C391" s="72"/>
      <c r="D391" s="72"/>
      <c r="E391" s="72"/>
      <c r="F391" s="72"/>
      <c r="G391" s="72"/>
      <c r="H391" s="72"/>
      <c r="I391" s="72"/>
      <c r="J391" s="72"/>
      <c r="K391" s="72"/>
      <c r="L391" s="72"/>
      <c r="M391" s="72"/>
      <c r="N391" s="72"/>
      <c r="O391" s="72"/>
      <c r="P391" s="72"/>
      <c r="Q391" s="72"/>
      <c r="R391" s="72"/>
      <c r="S391" s="72"/>
      <c r="T391" s="72"/>
      <c r="U391" s="72"/>
      <c r="V391" s="72"/>
      <c r="W391" s="72"/>
      <c r="X391" s="72"/>
      <c r="Y391" s="72"/>
      <c r="Z391" s="72"/>
      <c r="AA391" s="72"/>
      <c r="AB391" s="72"/>
      <c r="AC391" s="72"/>
      <c r="AD391" s="72"/>
      <c r="AE391" s="72"/>
      <c r="AF391" s="72"/>
      <c r="AG391" s="72"/>
      <c r="AH391" s="72"/>
      <c r="AI391" s="72"/>
      <c r="AJ391" s="72"/>
      <c r="AK391" s="72"/>
      <c r="AL391" s="72"/>
      <c r="AM391" s="72"/>
      <c r="AN391" s="72"/>
      <c r="AO391" s="72"/>
      <c r="AP391" s="72"/>
      <c r="AQ391" s="72"/>
      <c r="AR391" s="72"/>
      <c r="AS391" s="72"/>
      <c r="AT391" s="72"/>
      <c r="AU391" s="72"/>
      <c r="AV391" s="72"/>
    </row>
    <row r="392" spans="1:48" s="37" customFormat="1" ht="16.5" x14ac:dyDescent="0.3">
      <c r="A392" s="72"/>
      <c r="B392" s="72"/>
      <c r="C392" s="72"/>
      <c r="D392" s="72"/>
      <c r="E392" s="72"/>
      <c r="F392" s="72"/>
      <c r="G392" s="72"/>
      <c r="H392" s="72"/>
      <c r="I392" s="72"/>
      <c r="J392" s="72"/>
      <c r="K392" s="72"/>
      <c r="L392" s="72"/>
      <c r="M392" s="72"/>
      <c r="N392" s="72"/>
      <c r="O392" s="72"/>
      <c r="P392" s="72"/>
      <c r="Q392" s="72"/>
      <c r="R392" s="72"/>
      <c r="S392" s="72"/>
      <c r="T392" s="72"/>
      <c r="U392" s="72"/>
      <c r="V392" s="72"/>
      <c r="W392" s="72"/>
      <c r="X392" s="72"/>
      <c r="Y392" s="72"/>
      <c r="Z392" s="72"/>
      <c r="AA392" s="72"/>
      <c r="AB392" s="72"/>
      <c r="AC392" s="72"/>
      <c r="AD392" s="72"/>
      <c r="AE392" s="72"/>
      <c r="AF392" s="72"/>
      <c r="AG392" s="72"/>
      <c r="AH392" s="72"/>
      <c r="AI392" s="72"/>
      <c r="AJ392" s="72"/>
      <c r="AK392" s="72"/>
      <c r="AL392" s="72"/>
      <c r="AM392" s="72"/>
      <c r="AN392" s="72"/>
      <c r="AO392" s="72"/>
      <c r="AP392" s="72"/>
      <c r="AQ392" s="72"/>
      <c r="AR392" s="72"/>
      <c r="AS392" s="72"/>
      <c r="AT392" s="72"/>
      <c r="AU392" s="72"/>
      <c r="AV392" s="72"/>
    </row>
    <row r="393" spans="1:48" s="37" customFormat="1" ht="16.5" x14ac:dyDescent="0.3">
      <c r="A393" s="72"/>
      <c r="B393" s="72"/>
      <c r="C393" s="72"/>
      <c r="D393" s="72"/>
      <c r="E393" s="72"/>
      <c r="F393" s="72"/>
      <c r="G393" s="72"/>
      <c r="H393" s="72"/>
      <c r="I393" s="72"/>
      <c r="J393" s="72"/>
      <c r="K393" s="72"/>
      <c r="L393" s="72"/>
      <c r="M393" s="72"/>
      <c r="N393" s="72"/>
      <c r="O393" s="72"/>
      <c r="P393" s="72"/>
      <c r="Q393" s="72"/>
      <c r="R393" s="72"/>
      <c r="S393" s="72"/>
      <c r="T393" s="72"/>
      <c r="U393" s="72"/>
      <c r="V393" s="72"/>
      <c r="W393" s="72"/>
      <c r="X393" s="72"/>
      <c r="Y393" s="72"/>
      <c r="Z393" s="72"/>
      <c r="AA393" s="72"/>
      <c r="AB393" s="72"/>
      <c r="AC393" s="72"/>
      <c r="AD393" s="72"/>
      <c r="AE393" s="72"/>
      <c r="AF393" s="72"/>
      <c r="AG393" s="72"/>
      <c r="AH393" s="72"/>
      <c r="AI393" s="72"/>
      <c r="AJ393" s="72"/>
      <c r="AK393" s="72"/>
      <c r="AL393" s="72"/>
      <c r="AM393" s="72"/>
      <c r="AN393" s="72"/>
      <c r="AO393" s="72"/>
      <c r="AP393" s="72"/>
      <c r="AQ393" s="72"/>
      <c r="AR393" s="72"/>
      <c r="AS393" s="72"/>
      <c r="AT393" s="72"/>
      <c r="AU393" s="72"/>
      <c r="AV393" s="72"/>
    </row>
    <row r="394" spans="1:48" s="37" customFormat="1" ht="16.5" x14ac:dyDescent="0.3">
      <c r="A394" s="72"/>
      <c r="B394" s="72"/>
      <c r="C394" s="72"/>
      <c r="D394" s="72"/>
      <c r="E394" s="72"/>
      <c r="F394" s="72"/>
      <c r="G394" s="72"/>
      <c r="H394" s="72"/>
      <c r="I394" s="72"/>
      <c r="J394" s="72"/>
      <c r="K394" s="72"/>
      <c r="L394" s="72"/>
      <c r="M394" s="72"/>
      <c r="N394" s="72"/>
      <c r="O394" s="72"/>
      <c r="P394" s="72"/>
      <c r="Q394" s="72"/>
      <c r="R394" s="72"/>
      <c r="S394" s="72"/>
      <c r="T394" s="72"/>
      <c r="U394" s="72"/>
      <c r="V394" s="72"/>
      <c r="W394" s="72"/>
      <c r="X394" s="72"/>
      <c r="Y394" s="72"/>
      <c r="Z394" s="72"/>
      <c r="AA394" s="72"/>
      <c r="AB394" s="72"/>
      <c r="AC394" s="72"/>
      <c r="AD394" s="72"/>
      <c r="AE394" s="72"/>
      <c r="AF394" s="72"/>
      <c r="AG394" s="72"/>
      <c r="AH394" s="72"/>
      <c r="AI394" s="72"/>
      <c r="AJ394" s="72"/>
      <c r="AK394" s="72"/>
      <c r="AL394" s="72"/>
      <c r="AM394" s="72"/>
      <c r="AN394" s="72"/>
      <c r="AO394" s="72"/>
      <c r="AP394" s="72"/>
      <c r="AQ394" s="72"/>
      <c r="AR394" s="72"/>
      <c r="AS394" s="72"/>
      <c r="AT394" s="72"/>
      <c r="AU394" s="72"/>
      <c r="AV394" s="72"/>
    </row>
    <row r="395" spans="1:48" s="37" customFormat="1" ht="16.5" x14ac:dyDescent="0.3">
      <c r="A395" s="72"/>
      <c r="B395" s="72"/>
      <c r="C395" s="72"/>
      <c r="D395" s="72"/>
      <c r="E395" s="72"/>
      <c r="F395" s="72"/>
      <c r="G395" s="72"/>
      <c r="H395" s="72"/>
      <c r="I395" s="72"/>
      <c r="J395" s="72"/>
      <c r="K395" s="72"/>
      <c r="L395" s="72"/>
      <c r="M395" s="72"/>
      <c r="N395" s="72"/>
      <c r="O395" s="72"/>
      <c r="P395" s="72"/>
      <c r="Q395" s="72"/>
      <c r="R395" s="72"/>
      <c r="S395" s="72"/>
      <c r="T395" s="72"/>
      <c r="U395" s="72"/>
      <c r="V395" s="72"/>
      <c r="W395" s="72"/>
      <c r="X395" s="72"/>
      <c r="Y395" s="72"/>
      <c r="Z395" s="72"/>
      <c r="AA395" s="72"/>
      <c r="AB395" s="72"/>
      <c r="AC395" s="72"/>
      <c r="AD395" s="72"/>
      <c r="AE395" s="72"/>
      <c r="AF395" s="72"/>
      <c r="AG395" s="72"/>
      <c r="AH395" s="72"/>
      <c r="AI395" s="72"/>
      <c r="AJ395" s="72"/>
      <c r="AK395" s="72"/>
      <c r="AL395" s="72"/>
      <c r="AM395" s="72"/>
      <c r="AN395" s="72"/>
      <c r="AO395" s="72"/>
      <c r="AP395" s="72"/>
      <c r="AQ395" s="72"/>
      <c r="AR395" s="72"/>
      <c r="AS395" s="72"/>
      <c r="AT395" s="72"/>
      <c r="AU395" s="72"/>
      <c r="AV395" s="72"/>
    </row>
    <row r="396" spans="1:48" s="37" customFormat="1" ht="16.5" x14ac:dyDescent="0.3">
      <c r="A396" s="72"/>
      <c r="B396" s="72"/>
      <c r="C396" s="72"/>
      <c r="D396" s="72"/>
      <c r="E396" s="72"/>
      <c r="F396" s="72"/>
      <c r="G396" s="72"/>
      <c r="H396" s="72"/>
      <c r="I396" s="72"/>
      <c r="J396" s="72"/>
      <c r="K396" s="72"/>
      <c r="L396" s="72"/>
      <c r="M396" s="72"/>
      <c r="N396" s="72"/>
      <c r="O396" s="72"/>
      <c r="P396" s="72"/>
      <c r="Q396" s="72"/>
      <c r="R396" s="72"/>
      <c r="S396" s="72"/>
      <c r="T396" s="72"/>
      <c r="U396" s="72"/>
      <c r="V396" s="72"/>
      <c r="W396" s="72"/>
      <c r="X396" s="72"/>
      <c r="Y396" s="72"/>
      <c r="Z396" s="72"/>
      <c r="AA396" s="72"/>
      <c r="AB396" s="72"/>
      <c r="AC396" s="72"/>
      <c r="AD396" s="72"/>
      <c r="AE396" s="72"/>
      <c r="AF396" s="72"/>
      <c r="AG396" s="72"/>
      <c r="AH396" s="72"/>
      <c r="AI396" s="72"/>
      <c r="AJ396" s="72"/>
      <c r="AK396" s="72"/>
      <c r="AL396" s="72"/>
      <c r="AM396" s="72"/>
      <c r="AN396" s="72"/>
      <c r="AO396" s="72"/>
      <c r="AP396" s="72"/>
      <c r="AQ396" s="72"/>
      <c r="AR396" s="72"/>
      <c r="AS396" s="72"/>
      <c r="AT396" s="72"/>
      <c r="AU396" s="72"/>
      <c r="AV396" s="72"/>
    </row>
    <row r="397" spans="1:48" s="37" customFormat="1" ht="16.5" x14ac:dyDescent="0.3">
      <c r="A397" s="72"/>
      <c r="B397" s="72"/>
      <c r="C397" s="72"/>
      <c r="D397" s="72"/>
      <c r="E397" s="72"/>
      <c r="F397" s="72"/>
      <c r="G397" s="72"/>
      <c r="H397" s="72"/>
      <c r="I397" s="72"/>
      <c r="J397" s="72"/>
      <c r="K397" s="72"/>
      <c r="L397" s="72"/>
      <c r="M397" s="72"/>
      <c r="N397" s="72"/>
      <c r="O397" s="72"/>
      <c r="P397" s="72"/>
      <c r="Q397" s="72"/>
      <c r="R397" s="72"/>
      <c r="S397" s="72"/>
      <c r="T397" s="72"/>
      <c r="U397" s="72"/>
      <c r="V397" s="72"/>
      <c r="W397" s="72"/>
      <c r="X397" s="72"/>
      <c r="Y397" s="72"/>
      <c r="Z397" s="72"/>
      <c r="AA397" s="72"/>
      <c r="AB397" s="72"/>
      <c r="AC397" s="72"/>
      <c r="AD397" s="72"/>
      <c r="AE397" s="72"/>
      <c r="AF397" s="72"/>
      <c r="AG397" s="72"/>
      <c r="AH397" s="72"/>
      <c r="AI397" s="72"/>
      <c r="AJ397" s="72"/>
      <c r="AK397" s="72"/>
      <c r="AL397" s="72"/>
      <c r="AM397" s="72"/>
      <c r="AN397" s="72"/>
      <c r="AO397" s="72"/>
      <c r="AP397" s="72"/>
      <c r="AQ397" s="72"/>
      <c r="AR397" s="72"/>
      <c r="AS397" s="72"/>
      <c r="AT397" s="72"/>
      <c r="AU397" s="72"/>
      <c r="AV397" s="72"/>
    </row>
    <row r="398" spans="1:48" s="37" customFormat="1" ht="16.5" x14ac:dyDescent="0.3">
      <c r="A398" s="72"/>
      <c r="B398" s="72"/>
      <c r="C398" s="72"/>
      <c r="D398" s="72"/>
      <c r="E398" s="72"/>
      <c r="F398" s="72"/>
      <c r="G398" s="72"/>
      <c r="H398" s="72"/>
      <c r="I398" s="72"/>
      <c r="J398" s="72"/>
      <c r="K398" s="72"/>
      <c r="L398" s="72"/>
      <c r="M398" s="72"/>
      <c r="N398" s="72"/>
      <c r="O398" s="72"/>
      <c r="P398" s="72"/>
      <c r="Q398" s="72"/>
      <c r="R398" s="72"/>
      <c r="S398" s="72"/>
      <c r="T398" s="72"/>
      <c r="U398" s="72"/>
      <c r="V398" s="72"/>
      <c r="W398" s="72"/>
      <c r="X398" s="72"/>
      <c r="Y398" s="72"/>
      <c r="Z398" s="72"/>
      <c r="AA398" s="72"/>
      <c r="AB398" s="72"/>
      <c r="AC398" s="72"/>
      <c r="AD398" s="72"/>
      <c r="AE398" s="72"/>
      <c r="AF398" s="72"/>
      <c r="AG398" s="72"/>
      <c r="AH398" s="72"/>
      <c r="AI398" s="72"/>
      <c r="AJ398" s="72"/>
      <c r="AK398" s="72"/>
      <c r="AL398" s="72"/>
      <c r="AM398" s="72"/>
      <c r="AN398" s="72"/>
      <c r="AO398" s="72"/>
      <c r="AP398" s="72"/>
      <c r="AQ398" s="72"/>
      <c r="AR398" s="72"/>
      <c r="AS398" s="72"/>
      <c r="AT398" s="72"/>
      <c r="AU398" s="72"/>
      <c r="AV398" s="72"/>
    </row>
    <row r="399" spans="1:48" s="37" customFormat="1" ht="16.5" x14ac:dyDescent="0.3">
      <c r="A399" s="72"/>
      <c r="B399" s="72"/>
      <c r="C399" s="72"/>
      <c r="D399" s="72"/>
      <c r="E399" s="72"/>
      <c r="F399" s="72"/>
      <c r="G399" s="72"/>
      <c r="H399" s="72"/>
      <c r="I399" s="72"/>
      <c r="J399" s="72"/>
      <c r="K399" s="72"/>
      <c r="L399" s="72"/>
      <c r="M399" s="72"/>
      <c r="N399" s="72"/>
      <c r="O399" s="72"/>
      <c r="P399" s="72"/>
      <c r="Q399" s="72"/>
      <c r="R399" s="72"/>
      <c r="S399" s="72"/>
      <c r="T399" s="72"/>
      <c r="U399" s="72"/>
      <c r="V399" s="72"/>
      <c r="W399" s="72"/>
      <c r="X399" s="72"/>
      <c r="Y399" s="72"/>
      <c r="Z399" s="72"/>
      <c r="AA399" s="72"/>
      <c r="AB399" s="72"/>
      <c r="AC399" s="72"/>
      <c r="AD399" s="72"/>
      <c r="AE399" s="72"/>
      <c r="AF399" s="72"/>
      <c r="AG399" s="72"/>
      <c r="AH399" s="72"/>
      <c r="AI399" s="72"/>
      <c r="AJ399" s="72"/>
      <c r="AK399" s="72"/>
      <c r="AL399" s="72"/>
      <c r="AM399" s="72"/>
      <c r="AN399" s="72"/>
      <c r="AO399" s="72"/>
      <c r="AP399" s="72"/>
      <c r="AQ399" s="72"/>
      <c r="AR399" s="72"/>
      <c r="AS399" s="72"/>
      <c r="AT399" s="72"/>
      <c r="AU399" s="72"/>
      <c r="AV399" s="72"/>
    </row>
    <row r="400" spans="1:48" s="37" customFormat="1" ht="16.5" x14ac:dyDescent="0.3">
      <c r="A400" s="72"/>
      <c r="B400" s="72"/>
      <c r="C400" s="72"/>
      <c r="D400" s="72"/>
      <c r="E400" s="72"/>
      <c r="F400" s="72"/>
      <c r="G400" s="72"/>
      <c r="H400" s="72"/>
      <c r="I400" s="72"/>
      <c r="J400" s="72"/>
      <c r="K400" s="72"/>
      <c r="L400" s="72"/>
      <c r="M400" s="72"/>
      <c r="N400" s="72"/>
      <c r="O400" s="72"/>
      <c r="P400" s="72"/>
      <c r="Q400" s="72"/>
      <c r="R400" s="72"/>
      <c r="S400" s="72"/>
      <c r="T400" s="72"/>
      <c r="U400" s="72"/>
      <c r="V400" s="72"/>
      <c r="W400" s="72"/>
      <c r="X400" s="72"/>
      <c r="Y400" s="72"/>
      <c r="Z400" s="72"/>
      <c r="AA400" s="72"/>
      <c r="AB400" s="72"/>
      <c r="AC400" s="72"/>
      <c r="AD400" s="72"/>
      <c r="AE400" s="72"/>
      <c r="AF400" s="72"/>
      <c r="AG400" s="72"/>
      <c r="AH400" s="72"/>
      <c r="AI400" s="72"/>
      <c r="AJ400" s="72"/>
      <c r="AK400" s="72"/>
      <c r="AL400" s="72"/>
      <c r="AM400" s="72"/>
      <c r="AN400" s="72"/>
      <c r="AO400" s="72"/>
      <c r="AP400" s="72"/>
      <c r="AQ400" s="72"/>
      <c r="AR400" s="72"/>
      <c r="AS400" s="72"/>
      <c r="AT400" s="72"/>
      <c r="AU400" s="72"/>
      <c r="AV400" s="72"/>
    </row>
    <row r="401" spans="1:48" s="37" customFormat="1" ht="16.5" x14ac:dyDescent="0.3">
      <c r="A401" s="72"/>
      <c r="B401" s="72"/>
      <c r="C401" s="72"/>
      <c r="D401" s="72"/>
      <c r="E401" s="72"/>
      <c r="F401" s="72"/>
      <c r="G401" s="72"/>
      <c r="H401" s="72"/>
      <c r="I401" s="72"/>
      <c r="J401" s="72"/>
      <c r="K401" s="72"/>
      <c r="L401" s="72"/>
      <c r="M401" s="72"/>
      <c r="N401" s="72"/>
      <c r="O401" s="72"/>
      <c r="P401" s="72"/>
      <c r="Q401" s="72"/>
      <c r="R401" s="72"/>
      <c r="S401" s="72"/>
      <c r="T401" s="72"/>
      <c r="U401" s="72"/>
      <c r="V401" s="72"/>
      <c r="W401" s="72"/>
      <c r="X401" s="72"/>
      <c r="Y401" s="72"/>
      <c r="Z401" s="72"/>
      <c r="AA401" s="72"/>
      <c r="AB401" s="72"/>
      <c r="AC401" s="72"/>
      <c r="AD401" s="72"/>
      <c r="AE401" s="72"/>
      <c r="AF401" s="72"/>
      <c r="AG401" s="72"/>
      <c r="AH401" s="72"/>
      <c r="AI401" s="72"/>
      <c r="AJ401" s="72"/>
      <c r="AK401" s="72"/>
      <c r="AL401" s="72"/>
      <c r="AM401" s="72"/>
      <c r="AN401" s="72"/>
      <c r="AO401" s="72"/>
      <c r="AP401" s="72"/>
      <c r="AQ401" s="72"/>
      <c r="AR401" s="72"/>
      <c r="AS401" s="72"/>
      <c r="AT401" s="72"/>
      <c r="AU401" s="72"/>
      <c r="AV401" s="72"/>
    </row>
    <row r="402" spans="1:48" s="37" customFormat="1" ht="16.5" x14ac:dyDescent="0.3">
      <c r="A402" s="72"/>
      <c r="B402" s="72"/>
      <c r="C402" s="72"/>
      <c r="D402" s="72"/>
      <c r="E402" s="72"/>
      <c r="F402" s="72"/>
      <c r="G402" s="72"/>
      <c r="H402" s="72"/>
      <c r="I402" s="72"/>
      <c r="J402" s="72"/>
      <c r="K402" s="72"/>
      <c r="L402" s="72"/>
      <c r="M402" s="72"/>
      <c r="N402" s="72"/>
      <c r="O402" s="72"/>
      <c r="P402" s="72"/>
      <c r="Q402" s="72"/>
      <c r="R402" s="72"/>
      <c r="S402" s="72"/>
      <c r="T402" s="72"/>
      <c r="U402" s="72"/>
      <c r="V402" s="72"/>
      <c r="W402" s="72"/>
      <c r="X402" s="72"/>
      <c r="Y402" s="72"/>
      <c r="Z402" s="72"/>
      <c r="AA402" s="72"/>
      <c r="AB402" s="72"/>
      <c r="AC402" s="72"/>
      <c r="AD402" s="72"/>
      <c r="AE402" s="72"/>
      <c r="AF402" s="72"/>
      <c r="AG402" s="72"/>
      <c r="AH402" s="72"/>
      <c r="AI402" s="72"/>
      <c r="AJ402" s="72"/>
      <c r="AK402" s="72"/>
      <c r="AL402" s="72"/>
      <c r="AM402" s="72"/>
      <c r="AN402" s="72"/>
      <c r="AO402" s="72"/>
      <c r="AP402" s="72"/>
      <c r="AQ402" s="72"/>
      <c r="AR402" s="72"/>
      <c r="AS402" s="72"/>
      <c r="AT402" s="72"/>
      <c r="AU402" s="72"/>
      <c r="AV402" s="72"/>
    </row>
    <row r="403" spans="1:48" s="37" customFormat="1" ht="16.5" x14ac:dyDescent="0.3">
      <c r="A403" s="72"/>
      <c r="B403" s="72"/>
      <c r="C403" s="72"/>
      <c r="D403" s="72"/>
      <c r="E403" s="72"/>
      <c r="F403" s="72"/>
      <c r="G403" s="72"/>
      <c r="H403" s="72"/>
      <c r="I403" s="72"/>
      <c r="J403" s="72"/>
      <c r="K403" s="72"/>
      <c r="L403" s="72"/>
      <c r="M403" s="72"/>
      <c r="N403" s="72"/>
      <c r="O403" s="72"/>
      <c r="P403" s="72"/>
      <c r="Q403" s="72"/>
      <c r="R403" s="72"/>
      <c r="S403" s="72"/>
      <c r="T403" s="72"/>
      <c r="U403" s="72"/>
      <c r="V403" s="72"/>
      <c r="W403" s="72"/>
      <c r="X403" s="72"/>
      <c r="Y403" s="72"/>
      <c r="Z403" s="72"/>
      <c r="AA403" s="72"/>
      <c r="AB403" s="72"/>
      <c r="AC403" s="72"/>
      <c r="AD403" s="72"/>
      <c r="AE403" s="72"/>
      <c r="AF403" s="72"/>
      <c r="AG403" s="72"/>
      <c r="AH403" s="72"/>
      <c r="AI403" s="72"/>
      <c r="AJ403" s="72"/>
      <c r="AK403" s="72"/>
      <c r="AL403" s="72"/>
      <c r="AM403" s="72"/>
      <c r="AN403" s="72"/>
      <c r="AO403" s="72"/>
      <c r="AP403" s="72"/>
      <c r="AQ403" s="72"/>
      <c r="AR403" s="72"/>
      <c r="AS403" s="72"/>
      <c r="AT403" s="72"/>
      <c r="AU403" s="72"/>
      <c r="AV403" s="72"/>
    </row>
    <row r="404" spans="1:48" s="37" customFormat="1" ht="16.5" x14ac:dyDescent="0.3">
      <c r="A404" s="72"/>
      <c r="B404" s="72"/>
      <c r="C404" s="72"/>
      <c r="D404" s="72"/>
      <c r="E404" s="72"/>
      <c r="F404" s="72"/>
      <c r="G404" s="72"/>
      <c r="H404" s="72"/>
      <c r="I404" s="72"/>
      <c r="J404" s="72"/>
      <c r="K404" s="72"/>
      <c r="L404" s="72"/>
      <c r="M404" s="72"/>
      <c r="N404" s="72"/>
      <c r="O404" s="72"/>
      <c r="P404" s="72"/>
      <c r="Q404" s="72"/>
      <c r="R404" s="72"/>
      <c r="S404" s="72"/>
      <c r="T404" s="72"/>
      <c r="U404" s="72"/>
      <c r="V404" s="72"/>
      <c r="W404" s="72"/>
      <c r="X404" s="72"/>
      <c r="Y404" s="72"/>
      <c r="Z404" s="72"/>
      <c r="AA404" s="72"/>
      <c r="AB404" s="72"/>
      <c r="AC404" s="72"/>
      <c r="AD404" s="72"/>
      <c r="AE404" s="72"/>
      <c r="AF404" s="72"/>
      <c r="AG404" s="72"/>
      <c r="AH404" s="72"/>
      <c r="AI404" s="72"/>
      <c r="AJ404" s="72"/>
      <c r="AK404" s="72"/>
      <c r="AL404" s="72"/>
      <c r="AM404" s="72"/>
      <c r="AN404" s="72"/>
      <c r="AO404" s="72"/>
      <c r="AP404" s="72"/>
      <c r="AQ404" s="72"/>
      <c r="AR404" s="72"/>
      <c r="AS404" s="72"/>
      <c r="AT404" s="72"/>
      <c r="AU404" s="72"/>
      <c r="AV404" s="72"/>
    </row>
    <row r="405" spans="1:48" s="37" customFormat="1" ht="16.5" x14ac:dyDescent="0.3">
      <c r="A405" s="72"/>
      <c r="B405" s="72"/>
      <c r="C405" s="72"/>
      <c r="D405" s="72"/>
      <c r="E405" s="72"/>
      <c r="F405" s="72"/>
      <c r="G405" s="72"/>
      <c r="H405" s="72"/>
      <c r="I405" s="72"/>
      <c r="J405" s="72"/>
      <c r="K405" s="72"/>
      <c r="L405" s="72"/>
      <c r="M405" s="72"/>
      <c r="N405" s="72"/>
      <c r="O405" s="72"/>
      <c r="P405" s="72"/>
      <c r="Q405" s="72"/>
      <c r="R405" s="72"/>
      <c r="S405" s="72"/>
      <c r="T405" s="72"/>
      <c r="U405" s="72"/>
      <c r="V405" s="72"/>
      <c r="W405" s="72"/>
      <c r="X405" s="72"/>
      <c r="Y405" s="72"/>
      <c r="Z405" s="72"/>
      <c r="AA405" s="72"/>
      <c r="AB405" s="72"/>
      <c r="AC405" s="72"/>
      <c r="AD405" s="72"/>
      <c r="AE405" s="72"/>
      <c r="AF405" s="72"/>
      <c r="AG405" s="72"/>
      <c r="AH405" s="72"/>
      <c r="AI405" s="72"/>
      <c r="AJ405" s="72"/>
      <c r="AK405" s="72"/>
      <c r="AL405" s="72"/>
      <c r="AM405" s="72"/>
      <c r="AN405" s="72"/>
      <c r="AO405" s="72"/>
      <c r="AP405" s="72"/>
      <c r="AQ405" s="72"/>
      <c r="AR405" s="72"/>
      <c r="AS405" s="72"/>
      <c r="AT405" s="72"/>
      <c r="AU405" s="72"/>
      <c r="AV405" s="72"/>
    </row>
    <row r="406" spans="1:48" s="37" customFormat="1" ht="16.5" x14ac:dyDescent="0.3">
      <c r="A406" s="72"/>
      <c r="B406" s="72"/>
      <c r="C406" s="72"/>
      <c r="D406" s="72"/>
      <c r="E406" s="72"/>
      <c r="F406" s="72"/>
      <c r="G406" s="72"/>
      <c r="H406" s="72"/>
      <c r="I406" s="72"/>
      <c r="J406" s="72"/>
      <c r="K406" s="72"/>
      <c r="L406" s="72"/>
      <c r="M406" s="72"/>
      <c r="N406" s="72"/>
      <c r="O406" s="72"/>
      <c r="P406" s="72"/>
      <c r="Q406" s="72"/>
      <c r="R406" s="72"/>
      <c r="S406" s="72"/>
      <c r="T406" s="72"/>
      <c r="U406" s="72"/>
      <c r="V406" s="72"/>
      <c r="W406" s="72"/>
      <c r="X406" s="72"/>
      <c r="Y406" s="72"/>
      <c r="Z406" s="72"/>
      <c r="AA406" s="72"/>
      <c r="AB406" s="72"/>
      <c r="AC406" s="72"/>
      <c r="AD406" s="72"/>
      <c r="AE406" s="72"/>
      <c r="AF406" s="72"/>
      <c r="AG406" s="72"/>
      <c r="AH406" s="72"/>
      <c r="AI406" s="72"/>
      <c r="AJ406" s="72"/>
      <c r="AK406" s="72"/>
      <c r="AL406" s="72"/>
      <c r="AM406" s="72"/>
      <c r="AN406" s="72"/>
      <c r="AO406" s="72"/>
      <c r="AP406" s="72"/>
      <c r="AQ406" s="72"/>
      <c r="AR406" s="72"/>
      <c r="AS406" s="72"/>
      <c r="AT406" s="72"/>
      <c r="AU406" s="72"/>
      <c r="AV406" s="72"/>
    </row>
    <row r="407" spans="1:48" s="37" customFormat="1" ht="16.5" x14ac:dyDescent="0.3">
      <c r="A407" s="72"/>
      <c r="B407" s="72"/>
      <c r="C407" s="72"/>
      <c r="D407" s="72"/>
      <c r="E407" s="72"/>
      <c r="F407" s="72"/>
      <c r="G407" s="72"/>
      <c r="H407" s="72"/>
      <c r="I407" s="72"/>
      <c r="J407" s="72"/>
      <c r="K407" s="72"/>
      <c r="L407" s="72"/>
      <c r="M407" s="72"/>
      <c r="N407" s="72"/>
      <c r="O407" s="72"/>
      <c r="P407" s="72"/>
      <c r="Q407" s="72"/>
      <c r="R407" s="72"/>
      <c r="S407" s="72"/>
      <c r="T407" s="72"/>
      <c r="U407" s="72"/>
      <c r="V407" s="72"/>
      <c r="W407" s="72"/>
      <c r="X407" s="72"/>
      <c r="Y407" s="72"/>
      <c r="Z407" s="72"/>
      <c r="AA407" s="72"/>
      <c r="AB407" s="72"/>
      <c r="AC407" s="72"/>
      <c r="AD407" s="72"/>
      <c r="AE407" s="72"/>
      <c r="AF407" s="72"/>
      <c r="AG407" s="72"/>
      <c r="AH407" s="72"/>
      <c r="AI407" s="72"/>
      <c r="AJ407" s="72"/>
      <c r="AK407" s="72"/>
      <c r="AL407" s="72"/>
      <c r="AM407" s="72"/>
      <c r="AN407" s="72"/>
      <c r="AO407" s="72"/>
      <c r="AP407" s="72"/>
      <c r="AQ407" s="72"/>
      <c r="AR407" s="72"/>
      <c r="AS407" s="72"/>
      <c r="AT407" s="72"/>
      <c r="AU407" s="72"/>
      <c r="AV407" s="72"/>
    </row>
    <row r="408" spans="1:48" s="37" customFormat="1" ht="16.5" x14ac:dyDescent="0.3">
      <c r="A408" s="72"/>
      <c r="B408" s="72"/>
      <c r="C408" s="72"/>
      <c r="D408" s="72"/>
      <c r="E408" s="72"/>
      <c r="F408" s="72"/>
      <c r="G408" s="72"/>
      <c r="H408" s="72"/>
      <c r="I408" s="72"/>
      <c r="J408" s="72"/>
      <c r="K408" s="72"/>
      <c r="L408" s="72"/>
      <c r="M408" s="72"/>
      <c r="N408" s="72"/>
      <c r="O408" s="72"/>
      <c r="P408" s="72"/>
      <c r="Q408" s="72"/>
      <c r="R408" s="72"/>
      <c r="S408" s="72"/>
      <c r="T408" s="72"/>
      <c r="U408" s="72"/>
      <c r="V408" s="72"/>
      <c r="W408" s="72"/>
      <c r="X408" s="72"/>
      <c r="Y408" s="72"/>
      <c r="Z408" s="72"/>
      <c r="AA408" s="72"/>
      <c r="AB408" s="72"/>
      <c r="AC408" s="72"/>
      <c r="AD408" s="72"/>
      <c r="AE408" s="72"/>
      <c r="AF408" s="72"/>
      <c r="AG408" s="72"/>
      <c r="AH408" s="72"/>
      <c r="AI408" s="72"/>
      <c r="AJ408" s="72"/>
      <c r="AK408" s="72"/>
      <c r="AL408" s="72"/>
      <c r="AM408" s="72"/>
      <c r="AN408" s="72"/>
      <c r="AO408" s="72"/>
      <c r="AP408" s="72"/>
      <c r="AQ408" s="72"/>
      <c r="AR408" s="72"/>
      <c r="AS408" s="72"/>
      <c r="AT408" s="72"/>
      <c r="AU408" s="72"/>
      <c r="AV408" s="72"/>
    </row>
    <row r="409" spans="1:48" s="37" customFormat="1" ht="16.5" x14ac:dyDescent="0.3">
      <c r="A409" s="72"/>
      <c r="B409" s="72"/>
      <c r="C409" s="72"/>
      <c r="D409" s="72"/>
      <c r="E409" s="72"/>
      <c r="F409" s="72"/>
      <c r="G409" s="72"/>
      <c r="H409" s="72"/>
      <c r="I409" s="72"/>
      <c r="J409" s="72"/>
      <c r="K409" s="72"/>
      <c r="L409" s="72"/>
      <c r="M409" s="72"/>
      <c r="N409" s="72"/>
      <c r="O409" s="72"/>
      <c r="P409" s="72"/>
      <c r="Q409" s="72"/>
      <c r="R409" s="72"/>
      <c r="S409" s="72"/>
      <c r="T409" s="72"/>
      <c r="U409" s="72"/>
      <c r="V409" s="72"/>
      <c r="W409" s="72"/>
      <c r="X409" s="72"/>
      <c r="Y409" s="72"/>
      <c r="Z409" s="72"/>
      <c r="AA409" s="72"/>
      <c r="AB409" s="72"/>
      <c r="AC409" s="72"/>
      <c r="AD409" s="72"/>
      <c r="AE409" s="72"/>
      <c r="AF409" s="72"/>
      <c r="AG409" s="72"/>
      <c r="AH409" s="72"/>
      <c r="AI409" s="72"/>
      <c r="AJ409" s="72"/>
      <c r="AK409" s="72"/>
      <c r="AL409" s="72"/>
      <c r="AM409" s="72"/>
      <c r="AN409" s="72"/>
      <c r="AO409" s="72"/>
      <c r="AP409" s="72"/>
      <c r="AQ409" s="72"/>
      <c r="AR409" s="72"/>
      <c r="AS409" s="72"/>
      <c r="AT409" s="72"/>
      <c r="AU409" s="72"/>
      <c r="AV409" s="72"/>
    </row>
    <row r="410" spans="1:48" s="37" customFormat="1" ht="16.5" x14ac:dyDescent="0.3">
      <c r="A410" s="72"/>
      <c r="B410" s="72"/>
      <c r="C410" s="72"/>
      <c r="D410" s="72"/>
      <c r="E410" s="72"/>
      <c r="F410" s="72"/>
      <c r="G410" s="72"/>
      <c r="H410" s="72"/>
      <c r="I410" s="72"/>
      <c r="J410" s="72"/>
      <c r="K410" s="72"/>
      <c r="L410" s="72"/>
      <c r="M410" s="72"/>
      <c r="N410" s="72"/>
      <c r="O410" s="72"/>
      <c r="P410" s="72"/>
      <c r="Q410" s="72"/>
      <c r="R410" s="72"/>
      <c r="S410" s="72"/>
      <c r="T410" s="72"/>
      <c r="U410" s="72"/>
      <c r="V410" s="72"/>
      <c r="W410" s="72"/>
      <c r="X410" s="72"/>
      <c r="Y410" s="72"/>
      <c r="Z410" s="72"/>
      <c r="AA410" s="72"/>
      <c r="AB410" s="72"/>
      <c r="AC410" s="72"/>
      <c r="AD410" s="72"/>
      <c r="AE410" s="72"/>
      <c r="AF410" s="72"/>
      <c r="AG410" s="72"/>
      <c r="AH410" s="72"/>
      <c r="AI410" s="72"/>
      <c r="AJ410" s="72"/>
      <c r="AK410" s="72"/>
      <c r="AL410" s="72"/>
      <c r="AM410" s="72"/>
      <c r="AN410" s="72"/>
      <c r="AO410" s="72"/>
      <c r="AP410" s="72"/>
      <c r="AQ410" s="72"/>
      <c r="AR410" s="72"/>
      <c r="AS410" s="72"/>
      <c r="AT410" s="72"/>
      <c r="AU410" s="72"/>
      <c r="AV410" s="72"/>
    </row>
    <row r="411" spans="1:48" s="37" customFormat="1" ht="16.5" x14ac:dyDescent="0.3">
      <c r="A411" s="72"/>
      <c r="B411" s="72"/>
      <c r="C411" s="72"/>
      <c r="D411" s="72"/>
      <c r="E411" s="72"/>
      <c r="F411" s="72"/>
      <c r="G411" s="72"/>
      <c r="H411" s="72"/>
      <c r="I411" s="72"/>
      <c r="J411" s="72"/>
      <c r="K411" s="72"/>
      <c r="L411" s="72"/>
      <c r="M411" s="72"/>
      <c r="N411" s="72"/>
      <c r="O411" s="72"/>
      <c r="P411" s="72"/>
      <c r="Q411" s="72"/>
      <c r="R411" s="72"/>
      <c r="S411" s="72"/>
      <c r="T411" s="72"/>
      <c r="U411" s="72"/>
      <c r="V411" s="72"/>
      <c r="W411" s="72"/>
      <c r="X411" s="72"/>
      <c r="Y411" s="72"/>
      <c r="Z411" s="72"/>
      <c r="AA411" s="72"/>
      <c r="AB411" s="72"/>
      <c r="AC411" s="72"/>
      <c r="AD411" s="72"/>
      <c r="AE411" s="72"/>
      <c r="AF411" s="72"/>
      <c r="AG411" s="72"/>
      <c r="AH411" s="72"/>
      <c r="AI411" s="72"/>
      <c r="AJ411" s="72"/>
      <c r="AK411" s="72"/>
      <c r="AL411" s="72"/>
      <c r="AM411" s="72"/>
      <c r="AN411" s="72"/>
      <c r="AO411" s="72"/>
      <c r="AP411" s="72"/>
      <c r="AQ411" s="72"/>
      <c r="AR411" s="72"/>
      <c r="AS411" s="72"/>
      <c r="AT411" s="72"/>
      <c r="AU411" s="72"/>
      <c r="AV411" s="72"/>
    </row>
    <row r="412" spans="1:48" s="37" customFormat="1" ht="16.5" x14ac:dyDescent="0.3">
      <c r="A412" s="72"/>
      <c r="B412" s="72"/>
      <c r="C412" s="72"/>
      <c r="D412" s="72"/>
      <c r="E412" s="72"/>
      <c r="F412" s="72"/>
      <c r="G412" s="72"/>
      <c r="H412" s="72"/>
      <c r="I412" s="72"/>
      <c r="J412" s="72"/>
      <c r="K412" s="72"/>
      <c r="L412" s="72"/>
      <c r="M412" s="72"/>
      <c r="N412" s="72"/>
      <c r="O412" s="72"/>
      <c r="P412" s="72"/>
      <c r="Q412" s="72"/>
      <c r="R412" s="72"/>
      <c r="S412" s="72"/>
      <c r="T412" s="72"/>
      <c r="U412" s="72"/>
      <c r="V412" s="72"/>
      <c r="W412" s="72"/>
      <c r="X412" s="72"/>
      <c r="Y412" s="72"/>
      <c r="Z412" s="72"/>
      <c r="AA412" s="72"/>
      <c r="AB412" s="72"/>
      <c r="AC412" s="72"/>
      <c r="AD412" s="72"/>
      <c r="AE412" s="72"/>
      <c r="AF412" s="72"/>
      <c r="AG412" s="72"/>
      <c r="AH412" s="72"/>
      <c r="AI412" s="72"/>
      <c r="AJ412" s="72"/>
      <c r="AK412" s="72"/>
      <c r="AL412" s="72"/>
      <c r="AM412" s="72"/>
      <c r="AN412" s="72"/>
      <c r="AO412" s="72"/>
      <c r="AP412" s="72"/>
      <c r="AQ412" s="72"/>
      <c r="AR412" s="72"/>
      <c r="AS412" s="72"/>
      <c r="AT412" s="72"/>
      <c r="AU412" s="72"/>
      <c r="AV412" s="72"/>
    </row>
    <row r="413" spans="1:48" s="37" customFormat="1" ht="16.5" x14ac:dyDescent="0.3">
      <c r="A413" s="72"/>
      <c r="B413" s="72"/>
      <c r="C413" s="72"/>
      <c r="D413" s="72"/>
      <c r="E413" s="72"/>
      <c r="F413" s="72"/>
      <c r="G413" s="72"/>
      <c r="H413" s="72"/>
      <c r="I413" s="72"/>
      <c r="J413" s="72"/>
      <c r="K413" s="72"/>
      <c r="L413" s="72"/>
      <c r="M413" s="72"/>
      <c r="N413" s="72"/>
      <c r="O413" s="72"/>
      <c r="P413" s="72"/>
      <c r="Q413" s="72"/>
      <c r="R413" s="72"/>
      <c r="S413" s="72"/>
      <c r="T413" s="72"/>
      <c r="U413" s="72"/>
      <c r="V413" s="72"/>
      <c r="W413" s="72"/>
      <c r="X413" s="72"/>
      <c r="Y413" s="72"/>
      <c r="Z413" s="72"/>
      <c r="AA413" s="72"/>
      <c r="AB413" s="72"/>
      <c r="AC413" s="72"/>
      <c r="AD413" s="72"/>
      <c r="AE413" s="72"/>
      <c r="AF413" s="72"/>
      <c r="AG413" s="72"/>
      <c r="AH413" s="72"/>
      <c r="AI413" s="72"/>
      <c r="AJ413" s="72"/>
      <c r="AK413" s="72"/>
      <c r="AL413" s="72"/>
      <c r="AM413" s="72"/>
      <c r="AN413" s="72"/>
      <c r="AO413" s="72"/>
      <c r="AP413" s="72"/>
      <c r="AQ413" s="72"/>
      <c r="AR413" s="72"/>
      <c r="AS413" s="72"/>
      <c r="AT413" s="72"/>
      <c r="AU413" s="72"/>
      <c r="AV413" s="72"/>
    </row>
    <row r="414" spans="1:48" s="37" customFormat="1" ht="16.5" x14ac:dyDescent="0.3">
      <c r="A414" s="72"/>
      <c r="B414" s="72"/>
      <c r="C414" s="72"/>
      <c r="D414" s="72"/>
      <c r="E414" s="72"/>
      <c r="F414" s="72"/>
      <c r="G414" s="72"/>
      <c r="H414" s="72"/>
      <c r="I414" s="72"/>
      <c r="J414" s="72"/>
      <c r="K414" s="72"/>
      <c r="L414" s="72"/>
      <c r="M414" s="72"/>
      <c r="N414" s="72"/>
      <c r="O414" s="72"/>
      <c r="P414" s="72"/>
      <c r="Q414" s="72"/>
      <c r="R414" s="72"/>
      <c r="S414" s="72"/>
      <c r="T414" s="72"/>
      <c r="U414" s="72"/>
      <c r="V414" s="72"/>
      <c r="W414" s="72"/>
      <c r="X414" s="72"/>
      <c r="Y414" s="72"/>
      <c r="Z414" s="72"/>
      <c r="AA414" s="72"/>
      <c r="AB414" s="72"/>
      <c r="AC414" s="72"/>
      <c r="AD414" s="72"/>
      <c r="AE414" s="72"/>
      <c r="AF414" s="72"/>
      <c r="AG414" s="72"/>
      <c r="AH414" s="72"/>
      <c r="AI414" s="72"/>
      <c r="AJ414" s="72"/>
      <c r="AK414" s="72"/>
      <c r="AL414" s="72"/>
      <c r="AM414" s="72"/>
      <c r="AN414" s="72"/>
      <c r="AO414" s="72"/>
      <c r="AP414" s="72"/>
      <c r="AQ414" s="72"/>
      <c r="AR414" s="72"/>
      <c r="AS414" s="72"/>
      <c r="AT414" s="72"/>
      <c r="AU414" s="72"/>
      <c r="AV414" s="72"/>
    </row>
    <row r="415" spans="1:48" s="37" customFormat="1" ht="16.5" x14ac:dyDescent="0.3">
      <c r="A415" s="72"/>
      <c r="B415" s="72"/>
      <c r="C415" s="72"/>
      <c r="D415" s="72"/>
      <c r="E415" s="72"/>
      <c r="F415" s="72"/>
      <c r="G415" s="72"/>
      <c r="H415" s="72"/>
      <c r="I415" s="72"/>
      <c r="J415" s="72"/>
      <c r="K415" s="72"/>
      <c r="L415" s="72"/>
      <c r="M415" s="72"/>
      <c r="N415" s="72"/>
      <c r="O415" s="72"/>
      <c r="P415" s="72"/>
      <c r="Q415" s="72"/>
      <c r="R415" s="72"/>
      <c r="S415" s="72"/>
      <c r="T415" s="72"/>
      <c r="U415" s="72"/>
      <c r="V415" s="72"/>
      <c r="W415" s="72"/>
      <c r="X415" s="72"/>
      <c r="Y415" s="72"/>
      <c r="Z415" s="72"/>
      <c r="AA415" s="72"/>
      <c r="AB415" s="72"/>
      <c r="AC415" s="72"/>
      <c r="AD415" s="72"/>
      <c r="AE415" s="72"/>
      <c r="AF415" s="72"/>
      <c r="AG415" s="72"/>
      <c r="AH415" s="72"/>
      <c r="AI415" s="72"/>
      <c r="AJ415" s="72"/>
      <c r="AK415" s="72"/>
      <c r="AL415" s="72"/>
      <c r="AM415" s="72"/>
      <c r="AN415" s="72"/>
      <c r="AO415" s="72"/>
      <c r="AP415" s="72"/>
      <c r="AQ415" s="72"/>
      <c r="AR415" s="72"/>
      <c r="AS415" s="72"/>
      <c r="AT415" s="72"/>
      <c r="AU415" s="72"/>
      <c r="AV415" s="72"/>
    </row>
    <row r="416" spans="1:48" s="37" customFormat="1" ht="16.5" x14ac:dyDescent="0.3">
      <c r="A416" s="72"/>
      <c r="B416" s="72"/>
      <c r="C416" s="72"/>
      <c r="D416" s="72"/>
      <c r="E416" s="72"/>
      <c r="F416" s="72"/>
      <c r="G416" s="72"/>
      <c r="H416" s="72"/>
      <c r="I416" s="72"/>
      <c r="J416" s="72"/>
      <c r="K416" s="72"/>
      <c r="L416" s="72"/>
      <c r="M416" s="72"/>
      <c r="N416" s="72"/>
      <c r="O416" s="72"/>
      <c r="P416" s="72"/>
      <c r="Q416" s="72"/>
      <c r="R416" s="72"/>
      <c r="S416" s="72"/>
      <c r="T416" s="72"/>
      <c r="U416" s="72"/>
      <c r="V416" s="72"/>
      <c r="W416" s="72"/>
      <c r="X416" s="72"/>
      <c r="Y416" s="72"/>
      <c r="Z416" s="72"/>
      <c r="AA416" s="72"/>
      <c r="AB416" s="72"/>
      <c r="AC416" s="72"/>
      <c r="AD416" s="72"/>
      <c r="AE416" s="72"/>
      <c r="AF416" s="72"/>
      <c r="AG416" s="72"/>
      <c r="AH416" s="72"/>
      <c r="AI416" s="72"/>
      <c r="AJ416" s="72"/>
      <c r="AK416" s="72"/>
      <c r="AL416" s="72"/>
      <c r="AM416" s="72"/>
      <c r="AN416" s="72"/>
      <c r="AO416" s="72"/>
      <c r="AP416" s="72"/>
      <c r="AQ416" s="72"/>
      <c r="AR416" s="72"/>
      <c r="AS416" s="72"/>
      <c r="AT416" s="72"/>
      <c r="AU416" s="72"/>
      <c r="AV416" s="72"/>
    </row>
    <row r="417" spans="1:48" s="37" customFormat="1" ht="16.5" x14ac:dyDescent="0.3">
      <c r="A417" s="72"/>
      <c r="B417" s="72"/>
      <c r="C417" s="72"/>
      <c r="D417" s="72"/>
      <c r="E417" s="72"/>
      <c r="F417" s="72"/>
      <c r="G417" s="72"/>
      <c r="H417" s="72"/>
      <c r="I417" s="72"/>
      <c r="J417" s="72"/>
      <c r="K417" s="72"/>
      <c r="L417" s="72"/>
      <c r="M417" s="72"/>
      <c r="N417" s="72"/>
      <c r="O417" s="72"/>
      <c r="P417" s="72"/>
      <c r="Q417" s="72"/>
      <c r="R417" s="72"/>
      <c r="S417" s="72"/>
      <c r="T417" s="72"/>
      <c r="U417" s="72"/>
      <c r="V417" s="72"/>
      <c r="W417" s="72"/>
      <c r="X417" s="72"/>
      <c r="Y417" s="72"/>
      <c r="Z417" s="72"/>
      <c r="AA417" s="72"/>
      <c r="AB417" s="72"/>
      <c r="AC417" s="72"/>
      <c r="AD417" s="72"/>
      <c r="AE417" s="72"/>
      <c r="AF417" s="72"/>
      <c r="AG417" s="72"/>
      <c r="AH417" s="72"/>
      <c r="AI417" s="72"/>
      <c r="AJ417" s="72"/>
      <c r="AK417" s="72"/>
      <c r="AL417" s="72"/>
      <c r="AM417" s="72"/>
      <c r="AN417" s="72"/>
      <c r="AO417" s="72"/>
      <c r="AP417" s="72"/>
      <c r="AQ417" s="72"/>
      <c r="AR417" s="72"/>
      <c r="AS417" s="72"/>
      <c r="AT417" s="72"/>
      <c r="AU417" s="72"/>
      <c r="AV417" s="72"/>
    </row>
    <row r="418" spans="1:48" s="37" customFormat="1" ht="16.5" x14ac:dyDescent="0.3">
      <c r="A418" s="72"/>
      <c r="B418" s="72"/>
      <c r="C418" s="72"/>
      <c r="D418" s="72"/>
      <c r="E418" s="72"/>
      <c r="F418" s="72"/>
      <c r="G418" s="72"/>
      <c r="H418" s="72"/>
      <c r="I418" s="72"/>
      <c r="J418" s="72"/>
      <c r="K418" s="72"/>
      <c r="L418" s="72"/>
      <c r="M418" s="72"/>
      <c r="N418" s="72"/>
      <c r="O418" s="72"/>
      <c r="P418" s="72"/>
      <c r="Q418" s="72"/>
      <c r="R418" s="72"/>
      <c r="S418" s="72"/>
      <c r="T418" s="72"/>
      <c r="U418" s="72"/>
      <c r="V418" s="72"/>
      <c r="W418" s="72"/>
      <c r="X418" s="72"/>
      <c r="Y418" s="72"/>
      <c r="Z418" s="72"/>
      <c r="AA418" s="72"/>
      <c r="AB418" s="72"/>
      <c r="AC418" s="72"/>
      <c r="AD418" s="72"/>
      <c r="AE418" s="72"/>
      <c r="AF418" s="72"/>
      <c r="AG418" s="72"/>
      <c r="AH418" s="72"/>
      <c r="AI418" s="72"/>
      <c r="AJ418" s="72"/>
      <c r="AK418" s="72"/>
      <c r="AL418" s="72"/>
      <c r="AM418" s="72"/>
      <c r="AN418" s="72"/>
      <c r="AO418" s="72"/>
      <c r="AP418" s="72"/>
      <c r="AQ418" s="72"/>
      <c r="AR418" s="72"/>
      <c r="AS418" s="72"/>
      <c r="AT418" s="72"/>
      <c r="AU418" s="72"/>
      <c r="AV418" s="72"/>
    </row>
    <row r="419" spans="1:48" s="37" customFormat="1" ht="16.5" x14ac:dyDescent="0.3">
      <c r="A419" s="72"/>
      <c r="B419" s="72"/>
      <c r="C419" s="72"/>
      <c r="D419" s="72"/>
      <c r="E419" s="72"/>
      <c r="F419" s="72"/>
      <c r="G419" s="72"/>
      <c r="H419" s="72"/>
      <c r="I419" s="72"/>
      <c r="J419" s="72"/>
      <c r="K419" s="72"/>
      <c r="L419" s="72"/>
      <c r="M419" s="72"/>
      <c r="N419" s="72"/>
      <c r="O419" s="72"/>
      <c r="P419" s="72"/>
      <c r="Q419" s="72"/>
      <c r="R419" s="72"/>
      <c r="S419" s="72"/>
      <c r="T419" s="72"/>
      <c r="U419" s="72"/>
      <c r="V419" s="72"/>
      <c r="W419" s="72"/>
      <c r="X419" s="72"/>
      <c r="Y419" s="72"/>
      <c r="Z419" s="72"/>
      <c r="AA419" s="72"/>
      <c r="AB419" s="72"/>
      <c r="AC419" s="72"/>
      <c r="AD419" s="72"/>
      <c r="AE419" s="72"/>
      <c r="AF419" s="72"/>
      <c r="AG419" s="72"/>
      <c r="AH419" s="72"/>
      <c r="AI419" s="72"/>
      <c r="AJ419" s="72"/>
      <c r="AK419" s="72"/>
      <c r="AL419" s="72"/>
      <c r="AM419" s="72"/>
      <c r="AN419" s="72"/>
      <c r="AO419" s="72"/>
      <c r="AP419" s="72"/>
      <c r="AQ419" s="72"/>
      <c r="AR419" s="72"/>
      <c r="AS419" s="72"/>
      <c r="AT419" s="72"/>
      <c r="AU419" s="72"/>
      <c r="AV419" s="72"/>
    </row>
    <row r="420" spans="1:48" s="37" customFormat="1" ht="16.5" x14ac:dyDescent="0.3">
      <c r="A420" s="72"/>
      <c r="B420" s="72"/>
      <c r="C420" s="72"/>
      <c r="D420" s="72"/>
      <c r="E420" s="72"/>
      <c r="F420" s="72"/>
      <c r="G420" s="72"/>
      <c r="H420" s="72"/>
      <c r="I420" s="72"/>
      <c r="J420" s="72"/>
      <c r="K420" s="72"/>
      <c r="L420" s="72"/>
      <c r="M420" s="72"/>
      <c r="N420" s="72"/>
      <c r="O420" s="72"/>
      <c r="P420" s="72"/>
      <c r="Q420" s="72"/>
      <c r="R420" s="72"/>
      <c r="S420" s="72"/>
      <c r="T420" s="72"/>
      <c r="U420" s="72"/>
      <c r="V420" s="72"/>
      <c r="W420" s="72"/>
      <c r="X420" s="72"/>
      <c r="Y420" s="72"/>
      <c r="Z420" s="72"/>
      <c r="AA420" s="72"/>
      <c r="AB420" s="72"/>
      <c r="AC420" s="72"/>
      <c r="AD420" s="72"/>
      <c r="AE420" s="72"/>
      <c r="AF420" s="72"/>
      <c r="AG420" s="72"/>
      <c r="AH420" s="72"/>
      <c r="AI420" s="72"/>
      <c r="AJ420" s="72"/>
      <c r="AK420" s="72"/>
      <c r="AL420" s="72"/>
      <c r="AM420" s="72"/>
      <c r="AN420" s="72"/>
      <c r="AO420" s="72"/>
      <c r="AP420" s="72"/>
      <c r="AQ420" s="72"/>
      <c r="AR420" s="72"/>
      <c r="AS420" s="72"/>
      <c r="AT420" s="72"/>
      <c r="AU420" s="72"/>
      <c r="AV420" s="72"/>
    </row>
    <row r="421" spans="1:48" s="37" customFormat="1" ht="16.5" x14ac:dyDescent="0.3">
      <c r="A421" s="72"/>
      <c r="B421" s="72"/>
      <c r="C421" s="72"/>
      <c r="D421" s="72"/>
      <c r="E421" s="72"/>
      <c r="F421" s="72"/>
      <c r="G421" s="72"/>
      <c r="H421" s="72"/>
      <c r="I421" s="72"/>
      <c r="J421" s="72"/>
      <c r="K421" s="72"/>
      <c r="L421" s="72"/>
      <c r="M421" s="72"/>
      <c r="N421" s="72"/>
      <c r="O421" s="72"/>
      <c r="P421" s="72"/>
      <c r="Q421" s="72"/>
      <c r="R421" s="72"/>
      <c r="S421" s="72"/>
      <c r="T421" s="72"/>
      <c r="U421" s="72"/>
      <c r="V421" s="72"/>
      <c r="W421" s="72"/>
      <c r="X421" s="72"/>
      <c r="Y421" s="72"/>
      <c r="Z421" s="72"/>
      <c r="AA421" s="72"/>
      <c r="AB421" s="72"/>
      <c r="AC421" s="72"/>
      <c r="AD421" s="72"/>
      <c r="AE421" s="72"/>
      <c r="AF421" s="72"/>
      <c r="AG421" s="72"/>
      <c r="AH421" s="72"/>
      <c r="AI421" s="72"/>
      <c r="AJ421" s="72"/>
      <c r="AK421" s="72"/>
      <c r="AL421" s="72"/>
      <c r="AM421" s="72"/>
      <c r="AN421" s="72"/>
      <c r="AO421" s="72"/>
      <c r="AP421" s="72"/>
      <c r="AQ421" s="72"/>
      <c r="AR421" s="72"/>
      <c r="AS421" s="72"/>
      <c r="AT421" s="72"/>
      <c r="AU421" s="72"/>
      <c r="AV421" s="72"/>
    </row>
    <row r="422" spans="1:48" s="37" customFormat="1" ht="16.5" x14ac:dyDescent="0.3">
      <c r="A422" s="72"/>
      <c r="B422" s="72"/>
      <c r="C422" s="72"/>
      <c r="D422" s="72"/>
      <c r="E422" s="72"/>
      <c r="F422" s="72"/>
      <c r="G422" s="72"/>
      <c r="H422" s="72"/>
      <c r="I422" s="72"/>
      <c r="J422" s="72"/>
      <c r="K422" s="72"/>
      <c r="L422" s="72"/>
      <c r="M422" s="72"/>
      <c r="N422" s="72"/>
      <c r="O422" s="72"/>
      <c r="P422" s="72"/>
      <c r="Q422" s="72"/>
      <c r="R422" s="72"/>
      <c r="S422" s="72"/>
      <c r="T422" s="72"/>
      <c r="U422" s="72"/>
      <c r="V422" s="72"/>
      <c r="W422" s="72"/>
      <c r="X422" s="72"/>
      <c r="Y422" s="72"/>
      <c r="Z422" s="72"/>
      <c r="AA422" s="72"/>
      <c r="AB422" s="72"/>
      <c r="AC422" s="72"/>
      <c r="AD422" s="72"/>
      <c r="AE422" s="72"/>
      <c r="AF422" s="72"/>
      <c r="AG422" s="72"/>
      <c r="AH422" s="72"/>
      <c r="AI422" s="72"/>
      <c r="AJ422" s="72"/>
      <c r="AK422" s="72"/>
      <c r="AL422" s="72"/>
      <c r="AM422" s="72"/>
      <c r="AN422" s="72"/>
      <c r="AO422" s="72"/>
      <c r="AP422" s="72"/>
      <c r="AQ422" s="72"/>
      <c r="AR422" s="72"/>
      <c r="AS422" s="72"/>
      <c r="AT422" s="72"/>
      <c r="AU422" s="72"/>
      <c r="AV422" s="72"/>
    </row>
    <row r="423" spans="1:48" s="37" customFormat="1" ht="16.5" x14ac:dyDescent="0.3">
      <c r="A423" s="72"/>
      <c r="B423" s="72"/>
      <c r="C423" s="72"/>
      <c r="D423" s="72"/>
      <c r="E423" s="72"/>
      <c r="F423" s="72"/>
      <c r="G423" s="72"/>
      <c r="H423" s="72"/>
      <c r="I423" s="72"/>
      <c r="J423" s="72"/>
      <c r="K423" s="72"/>
      <c r="L423" s="72"/>
      <c r="M423" s="72"/>
      <c r="N423" s="72"/>
      <c r="O423" s="72"/>
      <c r="P423" s="72"/>
      <c r="Q423" s="72"/>
      <c r="R423" s="72"/>
      <c r="S423" s="72"/>
      <c r="T423" s="72"/>
      <c r="U423" s="72"/>
      <c r="V423" s="72"/>
      <c r="W423" s="72"/>
      <c r="X423" s="72"/>
      <c r="Y423" s="72"/>
      <c r="Z423" s="72"/>
      <c r="AA423" s="72"/>
      <c r="AB423" s="72"/>
      <c r="AC423" s="72"/>
      <c r="AD423" s="72"/>
      <c r="AE423" s="72"/>
      <c r="AF423" s="72"/>
      <c r="AG423" s="72"/>
      <c r="AH423" s="72"/>
      <c r="AI423" s="72"/>
      <c r="AJ423" s="72"/>
      <c r="AK423" s="72"/>
      <c r="AL423" s="72"/>
      <c r="AM423" s="72"/>
      <c r="AN423" s="72"/>
      <c r="AO423" s="72"/>
      <c r="AP423" s="72"/>
      <c r="AQ423" s="72"/>
      <c r="AR423" s="72"/>
      <c r="AS423" s="72"/>
      <c r="AT423" s="72"/>
      <c r="AU423" s="72"/>
      <c r="AV423" s="72"/>
    </row>
    <row r="424" spans="1:48" s="37" customFormat="1" ht="16.5" x14ac:dyDescent="0.3">
      <c r="A424" s="72"/>
      <c r="B424" s="72"/>
      <c r="C424" s="72"/>
      <c r="D424" s="72"/>
      <c r="E424" s="72"/>
      <c r="F424" s="72"/>
      <c r="G424" s="72"/>
      <c r="H424" s="72"/>
      <c r="I424" s="72"/>
      <c r="J424" s="72"/>
      <c r="K424" s="72"/>
      <c r="L424" s="72"/>
      <c r="M424" s="72"/>
      <c r="N424" s="72"/>
      <c r="O424" s="72"/>
      <c r="P424" s="72"/>
      <c r="Q424" s="72"/>
      <c r="R424" s="72"/>
      <c r="S424" s="72"/>
      <c r="T424" s="72"/>
      <c r="U424" s="72"/>
      <c r="V424" s="72"/>
      <c r="W424" s="72"/>
      <c r="X424" s="72"/>
      <c r="Y424" s="72"/>
      <c r="Z424" s="72"/>
      <c r="AA424" s="72"/>
      <c r="AB424" s="72"/>
      <c r="AC424" s="72"/>
      <c r="AD424" s="72"/>
      <c r="AE424" s="72"/>
      <c r="AF424" s="72"/>
      <c r="AG424" s="72"/>
      <c r="AH424" s="72"/>
      <c r="AI424" s="72"/>
      <c r="AJ424" s="72"/>
      <c r="AK424" s="72"/>
      <c r="AL424" s="72"/>
      <c r="AM424" s="72"/>
      <c r="AN424" s="72"/>
      <c r="AO424" s="72"/>
      <c r="AP424" s="72"/>
      <c r="AQ424" s="72"/>
      <c r="AR424" s="72"/>
      <c r="AS424" s="72"/>
      <c r="AT424" s="72"/>
      <c r="AU424" s="72"/>
      <c r="AV424" s="72"/>
    </row>
    <row r="425" spans="1:48" s="37" customFormat="1" ht="16.5" x14ac:dyDescent="0.3">
      <c r="A425" s="72"/>
      <c r="B425" s="72"/>
      <c r="C425" s="72"/>
      <c r="D425" s="72"/>
      <c r="E425" s="72"/>
      <c r="F425" s="72"/>
      <c r="G425" s="72"/>
      <c r="H425" s="72"/>
      <c r="I425" s="72"/>
      <c r="J425" s="72"/>
      <c r="K425" s="72"/>
      <c r="L425" s="72"/>
      <c r="M425" s="72"/>
      <c r="N425" s="72"/>
      <c r="O425" s="72"/>
      <c r="P425" s="72"/>
      <c r="Q425" s="72"/>
      <c r="R425" s="72"/>
      <c r="S425" s="72"/>
      <c r="T425" s="72"/>
      <c r="U425" s="72"/>
      <c r="V425" s="72"/>
      <c r="W425" s="72"/>
      <c r="X425" s="72"/>
      <c r="Y425" s="72"/>
      <c r="Z425" s="72"/>
      <c r="AA425" s="72"/>
      <c r="AB425" s="72"/>
      <c r="AC425" s="72"/>
      <c r="AD425" s="72"/>
      <c r="AE425" s="72"/>
      <c r="AF425" s="72"/>
      <c r="AG425" s="72"/>
      <c r="AH425" s="72"/>
      <c r="AI425" s="72"/>
      <c r="AJ425" s="72"/>
      <c r="AK425" s="72"/>
      <c r="AL425" s="72"/>
      <c r="AM425" s="72"/>
      <c r="AN425" s="72"/>
      <c r="AO425" s="72"/>
      <c r="AP425" s="72"/>
      <c r="AQ425" s="72"/>
      <c r="AR425" s="72"/>
      <c r="AS425" s="72"/>
      <c r="AT425" s="72"/>
      <c r="AU425" s="72"/>
      <c r="AV425" s="72"/>
    </row>
    <row r="426" spans="1:48" s="37" customFormat="1" ht="16.5" x14ac:dyDescent="0.3">
      <c r="A426" s="72"/>
      <c r="B426" s="72"/>
      <c r="C426" s="72"/>
      <c r="D426" s="72"/>
      <c r="E426" s="72"/>
      <c r="F426" s="72"/>
      <c r="G426" s="72"/>
      <c r="H426" s="72"/>
      <c r="I426" s="72"/>
      <c r="J426" s="72"/>
      <c r="K426" s="72"/>
      <c r="L426" s="72"/>
      <c r="M426" s="72"/>
      <c r="N426" s="72"/>
      <c r="O426" s="72"/>
      <c r="P426" s="72"/>
      <c r="Q426" s="72"/>
      <c r="R426" s="72"/>
      <c r="S426" s="72"/>
      <c r="T426" s="72"/>
      <c r="U426" s="72"/>
      <c r="V426" s="72"/>
      <c r="W426" s="72"/>
      <c r="X426" s="72"/>
      <c r="Y426" s="72"/>
      <c r="Z426" s="72"/>
      <c r="AA426" s="72"/>
      <c r="AB426" s="72"/>
      <c r="AC426" s="72"/>
      <c r="AD426" s="72"/>
      <c r="AE426" s="72"/>
      <c r="AF426" s="72"/>
      <c r="AG426" s="72"/>
      <c r="AH426" s="72"/>
      <c r="AI426" s="72"/>
      <c r="AJ426" s="72"/>
      <c r="AK426" s="72"/>
      <c r="AL426" s="72"/>
      <c r="AM426" s="72"/>
      <c r="AN426" s="72"/>
      <c r="AO426" s="72"/>
      <c r="AP426" s="72"/>
      <c r="AQ426" s="72"/>
      <c r="AR426" s="72"/>
      <c r="AS426" s="72"/>
      <c r="AT426" s="72"/>
      <c r="AU426" s="72"/>
      <c r="AV426" s="72"/>
    </row>
    <row r="427" spans="1:48" s="37" customFormat="1" ht="16.5" x14ac:dyDescent="0.3">
      <c r="A427" s="72"/>
      <c r="B427" s="72"/>
      <c r="C427" s="72"/>
      <c r="D427" s="72"/>
      <c r="E427" s="72"/>
      <c r="F427" s="72"/>
      <c r="G427" s="72"/>
      <c r="H427" s="72"/>
      <c r="I427" s="72"/>
      <c r="J427" s="72"/>
      <c r="K427" s="72"/>
      <c r="L427" s="72"/>
      <c r="M427" s="72"/>
      <c r="N427" s="72"/>
      <c r="O427" s="72"/>
      <c r="P427" s="72"/>
      <c r="Q427" s="72"/>
      <c r="R427" s="72"/>
      <c r="S427" s="72"/>
      <c r="T427" s="72"/>
      <c r="U427" s="72"/>
      <c r="V427" s="72"/>
      <c r="W427" s="72"/>
      <c r="X427" s="72"/>
      <c r="Y427" s="72"/>
      <c r="Z427" s="72"/>
      <c r="AA427" s="72"/>
      <c r="AB427" s="72"/>
      <c r="AC427" s="72"/>
      <c r="AD427" s="72"/>
      <c r="AE427" s="72"/>
      <c r="AF427" s="72"/>
      <c r="AG427" s="72"/>
      <c r="AH427" s="72"/>
      <c r="AI427" s="72"/>
      <c r="AJ427" s="72"/>
      <c r="AK427" s="72"/>
      <c r="AL427" s="72"/>
      <c r="AM427" s="72"/>
      <c r="AN427" s="72"/>
      <c r="AO427" s="72"/>
      <c r="AP427" s="72"/>
      <c r="AQ427" s="72"/>
      <c r="AR427" s="72"/>
      <c r="AS427" s="72"/>
      <c r="AT427" s="72"/>
      <c r="AU427" s="72"/>
      <c r="AV427" s="72"/>
    </row>
    <row r="428" spans="1:48" s="37" customFormat="1" ht="16.5" x14ac:dyDescent="0.3">
      <c r="A428" s="72"/>
      <c r="B428" s="72"/>
      <c r="C428" s="72"/>
      <c r="D428" s="72"/>
      <c r="E428" s="72"/>
      <c r="F428" s="72"/>
      <c r="G428" s="72"/>
      <c r="H428" s="72"/>
      <c r="I428" s="72"/>
      <c r="J428" s="72"/>
      <c r="K428" s="72"/>
      <c r="L428" s="72"/>
      <c r="M428" s="72"/>
      <c r="N428" s="72"/>
      <c r="O428" s="72"/>
      <c r="P428" s="72"/>
      <c r="Q428" s="72"/>
      <c r="R428" s="72"/>
      <c r="S428" s="72"/>
      <c r="T428" s="72"/>
      <c r="U428" s="72"/>
      <c r="V428" s="72"/>
      <c r="W428" s="72"/>
      <c r="X428" s="72"/>
      <c r="Y428" s="72"/>
      <c r="Z428" s="72"/>
      <c r="AA428" s="72"/>
      <c r="AB428" s="72"/>
      <c r="AC428" s="72"/>
      <c r="AD428" s="72"/>
      <c r="AE428" s="72"/>
      <c r="AF428" s="72"/>
      <c r="AG428" s="72"/>
      <c r="AH428" s="72"/>
      <c r="AI428" s="72"/>
      <c r="AJ428" s="72"/>
      <c r="AK428" s="72"/>
      <c r="AL428" s="72"/>
      <c r="AM428" s="72"/>
      <c r="AN428" s="72"/>
      <c r="AO428" s="72"/>
      <c r="AP428" s="72"/>
      <c r="AQ428" s="72"/>
      <c r="AR428" s="72"/>
      <c r="AS428" s="72"/>
      <c r="AT428" s="72"/>
      <c r="AU428" s="72"/>
      <c r="AV428" s="72"/>
    </row>
    <row r="429" spans="1:48" s="37" customFormat="1" ht="16.5" x14ac:dyDescent="0.3">
      <c r="A429" s="72"/>
      <c r="B429" s="72"/>
      <c r="C429" s="72"/>
      <c r="D429" s="72"/>
      <c r="E429" s="72"/>
      <c r="F429" s="72"/>
      <c r="G429" s="72"/>
      <c r="H429" s="72"/>
      <c r="I429" s="72"/>
      <c r="J429" s="72"/>
      <c r="K429" s="72"/>
      <c r="L429" s="72"/>
      <c r="M429" s="72"/>
      <c r="N429" s="72"/>
      <c r="O429" s="72"/>
      <c r="P429" s="72"/>
      <c r="Q429" s="72"/>
      <c r="R429" s="72"/>
      <c r="S429" s="72"/>
      <c r="T429" s="72"/>
      <c r="U429" s="72"/>
      <c r="V429" s="72"/>
      <c r="W429" s="72"/>
      <c r="X429" s="72"/>
      <c r="Y429" s="72"/>
      <c r="Z429" s="72"/>
      <c r="AA429" s="72"/>
      <c r="AB429" s="72"/>
      <c r="AC429" s="72"/>
      <c r="AD429" s="72"/>
      <c r="AE429" s="72"/>
      <c r="AF429" s="72"/>
      <c r="AG429" s="72"/>
      <c r="AH429" s="72"/>
      <c r="AI429" s="72"/>
      <c r="AJ429" s="72"/>
      <c r="AK429" s="72"/>
      <c r="AL429" s="72"/>
      <c r="AM429" s="72"/>
      <c r="AN429" s="72"/>
      <c r="AO429" s="72"/>
      <c r="AP429" s="72"/>
      <c r="AQ429" s="72"/>
      <c r="AR429" s="72"/>
      <c r="AS429" s="72"/>
      <c r="AT429" s="72"/>
      <c r="AU429" s="72"/>
      <c r="AV429" s="72"/>
    </row>
    <row r="430" spans="1:48" s="37" customFormat="1" ht="16.5" x14ac:dyDescent="0.3">
      <c r="A430" s="72"/>
      <c r="B430" s="72"/>
      <c r="C430" s="72"/>
      <c r="D430" s="72"/>
      <c r="E430" s="72"/>
      <c r="F430" s="72"/>
      <c r="G430" s="72"/>
      <c r="H430" s="72"/>
      <c r="I430" s="72"/>
      <c r="J430" s="72"/>
      <c r="K430" s="72"/>
      <c r="L430" s="72"/>
      <c r="M430" s="72"/>
      <c r="N430" s="72"/>
      <c r="O430" s="72"/>
      <c r="P430" s="72"/>
      <c r="Q430" s="72"/>
      <c r="R430" s="72"/>
      <c r="S430" s="72"/>
      <c r="T430" s="72"/>
      <c r="U430" s="72"/>
      <c r="V430" s="72"/>
      <c r="W430" s="72"/>
      <c r="X430" s="72"/>
      <c r="Y430" s="72"/>
      <c r="Z430" s="72"/>
      <c r="AA430" s="72"/>
      <c r="AB430" s="72"/>
      <c r="AC430" s="72"/>
      <c r="AD430" s="72"/>
      <c r="AE430" s="72"/>
      <c r="AF430" s="72"/>
      <c r="AG430" s="72"/>
      <c r="AH430" s="72"/>
      <c r="AI430" s="72"/>
      <c r="AJ430" s="72"/>
      <c r="AK430" s="72"/>
      <c r="AL430" s="72"/>
      <c r="AM430" s="72"/>
      <c r="AN430" s="72"/>
      <c r="AO430" s="72"/>
      <c r="AP430" s="72"/>
      <c r="AQ430" s="72"/>
      <c r="AR430" s="72"/>
      <c r="AS430" s="72"/>
      <c r="AT430" s="72"/>
      <c r="AU430" s="72"/>
      <c r="AV430" s="72"/>
    </row>
    <row r="431" spans="1:48" s="37" customFormat="1" ht="16.5" x14ac:dyDescent="0.3">
      <c r="A431" s="72"/>
      <c r="B431" s="72"/>
      <c r="C431" s="72"/>
      <c r="D431" s="72"/>
      <c r="E431" s="72"/>
      <c r="F431" s="72"/>
      <c r="G431" s="72"/>
      <c r="H431" s="72"/>
      <c r="I431" s="72"/>
      <c r="J431" s="72"/>
      <c r="K431" s="72"/>
      <c r="L431" s="72"/>
      <c r="M431" s="72"/>
      <c r="N431" s="72"/>
      <c r="O431" s="72"/>
      <c r="P431" s="72"/>
      <c r="Q431" s="72"/>
      <c r="R431" s="72"/>
      <c r="S431" s="72"/>
      <c r="T431" s="72"/>
      <c r="U431" s="72"/>
      <c r="V431" s="72"/>
      <c r="W431" s="72"/>
      <c r="X431" s="72"/>
      <c r="Y431" s="72"/>
      <c r="Z431" s="72"/>
      <c r="AA431" s="72"/>
      <c r="AB431" s="72"/>
      <c r="AC431" s="72"/>
      <c r="AD431" s="72"/>
      <c r="AE431" s="72"/>
      <c r="AF431" s="72"/>
      <c r="AG431" s="72"/>
      <c r="AH431" s="72"/>
      <c r="AI431" s="72"/>
      <c r="AJ431" s="72"/>
      <c r="AK431" s="72"/>
      <c r="AL431" s="72"/>
      <c r="AM431" s="72"/>
      <c r="AN431" s="72"/>
      <c r="AO431" s="72"/>
      <c r="AP431" s="72"/>
      <c r="AQ431" s="72"/>
      <c r="AR431" s="72"/>
      <c r="AS431" s="72"/>
      <c r="AT431" s="72"/>
      <c r="AU431" s="72"/>
      <c r="AV431" s="72"/>
    </row>
    <row r="432" spans="1:48" s="37" customFormat="1" ht="16.5" x14ac:dyDescent="0.3">
      <c r="A432" s="72"/>
      <c r="B432" s="72"/>
      <c r="C432" s="72"/>
      <c r="D432" s="72"/>
      <c r="E432" s="72"/>
      <c r="F432" s="72"/>
      <c r="G432" s="72"/>
      <c r="H432" s="72"/>
      <c r="I432" s="72"/>
      <c r="J432" s="72"/>
      <c r="K432" s="72"/>
      <c r="L432" s="72"/>
      <c r="M432" s="72"/>
      <c r="N432" s="72"/>
      <c r="O432" s="72"/>
      <c r="P432" s="72"/>
      <c r="Q432" s="72"/>
      <c r="R432" s="72"/>
      <c r="S432" s="72"/>
      <c r="T432" s="72"/>
      <c r="U432" s="72"/>
      <c r="V432" s="72"/>
      <c r="W432" s="72"/>
      <c r="X432" s="72"/>
      <c r="Y432" s="72"/>
      <c r="Z432" s="72"/>
      <c r="AA432" s="72"/>
      <c r="AB432" s="72"/>
      <c r="AC432" s="72"/>
      <c r="AD432" s="72"/>
      <c r="AE432" s="72"/>
      <c r="AF432" s="72"/>
      <c r="AG432" s="72"/>
      <c r="AH432" s="72"/>
      <c r="AI432" s="72"/>
      <c r="AJ432" s="72"/>
      <c r="AK432" s="72"/>
      <c r="AL432" s="72"/>
      <c r="AM432" s="72"/>
      <c r="AN432" s="72"/>
      <c r="AO432" s="72"/>
      <c r="AP432" s="72"/>
      <c r="AQ432" s="72"/>
      <c r="AR432" s="72"/>
      <c r="AS432" s="72"/>
      <c r="AT432" s="72"/>
      <c r="AU432" s="72"/>
      <c r="AV432" s="72"/>
    </row>
    <row r="433" spans="1:48" s="37" customFormat="1" ht="16.5" x14ac:dyDescent="0.3">
      <c r="A433" s="72"/>
      <c r="B433" s="72"/>
      <c r="C433" s="72"/>
      <c r="D433" s="72"/>
      <c r="E433" s="72"/>
      <c r="F433" s="72"/>
      <c r="G433" s="72"/>
      <c r="H433" s="72"/>
      <c r="I433" s="72"/>
      <c r="J433" s="72"/>
      <c r="K433" s="72"/>
      <c r="L433" s="72"/>
      <c r="M433" s="72"/>
      <c r="N433" s="72"/>
      <c r="O433" s="72"/>
      <c r="P433" s="72"/>
      <c r="Q433" s="72"/>
      <c r="R433" s="72"/>
      <c r="S433" s="72"/>
      <c r="T433" s="72"/>
      <c r="U433" s="72"/>
      <c r="V433" s="72"/>
      <c r="W433" s="72"/>
      <c r="X433" s="72"/>
      <c r="Y433" s="72"/>
      <c r="Z433" s="72"/>
      <c r="AA433" s="72"/>
      <c r="AB433" s="72"/>
      <c r="AC433" s="72"/>
      <c r="AD433" s="72"/>
      <c r="AE433" s="72"/>
      <c r="AF433" s="72"/>
      <c r="AG433" s="72"/>
      <c r="AH433" s="72"/>
      <c r="AI433" s="72"/>
      <c r="AJ433" s="72"/>
      <c r="AK433" s="72"/>
      <c r="AL433" s="72"/>
      <c r="AM433" s="72"/>
      <c r="AN433" s="72"/>
      <c r="AO433" s="72"/>
      <c r="AP433" s="72"/>
      <c r="AQ433" s="72"/>
      <c r="AR433" s="72"/>
      <c r="AS433" s="72"/>
      <c r="AT433" s="72"/>
      <c r="AU433" s="72"/>
      <c r="AV433" s="72"/>
    </row>
    <row r="434" spans="1:48" s="37" customFormat="1" ht="16.5" x14ac:dyDescent="0.3">
      <c r="A434" s="72"/>
      <c r="B434" s="72"/>
      <c r="C434" s="72"/>
      <c r="D434" s="72"/>
      <c r="E434" s="72"/>
      <c r="F434" s="72"/>
      <c r="G434" s="72"/>
      <c r="H434" s="72"/>
      <c r="I434" s="72"/>
      <c r="J434" s="72"/>
      <c r="K434" s="72"/>
      <c r="L434" s="72"/>
      <c r="M434" s="72"/>
      <c r="N434" s="72"/>
      <c r="O434" s="72"/>
      <c r="P434" s="72"/>
      <c r="Q434" s="72"/>
      <c r="R434" s="72"/>
      <c r="S434" s="72"/>
      <c r="T434" s="72"/>
      <c r="U434" s="72"/>
      <c r="V434" s="72"/>
      <c r="W434" s="72"/>
      <c r="X434" s="72"/>
      <c r="Y434" s="72"/>
      <c r="Z434" s="72"/>
      <c r="AA434" s="72"/>
      <c r="AB434" s="72"/>
      <c r="AC434" s="72"/>
      <c r="AD434" s="72"/>
      <c r="AE434" s="72"/>
      <c r="AF434" s="72"/>
      <c r="AG434" s="72"/>
      <c r="AH434" s="72"/>
      <c r="AI434" s="72"/>
      <c r="AJ434" s="72"/>
      <c r="AK434" s="72"/>
      <c r="AL434" s="72"/>
      <c r="AM434" s="72"/>
      <c r="AN434" s="72"/>
      <c r="AO434" s="72"/>
      <c r="AP434" s="72"/>
      <c r="AQ434" s="72"/>
      <c r="AR434" s="72"/>
      <c r="AS434" s="72"/>
      <c r="AT434" s="72"/>
      <c r="AU434" s="72"/>
      <c r="AV434" s="72"/>
    </row>
    <row r="435" spans="1:48" s="37" customFormat="1" ht="16.5" x14ac:dyDescent="0.3">
      <c r="A435" s="72"/>
      <c r="B435" s="72"/>
      <c r="C435" s="72"/>
      <c r="D435" s="72"/>
      <c r="E435" s="72"/>
      <c r="F435" s="72"/>
      <c r="G435" s="72"/>
      <c r="H435" s="72"/>
      <c r="I435" s="72"/>
      <c r="J435" s="72"/>
      <c r="K435" s="72"/>
      <c r="L435" s="72"/>
      <c r="M435" s="72"/>
      <c r="N435" s="72"/>
      <c r="O435" s="72"/>
      <c r="P435" s="72"/>
      <c r="Q435" s="72"/>
      <c r="R435" s="72"/>
      <c r="S435" s="72"/>
      <c r="T435" s="72"/>
      <c r="U435" s="72"/>
      <c r="V435" s="72"/>
      <c r="W435" s="72"/>
      <c r="X435" s="72"/>
      <c r="Y435" s="72"/>
      <c r="Z435" s="72"/>
      <c r="AA435" s="72"/>
      <c r="AB435" s="72"/>
      <c r="AC435" s="72"/>
      <c r="AD435" s="72"/>
      <c r="AE435" s="72"/>
      <c r="AF435" s="72"/>
      <c r="AG435" s="72"/>
      <c r="AH435" s="72"/>
      <c r="AI435" s="72"/>
      <c r="AJ435" s="72"/>
      <c r="AK435" s="72"/>
      <c r="AL435" s="72"/>
      <c r="AM435" s="72"/>
      <c r="AN435" s="72"/>
      <c r="AO435" s="72"/>
      <c r="AP435" s="72"/>
      <c r="AQ435" s="72"/>
      <c r="AR435" s="72"/>
      <c r="AS435" s="72"/>
      <c r="AT435" s="72"/>
      <c r="AU435" s="72"/>
      <c r="AV435" s="72"/>
    </row>
    <row r="436" spans="1:48" s="37" customFormat="1" ht="16.5" x14ac:dyDescent="0.3">
      <c r="A436" s="72"/>
      <c r="B436" s="72"/>
      <c r="C436" s="72"/>
      <c r="D436" s="72"/>
      <c r="E436" s="72"/>
      <c r="F436" s="72"/>
      <c r="G436" s="72"/>
      <c r="H436" s="72"/>
      <c r="I436" s="72"/>
      <c r="J436" s="72"/>
      <c r="K436" s="72"/>
      <c r="L436" s="72"/>
      <c r="M436" s="72"/>
      <c r="N436" s="72"/>
      <c r="O436" s="72"/>
      <c r="P436" s="72"/>
      <c r="Q436" s="72"/>
      <c r="R436" s="72"/>
      <c r="S436" s="72"/>
      <c r="T436" s="72"/>
      <c r="U436" s="72"/>
      <c r="V436" s="72"/>
      <c r="W436" s="72"/>
      <c r="X436" s="72"/>
      <c r="Y436" s="72"/>
      <c r="Z436" s="72"/>
      <c r="AA436" s="72"/>
      <c r="AB436" s="72"/>
      <c r="AC436" s="72"/>
      <c r="AD436" s="72"/>
      <c r="AE436" s="72"/>
      <c r="AF436" s="72"/>
      <c r="AG436" s="72"/>
      <c r="AH436" s="72"/>
      <c r="AI436" s="72"/>
      <c r="AJ436" s="72"/>
      <c r="AK436" s="72"/>
      <c r="AL436" s="72"/>
      <c r="AM436" s="72"/>
      <c r="AN436" s="72"/>
      <c r="AO436" s="72"/>
      <c r="AP436" s="72"/>
      <c r="AQ436" s="72"/>
      <c r="AR436" s="72"/>
      <c r="AS436" s="72"/>
      <c r="AT436" s="72"/>
      <c r="AU436" s="72"/>
      <c r="AV436" s="72"/>
    </row>
    <row r="437" spans="1:48" s="37" customFormat="1" ht="16.5" x14ac:dyDescent="0.3">
      <c r="A437" s="72"/>
      <c r="B437" s="72"/>
      <c r="C437" s="72"/>
      <c r="D437" s="72"/>
      <c r="E437" s="72"/>
      <c r="F437" s="72"/>
      <c r="G437" s="72"/>
      <c r="H437" s="72"/>
      <c r="I437" s="72"/>
      <c r="J437" s="72"/>
      <c r="K437" s="72"/>
      <c r="L437" s="72"/>
      <c r="M437" s="72"/>
      <c r="N437" s="72"/>
      <c r="O437" s="72"/>
      <c r="P437" s="72"/>
      <c r="Q437" s="72"/>
      <c r="R437" s="72"/>
      <c r="S437" s="72"/>
      <c r="T437" s="72"/>
      <c r="U437" s="72"/>
      <c r="V437" s="72"/>
      <c r="W437" s="72"/>
      <c r="X437" s="72"/>
      <c r="Y437" s="72"/>
      <c r="Z437" s="72"/>
      <c r="AA437" s="72"/>
      <c r="AB437" s="72"/>
      <c r="AC437" s="72"/>
      <c r="AD437" s="72"/>
      <c r="AE437" s="72"/>
      <c r="AF437" s="72"/>
      <c r="AG437" s="72"/>
      <c r="AH437" s="72"/>
      <c r="AI437" s="72"/>
      <c r="AJ437" s="72"/>
      <c r="AK437" s="72"/>
      <c r="AL437" s="72"/>
      <c r="AM437" s="72"/>
      <c r="AN437" s="72"/>
      <c r="AO437" s="72"/>
      <c r="AP437" s="72"/>
      <c r="AQ437" s="72"/>
      <c r="AR437" s="72"/>
      <c r="AS437" s="72"/>
      <c r="AT437" s="72"/>
      <c r="AU437" s="72"/>
      <c r="AV437" s="72"/>
    </row>
    <row r="438" spans="1:48" s="37" customFormat="1" ht="16.5" x14ac:dyDescent="0.3">
      <c r="A438" s="72"/>
      <c r="B438" s="72"/>
      <c r="C438" s="72"/>
      <c r="D438" s="72"/>
      <c r="E438" s="72"/>
      <c r="F438" s="72"/>
      <c r="G438" s="72"/>
      <c r="H438" s="72"/>
      <c r="I438" s="72"/>
      <c r="J438" s="72"/>
      <c r="K438" s="72"/>
      <c r="L438" s="72"/>
      <c r="M438" s="72"/>
      <c r="N438" s="72"/>
      <c r="O438" s="72"/>
      <c r="P438" s="72"/>
      <c r="Q438" s="72"/>
      <c r="R438" s="72"/>
      <c r="S438" s="72"/>
      <c r="T438" s="72"/>
      <c r="U438" s="72"/>
      <c r="V438" s="72"/>
      <c r="W438" s="72"/>
      <c r="X438" s="72"/>
      <c r="Y438" s="72"/>
      <c r="Z438" s="72"/>
      <c r="AA438" s="72"/>
      <c r="AB438" s="72"/>
      <c r="AC438" s="72"/>
      <c r="AD438" s="72"/>
      <c r="AE438" s="72"/>
      <c r="AF438" s="72"/>
      <c r="AG438" s="72"/>
      <c r="AH438" s="72"/>
      <c r="AI438" s="72"/>
      <c r="AJ438" s="72"/>
      <c r="AK438" s="72"/>
      <c r="AL438" s="72"/>
      <c r="AM438" s="72"/>
      <c r="AN438" s="72"/>
      <c r="AO438" s="72"/>
      <c r="AP438" s="72"/>
      <c r="AQ438" s="72"/>
      <c r="AR438" s="72"/>
      <c r="AS438" s="72"/>
      <c r="AT438" s="72"/>
      <c r="AU438" s="72"/>
      <c r="AV438" s="72"/>
    </row>
    <row r="439" spans="1:48" s="37" customFormat="1" ht="16.5" x14ac:dyDescent="0.3">
      <c r="A439" s="72"/>
      <c r="B439" s="72"/>
      <c r="C439" s="72"/>
      <c r="D439" s="72"/>
      <c r="E439" s="72"/>
      <c r="F439" s="72"/>
      <c r="G439" s="72"/>
      <c r="H439" s="72"/>
      <c r="I439" s="72"/>
      <c r="J439" s="72"/>
      <c r="K439" s="72"/>
      <c r="L439" s="72"/>
      <c r="M439" s="72"/>
      <c r="N439" s="72"/>
      <c r="O439" s="72"/>
      <c r="P439" s="72"/>
      <c r="Q439" s="72"/>
      <c r="R439" s="72"/>
      <c r="S439" s="72"/>
      <c r="T439" s="72"/>
      <c r="U439" s="72"/>
      <c r="V439" s="72"/>
      <c r="W439" s="72"/>
      <c r="X439" s="72"/>
      <c r="Y439" s="72"/>
      <c r="Z439" s="72"/>
      <c r="AA439" s="72"/>
      <c r="AB439" s="72"/>
      <c r="AC439" s="72"/>
      <c r="AD439" s="72"/>
      <c r="AE439" s="72"/>
      <c r="AF439" s="72"/>
      <c r="AG439" s="72"/>
      <c r="AH439" s="72"/>
      <c r="AI439" s="72"/>
      <c r="AJ439" s="72"/>
      <c r="AK439" s="72"/>
      <c r="AL439" s="72"/>
      <c r="AM439" s="72"/>
      <c r="AN439" s="72"/>
      <c r="AO439" s="72"/>
      <c r="AP439" s="72"/>
      <c r="AQ439" s="72"/>
      <c r="AR439" s="72"/>
      <c r="AS439" s="72"/>
      <c r="AT439" s="72"/>
      <c r="AU439" s="72"/>
      <c r="AV439" s="72"/>
    </row>
    <row r="440" spans="1:48" s="37" customFormat="1" ht="16.5" x14ac:dyDescent="0.3">
      <c r="A440" s="72"/>
      <c r="B440" s="72"/>
      <c r="C440" s="72"/>
      <c r="D440" s="72"/>
      <c r="E440" s="72"/>
      <c r="F440" s="72"/>
      <c r="G440" s="72"/>
      <c r="H440" s="72"/>
      <c r="I440" s="72"/>
      <c r="J440" s="72"/>
      <c r="K440" s="72"/>
      <c r="L440" s="72"/>
      <c r="M440" s="72"/>
      <c r="N440" s="72"/>
      <c r="O440" s="72"/>
      <c r="P440" s="72"/>
      <c r="Q440" s="72"/>
      <c r="R440" s="72"/>
      <c r="S440" s="72"/>
      <c r="T440" s="72"/>
      <c r="U440" s="72"/>
      <c r="V440" s="72"/>
      <c r="W440" s="72"/>
      <c r="X440" s="72"/>
      <c r="Y440" s="72"/>
      <c r="Z440" s="72"/>
      <c r="AA440" s="72"/>
      <c r="AB440" s="72"/>
      <c r="AC440" s="72"/>
      <c r="AD440" s="72"/>
      <c r="AE440" s="72"/>
      <c r="AF440" s="72"/>
      <c r="AG440" s="72"/>
      <c r="AH440" s="72"/>
      <c r="AI440" s="72"/>
      <c r="AJ440" s="72"/>
      <c r="AK440" s="72"/>
      <c r="AL440" s="72"/>
      <c r="AM440" s="72"/>
      <c r="AN440" s="72"/>
      <c r="AO440" s="72"/>
      <c r="AP440" s="72"/>
      <c r="AQ440" s="72"/>
      <c r="AR440" s="72"/>
      <c r="AS440" s="72"/>
      <c r="AT440" s="72"/>
      <c r="AU440" s="72"/>
      <c r="AV440" s="72"/>
    </row>
    <row r="441" spans="1:48" s="37" customFormat="1" ht="16.5" x14ac:dyDescent="0.3">
      <c r="A441" s="72"/>
      <c r="B441" s="72"/>
      <c r="C441" s="72"/>
      <c r="D441" s="72"/>
      <c r="E441" s="72"/>
      <c r="F441" s="72"/>
      <c r="G441" s="72"/>
      <c r="H441" s="72"/>
      <c r="I441" s="72"/>
      <c r="J441" s="72"/>
      <c r="K441" s="72"/>
      <c r="L441" s="72"/>
      <c r="M441" s="72"/>
      <c r="N441" s="72"/>
      <c r="O441" s="72"/>
      <c r="P441" s="72"/>
      <c r="Q441" s="72"/>
      <c r="R441" s="72"/>
      <c r="S441" s="72"/>
      <c r="T441" s="72"/>
      <c r="U441" s="72"/>
      <c r="V441" s="72"/>
      <c r="W441" s="72"/>
      <c r="X441" s="72"/>
      <c r="Y441" s="72"/>
      <c r="Z441" s="72"/>
      <c r="AA441" s="72"/>
      <c r="AB441" s="72"/>
      <c r="AC441" s="72"/>
      <c r="AD441" s="72"/>
      <c r="AE441" s="72"/>
      <c r="AF441" s="72"/>
      <c r="AG441" s="72"/>
      <c r="AH441" s="72"/>
      <c r="AI441" s="72"/>
      <c r="AJ441" s="72"/>
      <c r="AK441" s="72"/>
      <c r="AL441" s="72"/>
      <c r="AM441" s="72"/>
      <c r="AN441" s="72"/>
      <c r="AO441" s="72"/>
      <c r="AP441" s="72"/>
      <c r="AQ441" s="72"/>
      <c r="AR441" s="72"/>
      <c r="AS441" s="72"/>
      <c r="AT441" s="72"/>
      <c r="AU441" s="72"/>
      <c r="AV441" s="72"/>
    </row>
    <row r="442" spans="1:48" s="37" customFormat="1" ht="16.5" x14ac:dyDescent="0.3">
      <c r="A442" s="72"/>
      <c r="B442" s="72"/>
      <c r="C442" s="72"/>
      <c r="D442" s="72"/>
      <c r="E442" s="72"/>
      <c r="F442" s="72"/>
      <c r="G442" s="72"/>
      <c r="H442" s="72"/>
      <c r="I442" s="72"/>
      <c r="J442" s="72"/>
      <c r="K442" s="72"/>
      <c r="L442" s="72"/>
      <c r="M442" s="72"/>
      <c r="N442" s="72"/>
      <c r="O442" s="72"/>
      <c r="P442" s="72"/>
      <c r="Q442" s="72"/>
      <c r="R442" s="72"/>
      <c r="S442" s="72"/>
      <c r="T442" s="72"/>
      <c r="U442" s="72"/>
      <c r="V442" s="72"/>
      <c r="W442" s="72"/>
      <c r="X442" s="72"/>
      <c r="Y442" s="72"/>
      <c r="Z442" s="72"/>
      <c r="AA442" s="72"/>
      <c r="AB442" s="72"/>
      <c r="AC442" s="72"/>
      <c r="AD442" s="72"/>
      <c r="AE442" s="72"/>
      <c r="AF442" s="72"/>
      <c r="AG442" s="72"/>
      <c r="AH442" s="72"/>
      <c r="AI442" s="72"/>
      <c r="AJ442" s="72"/>
      <c r="AK442" s="72"/>
      <c r="AL442" s="72"/>
      <c r="AM442" s="72"/>
      <c r="AN442" s="72"/>
      <c r="AO442" s="72"/>
      <c r="AP442" s="72"/>
      <c r="AQ442" s="72"/>
      <c r="AR442" s="72"/>
      <c r="AS442" s="72"/>
      <c r="AT442" s="72"/>
      <c r="AU442" s="72"/>
      <c r="AV442" s="72"/>
    </row>
    <row r="443" spans="1:48" s="37" customFormat="1" ht="16.5" x14ac:dyDescent="0.3">
      <c r="A443" s="72"/>
      <c r="B443" s="72"/>
      <c r="C443" s="72"/>
      <c r="D443" s="72"/>
      <c r="E443" s="72"/>
      <c r="F443" s="72"/>
      <c r="G443" s="72"/>
      <c r="H443" s="72"/>
      <c r="I443" s="72"/>
      <c r="J443" s="72"/>
      <c r="K443" s="72"/>
      <c r="L443" s="72"/>
      <c r="M443" s="72"/>
      <c r="N443" s="72"/>
      <c r="O443" s="72"/>
      <c r="P443" s="72"/>
      <c r="Q443" s="72"/>
      <c r="R443" s="72"/>
      <c r="S443" s="72"/>
      <c r="T443" s="72"/>
      <c r="U443" s="72"/>
      <c r="V443" s="72"/>
      <c r="W443" s="72"/>
      <c r="X443" s="72"/>
      <c r="Y443" s="72"/>
      <c r="Z443" s="72"/>
      <c r="AA443" s="72"/>
      <c r="AB443" s="72"/>
      <c r="AC443" s="72"/>
      <c r="AD443" s="72"/>
      <c r="AE443" s="72"/>
      <c r="AF443" s="72"/>
      <c r="AG443" s="72"/>
      <c r="AH443" s="72"/>
      <c r="AI443" s="72"/>
      <c r="AJ443" s="72"/>
      <c r="AK443" s="72"/>
      <c r="AL443" s="72"/>
      <c r="AM443" s="72"/>
      <c r="AN443" s="72"/>
      <c r="AO443" s="72"/>
      <c r="AP443" s="72"/>
      <c r="AQ443" s="72"/>
      <c r="AR443" s="72"/>
      <c r="AS443" s="72"/>
      <c r="AT443" s="72"/>
      <c r="AU443" s="72"/>
      <c r="AV443" s="72"/>
    </row>
    <row r="444" spans="1:48" s="37" customFormat="1" ht="16.5" x14ac:dyDescent="0.3">
      <c r="A444" s="72"/>
      <c r="B444" s="72"/>
      <c r="C444" s="72"/>
      <c r="D444" s="72"/>
      <c r="E444" s="72"/>
      <c r="F444" s="72"/>
      <c r="G444" s="72"/>
      <c r="H444" s="72"/>
      <c r="I444" s="72"/>
      <c r="J444" s="72"/>
      <c r="K444" s="72"/>
      <c r="L444" s="72"/>
      <c r="M444" s="72"/>
      <c r="N444" s="72"/>
      <c r="O444" s="72"/>
      <c r="P444" s="72"/>
      <c r="Q444" s="72"/>
      <c r="R444" s="72"/>
      <c r="S444" s="72"/>
      <c r="T444" s="72"/>
      <c r="U444" s="72"/>
      <c r="V444" s="72"/>
      <c r="W444" s="72"/>
      <c r="X444" s="72"/>
      <c r="Y444" s="72"/>
      <c r="Z444" s="72"/>
      <c r="AA444" s="72"/>
      <c r="AB444" s="72"/>
      <c r="AC444" s="72"/>
      <c r="AD444" s="72"/>
      <c r="AE444" s="72"/>
      <c r="AF444" s="72"/>
      <c r="AG444" s="72"/>
      <c r="AH444" s="72"/>
      <c r="AI444" s="72"/>
      <c r="AJ444" s="72"/>
      <c r="AK444" s="72"/>
      <c r="AL444" s="72"/>
      <c r="AM444" s="72"/>
      <c r="AN444" s="72"/>
      <c r="AO444" s="72"/>
      <c r="AP444" s="72"/>
      <c r="AQ444" s="72"/>
      <c r="AR444" s="72"/>
      <c r="AS444" s="72"/>
      <c r="AT444" s="72"/>
      <c r="AU444" s="72"/>
      <c r="AV444" s="72"/>
    </row>
    <row r="445" spans="1:48" s="37" customFormat="1" ht="16.5" x14ac:dyDescent="0.3">
      <c r="A445" s="72"/>
      <c r="B445" s="72"/>
      <c r="C445" s="72"/>
      <c r="D445" s="72"/>
      <c r="E445" s="72"/>
      <c r="F445" s="72"/>
      <c r="G445" s="72"/>
      <c r="H445" s="72"/>
      <c r="I445" s="72"/>
      <c r="J445" s="72"/>
      <c r="K445" s="72"/>
      <c r="L445" s="72"/>
      <c r="M445" s="72"/>
      <c r="N445" s="72"/>
      <c r="O445" s="72"/>
      <c r="P445" s="72"/>
      <c r="Q445" s="72"/>
      <c r="R445" s="72"/>
      <c r="S445" s="72"/>
      <c r="T445" s="72"/>
      <c r="U445" s="72"/>
      <c r="V445" s="72"/>
      <c r="W445" s="72"/>
      <c r="X445" s="72"/>
      <c r="Y445" s="72"/>
      <c r="Z445" s="72"/>
      <c r="AA445" s="72"/>
      <c r="AB445" s="72"/>
      <c r="AC445" s="72"/>
      <c r="AD445" s="72"/>
      <c r="AE445" s="72"/>
      <c r="AF445" s="72"/>
      <c r="AG445" s="72"/>
      <c r="AH445" s="72"/>
      <c r="AI445" s="72"/>
      <c r="AJ445" s="72"/>
      <c r="AK445" s="72"/>
      <c r="AL445" s="72"/>
      <c r="AM445" s="72"/>
      <c r="AN445" s="72"/>
      <c r="AO445" s="72"/>
      <c r="AP445" s="72"/>
      <c r="AQ445" s="72"/>
      <c r="AR445" s="72"/>
      <c r="AS445" s="72"/>
      <c r="AT445" s="72"/>
      <c r="AU445" s="72"/>
      <c r="AV445" s="72"/>
    </row>
    <row r="446" spans="1:48" s="37" customFormat="1" ht="16.5" x14ac:dyDescent="0.3">
      <c r="A446" s="72"/>
      <c r="B446" s="72"/>
      <c r="C446" s="72"/>
      <c r="D446" s="72"/>
      <c r="E446" s="72"/>
      <c r="F446" s="72"/>
      <c r="G446" s="72"/>
      <c r="H446" s="72"/>
      <c r="I446" s="72"/>
      <c r="J446" s="72"/>
      <c r="K446" s="72"/>
      <c r="L446" s="72"/>
      <c r="M446" s="72"/>
      <c r="N446" s="72"/>
      <c r="O446" s="72"/>
      <c r="P446" s="72"/>
      <c r="Q446" s="72"/>
      <c r="R446" s="72"/>
      <c r="S446" s="72"/>
      <c r="T446" s="72"/>
      <c r="U446" s="72"/>
      <c r="V446" s="72"/>
      <c r="W446" s="72"/>
      <c r="X446" s="72"/>
      <c r="Y446" s="72"/>
      <c r="Z446" s="72"/>
      <c r="AA446" s="72"/>
      <c r="AB446" s="72"/>
      <c r="AC446" s="72"/>
      <c r="AD446" s="72"/>
      <c r="AE446" s="72"/>
      <c r="AF446" s="72"/>
      <c r="AG446" s="72"/>
      <c r="AH446" s="72"/>
      <c r="AI446" s="72"/>
      <c r="AJ446" s="72"/>
      <c r="AK446" s="72"/>
      <c r="AL446" s="72"/>
      <c r="AM446" s="72"/>
      <c r="AN446" s="72"/>
      <c r="AO446" s="72"/>
      <c r="AP446" s="72"/>
      <c r="AQ446" s="72"/>
      <c r="AR446" s="72"/>
      <c r="AS446" s="72"/>
      <c r="AT446" s="72"/>
      <c r="AU446" s="72"/>
      <c r="AV446" s="72"/>
    </row>
    <row r="447" spans="1:48" s="37" customFormat="1" ht="16.5" x14ac:dyDescent="0.3">
      <c r="A447" s="72"/>
      <c r="B447" s="72"/>
      <c r="C447" s="72"/>
      <c r="D447" s="72"/>
      <c r="E447" s="72"/>
      <c r="F447" s="72"/>
      <c r="G447" s="72"/>
      <c r="H447" s="72"/>
      <c r="I447" s="72"/>
      <c r="J447" s="72"/>
      <c r="K447" s="72"/>
      <c r="L447" s="72"/>
      <c r="M447" s="72"/>
      <c r="N447" s="72"/>
      <c r="O447" s="72"/>
      <c r="P447" s="72"/>
      <c r="Q447" s="72"/>
      <c r="R447" s="72"/>
      <c r="S447" s="72"/>
      <c r="T447" s="72"/>
      <c r="U447" s="72"/>
      <c r="V447" s="72"/>
      <c r="W447" s="72"/>
      <c r="X447" s="72"/>
      <c r="Y447" s="72"/>
      <c r="Z447" s="72"/>
      <c r="AA447" s="72"/>
      <c r="AB447" s="72"/>
      <c r="AC447" s="72"/>
      <c r="AD447" s="72"/>
      <c r="AE447" s="72"/>
      <c r="AF447" s="72"/>
      <c r="AG447" s="72"/>
      <c r="AH447" s="72"/>
      <c r="AI447" s="72"/>
      <c r="AJ447" s="72"/>
      <c r="AK447" s="72"/>
      <c r="AL447" s="72"/>
      <c r="AM447" s="72"/>
      <c r="AN447" s="72"/>
      <c r="AO447" s="72"/>
      <c r="AP447" s="72"/>
      <c r="AQ447" s="72"/>
      <c r="AR447" s="72"/>
      <c r="AS447" s="72"/>
      <c r="AT447" s="72"/>
      <c r="AU447" s="72"/>
      <c r="AV447" s="72"/>
    </row>
    <row r="448" spans="1:48" s="37" customFormat="1" ht="16.5" x14ac:dyDescent="0.3">
      <c r="A448" s="72"/>
      <c r="B448" s="72"/>
      <c r="C448" s="72"/>
      <c r="D448" s="72"/>
      <c r="E448" s="72"/>
      <c r="F448" s="72"/>
      <c r="G448" s="72"/>
      <c r="H448" s="72"/>
      <c r="I448" s="72"/>
      <c r="J448" s="72"/>
      <c r="K448" s="72"/>
      <c r="L448" s="72"/>
      <c r="M448" s="72"/>
      <c r="N448" s="72"/>
      <c r="O448" s="72"/>
      <c r="P448" s="72"/>
      <c r="Q448" s="72"/>
      <c r="R448" s="72"/>
      <c r="S448" s="72"/>
      <c r="T448" s="72"/>
      <c r="U448" s="72"/>
      <c r="V448" s="72"/>
      <c r="W448" s="72"/>
      <c r="X448" s="72"/>
      <c r="Y448" s="72"/>
      <c r="Z448" s="72"/>
      <c r="AA448" s="72"/>
      <c r="AB448" s="72"/>
      <c r="AC448" s="72"/>
      <c r="AD448" s="72"/>
      <c r="AE448" s="72"/>
      <c r="AF448" s="72"/>
      <c r="AG448" s="72"/>
      <c r="AH448" s="72"/>
      <c r="AI448" s="72"/>
      <c r="AJ448" s="72"/>
      <c r="AK448" s="72"/>
      <c r="AL448" s="72"/>
      <c r="AM448" s="72"/>
      <c r="AN448" s="72"/>
      <c r="AO448" s="72"/>
      <c r="AP448" s="72"/>
      <c r="AQ448" s="72"/>
      <c r="AR448" s="72"/>
      <c r="AS448" s="72"/>
      <c r="AT448" s="72"/>
      <c r="AU448" s="72"/>
      <c r="AV448" s="72"/>
    </row>
    <row r="449" spans="1:48" s="37" customFormat="1" ht="16.5" x14ac:dyDescent="0.3">
      <c r="A449" s="72"/>
      <c r="B449" s="72"/>
      <c r="C449" s="72"/>
      <c r="D449" s="72"/>
      <c r="E449" s="72"/>
      <c r="F449" s="72"/>
      <c r="G449" s="72"/>
      <c r="H449" s="72"/>
      <c r="I449" s="72"/>
      <c r="J449" s="72"/>
      <c r="K449" s="72"/>
      <c r="L449" s="72"/>
      <c r="M449" s="72"/>
      <c r="N449" s="72"/>
      <c r="O449" s="72"/>
      <c r="P449" s="72"/>
      <c r="Q449" s="72"/>
      <c r="R449" s="72"/>
      <c r="S449" s="72"/>
      <c r="T449" s="72"/>
      <c r="U449" s="72"/>
      <c r="V449" s="72"/>
      <c r="W449" s="72"/>
      <c r="X449" s="72"/>
      <c r="Y449" s="72"/>
      <c r="Z449" s="72"/>
      <c r="AA449" s="72"/>
      <c r="AB449" s="72"/>
      <c r="AC449" s="72"/>
      <c r="AD449" s="72"/>
      <c r="AE449" s="72"/>
      <c r="AF449" s="72"/>
      <c r="AG449" s="72"/>
      <c r="AH449" s="72"/>
      <c r="AI449" s="72"/>
      <c r="AJ449" s="72"/>
      <c r="AK449" s="72"/>
      <c r="AL449" s="72"/>
      <c r="AM449" s="72"/>
      <c r="AN449" s="72"/>
      <c r="AO449" s="72"/>
      <c r="AP449" s="72"/>
      <c r="AQ449" s="72"/>
      <c r="AR449" s="72"/>
      <c r="AS449" s="72"/>
      <c r="AT449" s="72"/>
      <c r="AU449" s="72"/>
      <c r="AV449" s="72"/>
    </row>
    <row r="450" spans="1:48" s="37" customFormat="1" ht="16.5" x14ac:dyDescent="0.3">
      <c r="A450" s="72"/>
      <c r="B450" s="72"/>
      <c r="C450" s="72"/>
      <c r="D450" s="72"/>
      <c r="E450" s="72"/>
      <c r="F450" s="72"/>
      <c r="G450" s="72"/>
      <c r="H450" s="72"/>
      <c r="I450" s="72"/>
      <c r="J450" s="72"/>
      <c r="K450" s="72"/>
      <c r="L450" s="72"/>
      <c r="M450" s="72"/>
      <c r="N450" s="72"/>
      <c r="O450" s="72"/>
      <c r="P450" s="72"/>
      <c r="Q450" s="72"/>
      <c r="R450" s="72"/>
      <c r="S450" s="72"/>
      <c r="T450" s="72"/>
      <c r="U450" s="72"/>
      <c r="V450" s="72"/>
      <c r="W450" s="72"/>
      <c r="X450" s="72"/>
      <c r="Y450" s="72"/>
      <c r="Z450" s="72"/>
      <c r="AA450" s="72"/>
      <c r="AB450" s="72"/>
      <c r="AC450" s="72"/>
      <c r="AD450" s="72"/>
      <c r="AE450" s="72"/>
      <c r="AF450" s="72"/>
      <c r="AG450" s="72"/>
      <c r="AH450" s="72"/>
      <c r="AI450" s="72"/>
      <c r="AJ450" s="72"/>
      <c r="AK450" s="72"/>
      <c r="AL450" s="72"/>
      <c r="AM450" s="72"/>
      <c r="AN450" s="72"/>
      <c r="AO450" s="72"/>
      <c r="AP450" s="72"/>
      <c r="AQ450" s="72"/>
      <c r="AR450" s="72"/>
      <c r="AS450" s="72"/>
      <c r="AT450" s="72"/>
      <c r="AU450" s="72"/>
      <c r="AV450" s="72"/>
    </row>
    <row r="451" spans="1:48" s="37" customFormat="1" ht="16.5" x14ac:dyDescent="0.3">
      <c r="A451" s="72"/>
      <c r="B451" s="72"/>
      <c r="C451" s="72"/>
      <c r="D451" s="72"/>
      <c r="E451" s="72"/>
      <c r="F451" s="72"/>
      <c r="G451" s="72"/>
      <c r="H451" s="72"/>
      <c r="I451" s="72"/>
      <c r="J451" s="72"/>
      <c r="K451" s="72"/>
      <c r="L451" s="72"/>
      <c r="M451" s="72"/>
      <c r="N451" s="72"/>
      <c r="O451" s="72"/>
      <c r="P451" s="72"/>
      <c r="Q451" s="72"/>
      <c r="R451" s="72"/>
      <c r="S451" s="72"/>
      <c r="T451" s="72"/>
      <c r="U451" s="72"/>
      <c r="V451" s="72"/>
      <c r="W451" s="72"/>
      <c r="X451" s="72"/>
      <c r="Y451" s="72"/>
      <c r="Z451" s="72"/>
      <c r="AA451" s="72"/>
      <c r="AB451" s="72"/>
      <c r="AC451" s="72"/>
      <c r="AD451" s="72"/>
      <c r="AE451" s="72"/>
      <c r="AF451" s="72"/>
      <c r="AG451" s="72"/>
      <c r="AH451" s="72"/>
      <c r="AI451" s="72"/>
      <c r="AJ451" s="72"/>
      <c r="AK451" s="72"/>
      <c r="AL451" s="72"/>
      <c r="AM451" s="72"/>
      <c r="AN451" s="72"/>
      <c r="AO451" s="72"/>
      <c r="AP451" s="72"/>
      <c r="AQ451" s="72"/>
      <c r="AR451" s="72"/>
      <c r="AS451" s="72"/>
      <c r="AT451" s="72"/>
      <c r="AU451" s="72"/>
      <c r="AV451" s="72"/>
    </row>
    <row r="452" spans="1:48" s="37" customFormat="1" ht="16.5" x14ac:dyDescent="0.3">
      <c r="A452" s="72"/>
      <c r="B452" s="72"/>
      <c r="C452" s="72"/>
      <c r="D452" s="72"/>
      <c r="E452" s="72"/>
      <c r="F452" s="72"/>
      <c r="G452" s="72"/>
      <c r="H452" s="72"/>
      <c r="I452" s="72"/>
      <c r="J452" s="72"/>
      <c r="K452" s="72"/>
      <c r="L452" s="72"/>
      <c r="M452" s="72"/>
      <c r="N452" s="72"/>
      <c r="O452" s="72"/>
      <c r="P452" s="72"/>
      <c r="Q452" s="72"/>
      <c r="R452" s="72"/>
      <c r="S452" s="72"/>
      <c r="T452" s="72"/>
      <c r="U452" s="72"/>
      <c r="V452" s="72"/>
      <c r="W452" s="72"/>
      <c r="X452" s="72"/>
      <c r="Y452" s="72"/>
      <c r="Z452" s="72"/>
      <c r="AA452" s="72"/>
      <c r="AB452" s="72"/>
      <c r="AC452" s="72"/>
      <c r="AD452" s="72"/>
      <c r="AE452" s="72"/>
      <c r="AF452" s="72"/>
      <c r="AG452" s="72"/>
      <c r="AH452" s="72"/>
      <c r="AI452" s="72"/>
      <c r="AJ452" s="72"/>
      <c r="AK452" s="72"/>
      <c r="AL452" s="72"/>
      <c r="AM452" s="72"/>
      <c r="AN452" s="72"/>
      <c r="AO452" s="72"/>
      <c r="AP452" s="72"/>
      <c r="AQ452" s="72"/>
      <c r="AR452" s="72"/>
      <c r="AS452" s="72"/>
      <c r="AT452" s="72"/>
      <c r="AU452" s="72"/>
      <c r="AV452" s="72"/>
    </row>
    <row r="453" spans="1:48" s="37" customFormat="1" ht="16.5" x14ac:dyDescent="0.3">
      <c r="A453" s="72"/>
      <c r="B453" s="72"/>
      <c r="C453" s="72"/>
      <c r="D453" s="72"/>
      <c r="E453" s="72"/>
      <c r="F453" s="72"/>
      <c r="G453" s="72"/>
      <c r="H453" s="72"/>
      <c r="I453" s="72"/>
      <c r="J453" s="72"/>
      <c r="K453" s="72"/>
      <c r="L453" s="72"/>
      <c r="M453" s="72"/>
      <c r="N453" s="72"/>
      <c r="O453" s="72"/>
      <c r="P453" s="72"/>
      <c r="Q453" s="72"/>
      <c r="R453" s="72"/>
      <c r="S453" s="72"/>
      <c r="T453" s="72"/>
      <c r="U453" s="72"/>
      <c r="V453" s="72"/>
      <c r="W453" s="72"/>
      <c r="X453" s="72"/>
      <c r="Y453" s="72"/>
      <c r="Z453" s="72"/>
      <c r="AA453" s="72"/>
      <c r="AB453" s="72"/>
      <c r="AC453" s="72"/>
      <c r="AD453" s="72"/>
      <c r="AE453" s="72"/>
      <c r="AF453" s="72"/>
      <c r="AG453" s="72"/>
      <c r="AH453" s="72"/>
      <c r="AI453" s="72"/>
      <c r="AJ453" s="72"/>
      <c r="AK453" s="72"/>
      <c r="AL453" s="72"/>
      <c r="AM453" s="72"/>
      <c r="AN453" s="72"/>
      <c r="AO453" s="72"/>
      <c r="AP453" s="72"/>
      <c r="AQ453" s="72"/>
      <c r="AR453" s="72"/>
      <c r="AS453" s="72"/>
      <c r="AT453" s="72"/>
      <c r="AU453" s="72"/>
      <c r="AV453" s="72"/>
    </row>
    <row r="454" spans="1:48" s="37" customFormat="1" ht="16.5" x14ac:dyDescent="0.3">
      <c r="A454" s="72"/>
      <c r="B454" s="72"/>
      <c r="C454" s="72"/>
      <c r="D454" s="72"/>
      <c r="E454" s="72"/>
      <c r="F454" s="72"/>
      <c r="G454" s="72"/>
      <c r="H454" s="72"/>
      <c r="I454" s="72"/>
      <c r="J454" s="72"/>
      <c r="K454" s="72"/>
      <c r="L454" s="72"/>
      <c r="M454" s="72"/>
      <c r="N454" s="72"/>
      <c r="O454" s="72"/>
      <c r="P454" s="72"/>
      <c r="Q454" s="72"/>
      <c r="R454" s="72"/>
      <c r="S454" s="72"/>
      <c r="T454" s="72"/>
      <c r="U454" s="72"/>
      <c r="V454" s="72"/>
      <c r="W454" s="72"/>
      <c r="X454" s="72"/>
      <c r="Y454" s="72"/>
      <c r="Z454" s="72"/>
      <c r="AA454" s="72"/>
      <c r="AB454" s="72"/>
      <c r="AC454" s="72"/>
      <c r="AD454" s="72"/>
      <c r="AE454" s="72"/>
      <c r="AF454" s="72"/>
      <c r="AG454" s="72"/>
      <c r="AH454" s="72"/>
      <c r="AI454" s="72"/>
      <c r="AJ454" s="72"/>
      <c r="AK454" s="72"/>
      <c r="AL454" s="72"/>
      <c r="AM454" s="72"/>
      <c r="AN454" s="72"/>
      <c r="AO454" s="72"/>
      <c r="AP454" s="72"/>
      <c r="AQ454" s="72"/>
      <c r="AR454" s="72"/>
      <c r="AS454" s="72"/>
      <c r="AT454" s="72"/>
      <c r="AU454" s="72"/>
      <c r="AV454" s="72"/>
    </row>
    <row r="455" spans="1:48" s="37" customFormat="1" ht="16.5" x14ac:dyDescent="0.3">
      <c r="A455" s="72"/>
      <c r="B455" s="72"/>
      <c r="C455" s="72"/>
      <c r="D455" s="72"/>
      <c r="E455" s="72"/>
      <c r="F455" s="72"/>
      <c r="G455" s="72"/>
      <c r="H455" s="72"/>
      <c r="I455" s="72"/>
      <c r="J455" s="72"/>
      <c r="K455" s="72"/>
      <c r="L455" s="72"/>
      <c r="M455" s="72"/>
      <c r="N455" s="72"/>
      <c r="O455" s="72"/>
      <c r="P455" s="72"/>
      <c r="Q455" s="72"/>
      <c r="R455" s="72"/>
      <c r="S455" s="72"/>
      <c r="T455" s="72"/>
      <c r="U455" s="72"/>
      <c r="V455" s="72"/>
      <c r="W455" s="72"/>
      <c r="X455" s="72"/>
      <c r="Y455" s="72"/>
      <c r="Z455" s="72"/>
      <c r="AA455" s="72"/>
      <c r="AB455" s="72"/>
      <c r="AC455" s="72"/>
      <c r="AD455" s="72"/>
      <c r="AE455" s="72"/>
      <c r="AF455" s="72"/>
      <c r="AG455" s="72"/>
      <c r="AH455" s="72"/>
      <c r="AI455" s="72"/>
      <c r="AJ455" s="72"/>
      <c r="AK455" s="72"/>
      <c r="AL455" s="72"/>
      <c r="AM455" s="72"/>
      <c r="AN455" s="72"/>
      <c r="AO455" s="72"/>
      <c r="AP455" s="72"/>
      <c r="AQ455" s="72"/>
      <c r="AR455" s="72"/>
      <c r="AS455" s="72"/>
      <c r="AT455" s="72"/>
      <c r="AU455" s="72"/>
      <c r="AV455" s="72"/>
    </row>
    <row r="456" spans="1:48" s="37" customFormat="1" ht="16.5" x14ac:dyDescent="0.3">
      <c r="A456" s="72"/>
      <c r="B456" s="72"/>
      <c r="C456" s="72"/>
      <c r="D456" s="72"/>
      <c r="E456" s="72"/>
      <c r="F456" s="72"/>
      <c r="G456" s="72"/>
      <c r="H456" s="72"/>
      <c r="I456" s="72"/>
      <c r="J456" s="72"/>
      <c r="K456" s="72"/>
      <c r="L456" s="72"/>
      <c r="M456" s="72"/>
      <c r="N456" s="72"/>
      <c r="O456" s="72"/>
      <c r="P456" s="72"/>
      <c r="Q456" s="72"/>
      <c r="R456" s="72"/>
      <c r="S456" s="72"/>
      <c r="T456" s="72"/>
      <c r="U456" s="72"/>
      <c r="V456" s="72"/>
      <c r="W456" s="72"/>
      <c r="X456" s="72"/>
      <c r="Y456" s="72"/>
      <c r="Z456" s="72"/>
      <c r="AA456" s="72"/>
      <c r="AB456" s="72"/>
      <c r="AC456" s="72"/>
      <c r="AD456" s="72"/>
      <c r="AE456" s="72"/>
      <c r="AF456" s="72"/>
      <c r="AG456" s="72"/>
      <c r="AH456" s="72"/>
      <c r="AI456" s="72"/>
      <c r="AJ456" s="72"/>
      <c r="AK456" s="72"/>
      <c r="AL456" s="72"/>
      <c r="AM456" s="72"/>
      <c r="AN456" s="72"/>
      <c r="AO456" s="72"/>
      <c r="AP456" s="72"/>
      <c r="AQ456" s="72"/>
      <c r="AR456" s="72"/>
      <c r="AS456" s="72"/>
      <c r="AT456" s="72"/>
      <c r="AU456" s="72"/>
      <c r="AV456" s="72"/>
    </row>
    <row r="457" spans="1:48" s="37" customFormat="1" ht="16.5" x14ac:dyDescent="0.3">
      <c r="A457" s="72"/>
      <c r="B457" s="72"/>
      <c r="C457" s="72"/>
      <c r="D457" s="72"/>
      <c r="E457" s="72"/>
      <c r="F457" s="72"/>
      <c r="G457" s="72"/>
      <c r="H457" s="72"/>
      <c r="I457" s="72"/>
      <c r="J457" s="72"/>
      <c r="K457" s="72"/>
      <c r="L457" s="72"/>
      <c r="M457" s="72"/>
      <c r="N457" s="72"/>
      <c r="O457" s="72"/>
      <c r="P457" s="72"/>
      <c r="Q457" s="72"/>
      <c r="R457" s="72"/>
      <c r="S457" s="72"/>
      <c r="T457" s="72"/>
      <c r="U457" s="72"/>
      <c r="V457" s="72"/>
      <c r="W457" s="72"/>
      <c r="X457" s="72"/>
      <c r="Y457" s="72"/>
      <c r="Z457" s="72"/>
      <c r="AA457" s="72"/>
      <c r="AB457" s="72"/>
      <c r="AC457" s="72"/>
      <c r="AD457" s="72"/>
      <c r="AE457" s="72"/>
      <c r="AF457" s="72"/>
      <c r="AG457" s="72"/>
      <c r="AH457" s="72"/>
      <c r="AI457" s="72"/>
      <c r="AJ457" s="72"/>
      <c r="AK457" s="72"/>
      <c r="AL457" s="72"/>
      <c r="AM457" s="72"/>
      <c r="AN457" s="72"/>
      <c r="AO457" s="72"/>
      <c r="AP457" s="72"/>
      <c r="AQ457" s="72"/>
      <c r="AR457" s="72"/>
      <c r="AS457" s="72"/>
      <c r="AT457" s="72"/>
      <c r="AU457" s="72"/>
      <c r="AV457" s="72"/>
    </row>
    <row r="458" spans="1:48" s="37" customFormat="1" ht="16.5" x14ac:dyDescent="0.3">
      <c r="A458" s="72"/>
      <c r="B458" s="72"/>
      <c r="C458" s="72"/>
      <c r="D458" s="72"/>
      <c r="E458" s="72"/>
      <c r="F458" s="72"/>
      <c r="G458" s="72"/>
      <c r="H458" s="72"/>
      <c r="I458" s="72"/>
      <c r="J458" s="72"/>
      <c r="K458" s="72"/>
      <c r="L458" s="72"/>
      <c r="M458" s="72"/>
      <c r="N458" s="72"/>
      <c r="O458" s="72"/>
      <c r="P458" s="72"/>
      <c r="Q458" s="72"/>
      <c r="R458" s="72"/>
      <c r="S458" s="72"/>
      <c r="T458" s="72"/>
      <c r="U458" s="72"/>
      <c r="V458" s="72"/>
      <c r="W458" s="72"/>
      <c r="X458" s="72"/>
      <c r="Y458" s="72"/>
      <c r="Z458" s="72"/>
      <c r="AA458" s="72"/>
      <c r="AB458" s="72"/>
      <c r="AC458" s="72"/>
      <c r="AD458" s="72"/>
      <c r="AE458" s="72"/>
      <c r="AF458" s="72"/>
      <c r="AG458" s="72"/>
      <c r="AH458" s="72"/>
      <c r="AI458" s="72"/>
      <c r="AJ458" s="72"/>
      <c r="AK458" s="72"/>
      <c r="AL458" s="72"/>
      <c r="AM458" s="72"/>
      <c r="AN458" s="72"/>
      <c r="AO458" s="72"/>
      <c r="AP458" s="72"/>
      <c r="AQ458" s="72"/>
      <c r="AR458" s="72"/>
      <c r="AS458" s="72"/>
      <c r="AT458" s="72"/>
      <c r="AU458" s="72"/>
      <c r="AV458" s="72"/>
    </row>
    <row r="459" spans="1:48" s="37" customFormat="1" ht="16.5" x14ac:dyDescent="0.3">
      <c r="A459" s="72"/>
      <c r="B459" s="72"/>
      <c r="C459" s="72"/>
      <c r="D459" s="72"/>
      <c r="E459" s="72"/>
      <c r="F459" s="72"/>
      <c r="G459" s="72"/>
      <c r="H459" s="72"/>
      <c r="I459" s="72"/>
      <c r="J459" s="72"/>
      <c r="K459" s="72"/>
      <c r="L459" s="72"/>
      <c r="M459" s="72"/>
      <c r="N459" s="72"/>
      <c r="O459" s="72"/>
      <c r="P459" s="72"/>
      <c r="Q459" s="72"/>
      <c r="R459" s="72"/>
      <c r="S459" s="72"/>
      <c r="T459" s="72"/>
      <c r="U459" s="72"/>
      <c r="V459" s="72"/>
      <c r="W459" s="72"/>
      <c r="X459" s="72"/>
      <c r="Y459" s="72"/>
      <c r="Z459" s="72"/>
      <c r="AA459" s="72"/>
      <c r="AB459" s="72"/>
      <c r="AC459" s="72"/>
      <c r="AD459" s="72"/>
      <c r="AE459" s="72"/>
      <c r="AF459" s="72"/>
      <c r="AG459" s="72"/>
      <c r="AH459" s="72"/>
      <c r="AI459" s="72"/>
      <c r="AJ459" s="72"/>
      <c r="AK459" s="72"/>
      <c r="AL459" s="72"/>
      <c r="AM459" s="72"/>
      <c r="AN459" s="72"/>
      <c r="AO459" s="72"/>
      <c r="AP459" s="72"/>
      <c r="AQ459" s="72"/>
      <c r="AR459" s="72"/>
      <c r="AS459" s="72"/>
      <c r="AT459" s="72"/>
      <c r="AU459" s="72"/>
      <c r="AV459" s="72"/>
    </row>
    <row r="460" spans="1:48" s="37" customFormat="1" ht="16.5" x14ac:dyDescent="0.3">
      <c r="A460" s="72"/>
      <c r="B460" s="72"/>
      <c r="C460" s="72"/>
      <c r="D460" s="72"/>
      <c r="E460" s="72"/>
      <c r="F460" s="72"/>
      <c r="G460" s="72"/>
      <c r="H460" s="72"/>
      <c r="I460" s="72"/>
      <c r="J460" s="72"/>
      <c r="K460" s="72"/>
      <c r="L460" s="72"/>
      <c r="M460" s="72"/>
      <c r="N460" s="72"/>
      <c r="O460" s="72"/>
      <c r="P460" s="72"/>
      <c r="Q460" s="72"/>
      <c r="R460" s="72"/>
      <c r="S460" s="72"/>
      <c r="T460" s="72"/>
      <c r="U460" s="72"/>
      <c r="V460" s="72"/>
      <c r="W460" s="72"/>
      <c r="X460" s="72"/>
      <c r="Y460" s="72"/>
      <c r="Z460" s="72"/>
      <c r="AA460" s="72"/>
      <c r="AB460" s="72"/>
      <c r="AC460" s="72"/>
      <c r="AD460" s="72"/>
      <c r="AE460" s="72"/>
      <c r="AF460" s="72"/>
      <c r="AG460" s="72"/>
      <c r="AH460" s="72"/>
      <c r="AI460" s="72"/>
      <c r="AJ460" s="72"/>
      <c r="AK460" s="72"/>
      <c r="AL460" s="72"/>
      <c r="AM460" s="72"/>
      <c r="AN460" s="72"/>
      <c r="AO460" s="72"/>
      <c r="AP460" s="72"/>
      <c r="AQ460" s="72"/>
      <c r="AR460" s="72"/>
      <c r="AS460" s="72"/>
      <c r="AT460" s="72"/>
      <c r="AU460" s="72"/>
      <c r="AV460" s="72"/>
    </row>
    <row r="461" spans="1:48" s="37" customFormat="1" ht="16.5" x14ac:dyDescent="0.3">
      <c r="A461" s="72"/>
      <c r="B461" s="72"/>
      <c r="C461" s="72"/>
      <c r="D461" s="72"/>
      <c r="E461" s="72"/>
      <c r="F461" s="72"/>
      <c r="G461" s="72"/>
      <c r="H461" s="72"/>
      <c r="I461" s="72"/>
      <c r="J461" s="72"/>
      <c r="K461" s="72"/>
      <c r="L461" s="72"/>
      <c r="M461" s="72"/>
      <c r="N461" s="72"/>
      <c r="O461" s="72"/>
      <c r="P461" s="72"/>
      <c r="Q461" s="72"/>
      <c r="R461" s="72"/>
      <c r="S461" s="72"/>
      <c r="T461" s="72"/>
      <c r="U461" s="72"/>
      <c r="V461" s="72"/>
      <c r="W461" s="72"/>
      <c r="X461" s="72"/>
      <c r="Y461" s="72"/>
      <c r="Z461" s="72"/>
      <c r="AA461" s="72"/>
      <c r="AB461" s="72"/>
      <c r="AC461" s="72"/>
      <c r="AD461" s="72"/>
      <c r="AE461" s="72"/>
      <c r="AF461" s="72"/>
      <c r="AG461" s="72"/>
      <c r="AH461" s="72"/>
      <c r="AI461" s="72"/>
      <c r="AJ461" s="72"/>
      <c r="AK461" s="72"/>
      <c r="AL461" s="72"/>
      <c r="AM461" s="72"/>
      <c r="AN461" s="72"/>
      <c r="AO461" s="72"/>
      <c r="AP461" s="72"/>
      <c r="AQ461" s="72"/>
      <c r="AR461" s="72"/>
      <c r="AS461" s="72"/>
      <c r="AT461" s="72"/>
      <c r="AU461" s="72"/>
      <c r="AV461" s="72"/>
    </row>
    <row r="462" spans="1:48" s="37" customFormat="1" ht="16.5" x14ac:dyDescent="0.3">
      <c r="A462" s="72"/>
      <c r="B462" s="72"/>
      <c r="C462" s="72"/>
      <c r="D462" s="72"/>
      <c r="E462" s="72"/>
      <c r="F462" s="72"/>
      <c r="G462" s="72"/>
      <c r="H462" s="72"/>
      <c r="I462" s="72"/>
      <c r="J462" s="72"/>
      <c r="K462" s="72"/>
      <c r="L462" s="72"/>
      <c r="M462" s="72"/>
      <c r="N462" s="72"/>
      <c r="O462" s="72"/>
      <c r="P462" s="72"/>
      <c r="Q462" s="72"/>
      <c r="R462" s="72"/>
      <c r="S462" s="72"/>
      <c r="T462" s="72"/>
      <c r="U462" s="72"/>
      <c r="V462" s="72"/>
      <c r="W462" s="72"/>
      <c r="X462" s="72"/>
      <c r="Y462" s="72"/>
      <c r="Z462" s="72"/>
      <c r="AA462" s="72"/>
      <c r="AB462" s="72"/>
      <c r="AC462" s="72"/>
      <c r="AD462" s="72"/>
      <c r="AE462" s="72"/>
      <c r="AF462" s="72"/>
      <c r="AG462" s="72"/>
      <c r="AH462" s="72"/>
      <c r="AI462" s="72"/>
      <c r="AJ462" s="72"/>
      <c r="AK462" s="72"/>
      <c r="AL462" s="72"/>
      <c r="AM462" s="72"/>
      <c r="AN462" s="72"/>
      <c r="AO462" s="72"/>
      <c r="AP462" s="72"/>
      <c r="AQ462" s="72"/>
      <c r="AR462" s="72"/>
      <c r="AS462" s="72"/>
      <c r="AT462" s="72"/>
      <c r="AU462" s="72"/>
      <c r="AV462" s="72"/>
    </row>
    <row r="463" spans="1:48" s="37" customFormat="1" ht="16.5" x14ac:dyDescent="0.3">
      <c r="A463" s="72"/>
      <c r="B463" s="72"/>
      <c r="C463" s="72"/>
      <c r="D463" s="72"/>
      <c r="E463" s="72"/>
      <c r="F463" s="72"/>
      <c r="G463" s="72"/>
      <c r="H463" s="72"/>
      <c r="I463" s="72"/>
      <c r="J463" s="72"/>
      <c r="K463" s="72"/>
      <c r="L463" s="72"/>
      <c r="M463" s="72"/>
      <c r="N463" s="72"/>
      <c r="O463" s="72"/>
      <c r="P463" s="72"/>
      <c r="Q463" s="72"/>
      <c r="R463" s="72"/>
      <c r="S463" s="72"/>
      <c r="T463" s="72"/>
      <c r="U463" s="72"/>
      <c r="V463" s="72"/>
      <c r="W463" s="72"/>
      <c r="X463" s="72"/>
      <c r="Y463" s="72"/>
      <c r="Z463" s="72"/>
      <c r="AA463" s="72"/>
      <c r="AB463" s="72"/>
      <c r="AC463" s="72"/>
      <c r="AD463" s="72"/>
      <c r="AE463" s="72"/>
      <c r="AF463" s="72"/>
      <c r="AG463" s="72"/>
      <c r="AH463" s="72"/>
      <c r="AI463" s="72"/>
      <c r="AJ463" s="72"/>
      <c r="AK463" s="72"/>
      <c r="AL463" s="72"/>
      <c r="AM463" s="72"/>
      <c r="AN463" s="72"/>
      <c r="AO463" s="72"/>
      <c r="AP463" s="72"/>
      <c r="AQ463" s="72"/>
      <c r="AR463" s="72"/>
      <c r="AS463" s="72"/>
      <c r="AT463" s="72"/>
      <c r="AU463" s="72"/>
      <c r="AV463" s="72"/>
    </row>
    <row r="464" spans="1:48" s="37" customFormat="1" ht="16.5" x14ac:dyDescent="0.3">
      <c r="A464" s="72"/>
      <c r="B464" s="72"/>
      <c r="C464" s="72"/>
      <c r="D464" s="72"/>
      <c r="E464" s="72"/>
      <c r="F464" s="72"/>
      <c r="G464" s="72"/>
      <c r="H464" s="72"/>
      <c r="I464" s="72"/>
      <c r="J464" s="72"/>
      <c r="K464" s="72"/>
      <c r="L464" s="72"/>
      <c r="M464" s="72"/>
      <c r="N464" s="72"/>
      <c r="O464" s="72"/>
      <c r="P464" s="72"/>
      <c r="Q464" s="72"/>
      <c r="R464" s="72"/>
      <c r="S464" s="72"/>
      <c r="T464" s="72"/>
      <c r="U464" s="72"/>
      <c r="V464" s="72"/>
      <c r="W464" s="72"/>
      <c r="X464" s="72"/>
      <c r="Y464" s="72"/>
      <c r="Z464" s="72"/>
      <c r="AA464" s="72"/>
      <c r="AB464" s="72"/>
      <c r="AC464" s="72"/>
      <c r="AD464" s="72"/>
      <c r="AE464" s="72"/>
      <c r="AF464" s="72"/>
      <c r="AG464" s="72"/>
      <c r="AH464" s="72"/>
      <c r="AI464" s="72"/>
      <c r="AJ464" s="72"/>
      <c r="AK464" s="72"/>
      <c r="AL464" s="72"/>
      <c r="AM464" s="72"/>
      <c r="AN464" s="72"/>
      <c r="AO464" s="72"/>
      <c r="AP464" s="72"/>
      <c r="AQ464" s="72"/>
      <c r="AR464" s="72"/>
      <c r="AS464" s="72"/>
      <c r="AT464" s="72"/>
      <c r="AU464" s="72"/>
      <c r="AV464" s="72"/>
    </row>
    <row r="465" spans="1:48" s="37" customFormat="1" ht="16.5" x14ac:dyDescent="0.3">
      <c r="A465" s="72"/>
      <c r="B465" s="72"/>
      <c r="C465" s="72"/>
      <c r="D465" s="72"/>
      <c r="E465" s="72"/>
      <c r="F465" s="72"/>
      <c r="G465" s="72"/>
      <c r="H465" s="72"/>
      <c r="I465" s="72"/>
      <c r="J465" s="72"/>
      <c r="K465" s="72"/>
      <c r="L465" s="72"/>
      <c r="M465" s="72"/>
      <c r="N465" s="72"/>
      <c r="O465" s="72"/>
      <c r="P465" s="72"/>
      <c r="Q465" s="72"/>
      <c r="R465" s="72"/>
      <c r="S465" s="72"/>
      <c r="T465" s="72"/>
      <c r="U465" s="72"/>
      <c r="V465" s="72"/>
      <c r="W465" s="72"/>
      <c r="X465" s="72"/>
      <c r="Y465" s="72"/>
      <c r="Z465" s="72"/>
      <c r="AA465" s="72"/>
      <c r="AB465" s="72"/>
      <c r="AC465" s="72"/>
      <c r="AD465" s="72"/>
      <c r="AE465" s="72"/>
      <c r="AF465" s="72"/>
      <c r="AG465" s="72"/>
      <c r="AH465" s="72"/>
      <c r="AI465" s="72"/>
      <c r="AJ465" s="72"/>
      <c r="AK465" s="72"/>
      <c r="AL465" s="72"/>
      <c r="AM465" s="72"/>
      <c r="AN465" s="72"/>
      <c r="AO465" s="72"/>
      <c r="AP465" s="72"/>
      <c r="AQ465" s="72"/>
      <c r="AR465" s="72"/>
      <c r="AS465" s="72"/>
      <c r="AT465" s="72"/>
      <c r="AU465" s="72"/>
      <c r="AV465" s="72"/>
    </row>
    <row r="466" spans="1:48" s="37" customFormat="1" ht="16.5" x14ac:dyDescent="0.3">
      <c r="A466" s="72"/>
      <c r="B466" s="72"/>
      <c r="C466" s="72"/>
      <c r="D466" s="72"/>
      <c r="E466" s="72"/>
      <c r="F466" s="72"/>
      <c r="G466" s="72"/>
      <c r="H466" s="72"/>
      <c r="I466" s="72"/>
      <c r="J466" s="72"/>
      <c r="K466" s="72"/>
      <c r="L466" s="72"/>
      <c r="M466" s="72"/>
      <c r="N466" s="72"/>
      <c r="O466" s="72"/>
      <c r="P466" s="72"/>
      <c r="Q466" s="72"/>
      <c r="R466" s="72"/>
      <c r="S466" s="72"/>
      <c r="T466" s="72"/>
      <c r="U466" s="72"/>
      <c r="V466" s="72"/>
      <c r="W466" s="72"/>
      <c r="X466" s="72"/>
      <c r="Y466" s="72"/>
      <c r="Z466" s="72"/>
      <c r="AA466" s="72"/>
      <c r="AB466" s="72"/>
      <c r="AC466" s="72"/>
      <c r="AD466" s="72"/>
      <c r="AE466" s="72"/>
      <c r="AF466" s="72"/>
      <c r="AG466" s="72"/>
      <c r="AH466" s="72"/>
      <c r="AI466" s="72"/>
      <c r="AJ466" s="72"/>
      <c r="AK466" s="72"/>
      <c r="AL466" s="72"/>
      <c r="AM466" s="72"/>
      <c r="AN466" s="72"/>
      <c r="AO466" s="72"/>
      <c r="AP466" s="72"/>
      <c r="AQ466" s="72"/>
      <c r="AR466" s="72"/>
      <c r="AS466" s="72"/>
      <c r="AT466" s="72"/>
      <c r="AU466" s="72"/>
      <c r="AV466" s="72"/>
    </row>
    <row r="467" spans="1:48" s="37" customFormat="1" ht="16.5" x14ac:dyDescent="0.3">
      <c r="A467" s="72"/>
      <c r="B467" s="72"/>
      <c r="C467" s="72"/>
      <c r="D467" s="72"/>
      <c r="E467" s="72"/>
      <c r="F467" s="72"/>
      <c r="G467" s="72"/>
      <c r="H467" s="72"/>
      <c r="I467" s="72"/>
      <c r="J467" s="72"/>
      <c r="K467" s="72"/>
      <c r="L467" s="72"/>
      <c r="M467" s="72"/>
      <c r="N467" s="72"/>
      <c r="O467" s="72"/>
      <c r="P467" s="72"/>
      <c r="Q467" s="72"/>
      <c r="R467" s="72"/>
      <c r="S467" s="72"/>
      <c r="T467" s="72"/>
      <c r="U467" s="72"/>
      <c r="V467" s="72"/>
      <c r="W467" s="72"/>
      <c r="X467" s="72"/>
      <c r="Y467" s="72"/>
      <c r="Z467" s="72"/>
      <c r="AA467" s="72"/>
      <c r="AB467" s="72"/>
      <c r="AC467" s="72"/>
      <c r="AD467" s="72"/>
      <c r="AE467" s="72"/>
      <c r="AF467" s="72"/>
      <c r="AG467" s="72"/>
      <c r="AH467" s="72"/>
      <c r="AI467" s="72"/>
      <c r="AJ467" s="72"/>
      <c r="AK467" s="72"/>
      <c r="AL467" s="72"/>
      <c r="AM467" s="72"/>
      <c r="AN467" s="72"/>
      <c r="AO467" s="72"/>
      <c r="AP467" s="72"/>
      <c r="AQ467" s="72"/>
      <c r="AR467" s="72"/>
      <c r="AS467" s="72"/>
      <c r="AT467" s="72"/>
      <c r="AU467" s="72"/>
      <c r="AV467" s="72"/>
    </row>
    <row r="468" spans="1:48" s="37" customFormat="1" ht="16.5" x14ac:dyDescent="0.3">
      <c r="A468" s="72"/>
      <c r="B468" s="72"/>
      <c r="C468" s="72"/>
      <c r="D468" s="72"/>
      <c r="E468" s="72"/>
      <c r="F468" s="72"/>
      <c r="G468" s="72"/>
      <c r="H468" s="72"/>
      <c r="I468" s="72"/>
      <c r="J468" s="72"/>
      <c r="K468" s="72"/>
      <c r="L468" s="72"/>
      <c r="M468" s="72"/>
      <c r="N468" s="72"/>
      <c r="O468" s="72"/>
      <c r="P468" s="72"/>
      <c r="Q468" s="72"/>
      <c r="R468" s="72"/>
      <c r="S468" s="72"/>
      <c r="T468" s="72"/>
      <c r="U468" s="72"/>
      <c r="V468" s="72"/>
      <c r="W468" s="72"/>
      <c r="X468" s="72"/>
      <c r="Y468" s="72"/>
      <c r="Z468" s="72"/>
      <c r="AA468" s="72"/>
      <c r="AB468" s="72"/>
      <c r="AC468" s="72"/>
      <c r="AD468" s="72"/>
      <c r="AE468" s="72"/>
      <c r="AF468" s="72"/>
      <c r="AG468" s="72"/>
      <c r="AH468" s="72"/>
      <c r="AI468" s="72"/>
      <c r="AJ468" s="72"/>
      <c r="AK468" s="72"/>
      <c r="AL468" s="72"/>
      <c r="AM468" s="72"/>
      <c r="AN468" s="72"/>
      <c r="AO468" s="72"/>
      <c r="AP468" s="72"/>
      <c r="AQ468" s="72"/>
      <c r="AR468" s="72"/>
      <c r="AS468" s="72"/>
      <c r="AT468" s="72"/>
      <c r="AU468" s="72"/>
      <c r="AV468" s="72"/>
    </row>
    <row r="469" spans="1:48" s="37" customFormat="1" ht="16.5" x14ac:dyDescent="0.3">
      <c r="A469" s="72"/>
      <c r="B469" s="72"/>
      <c r="C469" s="72"/>
      <c r="D469" s="72"/>
      <c r="E469" s="72"/>
      <c r="F469" s="72"/>
      <c r="G469" s="72"/>
      <c r="H469" s="72"/>
      <c r="I469" s="72"/>
      <c r="J469" s="72"/>
      <c r="K469" s="72"/>
      <c r="L469" s="72"/>
      <c r="M469" s="72"/>
      <c r="N469" s="72"/>
      <c r="O469" s="72"/>
      <c r="P469" s="72"/>
      <c r="Q469" s="72"/>
      <c r="R469" s="72"/>
      <c r="S469" s="72"/>
      <c r="T469" s="72"/>
      <c r="U469" s="72"/>
      <c r="V469" s="72"/>
      <c r="W469" s="72"/>
      <c r="X469" s="72"/>
      <c r="Y469" s="72"/>
      <c r="Z469" s="72"/>
      <c r="AA469" s="72"/>
      <c r="AB469" s="72"/>
      <c r="AC469" s="72"/>
      <c r="AD469" s="72"/>
      <c r="AE469" s="72"/>
      <c r="AF469" s="72"/>
      <c r="AG469" s="72"/>
      <c r="AH469" s="72"/>
      <c r="AI469" s="72"/>
      <c r="AJ469" s="72"/>
      <c r="AK469" s="72"/>
      <c r="AL469" s="72"/>
      <c r="AM469" s="72"/>
      <c r="AN469" s="72"/>
      <c r="AO469" s="72"/>
      <c r="AP469" s="72"/>
      <c r="AQ469" s="72"/>
      <c r="AR469" s="72"/>
      <c r="AS469" s="72"/>
      <c r="AT469" s="72"/>
      <c r="AU469" s="72"/>
      <c r="AV469" s="72"/>
    </row>
    <row r="470" spans="1:48" s="37" customFormat="1" ht="16.5" x14ac:dyDescent="0.3">
      <c r="A470" s="72"/>
      <c r="B470" s="72"/>
      <c r="C470" s="72"/>
      <c r="D470" s="72"/>
      <c r="E470" s="72"/>
      <c r="F470" s="72"/>
      <c r="G470" s="72"/>
      <c r="H470" s="72"/>
      <c r="I470" s="72"/>
      <c r="J470" s="72"/>
      <c r="K470" s="72"/>
      <c r="L470" s="72"/>
      <c r="M470" s="72"/>
      <c r="N470" s="72"/>
      <c r="O470" s="72"/>
      <c r="P470" s="72"/>
      <c r="Q470" s="72"/>
      <c r="R470" s="72"/>
      <c r="S470" s="72"/>
      <c r="T470" s="72"/>
      <c r="U470" s="72"/>
      <c r="V470" s="72"/>
      <c r="W470" s="72"/>
      <c r="X470" s="72"/>
      <c r="Y470" s="72"/>
      <c r="Z470" s="72"/>
      <c r="AA470" s="72"/>
      <c r="AB470" s="72"/>
      <c r="AC470" s="72"/>
      <c r="AD470" s="72"/>
      <c r="AE470" s="72"/>
      <c r="AF470" s="72"/>
      <c r="AG470" s="72"/>
      <c r="AH470" s="72"/>
      <c r="AI470" s="72"/>
      <c r="AJ470" s="72"/>
      <c r="AK470" s="72"/>
      <c r="AL470" s="72"/>
      <c r="AM470" s="72"/>
      <c r="AN470" s="72"/>
      <c r="AO470" s="72"/>
      <c r="AP470" s="72"/>
      <c r="AQ470" s="72"/>
      <c r="AR470" s="72"/>
      <c r="AS470" s="72"/>
      <c r="AT470" s="72"/>
      <c r="AU470" s="72"/>
      <c r="AV470" s="72"/>
    </row>
    <row r="471" spans="1:48" s="37" customFormat="1" ht="16.5" x14ac:dyDescent="0.3">
      <c r="A471" s="72"/>
      <c r="B471" s="72"/>
      <c r="C471" s="72"/>
      <c r="D471" s="72"/>
      <c r="E471" s="72"/>
      <c r="F471" s="72"/>
      <c r="G471" s="72"/>
      <c r="H471" s="72"/>
      <c r="I471" s="72"/>
      <c r="J471" s="72"/>
      <c r="K471" s="72"/>
      <c r="L471" s="72"/>
      <c r="M471" s="72"/>
      <c r="N471" s="72"/>
      <c r="O471" s="72"/>
      <c r="P471" s="72"/>
      <c r="Q471" s="72"/>
      <c r="R471" s="72"/>
      <c r="S471" s="72"/>
      <c r="T471" s="72"/>
      <c r="U471" s="72"/>
      <c r="V471" s="72"/>
      <c r="W471" s="72"/>
      <c r="X471" s="72"/>
      <c r="Y471" s="72"/>
      <c r="Z471" s="72"/>
      <c r="AA471" s="72"/>
      <c r="AB471" s="72"/>
      <c r="AC471" s="72"/>
      <c r="AD471" s="72"/>
      <c r="AE471" s="72"/>
      <c r="AF471" s="72"/>
      <c r="AG471" s="72"/>
      <c r="AH471" s="72"/>
      <c r="AI471" s="72"/>
      <c r="AJ471" s="72"/>
      <c r="AK471" s="72"/>
      <c r="AL471" s="72"/>
      <c r="AM471" s="72"/>
      <c r="AN471" s="72"/>
      <c r="AO471" s="72"/>
      <c r="AP471" s="72"/>
      <c r="AQ471" s="72"/>
      <c r="AR471" s="72"/>
      <c r="AS471" s="72"/>
      <c r="AT471" s="72"/>
      <c r="AU471" s="72"/>
      <c r="AV471" s="72"/>
    </row>
    <row r="472" spans="1:48" s="37" customFormat="1" ht="16.5" x14ac:dyDescent="0.3">
      <c r="A472" s="72"/>
      <c r="B472" s="72"/>
      <c r="C472" s="72"/>
      <c r="D472" s="72"/>
      <c r="E472" s="72"/>
      <c r="F472" s="72"/>
      <c r="G472" s="72"/>
      <c r="H472" s="72"/>
      <c r="I472" s="72"/>
      <c r="J472" s="72"/>
      <c r="K472" s="72"/>
      <c r="L472" s="72"/>
      <c r="M472" s="72"/>
      <c r="N472" s="72"/>
      <c r="O472" s="72"/>
      <c r="P472" s="72"/>
      <c r="Q472" s="72"/>
      <c r="R472" s="72"/>
      <c r="S472" s="72"/>
      <c r="T472" s="72"/>
      <c r="U472" s="72"/>
      <c r="V472" s="72"/>
      <c r="W472" s="72"/>
      <c r="X472" s="72"/>
      <c r="Y472" s="72"/>
      <c r="Z472" s="72"/>
      <c r="AA472" s="72"/>
      <c r="AB472" s="72"/>
      <c r="AC472" s="72"/>
      <c r="AD472" s="72"/>
      <c r="AE472" s="72"/>
      <c r="AF472" s="72"/>
      <c r="AG472" s="72"/>
      <c r="AH472" s="72"/>
      <c r="AI472" s="72"/>
      <c r="AJ472" s="72"/>
      <c r="AK472" s="72"/>
      <c r="AL472" s="72"/>
      <c r="AM472" s="72"/>
      <c r="AN472" s="72"/>
      <c r="AO472" s="72"/>
      <c r="AP472" s="72"/>
      <c r="AQ472" s="72"/>
      <c r="AR472" s="72"/>
      <c r="AS472" s="72"/>
      <c r="AT472" s="72"/>
      <c r="AU472" s="72"/>
      <c r="AV472" s="72"/>
    </row>
    <row r="473" spans="1:48" s="37" customFormat="1" ht="16.5" x14ac:dyDescent="0.3">
      <c r="A473" s="72"/>
      <c r="B473" s="72"/>
      <c r="C473" s="72"/>
      <c r="D473" s="72"/>
      <c r="E473" s="72"/>
      <c r="F473" s="72"/>
      <c r="G473" s="72"/>
      <c r="H473" s="72"/>
      <c r="I473" s="72"/>
      <c r="J473" s="72"/>
      <c r="K473" s="72"/>
      <c r="L473" s="72"/>
      <c r="M473" s="72"/>
      <c r="N473" s="72"/>
      <c r="O473" s="72"/>
      <c r="P473" s="72"/>
      <c r="Q473" s="72"/>
      <c r="R473" s="72"/>
      <c r="S473" s="72"/>
      <c r="T473" s="72"/>
      <c r="U473" s="72"/>
      <c r="V473" s="72"/>
      <c r="W473" s="72"/>
      <c r="X473" s="72"/>
      <c r="Y473" s="72"/>
      <c r="Z473" s="72"/>
      <c r="AA473" s="72"/>
      <c r="AB473" s="72"/>
      <c r="AC473" s="72"/>
      <c r="AD473" s="72"/>
      <c r="AE473" s="72"/>
      <c r="AF473" s="72"/>
      <c r="AG473" s="72"/>
      <c r="AH473" s="72"/>
      <c r="AI473" s="72"/>
      <c r="AJ473" s="72"/>
      <c r="AK473" s="72"/>
      <c r="AL473" s="72"/>
      <c r="AM473" s="72"/>
      <c r="AN473" s="72"/>
      <c r="AO473" s="72"/>
      <c r="AP473" s="72"/>
      <c r="AQ473" s="72"/>
      <c r="AR473" s="72"/>
      <c r="AS473" s="72"/>
      <c r="AT473" s="72"/>
      <c r="AU473" s="72"/>
      <c r="AV473" s="72"/>
    </row>
    <row r="474" spans="1:48" s="37" customFormat="1" ht="16.5" x14ac:dyDescent="0.3">
      <c r="A474" s="72"/>
      <c r="B474" s="72"/>
      <c r="C474" s="72"/>
      <c r="D474" s="72"/>
      <c r="E474" s="72"/>
      <c r="F474" s="72"/>
      <c r="G474" s="72"/>
      <c r="H474" s="72"/>
      <c r="I474" s="72"/>
      <c r="J474" s="72"/>
      <c r="K474" s="72"/>
      <c r="L474" s="72"/>
      <c r="M474" s="72"/>
      <c r="N474" s="72"/>
      <c r="O474" s="72"/>
      <c r="P474" s="72"/>
      <c r="Q474" s="72"/>
      <c r="R474" s="72"/>
      <c r="S474" s="72"/>
      <c r="T474" s="72"/>
      <c r="U474" s="72"/>
      <c r="V474" s="72"/>
      <c r="W474" s="72"/>
      <c r="X474" s="72"/>
      <c r="Y474" s="72"/>
      <c r="Z474" s="72"/>
      <c r="AA474" s="72"/>
      <c r="AB474" s="72"/>
      <c r="AC474" s="72"/>
      <c r="AD474" s="72"/>
      <c r="AE474" s="72"/>
      <c r="AF474" s="72"/>
      <c r="AG474" s="72"/>
      <c r="AH474" s="72"/>
      <c r="AI474" s="72"/>
      <c r="AJ474" s="72"/>
      <c r="AK474" s="72"/>
      <c r="AL474" s="72"/>
      <c r="AM474" s="72"/>
      <c r="AN474" s="72"/>
      <c r="AO474" s="72"/>
      <c r="AP474" s="72"/>
      <c r="AQ474" s="72"/>
      <c r="AR474" s="72"/>
      <c r="AS474" s="72"/>
      <c r="AT474" s="72"/>
      <c r="AU474" s="72"/>
      <c r="AV474" s="72"/>
    </row>
    <row r="475" spans="1:48" s="37" customFormat="1" ht="16.5" x14ac:dyDescent="0.3">
      <c r="A475" s="72"/>
      <c r="B475" s="72"/>
      <c r="C475" s="72"/>
      <c r="D475" s="72"/>
      <c r="E475" s="72"/>
      <c r="F475" s="72"/>
      <c r="G475" s="72"/>
      <c r="H475" s="72"/>
      <c r="I475" s="72"/>
      <c r="J475" s="72"/>
      <c r="K475" s="72"/>
      <c r="L475" s="72"/>
      <c r="M475" s="72"/>
      <c r="N475" s="72"/>
      <c r="O475" s="72"/>
      <c r="P475" s="72"/>
      <c r="Q475" s="72"/>
      <c r="R475" s="72"/>
      <c r="S475" s="72"/>
      <c r="T475" s="72"/>
      <c r="U475" s="72"/>
      <c r="V475" s="72"/>
      <c r="W475" s="72"/>
      <c r="X475" s="72"/>
      <c r="Y475" s="72"/>
      <c r="Z475" s="72"/>
      <c r="AA475" s="72"/>
      <c r="AB475" s="72"/>
      <c r="AC475" s="72"/>
      <c r="AD475" s="72"/>
      <c r="AE475" s="72"/>
      <c r="AF475" s="72"/>
      <c r="AG475" s="72"/>
      <c r="AH475" s="72"/>
      <c r="AI475" s="72"/>
      <c r="AJ475" s="72"/>
      <c r="AK475" s="72"/>
      <c r="AL475" s="72"/>
      <c r="AM475" s="72"/>
      <c r="AN475" s="72"/>
      <c r="AO475" s="72"/>
      <c r="AP475" s="72"/>
      <c r="AQ475" s="72"/>
      <c r="AR475" s="72"/>
      <c r="AS475" s="72"/>
      <c r="AT475" s="72"/>
      <c r="AU475" s="72"/>
      <c r="AV475" s="72"/>
    </row>
    <row r="476" spans="1:48" s="37" customFormat="1" ht="16.5" x14ac:dyDescent="0.3">
      <c r="A476" s="72"/>
      <c r="B476" s="72"/>
      <c r="C476" s="72"/>
      <c r="D476" s="72"/>
      <c r="E476" s="72"/>
      <c r="F476" s="72"/>
      <c r="G476" s="72"/>
      <c r="H476" s="72"/>
      <c r="I476" s="72"/>
      <c r="J476" s="72"/>
      <c r="K476" s="72"/>
      <c r="L476" s="72"/>
      <c r="M476" s="72"/>
      <c r="N476" s="72"/>
      <c r="O476" s="72"/>
      <c r="P476" s="72"/>
      <c r="Q476" s="72"/>
      <c r="R476" s="72"/>
      <c r="S476" s="72"/>
      <c r="T476" s="72"/>
      <c r="U476" s="72"/>
      <c r="V476" s="72"/>
      <c r="W476" s="72"/>
      <c r="X476" s="72"/>
      <c r="Y476" s="72"/>
      <c r="Z476" s="72"/>
      <c r="AA476" s="72"/>
      <c r="AB476" s="72"/>
      <c r="AC476" s="72"/>
      <c r="AD476" s="72"/>
      <c r="AE476" s="72"/>
      <c r="AF476" s="72"/>
      <c r="AG476" s="72"/>
      <c r="AH476" s="72"/>
      <c r="AI476" s="72"/>
      <c r="AJ476" s="72"/>
      <c r="AK476" s="72"/>
      <c r="AL476" s="72"/>
      <c r="AM476" s="72"/>
      <c r="AN476" s="72"/>
      <c r="AO476" s="72"/>
      <c r="AP476" s="72"/>
      <c r="AQ476" s="72"/>
      <c r="AR476" s="72"/>
      <c r="AS476" s="72"/>
      <c r="AT476" s="72"/>
      <c r="AU476" s="72"/>
      <c r="AV476" s="72"/>
    </row>
    <row r="477" spans="1:48" s="37" customFormat="1" ht="16.5" x14ac:dyDescent="0.3">
      <c r="A477" s="72"/>
      <c r="B477" s="72"/>
      <c r="C477" s="72"/>
      <c r="D477" s="72"/>
      <c r="E477" s="72"/>
      <c r="F477" s="72"/>
      <c r="G477" s="72"/>
      <c r="H477" s="72"/>
      <c r="I477" s="72"/>
      <c r="J477" s="72"/>
      <c r="K477" s="72"/>
      <c r="L477" s="72"/>
      <c r="M477" s="72"/>
      <c r="N477" s="72"/>
      <c r="O477" s="72"/>
      <c r="P477" s="72"/>
      <c r="Q477" s="72"/>
      <c r="R477" s="72"/>
      <c r="S477" s="72"/>
      <c r="T477" s="72"/>
      <c r="U477" s="72"/>
      <c r="V477" s="72"/>
      <c r="W477" s="72"/>
      <c r="X477" s="72"/>
      <c r="Y477" s="72"/>
      <c r="Z477" s="72"/>
      <c r="AA477" s="72"/>
      <c r="AB477" s="72"/>
      <c r="AC477" s="72"/>
      <c r="AD477" s="72"/>
      <c r="AE477" s="72"/>
      <c r="AF477" s="72"/>
      <c r="AG477" s="72"/>
      <c r="AH477" s="72"/>
      <c r="AI477" s="72"/>
      <c r="AJ477" s="72"/>
      <c r="AK477" s="72"/>
      <c r="AL477" s="72"/>
      <c r="AM477" s="72"/>
      <c r="AN477" s="72"/>
      <c r="AO477" s="72"/>
      <c r="AP477" s="72"/>
      <c r="AQ477" s="72"/>
      <c r="AR477" s="72"/>
      <c r="AS477" s="72"/>
      <c r="AT477" s="72"/>
      <c r="AU477" s="72"/>
      <c r="AV477" s="72"/>
    </row>
    <row r="478" spans="1:48" s="37" customFormat="1" ht="16.5" x14ac:dyDescent="0.3">
      <c r="A478" s="72"/>
      <c r="B478" s="72"/>
      <c r="C478" s="72"/>
      <c r="D478" s="72"/>
      <c r="E478" s="72"/>
      <c r="F478" s="72"/>
      <c r="G478" s="72"/>
      <c r="H478" s="72"/>
      <c r="I478" s="72"/>
      <c r="J478" s="72"/>
      <c r="K478" s="72"/>
      <c r="L478" s="72"/>
      <c r="M478" s="72"/>
      <c r="N478" s="72"/>
      <c r="O478" s="72"/>
      <c r="P478" s="72"/>
      <c r="Q478" s="72"/>
      <c r="R478" s="72"/>
      <c r="S478" s="72"/>
      <c r="T478" s="72"/>
      <c r="U478" s="72"/>
      <c r="V478" s="72"/>
      <c r="W478" s="72"/>
      <c r="X478" s="72"/>
      <c r="Y478" s="72"/>
      <c r="Z478" s="72"/>
      <c r="AA478" s="72"/>
      <c r="AB478" s="72"/>
      <c r="AC478" s="72"/>
      <c r="AD478" s="72"/>
      <c r="AE478" s="72"/>
      <c r="AF478" s="72"/>
      <c r="AG478" s="72"/>
      <c r="AH478" s="72"/>
      <c r="AI478" s="72"/>
      <c r="AJ478" s="72"/>
      <c r="AK478" s="72"/>
      <c r="AL478" s="72"/>
      <c r="AM478" s="72"/>
      <c r="AN478" s="72"/>
      <c r="AO478" s="72"/>
      <c r="AP478" s="72"/>
      <c r="AQ478" s="72"/>
      <c r="AR478" s="72"/>
      <c r="AS478" s="72"/>
      <c r="AT478" s="72"/>
      <c r="AU478" s="72"/>
      <c r="AV478" s="72"/>
    </row>
    <row r="479" spans="1:48" s="37" customFormat="1" ht="16.5" x14ac:dyDescent="0.3">
      <c r="A479" s="72"/>
      <c r="B479" s="72"/>
      <c r="C479" s="72"/>
      <c r="D479" s="72"/>
      <c r="E479" s="72"/>
      <c r="F479" s="72"/>
      <c r="G479" s="72"/>
      <c r="H479" s="72"/>
      <c r="I479" s="72"/>
      <c r="J479" s="72"/>
      <c r="K479" s="72"/>
      <c r="L479" s="72"/>
      <c r="M479" s="72"/>
      <c r="N479" s="72"/>
      <c r="O479" s="72"/>
      <c r="P479" s="72"/>
      <c r="Q479" s="72"/>
      <c r="R479" s="72"/>
      <c r="S479" s="72"/>
      <c r="T479" s="72"/>
      <c r="U479" s="72"/>
      <c r="V479" s="72"/>
      <c r="W479" s="72"/>
      <c r="X479" s="72"/>
      <c r="Y479" s="72"/>
      <c r="Z479" s="72"/>
      <c r="AA479" s="72"/>
      <c r="AB479" s="72"/>
      <c r="AC479" s="72"/>
      <c r="AD479" s="72"/>
      <c r="AE479" s="72"/>
      <c r="AF479" s="72"/>
      <c r="AG479" s="72"/>
      <c r="AH479" s="72"/>
      <c r="AI479" s="72"/>
      <c r="AJ479" s="72"/>
      <c r="AK479" s="72"/>
      <c r="AL479" s="72"/>
      <c r="AM479" s="72"/>
      <c r="AN479" s="72"/>
      <c r="AO479" s="72"/>
      <c r="AP479" s="72"/>
      <c r="AQ479" s="72"/>
      <c r="AR479" s="72"/>
      <c r="AS479" s="72"/>
      <c r="AT479" s="72"/>
      <c r="AU479" s="72"/>
      <c r="AV479" s="72"/>
    </row>
    <row r="480" spans="1:48" s="37" customFormat="1" ht="16.5" x14ac:dyDescent="0.3">
      <c r="A480" s="72"/>
      <c r="B480" s="72"/>
      <c r="C480" s="72"/>
      <c r="D480" s="72"/>
      <c r="E480" s="72"/>
      <c r="F480" s="72"/>
      <c r="G480" s="72"/>
      <c r="H480" s="72"/>
      <c r="I480" s="72"/>
      <c r="J480" s="72"/>
      <c r="K480" s="72"/>
      <c r="L480" s="72"/>
      <c r="M480" s="72"/>
      <c r="N480" s="72"/>
      <c r="O480" s="72"/>
      <c r="P480" s="72"/>
      <c r="Q480" s="72"/>
      <c r="R480" s="72"/>
      <c r="S480" s="72"/>
      <c r="T480" s="72"/>
      <c r="U480" s="72"/>
      <c r="V480" s="72"/>
      <c r="W480" s="72"/>
      <c r="X480" s="72"/>
      <c r="Y480" s="72"/>
      <c r="Z480" s="72"/>
      <c r="AA480" s="72"/>
      <c r="AB480" s="72"/>
      <c r="AC480" s="72"/>
      <c r="AD480" s="72"/>
      <c r="AE480" s="72"/>
      <c r="AF480" s="72"/>
      <c r="AG480" s="72"/>
      <c r="AH480" s="72"/>
      <c r="AI480" s="72"/>
      <c r="AJ480" s="72"/>
      <c r="AK480" s="72"/>
      <c r="AL480" s="72"/>
      <c r="AM480" s="72"/>
      <c r="AN480" s="72"/>
      <c r="AO480" s="72"/>
      <c r="AP480" s="72"/>
      <c r="AQ480" s="72"/>
      <c r="AR480" s="72"/>
      <c r="AS480" s="72"/>
      <c r="AT480" s="72"/>
      <c r="AU480" s="72"/>
      <c r="AV480" s="72"/>
    </row>
    <row r="481" spans="1:48" s="37" customFormat="1" ht="16.5" x14ac:dyDescent="0.3">
      <c r="A481" s="72"/>
      <c r="B481" s="72"/>
      <c r="C481" s="72"/>
      <c r="D481" s="72"/>
      <c r="E481" s="72"/>
      <c r="F481" s="72"/>
      <c r="G481" s="72"/>
      <c r="H481" s="72"/>
      <c r="I481" s="72"/>
      <c r="J481" s="72"/>
      <c r="K481" s="72"/>
      <c r="L481" s="72"/>
      <c r="M481" s="72"/>
      <c r="N481" s="72"/>
      <c r="O481" s="72"/>
      <c r="P481" s="72"/>
      <c r="Q481" s="72"/>
      <c r="R481" s="72"/>
      <c r="S481" s="72"/>
      <c r="T481" s="72"/>
      <c r="U481" s="72"/>
      <c r="V481" s="72"/>
      <c r="W481" s="72"/>
      <c r="X481" s="72"/>
      <c r="Y481" s="72"/>
      <c r="Z481" s="72"/>
      <c r="AA481" s="72"/>
      <c r="AB481" s="72"/>
      <c r="AC481" s="72"/>
      <c r="AD481" s="72"/>
      <c r="AE481" s="72"/>
      <c r="AF481" s="72"/>
      <c r="AG481" s="72"/>
      <c r="AH481" s="72"/>
      <c r="AI481" s="72"/>
      <c r="AJ481" s="72"/>
      <c r="AK481" s="72"/>
      <c r="AL481" s="72"/>
      <c r="AM481" s="72"/>
      <c r="AN481" s="72"/>
      <c r="AO481" s="72"/>
      <c r="AP481" s="72"/>
      <c r="AQ481" s="72"/>
      <c r="AR481" s="72"/>
      <c r="AS481" s="72"/>
      <c r="AT481" s="72"/>
      <c r="AU481" s="72"/>
      <c r="AV481" s="72"/>
    </row>
    <row r="482" spans="1:48" s="37" customFormat="1" ht="16.5" x14ac:dyDescent="0.3">
      <c r="A482" s="72"/>
      <c r="B482" s="72"/>
      <c r="C482" s="72"/>
      <c r="D482" s="72"/>
      <c r="E482" s="72"/>
      <c r="F482" s="72"/>
      <c r="G482" s="72"/>
      <c r="H482" s="72"/>
      <c r="I482" s="72"/>
      <c r="J482" s="72"/>
      <c r="K482" s="72"/>
      <c r="L482" s="72"/>
      <c r="M482" s="72"/>
      <c r="N482" s="72"/>
      <c r="O482" s="72"/>
      <c r="P482" s="72"/>
      <c r="Q482" s="72"/>
      <c r="R482" s="72"/>
      <c r="S482" s="72"/>
      <c r="T482" s="72"/>
      <c r="U482" s="72"/>
      <c r="V482" s="72"/>
      <c r="W482" s="72"/>
      <c r="X482" s="72"/>
      <c r="Y482" s="72"/>
      <c r="Z482" s="72"/>
      <c r="AA482" s="72"/>
      <c r="AB482" s="72"/>
      <c r="AC482" s="72"/>
      <c r="AD482" s="72"/>
      <c r="AE482" s="72"/>
      <c r="AF482" s="72"/>
      <c r="AG482" s="72"/>
      <c r="AH482" s="72"/>
      <c r="AI482" s="72"/>
      <c r="AJ482" s="72"/>
      <c r="AK482" s="72"/>
      <c r="AL482" s="72"/>
      <c r="AM482" s="72"/>
      <c r="AN482" s="72"/>
      <c r="AO482" s="72"/>
      <c r="AP482" s="72"/>
      <c r="AQ482" s="72"/>
      <c r="AR482" s="72"/>
      <c r="AS482" s="72"/>
      <c r="AT482" s="72"/>
      <c r="AU482" s="72"/>
      <c r="AV482" s="72"/>
    </row>
    <row r="483" spans="1:48" s="37" customFormat="1" ht="16.5" x14ac:dyDescent="0.3">
      <c r="A483" s="72"/>
      <c r="B483" s="72"/>
      <c r="C483" s="72"/>
      <c r="D483" s="72"/>
      <c r="E483" s="72"/>
      <c r="F483" s="72"/>
      <c r="G483" s="72"/>
      <c r="H483" s="72"/>
      <c r="I483" s="72"/>
      <c r="J483" s="72"/>
      <c r="K483" s="72"/>
      <c r="L483" s="72"/>
      <c r="M483" s="72"/>
      <c r="N483" s="72"/>
      <c r="O483" s="72"/>
      <c r="P483" s="72"/>
      <c r="Q483" s="72"/>
      <c r="R483" s="72"/>
      <c r="S483" s="72"/>
      <c r="T483" s="72"/>
      <c r="U483" s="72"/>
      <c r="V483" s="72"/>
      <c r="W483" s="72"/>
      <c r="X483" s="72"/>
      <c r="Y483" s="72"/>
      <c r="Z483" s="72"/>
      <c r="AA483" s="72"/>
      <c r="AB483" s="72"/>
      <c r="AC483" s="72"/>
      <c r="AD483" s="72"/>
      <c r="AE483" s="72"/>
      <c r="AF483" s="72"/>
      <c r="AG483" s="72"/>
      <c r="AH483" s="72"/>
      <c r="AI483" s="72"/>
      <c r="AJ483" s="72"/>
      <c r="AK483" s="72"/>
      <c r="AL483" s="72"/>
      <c r="AM483" s="72"/>
      <c r="AN483" s="72"/>
      <c r="AO483" s="72"/>
      <c r="AP483" s="72"/>
      <c r="AQ483" s="72"/>
      <c r="AR483" s="72"/>
      <c r="AS483" s="72"/>
      <c r="AT483" s="72"/>
      <c r="AU483" s="72"/>
      <c r="AV483" s="72"/>
    </row>
    <row r="484" spans="1:48" s="37" customFormat="1" ht="16.5" x14ac:dyDescent="0.3">
      <c r="A484" s="72"/>
      <c r="B484" s="72"/>
      <c r="C484" s="72"/>
      <c r="D484" s="72"/>
      <c r="E484" s="72"/>
      <c r="F484" s="72"/>
      <c r="G484" s="72"/>
      <c r="H484" s="72"/>
      <c r="I484" s="72"/>
      <c r="J484" s="72"/>
      <c r="K484" s="72"/>
      <c r="L484" s="72"/>
      <c r="M484" s="72"/>
      <c r="N484" s="72"/>
      <c r="O484" s="72"/>
      <c r="P484" s="72"/>
      <c r="Q484" s="72"/>
      <c r="R484" s="72"/>
      <c r="S484" s="72"/>
      <c r="T484" s="72"/>
      <c r="U484" s="72"/>
      <c r="V484" s="72"/>
      <c r="W484" s="72"/>
      <c r="X484" s="72"/>
      <c r="Y484" s="72"/>
      <c r="Z484" s="72"/>
      <c r="AA484" s="72"/>
      <c r="AB484" s="72"/>
      <c r="AC484" s="72"/>
      <c r="AD484" s="72"/>
      <c r="AE484" s="72"/>
      <c r="AF484" s="72"/>
      <c r="AG484" s="72"/>
      <c r="AH484" s="72"/>
      <c r="AI484" s="72"/>
      <c r="AJ484" s="72"/>
      <c r="AK484" s="72"/>
      <c r="AL484" s="72"/>
      <c r="AM484" s="72"/>
      <c r="AN484" s="72"/>
      <c r="AO484" s="72"/>
      <c r="AP484" s="72"/>
      <c r="AQ484" s="72"/>
      <c r="AR484" s="72"/>
      <c r="AS484" s="72"/>
      <c r="AT484" s="72"/>
      <c r="AU484" s="72"/>
      <c r="AV484" s="72"/>
    </row>
    <row r="485" spans="1:48" s="37" customFormat="1" ht="16.5" x14ac:dyDescent="0.3">
      <c r="A485" s="72"/>
      <c r="B485" s="72"/>
      <c r="C485" s="72"/>
      <c r="D485" s="72"/>
      <c r="E485" s="72"/>
      <c r="F485" s="72"/>
      <c r="G485" s="72"/>
      <c r="H485" s="72"/>
      <c r="I485" s="72"/>
      <c r="J485" s="72"/>
      <c r="K485" s="72"/>
      <c r="L485" s="72"/>
      <c r="M485" s="72"/>
      <c r="N485" s="72"/>
      <c r="O485" s="72"/>
      <c r="P485" s="72"/>
      <c r="Q485" s="72"/>
      <c r="R485" s="72"/>
      <c r="S485" s="72"/>
      <c r="T485" s="72"/>
      <c r="U485" s="72"/>
      <c r="V485" s="72"/>
      <c r="W485" s="72"/>
      <c r="X485" s="72"/>
      <c r="Y485" s="72"/>
      <c r="Z485" s="72"/>
      <c r="AA485" s="72"/>
      <c r="AB485" s="72"/>
      <c r="AC485" s="72"/>
      <c r="AD485" s="72"/>
      <c r="AE485" s="72"/>
      <c r="AF485" s="72"/>
      <c r="AG485" s="72"/>
      <c r="AH485" s="72"/>
      <c r="AI485" s="72"/>
      <c r="AJ485" s="72"/>
      <c r="AK485" s="72"/>
      <c r="AL485" s="72"/>
      <c r="AM485" s="72"/>
      <c r="AN485" s="72"/>
      <c r="AO485" s="72"/>
      <c r="AP485" s="72"/>
      <c r="AQ485" s="72"/>
      <c r="AR485" s="72"/>
      <c r="AS485" s="72"/>
      <c r="AT485" s="72"/>
      <c r="AU485" s="72"/>
      <c r="AV485" s="72"/>
    </row>
    <row r="486" spans="1:48" s="37" customFormat="1" ht="16.5" x14ac:dyDescent="0.3">
      <c r="A486" s="72"/>
      <c r="B486" s="72"/>
      <c r="C486" s="72"/>
      <c r="D486" s="72"/>
      <c r="E486" s="72"/>
      <c r="F486" s="72"/>
      <c r="G486" s="72"/>
      <c r="H486" s="72"/>
      <c r="I486" s="72"/>
      <c r="J486" s="72"/>
      <c r="K486" s="72"/>
      <c r="L486" s="72"/>
      <c r="M486" s="72"/>
      <c r="N486" s="72"/>
      <c r="O486" s="72"/>
      <c r="P486" s="72"/>
      <c r="Q486" s="72"/>
      <c r="R486" s="72"/>
      <c r="S486" s="72"/>
      <c r="T486" s="72"/>
      <c r="U486" s="72"/>
      <c r="V486" s="72"/>
      <c r="W486" s="72"/>
      <c r="X486" s="72"/>
      <c r="Y486" s="72"/>
      <c r="Z486" s="72"/>
      <c r="AA486" s="72"/>
      <c r="AB486" s="72"/>
      <c r="AC486" s="72"/>
      <c r="AD486" s="72"/>
      <c r="AE486" s="72"/>
      <c r="AF486" s="72"/>
      <c r="AG486" s="72"/>
      <c r="AH486" s="72"/>
      <c r="AI486" s="72"/>
      <c r="AJ486" s="72"/>
      <c r="AK486" s="72"/>
      <c r="AL486" s="72"/>
      <c r="AM486" s="72"/>
      <c r="AN486" s="72"/>
      <c r="AO486" s="72"/>
      <c r="AP486" s="72"/>
      <c r="AQ486" s="72"/>
      <c r="AR486" s="72"/>
      <c r="AS486" s="72"/>
      <c r="AT486" s="72"/>
      <c r="AU486" s="72"/>
      <c r="AV486" s="72"/>
    </row>
    <row r="487" spans="1:48" s="37" customFormat="1" ht="16.5" x14ac:dyDescent="0.3">
      <c r="A487" s="72"/>
      <c r="B487" s="72"/>
      <c r="C487" s="72"/>
      <c r="D487" s="72"/>
      <c r="E487" s="72"/>
      <c r="F487" s="72"/>
      <c r="G487" s="72"/>
      <c r="H487" s="72"/>
      <c r="I487" s="72"/>
      <c r="J487" s="72"/>
      <c r="K487" s="72"/>
      <c r="L487" s="72"/>
      <c r="M487" s="72"/>
      <c r="N487" s="72"/>
      <c r="O487" s="72"/>
      <c r="P487" s="72"/>
      <c r="Q487" s="72"/>
      <c r="R487" s="72"/>
      <c r="S487" s="72"/>
      <c r="T487" s="72"/>
      <c r="U487" s="72"/>
      <c r="V487" s="72"/>
      <c r="W487" s="72"/>
      <c r="X487" s="72"/>
      <c r="Y487" s="72"/>
      <c r="Z487" s="72"/>
      <c r="AA487" s="72"/>
      <c r="AB487" s="72"/>
      <c r="AC487" s="72"/>
      <c r="AD487" s="72"/>
      <c r="AE487" s="72"/>
      <c r="AF487" s="72"/>
      <c r="AG487" s="72"/>
      <c r="AH487" s="72"/>
      <c r="AI487" s="72"/>
      <c r="AJ487" s="72"/>
      <c r="AK487" s="72"/>
      <c r="AL487" s="72"/>
      <c r="AM487" s="72"/>
      <c r="AN487" s="72"/>
      <c r="AO487" s="72"/>
      <c r="AP487" s="72"/>
      <c r="AQ487" s="72"/>
      <c r="AR487" s="72"/>
      <c r="AS487" s="72"/>
      <c r="AT487" s="72"/>
      <c r="AU487" s="72"/>
      <c r="AV487" s="72"/>
    </row>
    <row r="488" spans="1:48" s="37" customFormat="1" ht="16.5" x14ac:dyDescent="0.3">
      <c r="A488" s="72"/>
      <c r="B488" s="72"/>
      <c r="C488" s="72"/>
      <c r="D488" s="72"/>
      <c r="E488" s="72"/>
      <c r="F488" s="72"/>
      <c r="G488" s="72"/>
      <c r="H488" s="72"/>
      <c r="I488" s="72"/>
      <c r="J488" s="72"/>
      <c r="K488" s="72"/>
      <c r="L488" s="72"/>
      <c r="M488" s="72"/>
      <c r="N488" s="72"/>
      <c r="O488" s="72"/>
      <c r="P488" s="72"/>
      <c r="Q488" s="72"/>
      <c r="R488" s="72"/>
      <c r="S488" s="72"/>
      <c r="T488" s="72"/>
      <c r="U488" s="72"/>
      <c r="V488" s="72"/>
      <c r="W488" s="72"/>
      <c r="X488" s="72"/>
      <c r="Y488" s="72"/>
      <c r="Z488" s="72"/>
      <c r="AA488" s="72"/>
      <c r="AB488" s="72"/>
      <c r="AC488" s="72"/>
      <c r="AD488" s="72"/>
      <c r="AE488" s="72"/>
      <c r="AF488" s="72"/>
      <c r="AG488" s="72"/>
      <c r="AH488" s="72"/>
      <c r="AI488" s="72"/>
      <c r="AJ488" s="72"/>
      <c r="AK488" s="72"/>
      <c r="AL488" s="72"/>
      <c r="AM488" s="72"/>
      <c r="AN488" s="72"/>
      <c r="AO488" s="72"/>
      <c r="AP488" s="72"/>
      <c r="AQ488" s="72"/>
      <c r="AR488" s="72"/>
      <c r="AS488" s="72"/>
      <c r="AT488" s="72"/>
      <c r="AU488" s="72"/>
      <c r="AV488" s="72"/>
    </row>
    <row r="489" spans="1:48" s="37" customFormat="1" ht="16.5" x14ac:dyDescent="0.3">
      <c r="A489" s="72"/>
      <c r="B489" s="72"/>
      <c r="C489" s="72"/>
      <c r="D489" s="72"/>
      <c r="E489" s="72"/>
      <c r="F489" s="72"/>
      <c r="G489" s="72"/>
      <c r="H489" s="72"/>
      <c r="I489" s="72"/>
      <c r="J489" s="72"/>
      <c r="K489" s="72"/>
      <c r="L489" s="72"/>
      <c r="M489" s="72"/>
      <c r="N489" s="72"/>
      <c r="O489" s="72"/>
      <c r="P489" s="72"/>
      <c r="Q489" s="72"/>
      <c r="R489" s="72"/>
      <c r="S489" s="72"/>
      <c r="T489" s="72"/>
      <c r="U489" s="72"/>
      <c r="V489" s="72"/>
      <c r="W489" s="72"/>
      <c r="X489" s="72"/>
      <c r="Y489" s="72"/>
      <c r="Z489" s="72"/>
      <c r="AA489" s="72"/>
      <c r="AB489" s="72"/>
      <c r="AC489" s="72"/>
      <c r="AD489" s="72"/>
      <c r="AE489" s="72"/>
      <c r="AF489" s="72"/>
      <c r="AG489" s="72"/>
      <c r="AH489" s="72"/>
      <c r="AI489" s="72"/>
      <c r="AJ489" s="72"/>
      <c r="AK489" s="72"/>
      <c r="AL489" s="72"/>
      <c r="AM489" s="72"/>
      <c r="AN489" s="72"/>
      <c r="AO489" s="72"/>
      <c r="AP489" s="72"/>
      <c r="AQ489" s="72"/>
      <c r="AR489" s="72"/>
      <c r="AS489" s="72"/>
      <c r="AT489" s="72"/>
      <c r="AU489" s="72"/>
      <c r="AV489" s="72"/>
    </row>
    <row r="490" spans="1:48" s="37" customFormat="1" ht="16.5" x14ac:dyDescent="0.3">
      <c r="A490" s="72"/>
      <c r="B490" s="72"/>
      <c r="C490" s="72"/>
      <c r="D490" s="72"/>
      <c r="E490" s="72"/>
      <c r="F490" s="72"/>
      <c r="G490" s="72"/>
      <c r="H490" s="72"/>
      <c r="I490" s="72"/>
      <c r="J490" s="72"/>
      <c r="K490" s="72"/>
      <c r="L490" s="72"/>
      <c r="M490" s="72"/>
      <c r="N490" s="72"/>
      <c r="O490" s="72"/>
      <c r="P490" s="72"/>
      <c r="Q490" s="72"/>
      <c r="R490" s="72"/>
      <c r="S490" s="72"/>
      <c r="T490" s="72"/>
      <c r="U490" s="72"/>
      <c r="V490" s="72"/>
      <c r="W490" s="72"/>
      <c r="X490" s="72"/>
      <c r="Y490" s="72"/>
      <c r="Z490" s="72"/>
      <c r="AA490" s="72"/>
      <c r="AB490" s="72"/>
      <c r="AC490" s="72"/>
      <c r="AD490" s="72"/>
      <c r="AE490" s="72"/>
      <c r="AF490" s="72"/>
      <c r="AG490" s="72"/>
      <c r="AH490" s="72"/>
      <c r="AI490" s="72"/>
      <c r="AJ490" s="72"/>
      <c r="AK490" s="72"/>
      <c r="AL490" s="72"/>
      <c r="AM490" s="72"/>
      <c r="AN490" s="72"/>
      <c r="AO490" s="72"/>
      <c r="AP490" s="72"/>
      <c r="AQ490" s="72"/>
      <c r="AR490" s="72"/>
      <c r="AS490" s="72"/>
      <c r="AT490" s="72"/>
      <c r="AU490" s="72"/>
      <c r="AV490" s="72"/>
    </row>
    <row r="491" spans="1:48" s="37" customFormat="1" ht="16.5" x14ac:dyDescent="0.3">
      <c r="A491" s="72"/>
      <c r="B491" s="72"/>
      <c r="C491" s="72"/>
      <c r="D491" s="72"/>
      <c r="E491" s="72"/>
      <c r="F491" s="72"/>
      <c r="G491" s="72"/>
      <c r="H491" s="72"/>
      <c r="I491" s="72"/>
      <c r="J491" s="72"/>
      <c r="K491" s="72"/>
      <c r="L491" s="72"/>
      <c r="M491" s="72"/>
      <c r="N491" s="72"/>
      <c r="O491" s="72"/>
      <c r="P491" s="72"/>
      <c r="Q491" s="72"/>
      <c r="R491" s="72"/>
      <c r="S491" s="72"/>
      <c r="T491" s="72"/>
      <c r="U491" s="72"/>
      <c r="V491" s="72"/>
      <c r="W491" s="72"/>
      <c r="X491" s="72"/>
      <c r="Y491" s="72"/>
      <c r="Z491" s="72"/>
      <c r="AA491" s="72"/>
      <c r="AB491" s="72"/>
      <c r="AC491" s="72"/>
      <c r="AD491" s="72"/>
      <c r="AE491" s="72"/>
      <c r="AF491" s="72"/>
      <c r="AG491" s="72"/>
      <c r="AH491" s="72"/>
      <c r="AI491" s="72"/>
      <c r="AJ491" s="72"/>
      <c r="AK491" s="72"/>
      <c r="AL491" s="72"/>
      <c r="AM491" s="72"/>
      <c r="AN491" s="72"/>
      <c r="AO491" s="72"/>
      <c r="AP491" s="72"/>
      <c r="AQ491" s="72"/>
      <c r="AR491" s="72"/>
      <c r="AS491" s="72"/>
      <c r="AT491" s="72"/>
      <c r="AU491" s="72"/>
      <c r="AV491" s="72"/>
    </row>
    <row r="492" spans="1:48" s="37" customFormat="1" ht="16.5" x14ac:dyDescent="0.3">
      <c r="A492" s="72"/>
      <c r="B492" s="72"/>
      <c r="C492" s="72"/>
      <c r="D492" s="72"/>
      <c r="E492" s="72"/>
      <c r="F492" s="72"/>
      <c r="G492" s="72"/>
      <c r="H492" s="72"/>
      <c r="I492" s="72"/>
      <c r="J492" s="72"/>
      <c r="K492" s="72"/>
      <c r="L492" s="72"/>
      <c r="M492" s="72"/>
      <c r="N492" s="72"/>
      <c r="O492" s="72"/>
      <c r="P492" s="72"/>
      <c r="Q492" s="72"/>
      <c r="R492" s="72"/>
      <c r="S492" s="72"/>
      <c r="T492" s="72"/>
      <c r="U492" s="72"/>
      <c r="V492" s="72"/>
      <c r="W492" s="72"/>
      <c r="X492" s="72"/>
      <c r="Y492" s="72"/>
      <c r="Z492" s="72"/>
      <c r="AA492" s="72"/>
      <c r="AB492" s="72"/>
      <c r="AC492" s="72"/>
      <c r="AD492" s="72"/>
      <c r="AE492" s="72"/>
      <c r="AF492" s="72"/>
      <c r="AG492" s="72"/>
      <c r="AH492" s="72"/>
      <c r="AI492" s="72"/>
      <c r="AJ492" s="72"/>
      <c r="AK492" s="72"/>
      <c r="AL492" s="72"/>
      <c r="AM492" s="72"/>
      <c r="AN492" s="72"/>
      <c r="AO492" s="72"/>
      <c r="AP492" s="72"/>
      <c r="AQ492" s="72"/>
      <c r="AR492" s="72"/>
      <c r="AS492" s="72"/>
      <c r="AT492" s="72"/>
      <c r="AU492" s="72"/>
      <c r="AV492" s="72"/>
    </row>
    <row r="493" spans="1:48" s="37" customFormat="1" ht="16.5" x14ac:dyDescent="0.3">
      <c r="A493" s="72"/>
      <c r="B493" s="72"/>
      <c r="C493" s="72"/>
      <c r="D493" s="72"/>
      <c r="E493" s="72"/>
      <c r="F493" s="72"/>
      <c r="G493" s="72"/>
      <c r="H493" s="72"/>
      <c r="I493" s="72"/>
      <c r="J493" s="72"/>
      <c r="K493" s="72"/>
      <c r="L493" s="72"/>
      <c r="M493" s="72"/>
      <c r="N493" s="72"/>
      <c r="O493" s="72"/>
      <c r="P493" s="72"/>
      <c r="Q493" s="72"/>
      <c r="R493" s="72"/>
      <c r="S493" s="72"/>
      <c r="T493" s="72"/>
      <c r="U493" s="72"/>
      <c r="V493" s="72"/>
      <c r="W493" s="72"/>
      <c r="X493" s="72"/>
      <c r="Y493" s="72"/>
      <c r="Z493" s="72"/>
      <c r="AA493" s="72"/>
      <c r="AB493" s="72"/>
      <c r="AC493" s="72"/>
      <c r="AD493" s="72"/>
      <c r="AE493" s="72"/>
      <c r="AF493" s="72"/>
      <c r="AG493" s="72"/>
      <c r="AH493" s="72"/>
      <c r="AI493" s="72"/>
      <c r="AJ493" s="72"/>
      <c r="AK493" s="72"/>
      <c r="AL493" s="72"/>
      <c r="AM493" s="72"/>
      <c r="AN493" s="72"/>
      <c r="AO493" s="72"/>
      <c r="AP493" s="72"/>
      <c r="AQ493" s="72"/>
      <c r="AR493" s="72"/>
      <c r="AS493" s="72"/>
      <c r="AT493" s="72"/>
      <c r="AU493" s="72"/>
      <c r="AV493" s="72"/>
    </row>
    <row r="494" spans="1:48" s="37" customFormat="1" ht="16.5" x14ac:dyDescent="0.3">
      <c r="A494" s="72"/>
      <c r="B494" s="72"/>
      <c r="C494" s="72"/>
      <c r="D494" s="72"/>
      <c r="E494" s="72"/>
      <c r="F494" s="72"/>
      <c r="G494" s="72"/>
      <c r="H494" s="72"/>
      <c r="I494" s="72"/>
      <c r="J494" s="72"/>
      <c r="K494" s="72"/>
      <c r="L494" s="72"/>
      <c r="M494" s="72"/>
      <c r="N494" s="72"/>
      <c r="O494" s="72"/>
      <c r="P494" s="72"/>
      <c r="Q494" s="72"/>
      <c r="R494" s="72"/>
      <c r="S494" s="72"/>
      <c r="T494" s="72"/>
      <c r="U494" s="72"/>
      <c r="V494" s="72"/>
      <c r="W494" s="72"/>
      <c r="X494" s="72"/>
      <c r="Y494" s="72"/>
      <c r="Z494" s="72"/>
      <c r="AA494" s="72"/>
      <c r="AB494" s="72"/>
      <c r="AC494" s="72"/>
      <c r="AD494" s="72"/>
      <c r="AE494" s="72"/>
      <c r="AF494" s="72"/>
      <c r="AG494" s="72"/>
      <c r="AH494" s="72"/>
      <c r="AI494" s="72"/>
      <c r="AJ494" s="72"/>
      <c r="AK494" s="72"/>
      <c r="AL494" s="72"/>
      <c r="AM494" s="72"/>
      <c r="AN494" s="72"/>
      <c r="AO494" s="72"/>
      <c r="AP494" s="72"/>
      <c r="AQ494" s="72"/>
      <c r="AR494" s="72"/>
      <c r="AS494" s="72"/>
      <c r="AT494" s="72"/>
      <c r="AU494" s="72"/>
      <c r="AV494" s="72"/>
    </row>
    <row r="495" spans="1:48" s="37" customFormat="1" ht="16.5" x14ac:dyDescent="0.3">
      <c r="A495" s="72"/>
      <c r="B495" s="72"/>
      <c r="C495" s="72"/>
      <c r="D495" s="72"/>
      <c r="E495" s="72"/>
      <c r="F495" s="72"/>
      <c r="G495" s="72"/>
      <c r="H495" s="72"/>
      <c r="I495" s="72"/>
      <c r="J495" s="72"/>
      <c r="K495" s="72"/>
      <c r="L495" s="72"/>
      <c r="M495" s="72"/>
      <c r="N495" s="72"/>
      <c r="O495" s="72"/>
      <c r="P495" s="72"/>
      <c r="Q495" s="72"/>
      <c r="R495" s="72"/>
      <c r="S495" s="72"/>
      <c r="T495" s="72"/>
      <c r="U495" s="72"/>
      <c r="V495" s="72"/>
      <c r="W495" s="72"/>
      <c r="X495" s="72"/>
      <c r="Y495" s="72"/>
      <c r="Z495" s="72"/>
      <c r="AA495" s="72"/>
      <c r="AB495" s="72"/>
      <c r="AC495" s="72"/>
      <c r="AD495" s="72"/>
      <c r="AE495" s="72"/>
      <c r="AF495" s="72"/>
      <c r="AG495" s="72"/>
      <c r="AH495" s="72"/>
      <c r="AI495" s="72"/>
      <c r="AJ495" s="72"/>
      <c r="AK495" s="72"/>
      <c r="AL495" s="72"/>
      <c r="AM495" s="72"/>
      <c r="AN495" s="72"/>
      <c r="AO495" s="72"/>
      <c r="AP495" s="72"/>
      <c r="AQ495" s="72"/>
      <c r="AR495" s="72"/>
      <c r="AS495" s="72"/>
      <c r="AT495" s="72"/>
      <c r="AU495" s="72"/>
      <c r="AV495" s="72"/>
    </row>
    <row r="496" spans="1:48" s="37" customFormat="1" ht="16.5" x14ac:dyDescent="0.3">
      <c r="A496" s="72"/>
      <c r="B496" s="72"/>
      <c r="C496" s="72"/>
      <c r="D496" s="72"/>
      <c r="E496" s="72"/>
      <c r="F496" s="72"/>
      <c r="G496" s="72"/>
      <c r="H496" s="72"/>
      <c r="I496" s="72"/>
      <c r="J496" s="72"/>
      <c r="K496" s="72"/>
      <c r="L496" s="72"/>
      <c r="M496" s="72"/>
      <c r="N496" s="72"/>
      <c r="O496" s="72"/>
      <c r="P496" s="72"/>
      <c r="Q496" s="72"/>
      <c r="R496" s="72"/>
      <c r="S496" s="72"/>
      <c r="T496" s="72"/>
      <c r="U496" s="72"/>
      <c r="V496" s="72"/>
      <c r="W496" s="72"/>
      <c r="X496" s="72"/>
      <c r="Y496" s="72"/>
      <c r="Z496" s="72"/>
      <c r="AA496" s="72"/>
      <c r="AB496" s="72"/>
      <c r="AC496" s="72"/>
      <c r="AD496" s="72"/>
      <c r="AE496" s="72"/>
      <c r="AF496" s="72"/>
      <c r="AG496" s="72"/>
      <c r="AH496" s="72"/>
      <c r="AI496" s="72"/>
      <c r="AJ496" s="72"/>
      <c r="AK496" s="72"/>
      <c r="AL496" s="72"/>
      <c r="AM496" s="72"/>
      <c r="AN496" s="72"/>
      <c r="AO496" s="72"/>
      <c r="AP496" s="72"/>
      <c r="AQ496" s="72"/>
      <c r="AR496" s="72"/>
      <c r="AS496" s="72"/>
      <c r="AT496" s="72"/>
      <c r="AU496" s="72"/>
      <c r="AV496" s="72"/>
    </row>
    <row r="497" spans="1:51" s="37" customFormat="1" ht="16.5" x14ac:dyDescent="0.3">
      <c r="A497" s="72"/>
      <c r="B497" s="72"/>
      <c r="C497" s="72"/>
      <c r="D497" s="72"/>
      <c r="E497" s="72"/>
      <c r="F497" s="72"/>
      <c r="G497" s="72"/>
      <c r="H497" s="72"/>
      <c r="I497" s="72"/>
      <c r="J497" s="72"/>
      <c r="K497" s="72"/>
      <c r="L497" s="72"/>
      <c r="M497" s="72"/>
      <c r="N497" s="72"/>
      <c r="O497" s="72"/>
      <c r="P497" s="72"/>
      <c r="Q497" s="72"/>
      <c r="R497" s="72"/>
      <c r="S497" s="72"/>
      <c r="T497" s="72"/>
      <c r="U497" s="72"/>
      <c r="V497" s="72"/>
      <c r="W497" s="72"/>
      <c r="X497" s="72"/>
      <c r="Y497" s="72"/>
      <c r="Z497" s="72"/>
      <c r="AA497" s="72"/>
      <c r="AB497" s="72"/>
      <c r="AC497" s="72"/>
      <c r="AD497" s="72"/>
      <c r="AE497" s="72"/>
      <c r="AF497" s="72"/>
      <c r="AG497" s="72"/>
      <c r="AH497" s="72"/>
      <c r="AI497" s="72"/>
      <c r="AJ497" s="72"/>
      <c r="AK497" s="72"/>
      <c r="AL497" s="72"/>
      <c r="AM497" s="72"/>
      <c r="AN497" s="72"/>
      <c r="AO497" s="72"/>
      <c r="AP497" s="72"/>
      <c r="AQ497" s="72"/>
      <c r="AR497" s="72"/>
      <c r="AS497" s="72"/>
      <c r="AT497" s="72"/>
      <c r="AU497" s="72"/>
      <c r="AV497" s="72"/>
    </row>
    <row r="498" spans="1:51" s="37" customFormat="1" ht="16.5" x14ac:dyDescent="0.3">
      <c r="A498" s="72"/>
      <c r="B498" s="72"/>
      <c r="C498" s="72"/>
      <c r="D498" s="72"/>
      <c r="E498" s="72"/>
      <c r="F498" s="72"/>
      <c r="G498" s="72"/>
      <c r="H498" s="72"/>
      <c r="I498" s="72"/>
      <c r="J498" s="72"/>
      <c r="K498" s="72"/>
      <c r="L498" s="72"/>
      <c r="M498" s="72"/>
      <c r="N498" s="72"/>
      <c r="O498" s="72"/>
      <c r="P498" s="72"/>
      <c r="Q498" s="72"/>
      <c r="R498" s="72"/>
      <c r="S498" s="72"/>
      <c r="T498" s="72"/>
      <c r="U498" s="72"/>
      <c r="V498" s="72"/>
      <c r="W498" s="72"/>
      <c r="X498" s="72"/>
      <c r="Y498" s="72"/>
      <c r="Z498" s="72"/>
      <c r="AA498" s="72"/>
      <c r="AB498" s="72"/>
      <c r="AC498" s="72"/>
      <c r="AD498" s="72"/>
      <c r="AE498" s="72"/>
      <c r="AF498" s="72"/>
      <c r="AG498" s="72"/>
      <c r="AH498" s="72"/>
      <c r="AI498" s="72"/>
      <c r="AJ498" s="72"/>
      <c r="AK498" s="72"/>
      <c r="AL498" s="72"/>
      <c r="AM498" s="72"/>
      <c r="AN498" s="72"/>
      <c r="AO498" s="72"/>
      <c r="AP498" s="72"/>
      <c r="AQ498" s="72"/>
      <c r="AR498" s="72"/>
      <c r="AS498" s="72"/>
      <c r="AT498" s="72"/>
      <c r="AU498" s="72"/>
      <c r="AV498" s="72"/>
    </row>
    <row r="499" spans="1:51" s="37" customFormat="1" ht="16.5" customHeight="1" x14ac:dyDescent="0.3">
      <c r="A499" s="72"/>
      <c r="B499" s="72"/>
      <c r="C499" s="72"/>
      <c r="D499" s="72"/>
      <c r="E499" s="72"/>
      <c r="F499" s="72"/>
      <c r="G499" s="72"/>
      <c r="H499" s="72"/>
      <c r="I499" s="72"/>
      <c r="J499" s="72"/>
      <c r="K499" s="72"/>
      <c r="L499" s="72"/>
      <c r="M499" s="72"/>
      <c r="N499" s="72"/>
      <c r="O499" s="72"/>
      <c r="P499" s="72"/>
      <c r="Q499" s="72"/>
      <c r="R499" s="72"/>
      <c r="S499" s="72"/>
      <c r="T499" s="72"/>
      <c r="U499" s="72"/>
      <c r="V499" s="72"/>
      <c r="W499" s="72"/>
      <c r="X499" s="72"/>
      <c r="Y499" s="72"/>
      <c r="Z499" s="72"/>
      <c r="AA499" s="72"/>
      <c r="AB499" s="72"/>
      <c r="AC499" s="72"/>
      <c r="AD499" s="72"/>
      <c r="AE499" s="72"/>
      <c r="AF499" s="72"/>
      <c r="AG499" s="72"/>
      <c r="AH499" s="72"/>
      <c r="AI499" s="72"/>
      <c r="AJ499" s="72"/>
      <c r="AK499" s="72"/>
      <c r="AL499" s="72"/>
      <c r="AM499" s="72"/>
      <c r="AN499" s="72"/>
      <c r="AO499" s="72"/>
      <c r="AP499" s="72"/>
      <c r="AQ499" s="72"/>
      <c r="AR499" s="72"/>
      <c r="AS499" s="72"/>
      <c r="AT499" s="72"/>
      <c r="AU499" s="72"/>
      <c r="AV499" s="72"/>
      <c r="AX499" s="92"/>
      <c r="AY499" s="92"/>
    </row>
    <row r="500" spans="1:51" s="37" customFormat="1" ht="16.5" customHeight="1" x14ac:dyDescent="0.3">
      <c r="A500" s="72"/>
      <c r="B500" s="72"/>
      <c r="C500" s="72"/>
      <c r="D500" s="72"/>
      <c r="E500" s="72"/>
      <c r="F500" s="72"/>
      <c r="G500" s="72"/>
      <c r="H500" s="72"/>
      <c r="I500" s="72"/>
      <c r="J500" s="72"/>
      <c r="K500" s="72"/>
      <c r="L500" s="72"/>
      <c r="M500" s="72"/>
      <c r="N500" s="72"/>
      <c r="O500" s="72"/>
      <c r="P500" s="72"/>
      <c r="Q500" s="72"/>
      <c r="R500" s="72"/>
      <c r="S500" s="72"/>
      <c r="T500" s="72"/>
      <c r="U500" s="72"/>
      <c r="V500" s="72"/>
      <c r="W500" s="72"/>
      <c r="X500" s="72"/>
      <c r="Y500" s="72"/>
      <c r="Z500" s="72"/>
      <c r="AA500" s="72"/>
      <c r="AB500" s="72"/>
      <c r="AC500" s="72"/>
      <c r="AD500" s="72"/>
      <c r="AE500" s="72"/>
      <c r="AF500" s="72"/>
      <c r="AG500" s="72"/>
      <c r="AH500" s="72"/>
      <c r="AI500" s="72"/>
      <c r="AJ500" s="72"/>
      <c r="AK500" s="72"/>
      <c r="AL500" s="72"/>
      <c r="AM500" s="72"/>
      <c r="AN500" s="72"/>
      <c r="AO500" s="72"/>
      <c r="AP500" s="72"/>
      <c r="AQ500" s="72"/>
      <c r="AR500" s="72"/>
      <c r="AS500" s="72"/>
      <c r="AT500" s="72"/>
      <c r="AU500" s="72"/>
      <c r="AV500" s="72"/>
      <c r="AX500" s="92"/>
      <c r="AY500" s="92"/>
    </row>
    <row r="501" spans="1:51" s="37" customFormat="1" ht="16.5" customHeight="1" x14ac:dyDescent="0.3">
      <c r="A501" s="72"/>
      <c r="B501" s="72"/>
      <c r="C501" s="72"/>
      <c r="D501" s="72"/>
      <c r="E501" s="72"/>
      <c r="F501" s="72"/>
      <c r="G501" s="72"/>
      <c r="H501" s="72"/>
      <c r="I501" s="72"/>
      <c r="J501" s="72"/>
      <c r="K501" s="72"/>
      <c r="L501" s="72"/>
      <c r="M501" s="72"/>
      <c r="N501" s="72"/>
      <c r="O501" s="72"/>
      <c r="P501" s="72"/>
      <c r="Q501" s="72"/>
      <c r="R501" s="72"/>
      <c r="S501" s="72"/>
      <c r="T501" s="72"/>
      <c r="U501" s="72"/>
      <c r="V501" s="72"/>
      <c r="W501" s="72"/>
      <c r="X501" s="72"/>
      <c r="Y501" s="72"/>
      <c r="Z501" s="72"/>
      <c r="AA501" s="72"/>
      <c r="AB501" s="72"/>
      <c r="AC501" s="72"/>
      <c r="AD501" s="72"/>
      <c r="AE501" s="72"/>
      <c r="AF501" s="72"/>
      <c r="AG501" s="72"/>
      <c r="AH501" s="72"/>
      <c r="AI501" s="72"/>
      <c r="AJ501" s="72"/>
      <c r="AK501" s="72"/>
      <c r="AL501" s="72"/>
      <c r="AM501" s="72"/>
      <c r="AN501" s="72"/>
      <c r="AO501" s="72"/>
      <c r="AP501" s="72"/>
      <c r="AQ501" s="72"/>
      <c r="AR501" s="72"/>
      <c r="AS501" s="72"/>
      <c r="AT501" s="72"/>
      <c r="AU501" s="72"/>
      <c r="AV501" s="72"/>
      <c r="AX501" s="92"/>
      <c r="AY501" s="92"/>
    </row>
    <row r="502" spans="1:51" s="37" customFormat="1" ht="16.5" customHeight="1" x14ac:dyDescent="0.3">
      <c r="A502" s="72"/>
      <c r="B502" s="72"/>
      <c r="C502" s="72"/>
      <c r="D502" s="72"/>
      <c r="E502" s="72"/>
      <c r="F502" s="72"/>
      <c r="G502" s="72"/>
      <c r="H502" s="72"/>
      <c r="I502" s="72"/>
      <c r="J502" s="72"/>
      <c r="K502" s="72"/>
      <c r="L502" s="72"/>
      <c r="M502" s="72"/>
      <c r="N502" s="72"/>
      <c r="O502" s="72"/>
      <c r="P502" s="72"/>
      <c r="Q502" s="72"/>
      <c r="R502" s="72"/>
      <c r="S502" s="72"/>
      <c r="T502" s="72"/>
      <c r="U502" s="72"/>
      <c r="V502" s="72"/>
      <c r="W502" s="72"/>
      <c r="X502" s="72"/>
      <c r="Y502" s="72"/>
      <c r="Z502" s="72"/>
      <c r="AA502" s="72"/>
      <c r="AB502" s="72"/>
      <c r="AC502" s="72"/>
      <c r="AD502" s="72"/>
      <c r="AE502" s="72"/>
      <c r="AF502" s="72"/>
      <c r="AG502" s="72"/>
      <c r="AH502" s="72"/>
      <c r="AI502" s="72"/>
      <c r="AJ502" s="72"/>
      <c r="AK502" s="72"/>
      <c r="AL502" s="72"/>
      <c r="AM502" s="72"/>
      <c r="AN502" s="72"/>
      <c r="AO502" s="72"/>
      <c r="AP502" s="72"/>
      <c r="AQ502" s="72"/>
      <c r="AR502" s="72"/>
      <c r="AS502" s="72"/>
      <c r="AT502" s="72"/>
      <c r="AU502" s="72"/>
      <c r="AV502" s="72"/>
      <c r="AX502" s="92"/>
      <c r="AY502" s="92"/>
    </row>
    <row r="503" spans="1:51" s="37" customFormat="1" ht="16.5" customHeight="1" x14ac:dyDescent="0.3">
      <c r="A503" s="72"/>
      <c r="B503" s="72"/>
      <c r="C503" s="72"/>
      <c r="D503" s="72"/>
      <c r="E503" s="72"/>
      <c r="F503" s="72"/>
      <c r="G503" s="72"/>
      <c r="H503" s="72"/>
      <c r="I503" s="72"/>
      <c r="J503" s="72"/>
      <c r="K503" s="72"/>
      <c r="L503" s="72"/>
      <c r="M503" s="72"/>
      <c r="N503" s="72"/>
      <c r="O503" s="72"/>
      <c r="P503" s="72"/>
      <c r="Q503" s="72"/>
      <c r="R503" s="72"/>
      <c r="S503" s="72"/>
      <c r="T503" s="72"/>
      <c r="U503" s="72"/>
      <c r="V503" s="72"/>
      <c r="W503" s="72"/>
      <c r="X503" s="72"/>
      <c r="Y503" s="72"/>
      <c r="Z503" s="72"/>
      <c r="AA503" s="72"/>
      <c r="AB503" s="72"/>
      <c r="AC503" s="72"/>
      <c r="AD503" s="72"/>
      <c r="AE503" s="72"/>
      <c r="AF503" s="72"/>
      <c r="AG503" s="72"/>
      <c r="AH503" s="72"/>
      <c r="AI503" s="72"/>
      <c r="AJ503" s="72"/>
      <c r="AK503" s="72"/>
      <c r="AL503" s="72"/>
      <c r="AM503" s="72"/>
      <c r="AN503" s="72"/>
      <c r="AO503" s="72"/>
      <c r="AP503" s="72"/>
      <c r="AQ503" s="72"/>
      <c r="AR503" s="72"/>
      <c r="AS503" s="72"/>
      <c r="AT503" s="72"/>
      <c r="AU503" s="72"/>
      <c r="AV503" s="72"/>
      <c r="AX503" s="92"/>
      <c r="AY503" s="92"/>
    </row>
    <row r="504" spans="1:51" s="37" customFormat="1" ht="16.5" customHeight="1" x14ac:dyDescent="0.3">
      <c r="A504" s="72"/>
      <c r="B504" s="72"/>
      <c r="C504" s="72"/>
      <c r="D504" s="72"/>
      <c r="E504" s="72"/>
      <c r="F504" s="72"/>
      <c r="G504" s="72"/>
      <c r="H504" s="72"/>
      <c r="I504" s="72"/>
      <c r="J504" s="72"/>
      <c r="K504" s="72"/>
      <c r="L504" s="72"/>
      <c r="M504" s="72"/>
      <c r="N504" s="72"/>
      <c r="O504" s="72"/>
      <c r="P504" s="72"/>
      <c r="Q504" s="72"/>
      <c r="R504" s="72"/>
      <c r="S504" s="72"/>
      <c r="T504" s="72"/>
      <c r="U504" s="72"/>
      <c r="V504" s="72"/>
      <c r="W504" s="72"/>
      <c r="X504" s="72"/>
      <c r="Y504" s="72"/>
      <c r="Z504" s="72"/>
      <c r="AA504" s="72"/>
      <c r="AB504" s="72"/>
      <c r="AC504" s="72"/>
      <c r="AD504" s="72"/>
      <c r="AE504" s="72"/>
      <c r="AF504" s="72"/>
      <c r="AG504" s="72"/>
      <c r="AH504" s="72"/>
      <c r="AI504" s="72"/>
      <c r="AJ504" s="72"/>
      <c r="AK504" s="72"/>
      <c r="AL504" s="72"/>
      <c r="AM504" s="72"/>
      <c r="AN504" s="72"/>
      <c r="AO504" s="72"/>
      <c r="AP504" s="72"/>
      <c r="AQ504" s="72"/>
      <c r="AR504" s="72"/>
      <c r="AS504" s="72"/>
      <c r="AT504" s="72"/>
      <c r="AU504" s="72"/>
      <c r="AV504" s="72"/>
      <c r="AX504" s="92"/>
      <c r="AY504" s="92"/>
    </row>
    <row r="505" spans="1:51" s="37" customFormat="1" ht="16.5" customHeight="1" x14ac:dyDescent="0.3">
      <c r="A505" s="72"/>
      <c r="B505" s="72"/>
      <c r="C505" s="72"/>
      <c r="D505" s="72"/>
      <c r="E505" s="72"/>
      <c r="F505" s="72"/>
      <c r="G505" s="72"/>
      <c r="H505" s="72"/>
      <c r="I505" s="72"/>
      <c r="J505" s="72"/>
      <c r="K505" s="72"/>
      <c r="L505" s="72"/>
      <c r="M505" s="72"/>
      <c r="N505" s="72"/>
      <c r="O505" s="72"/>
      <c r="P505" s="72"/>
      <c r="Q505" s="72"/>
      <c r="R505" s="72"/>
      <c r="S505" s="72"/>
      <c r="T505" s="72"/>
      <c r="U505" s="72"/>
      <c r="V505" s="72"/>
      <c r="W505" s="72"/>
      <c r="X505" s="72"/>
      <c r="Y505" s="72"/>
      <c r="Z505" s="72"/>
      <c r="AA505" s="72"/>
      <c r="AB505" s="72"/>
      <c r="AC505" s="72"/>
      <c r="AD505" s="72"/>
      <c r="AE505" s="72"/>
      <c r="AF505" s="72"/>
      <c r="AG505" s="72"/>
      <c r="AH505" s="72"/>
      <c r="AI505" s="72"/>
      <c r="AJ505" s="72"/>
      <c r="AK505" s="72"/>
      <c r="AL505" s="72"/>
      <c r="AM505" s="72"/>
      <c r="AN505" s="72"/>
      <c r="AO505" s="72"/>
      <c r="AP505" s="72"/>
      <c r="AQ505" s="72"/>
      <c r="AR505" s="72"/>
      <c r="AS505" s="72"/>
      <c r="AT505" s="72"/>
      <c r="AU505" s="72"/>
      <c r="AV505" s="72"/>
      <c r="AX505" s="92"/>
      <c r="AY505" s="92"/>
    </row>
    <row r="506" spans="1:51" s="37" customFormat="1" ht="16.5" customHeight="1" x14ac:dyDescent="0.3">
      <c r="A506" s="72"/>
      <c r="B506" s="72"/>
      <c r="C506" s="72"/>
      <c r="D506" s="72"/>
      <c r="E506" s="72"/>
      <c r="F506" s="72"/>
      <c r="G506" s="72"/>
      <c r="H506" s="72"/>
      <c r="I506" s="72"/>
      <c r="J506" s="72"/>
      <c r="K506" s="72"/>
      <c r="L506" s="72"/>
      <c r="M506" s="72"/>
      <c r="N506" s="72"/>
      <c r="O506" s="72"/>
      <c r="P506" s="72"/>
      <c r="Q506" s="72"/>
      <c r="R506" s="72"/>
      <c r="S506" s="72"/>
      <c r="T506" s="72"/>
      <c r="U506" s="72"/>
      <c r="V506" s="72"/>
      <c r="W506" s="72"/>
      <c r="X506" s="72"/>
      <c r="Y506" s="72"/>
      <c r="Z506" s="72"/>
      <c r="AA506" s="72"/>
      <c r="AB506" s="72"/>
      <c r="AC506" s="72"/>
      <c r="AD506" s="72"/>
      <c r="AE506" s="72"/>
      <c r="AF506" s="72"/>
      <c r="AG506" s="72"/>
      <c r="AH506" s="72"/>
      <c r="AI506" s="72"/>
      <c r="AJ506" s="72"/>
      <c r="AK506" s="72"/>
      <c r="AL506" s="72"/>
      <c r="AM506" s="72"/>
      <c r="AN506" s="72"/>
      <c r="AO506" s="72"/>
      <c r="AP506" s="72"/>
      <c r="AQ506" s="72"/>
      <c r="AR506" s="72"/>
      <c r="AS506" s="72"/>
      <c r="AT506" s="72"/>
      <c r="AU506" s="72"/>
      <c r="AV506" s="72"/>
      <c r="AX506" s="92"/>
      <c r="AY506" s="92"/>
    </row>
    <row r="507" spans="1:51" s="37" customFormat="1" ht="16.5" customHeight="1" x14ac:dyDescent="0.3">
      <c r="A507" s="72"/>
      <c r="B507" s="72"/>
      <c r="C507" s="72"/>
      <c r="D507" s="72"/>
      <c r="E507" s="72"/>
      <c r="F507" s="72"/>
      <c r="G507" s="72"/>
      <c r="H507" s="72"/>
      <c r="I507" s="72"/>
      <c r="J507" s="72"/>
      <c r="K507" s="72"/>
      <c r="L507" s="72"/>
      <c r="M507" s="72"/>
      <c r="N507" s="72"/>
      <c r="O507" s="72"/>
      <c r="P507" s="72"/>
      <c r="Q507" s="72"/>
      <c r="R507" s="72"/>
      <c r="S507" s="72"/>
      <c r="T507" s="72"/>
      <c r="U507" s="72"/>
      <c r="V507" s="72"/>
      <c r="W507" s="72"/>
      <c r="X507" s="72"/>
      <c r="Y507" s="72"/>
      <c r="Z507" s="72"/>
      <c r="AA507" s="72"/>
      <c r="AB507" s="72"/>
      <c r="AC507" s="72"/>
      <c r="AD507" s="72"/>
      <c r="AE507" s="72"/>
      <c r="AF507" s="72"/>
      <c r="AG507" s="72"/>
      <c r="AH507" s="72"/>
      <c r="AI507" s="72"/>
      <c r="AJ507" s="72"/>
      <c r="AK507" s="72"/>
      <c r="AL507" s="72"/>
      <c r="AM507" s="72"/>
      <c r="AN507" s="72"/>
      <c r="AO507" s="72"/>
      <c r="AP507" s="72"/>
      <c r="AQ507" s="72"/>
      <c r="AR507" s="72"/>
      <c r="AS507" s="72"/>
      <c r="AT507" s="72"/>
      <c r="AU507" s="72"/>
      <c r="AV507" s="72"/>
      <c r="AX507" s="92"/>
      <c r="AY507" s="92"/>
    </row>
    <row r="508" spans="1:51" s="37" customFormat="1" ht="16.5" customHeight="1" x14ac:dyDescent="0.3">
      <c r="A508" s="72"/>
      <c r="B508" s="72"/>
      <c r="C508" s="72"/>
      <c r="D508" s="72"/>
      <c r="E508" s="72"/>
      <c r="F508" s="72"/>
      <c r="G508" s="72"/>
      <c r="H508" s="72"/>
      <c r="I508" s="72"/>
      <c r="J508" s="72"/>
      <c r="K508" s="72"/>
      <c r="L508" s="72"/>
      <c r="M508" s="72"/>
      <c r="N508" s="72"/>
      <c r="O508" s="72"/>
      <c r="P508" s="72"/>
      <c r="Q508" s="72"/>
      <c r="R508" s="72"/>
      <c r="S508" s="72"/>
      <c r="T508" s="72"/>
      <c r="U508" s="72"/>
      <c r="V508" s="72"/>
      <c r="W508" s="72"/>
      <c r="X508" s="72"/>
      <c r="Y508" s="72"/>
      <c r="Z508" s="72"/>
      <c r="AA508" s="72"/>
      <c r="AB508" s="72"/>
      <c r="AC508" s="72"/>
      <c r="AD508" s="72"/>
      <c r="AE508" s="72"/>
      <c r="AF508" s="72"/>
      <c r="AG508" s="72"/>
      <c r="AH508" s="72"/>
      <c r="AI508" s="72"/>
      <c r="AJ508" s="72"/>
      <c r="AK508" s="72"/>
      <c r="AL508" s="72"/>
      <c r="AM508" s="72"/>
      <c r="AN508" s="72"/>
      <c r="AO508" s="72"/>
      <c r="AP508" s="72"/>
      <c r="AQ508" s="72"/>
      <c r="AR508" s="72"/>
      <c r="AS508" s="72"/>
      <c r="AT508" s="72"/>
      <c r="AU508" s="72"/>
      <c r="AV508" s="72"/>
      <c r="AX508" s="92"/>
      <c r="AY508" s="92"/>
    </row>
    <row r="509" spans="1:51" s="37" customFormat="1" ht="16.5" customHeight="1" x14ac:dyDescent="0.3">
      <c r="A509" s="72"/>
      <c r="B509" s="72"/>
      <c r="C509" s="72"/>
      <c r="D509" s="72"/>
      <c r="E509" s="72"/>
      <c r="F509" s="72"/>
      <c r="G509" s="72"/>
      <c r="H509" s="72"/>
      <c r="I509" s="72"/>
      <c r="J509" s="72"/>
      <c r="K509" s="72"/>
      <c r="L509" s="72"/>
      <c r="M509" s="72"/>
      <c r="N509" s="72"/>
      <c r="O509" s="72"/>
      <c r="P509" s="72"/>
      <c r="Q509" s="72"/>
      <c r="R509" s="72"/>
      <c r="S509" s="72"/>
      <c r="T509" s="72"/>
      <c r="U509" s="72"/>
      <c r="V509" s="72"/>
      <c r="W509" s="72"/>
      <c r="X509" s="72"/>
      <c r="Y509" s="72"/>
      <c r="Z509" s="72"/>
      <c r="AA509" s="72"/>
      <c r="AB509" s="72"/>
      <c r="AC509" s="72"/>
      <c r="AD509" s="72"/>
      <c r="AE509" s="72"/>
      <c r="AF509" s="72"/>
      <c r="AG509" s="72"/>
      <c r="AH509" s="72"/>
      <c r="AI509" s="72"/>
      <c r="AJ509" s="72"/>
      <c r="AK509" s="72"/>
      <c r="AL509" s="72"/>
      <c r="AM509" s="72"/>
      <c r="AN509" s="72"/>
      <c r="AO509" s="72"/>
      <c r="AP509" s="72"/>
      <c r="AQ509" s="72"/>
      <c r="AR509" s="72"/>
      <c r="AS509" s="72"/>
      <c r="AT509" s="72"/>
      <c r="AU509" s="72"/>
      <c r="AV509" s="72"/>
      <c r="AX509" s="92"/>
      <c r="AY509" s="92"/>
    </row>
    <row r="510" spans="1:51" s="37" customFormat="1" ht="16.5" customHeight="1" x14ac:dyDescent="0.3">
      <c r="A510" s="72"/>
      <c r="B510" s="72"/>
      <c r="C510" s="72"/>
      <c r="D510" s="72"/>
      <c r="E510" s="72"/>
      <c r="F510" s="72"/>
      <c r="G510" s="72"/>
      <c r="H510" s="72"/>
      <c r="I510" s="72"/>
      <c r="J510" s="72"/>
      <c r="K510" s="72"/>
      <c r="L510" s="72"/>
      <c r="M510" s="72"/>
      <c r="N510" s="72"/>
      <c r="O510" s="72"/>
      <c r="P510" s="72"/>
      <c r="Q510" s="72"/>
      <c r="R510" s="72"/>
      <c r="S510" s="72"/>
      <c r="T510" s="72"/>
      <c r="U510" s="72"/>
      <c r="V510" s="72"/>
      <c r="W510" s="72"/>
      <c r="X510" s="72"/>
      <c r="Y510" s="72"/>
      <c r="Z510" s="72"/>
      <c r="AA510" s="72"/>
      <c r="AB510" s="72"/>
      <c r="AC510" s="72"/>
      <c r="AD510" s="72"/>
      <c r="AE510" s="72"/>
      <c r="AF510" s="72"/>
      <c r="AG510" s="72"/>
      <c r="AH510" s="72"/>
      <c r="AI510" s="72"/>
      <c r="AJ510" s="72"/>
      <c r="AK510" s="72"/>
      <c r="AL510" s="72"/>
      <c r="AM510" s="72"/>
      <c r="AN510" s="72"/>
      <c r="AO510" s="72"/>
      <c r="AP510" s="72"/>
      <c r="AQ510" s="72"/>
      <c r="AR510" s="72"/>
      <c r="AS510" s="72"/>
      <c r="AT510" s="72"/>
      <c r="AU510" s="72"/>
      <c r="AV510" s="72"/>
      <c r="AX510" s="92"/>
      <c r="AY510" s="92"/>
    </row>
    <row r="511" spans="1:51" s="37" customFormat="1" ht="16.5" customHeight="1" x14ac:dyDescent="0.3">
      <c r="A511" s="72"/>
      <c r="B511" s="72"/>
      <c r="C511" s="72"/>
      <c r="D511" s="72"/>
      <c r="E511" s="72"/>
      <c r="F511" s="72"/>
      <c r="G511" s="72"/>
      <c r="H511" s="72"/>
      <c r="I511" s="72"/>
      <c r="J511" s="72"/>
      <c r="K511" s="72"/>
      <c r="L511" s="72"/>
      <c r="M511" s="72"/>
      <c r="N511" s="72"/>
      <c r="O511" s="72"/>
      <c r="P511" s="72"/>
      <c r="Q511" s="72"/>
      <c r="R511" s="72"/>
      <c r="S511" s="72"/>
      <c r="T511" s="72"/>
      <c r="U511" s="72"/>
      <c r="V511" s="72"/>
      <c r="W511" s="72"/>
      <c r="X511" s="72"/>
      <c r="Y511" s="72"/>
      <c r="Z511" s="72"/>
      <c r="AA511" s="72"/>
      <c r="AB511" s="72"/>
      <c r="AC511" s="72"/>
      <c r="AD511" s="72"/>
      <c r="AE511" s="72"/>
      <c r="AF511" s="72"/>
      <c r="AG511" s="72"/>
      <c r="AH511" s="72"/>
      <c r="AI511" s="72"/>
      <c r="AJ511" s="72"/>
      <c r="AK511" s="72"/>
      <c r="AL511" s="72"/>
      <c r="AM511" s="72"/>
      <c r="AN511" s="72"/>
      <c r="AO511" s="72"/>
      <c r="AP511" s="72"/>
      <c r="AQ511" s="72"/>
      <c r="AR511" s="72"/>
      <c r="AS511" s="72"/>
      <c r="AT511" s="72"/>
      <c r="AU511" s="72"/>
      <c r="AV511" s="72"/>
      <c r="AX511" s="92"/>
      <c r="AY511" s="92"/>
    </row>
    <row r="512" spans="1:51" s="37" customFormat="1" ht="16.5" customHeight="1" x14ac:dyDescent="0.3">
      <c r="A512" s="72"/>
      <c r="B512" s="72"/>
      <c r="C512" s="72"/>
      <c r="D512" s="72"/>
      <c r="E512" s="72"/>
      <c r="F512" s="72"/>
      <c r="G512" s="72"/>
      <c r="H512" s="72"/>
      <c r="I512" s="72"/>
      <c r="J512" s="72"/>
      <c r="K512" s="72"/>
      <c r="L512" s="72"/>
      <c r="M512" s="72"/>
      <c r="N512" s="72"/>
      <c r="O512" s="72"/>
      <c r="P512" s="72"/>
      <c r="Q512" s="72"/>
      <c r="R512" s="72"/>
      <c r="S512" s="72"/>
      <c r="T512" s="72"/>
      <c r="U512" s="72"/>
      <c r="V512" s="72"/>
      <c r="W512" s="72"/>
      <c r="X512" s="72"/>
      <c r="Y512" s="72"/>
      <c r="Z512" s="72"/>
      <c r="AA512" s="72"/>
      <c r="AB512" s="72"/>
      <c r="AC512" s="72"/>
      <c r="AD512" s="72"/>
      <c r="AE512" s="72"/>
      <c r="AF512" s="72"/>
      <c r="AG512" s="72"/>
      <c r="AH512" s="72"/>
      <c r="AI512" s="72"/>
      <c r="AJ512" s="72"/>
      <c r="AK512" s="72"/>
      <c r="AL512" s="72"/>
      <c r="AM512" s="72"/>
      <c r="AN512" s="72"/>
      <c r="AO512" s="72"/>
      <c r="AP512" s="72"/>
      <c r="AQ512" s="72"/>
      <c r="AR512" s="72"/>
      <c r="AS512" s="72"/>
      <c r="AT512" s="72"/>
      <c r="AU512" s="72"/>
      <c r="AV512" s="72"/>
      <c r="AX512" s="92"/>
      <c r="AY512" s="92"/>
    </row>
    <row r="513" spans="1:58" s="37" customFormat="1" ht="16.5" customHeight="1" x14ac:dyDescent="0.3">
      <c r="A513" s="72"/>
      <c r="B513" s="72"/>
      <c r="C513" s="72"/>
      <c r="D513" s="72"/>
      <c r="E513" s="72"/>
      <c r="F513" s="72"/>
      <c r="G513" s="72"/>
      <c r="H513" s="72"/>
      <c r="I513" s="72"/>
      <c r="J513" s="72"/>
      <c r="K513" s="72"/>
      <c r="L513" s="72"/>
      <c r="M513" s="72"/>
      <c r="N513" s="72"/>
      <c r="O513" s="72"/>
      <c r="P513" s="72"/>
      <c r="Q513" s="72"/>
      <c r="R513" s="72"/>
      <c r="S513" s="72"/>
      <c r="T513" s="72"/>
      <c r="U513" s="72"/>
      <c r="V513" s="72"/>
      <c r="W513" s="72"/>
      <c r="X513" s="72"/>
      <c r="Y513" s="72"/>
      <c r="Z513" s="72"/>
      <c r="AA513" s="72"/>
      <c r="AB513" s="72"/>
      <c r="AC513" s="72"/>
      <c r="AD513" s="72"/>
      <c r="AE513" s="72"/>
      <c r="AF513" s="72"/>
      <c r="AG513" s="72"/>
      <c r="AH513" s="72"/>
      <c r="AI513" s="72"/>
      <c r="AJ513" s="72"/>
      <c r="AK513" s="72"/>
      <c r="AL513" s="72"/>
      <c r="AM513" s="72"/>
      <c r="AN513" s="72"/>
      <c r="AO513" s="72"/>
      <c r="AP513" s="72"/>
      <c r="AQ513" s="72"/>
      <c r="AR513" s="72"/>
      <c r="AS513" s="72"/>
      <c r="AT513" s="72"/>
      <c r="AU513" s="72"/>
      <c r="AV513" s="72"/>
      <c r="AX513" s="92"/>
      <c r="AY513" s="92"/>
    </row>
    <row r="514" spans="1:58" s="37" customFormat="1" ht="16.5" customHeight="1" x14ac:dyDescent="0.3">
      <c r="A514" s="72"/>
      <c r="B514" s="72"/>
      <c r="C514" s="72"/>
      <c r="D514" s="72"/>
      <c r="E514" s="72"/>
      <c r="F514" s="72"/>
      <c r="G514" s="72"/>
      <c r="H514" s="72"/>
      <c r="I514" s="72"/>
      <c r="J514" s="72"/>
      <c r="K514" s="72"/>
      <c r="L514" s="72"/>
      <c r="M514" s="72"/>
      <c r="N514" s="72"/>
      <c r="O514" s="72"/>
      <c r="P514" s="72"/>
      <c r="Q514" s="72"/>
      <c r="R514" s="72"/>
      <c r="S514" s="72"/>
      <c r="T514" s="72"/>
      <c r="U514" s="72"/>
      <c r="V514" s="72"/>
      <c r="W514" s="72"/>
      <c r="X514" s="72"/>
      <c r="Y514" s="72"/>
      <c r="Z514" s="72"/>
      <c r="AA514" s="72"/>
      <c r="AB514" s="72"/>
      <c r="AC514" s="72"/>
      <c r="AD514" s="72"/>
      <c r="AE514" s="72"/>
      <c r="AF514" s="72"/>
      <c r="AG514" s="72"/>
      <c r="AH514" s="72"/>
      <c r="AI514" s="72"/>
      <c r="AJ514" s="72"/>
      <c r="AK514" s="72"/>
      <c r="AL514" s="72"/>
      <c r="AM514" s="72"/>
      <c r="AN514" s="72"/>
      <c r="AO514" s="72"/>
      <c r="AP514" s="72"/>
      <c r="AQ514" s="72"/>
      <c r="AR514" s="72"/>
      <c r="AS514" s="72"/>
      <c r="AT514" s="72"/>
      <c r="AU514" s="72"/>
      <c r="AV514" s="72"/>
      <c r="AX514" s="92"/>
      <c r="AY514" s="92"/>
    </row>
    <row r="515" spans="1:58" s="37" customFormat="1" ht="16.5" customHeight="1" x14ac:dyDescent="0.3">
      <c r="A515" s="72"/>
      <c r="B515" s="72"/>
      <c r="C515" s="72"/>
      <c r="D515" s="72"/>
      <c r="E515" s="72"/>
      <c r="F515" s="72"/>
      <c r="G515" s="72"/>
      <c r="H515" s="72"/>
      <c r="I515" s="72"/>
      <c r="J515" s="72"/>
      <c r="K515" s="72"/>
      <c r="L515" s="72"/>
      <c r="M515" s="72"/>
      <c r="N515" s="72"/>
      <c r="O515" s="72"/>
      <c r="P515" s="72"/>
      <c r="Q515" s="72"/>
      <c r="R515" s="72"/>
      <c r="S515" s="72"/>
      <c r="T515" s="72"/>
      <c r="U515" s="72"/>
      <c r="V515" s="72"/>
      <c r="W515" s="72"/>
      <c r="X515" s="72"/>
      <c r="Y515" s="72"/>
      <c r="Z515" s="72"/>
      <c r="AA515" s="72"/>
      <c r="AB515" s="72"/>
      <c r="AC515" s="72"/>
      <c r="AD515" s="72"/>
      <c r="AE515" s="72"/>
      <c r="AF515" s="72"/>
      <c r="AG515" s="72"/>
      <c r="AH515" s="72"/>
      <c r="AI515" s="72"/>
      <c r="AJ515" s="72"/>
      <c r="AK515" s="72"/>
      <c r="AL515" s="72"/>
      <c r="AM515" s="72"/>
      <c r="AN515" s="72"/>
      <c r="AO515" s="72"/>
      <c r="AP515" s="72"/>
      <c r="AQ515" s="72"/>
      <c r="AR515" s="72"/>
      <c r="AS515" s="72"/>
      <c r="AT515" s="72"/>
      <c r="AU515" s="72"/>
      <c r="AV515" s="72"/>
      <c r="AX515" s="92"/>
      <c r="AY515" s="92"/>
    </row>
    <row r="516" spans="1:58" s="37" customFormat="1" ht="16.5" customHeight="1" x14ac:dyDescent="0.3">
      <c r="A516" s="72"/>
      <c r="B516" s="72"/>
      <c r="C516" s="72"/>
      <c r="D516" s="72"/>
      <c r="E516" s="72"/>
      <c r="F516" s="72"/>
      <c r="G516" s="72"/>
      <c r="H516" s="72"/>
      <c r="I516" s="72"/>
      <c r="J516" s="72"/>
      <c r="K516" s="72"/>
      <c r="L516" s="72"/>
      <c r="M516" s="72"/>
      <c r="N516" s="72"/>
      <c r="O516" s="72"/>
      <c r="P516" s="72"/>
      <c r="Q516" s="72"/>
      <c r="R516" s="72"/>
      <c r="S516" s="72"/>
      <c r="T516" s="72"/>
      <c r="U516" s="72"/>
      <c r="V516" s="72"/>
      <c r="W516" s="72"/>
      <c r="X516" s="72"/>
      <c r="Y516" s="72"/>
      <c r="Z516" s="72"/>
      <c r="AA516" s="72"/>
      <c r="AB516" s="72"/>
      <c r="AC516" s="72"/>
      <c r="AD516" s="72"/>
      <c r="AE516" s="72"/>
      <c r="AF516" s="72"/>
      <c r="AG516" s="72"/>
      <c r="AH516" s="72"/>
      <c r="AI516" s="72"/>
      <c r="AJ516" s="72"/>
      <c r="AK516" s="72"/>
      <c r="AL516" s="72"/>
      <c r="AM516" s="72"/>
      <c r="AN516" s="72"/>
      <c r="AO516" s="72"/>
      <c r="AP516" s="72"/>
      <c r="AQ516" s="72"/>
      <c r="AR516" s="72"/>
      <c r="AS516" s="72"/>
      <c r="AT516" s="72"/>
      <c r="AU516" s="72"/>
      <c r="AV516" s="72"/>
      <c r="AX516" s="92"/>
      <c r="AY516" s="92"/>
    </row>
    <row r="517" spans="1:58" s="37" customFormat="1" ht="16.5" customHeight="1" x14ac:dyDescent="0.3">
      <c r="A517" s="72"/>
      <c r="B517" s="72"/>
      <c r="C517" s="72"/>
      <c r="D517" s="72"/>
      <c r="E517" s="72"/>
      <c r="F517" s="72"/>
      <c r="G517" s="72"/>
      <c r="H517" s="72"/>
      <c r="I517" s="72"/>
      <c r="J517" s="72"/>
      <c r="K517" s="72"/>
      <c r="L517" s="72"/>
      <c r="M517" s="72"/>
      <c r="N517" s="72"/>
      <c r="O517" s="72"/>
      <c r="P517" s="72"/>
      <c r="Q517" s="72"/>
      <c r="R517" s="72"/>
      <c r="S517" s="72"/>
      <c r="T517" s="72"/>
      <c r="U517" s="72"/>
      <c r="V517" s="72"/>
      <c r="W517" s="72"/>
      <c r="X517" s="72"/>
      <c r="Y517" s="72"/>
      <c r="Z517" s="72"/>
      <c r="AA517" s="72"/>
      <c r="AB517" s="72"/>
      <c r="AC517" s="72"/>
      <c r="AD517" s="72"/>
      <c r="AE517" s="72"/>
      <c r="AF517" s="72"/>
      <c r="AG517" s="72"/>
      <c r="AH517" s="72"/>
      <c r="AI517" s="72"/>
      <c r="AJ517" s="72"/>
      <c r="AK517" s="72"/>
      <c r="AL517" s="72"/>
      <c r="AM517" s="72"/>
      <c r="AN517" s="72"/>
      <c r="AO517" s="72"/>
      <c r="AP517" s="72"/>
      <c r="AQ517" s="72"/>
      <c r="AR517" s="72"/>
      <c r="AS517" s="72"/>
      <c r="AT517" s="72"/>
      <c r="AU517" s="72"/>
      <c r="AV517" s="72"/>
      <c r="AX517" s="92"/>
      <c r="AY517" s="92"/>
    </row>
    <row r="518" spans="1:58" s="37" customFormat="1" ht="16.5" customHeight="1" x14ac:dyDescent="0.3">
      <c r="A518" s="72"/>
      <c r="B518" s="72"/>
      <c r="C518" s="72"/>
      <c r="D518" s="72"/>
      <c r="E518" s="72"/>
      <c r="F518" s="72"/>
      <c r="G518" s="72"/>
      <c r="H518" s="72"/>
      <c r="I518" s="72"/>
      <c r="J518" s="72"/>
      <c r="K518" s="72"/>
      <c r="L518" s="72"/>
      <c r="M518" s="72"/>
      <c r="N518" s="72"/>
      <c r="O518" s="72"/>
      <c r="P518" s="72"/>
      <c r="Q518" s="72"/>
      <c r="R518" s="72"/>
      <c r="S518" s="72"/>
      <c r="T518" s="72"/>
      <c r="U518" s="72"/>
      <c r="V518" s="72"/>
      <c r="W518" s="72"/>
      <c r="X518" s="72"/>
      <c r="Y518" s="72"/>
      <c r="Z518" s="72"/>
      <c r="AA518" s="72"/>
      <c r="AB518" s="72"/>
      <c r="AC518" s="72"/>
      <c r="AD518" s="72"/>
      <c r="AE518" s="72"/>
      <c r="AF518" s="72"/>
      <c r="AG518" s="72"/>
      <c r="AH518" s="72"/>
      <c r="AI518" s="72"/>
      <c r="AJ518" s="72"/>
      <c r="AK518" s="72"/>
      <c r="AL518" s="72"/>
      <c r="AM518" s="72"/>
      <c r="AN518" s="72"/>
      <c r="AO518" s="72"/>
      <c r="AP518" s="72"/>
      <c r="AQ518" s="72"/>
      <c r="AR518" s="72"/>
      <c r="AS518" s="72"/>
      <c r="AT518" s="72"/>
      <c r="AU518" s="72"/>
      <c r="AV518" s="72"/>
      <c r="AX518" s="92"/>
      <c r="AY518" s="92"/>
    </row>
    <row r="519" spans="1:58" s="37" customFormat="1" ht="16.5" customHeight="1" x14ac:dyDescent="0.3">
      <c r="A519" s="72"/>
      <c r="B519" s="72"/>
      <c r="C519" s="72"/>
      <c r="D519" s="72"/>
      <c r="E519" s="72"/>
      <c r="F519" s="72"/>
      <c r="G519" s="72"/>
      <c r="H519" s="72"/>
      <c r="I519" s="72"/>
      <c r="J519" s="72"/>
      <c r="K519" s="72"/>
      <c r="L519" s="72"/>
      <c r="M519" s="72"/>
      <c r="N519" s="72"/>
      <c r="O519" s="72"/>
      <c r="P519" s="72"/>
      <c r="Q519" s="72"/>
      <c r="R519" s="72"/>
      <c r="S519" s="72"/>
      <c r="T519" s="72"/>
      <c r="U519" s="72"/>
      <c r="V519" s="72"/>
      <c r="W519" s="72"/>
      <c r="X519" s="72"/>
      <c r="Y519" s="72"/>
      <c r="Z519" s="72"/>
      <c r="AA519" s="72"/>
      <c r="AB519" s="72"/>
      <c r="AC519" s="72"/>
      <c r="AD519" s="72"/>
      <c r="AE519" s="72"/>
      <c r="AF519" s="72"/>
      <c r="AG519" s="72"/>
      <c r="AH519" s="72"/>
      <c r="AI519" s="72"/>
      <c r="AJ519" s="72"/>
      <c r="AK519" s="72"/>
      <c r="AL519" s="72"/>
      <c r="AM519" s="72"/>
      <c r="AN519" s="72"/>
      <c r="AO519" s="72"/>
      <c r="AP519" s="72"/>
      <c r="AQ519" s="72"/>
      <c r="AR519" s="72"/>
      <c r="AS519" s="72"/>
      <c r="AT519" s="72"/>
      <c r="AU519" s="72"/>
      <c r="AV519" s="72"/>
      <c r="AX519" s="92"/>
      <c r="AY519" s="92"/>
    </row>
    <row r="520" spans="1:58" s="37" customFormat="1" ht="16.5" customHeight="1" x14ac:dyDescent="0.3">
      <c r="A520" s="72"/>
      <c r="B520" s="72"/>
      <c r="C520" s="72"/>
      <c r="D520" s="72"/>
      <c r="E520" s="72"/>
      <c r="F520" s="72"/>
      <c r="G520" s="72"/>
      <c r="H520" s="72"/>
      <c r="I520" s="72"/>
      <c r="J520" s="72"/>
      <c r="K520" s="72"/>
      <c r="L520" s="72"/>
      <c r="M520" s="72"/>
      <c r="N520" s="72"/>
      <c r="O520" s="72"/>
      <c r="P520" s="72"/>
      <c r="Q520" s="72"/>
      <c r="R520" s="72"/>
      <c r="S520" s="72"/>
      <c r="T520" s="72"/>
      <c r="U520" s="72"/>
      <c r="V520" s="72"/>
      <c r="W520" s="72"/>
      <c r="X520" s="72"/>
      <c r="Y520" s="72"/>
      <c r="Z520" s="72"/>
      <c r="AA520" s="72"/>
      <c r="AB520" s="72"/>
      <c r="AC520" s="72"/>
      <c r="AD520" s="72"/>
      <c r="AE520" s="72"/>
      <c r="AF520" s="72"/>
      <c r="AG520" s="72"/>
      <c r="AH520" s="72"/>
      <c r="AI520" s="72"/>
      <c r="AJ520" s="72"/>
      <c r="AK520" s="72"/>
      <c r="AL520" s="72"/>
      <c r="AM520" s="72"/>
      <c r="AN520" s="72"/>
      <c r="AO520" s="72"/>
      <c r="AP520" s="72"/>
      <c r="AQ520" s="72"/>
      <c r="AR520" s="72"/>
      <c r="AS520" s="72"/>
      <c r="AT520" s="72"/>
      <c r="AU520" s="72"/>
      <c r="AV520" s="72"/>
      <c r="AX520" s="92"/>
      <c r="AY520" s="92"/>
    </row>
    <row r="521" spans="1:58" s="37" customFormat="1" ht="16.5" customHeight="1" x14ac:dyDescent="0.3">
      <c r="A521" s="72"/>
      <c r="B521" s="72"/>
      <c r="C521" s="72"/>
      <c r="D521" s="72"/>
      <c r="E521" s="72"/>
      <c r="F521" s="72"/>
      <c r="G521" s="72"/>
      <c r="H521" s="72"/>
      <c r="I521" s="72"/>
      <c r="J521" s="72"/>
      <c r="K521" s="72"/>
      <c r="L521" s="72"/>
      <c r="M521" s="72"/>
      <c r="N521" s="72"/>
      <c r="O521" s="72"/>
      <c r="P521" s="72"/>
      <c r="Q521" s="72"/>
      <c r="R521" s="72"/>
      <c r="S521" s="72"/>
      <c r="T521" s="72"/>
      <c r="U521" s="72"/>
      <c r="V521" s="72"/>
      <c r="W521" s="72"/>
      <c r="X521" s="72"/>
      <c r="Y521" s="72"/>
      <c r="Z521" s="72"/>
      <c r="AA521" s="72"/>
      <c r="AB521" s="72"/>
      <c r="AC521" s="72"/>
      <c r="AD521" s="72"/>
      <c r="AE521" s="72"/>
      <c r="AF521" s="72"/>
      <c r="AG521" s="72"/>
      <c r="AH521" s="72"/>
      <c r="AI521" s="72"/>
      <c r="AJ521" s="72"/>
      <c r="AK521" s="72"/>
      <c r="AL521" s="72"/>
      <c r="AM521" s="72"/>
      <c r="AN521" s="72"/>
      <c r="AO521" s="72"/>
      <c r="AP521" s="72"/>
      <c r="AQ521" s="72"/>
      <c r="AR521" s="72"/>
      <c r="AS521" s="72"/>
      <c r="AT521" s="72"/>
      <c r="AU521" s="72"/>
      <c r="AV521" s="72"/>
      <c r="AX521" s="92"/>
      <c r="AY521" s="92"/>
    </row>
    <row r="522" spans="1:58" s="37" customFormat="1" ht="16.5" customHeight="1" x14ac:dyDescent="0.3">
      <c r="A522" s="72"/>
      <c r="B522" s="72"/>
      <c r="C522" s="72"/>
      <c r="D522" s="72"/>
      <c r="E522" s="72"/>
      <c r="F522" s="72"/>
      <c r="G522" s="72"/>
      <c r="H522" s="72"/>
      <c r="I522" s="72"/>
      <c r="J522" s="72"/>
      <c r="K522" s="72"/>
      <c r="L522" s="72"/>
      <c r="M522" s="72"/>
      <c r="N522" s="72"/>
      <c r="O522" s="72"/>
      <c r="P522" s="72"/>
      <c r="Q522" s="72"/>
      <c r="R522" s="72"/>
      <c r="S522" s="72"/>
      <c r="T522" s="72"/>
      <c r="U522" s="72"/>
      <c r="V522" s="72"/>
      <c r="W522" s="72"/>
      <c r="X522" s="72"/>
      <c r="Y522" s="72"/>
      <c r="Z522" s="72"/>
      <c r="AA522" s="72"/>
      <c r="AB522" s="72"/>
      <c r="AC522" s="72"/>
      <c r="AD522" s="72"/>
      <c r="AE522" s="72"/>
      <c r="AF522" s="72"/>
      <c r="AG522" s="72"/>
      <c r="AH522" s="72"/>
      <c r="AI522" s="72"/>
      <c r="AJ522" s="72"/>
      <c r="AK522" s="72"/>
      <c r="AL522" s="72"/>
      <c r="AM522" s="72"/>
      <c r="AN522" s="72"/>
      <c r="AO522" s="72"/>
      <c r="AP522" s="72"/>
      <c r="AQ522" s="72"/>
      <c r="AR522" s="72"/>
      <c r="AS522" s="72"/>
      <c r="AT522" s="72"/>
      <c r="AU522" s="72"/>
      <c r="AV522" s="72"/>
      <c r="AX522" s="92"/>
      <c r="AY522" s="92"/>
    </row>
    <row r="523" spans="1:58" s="37" customFormat="1" ht="16.5" customHeight="1" x14ac:dyDescent="0.3">
      <c r="A523" s="72"/>
      <c r="B523" s="72"/>
      <c r="C523" s="72"/>
      <c r="D523" s="72"/>
      <c r="E523" s="72"/>
      <c r="F523" s="72"/>
      <c r="G523" s="72"/>
      <c r="H523" s="72"/>
      <c r="I523" s="72"/>
      <c r="J523" s="72"/>
      <c r="K523" s="72"/>
      <c r="L523" s="72"/>
      <c r="M523" s="72"/>
      <c r="N523" s="72"/>
      <c r="O523" s="72"/>
      <c r="P523" s="72"/>
      <c r="Q523" s="72"/>
      <c r="R523" s="72"/>
      <c r="S523" s="72"/>
      <c r="T523" s="72"/>
      <c r="U523" s="72"/>
      <c r="V523" s="72"/>
      <c r="W523" s="72"/>
      <c r="X523" s="72"/>
      <c r="Y523" s="72"/>
      <c r="Z523" s="72"/>
      <c r="AA523" s="72"/>
      <c r="AB523" s="72"/>
      <c r="AC523" s="72"/>
      <c r="AD523" s="72"/>
      <c r="AE523" s="72"/>
      <c r="AF523" s="72"/>
      <c r="AG523" s="72"/>
      <c r="AH523" s="72"/>
      <c r="AI523" s="72"/>
      <c r="AJ523" s="72"/>
      <c r="AK523" s="72"/>
      <c r="AL523" s="72"/>
      <c r="AM523" s="72"/>
      <c r="AN523" s="72"/>
      <c r="AO523" s="72"/>
      <c r="AP523" s="72"/>
      <c r="AQ523" s="72"/>
      <c r="AR523" s="72"/>
      <c r="AS523" s="72"/>
      <c r="AT523" s="72"/>
      <c r="AU523" s="72"/>
      <c r="AV523" s="72"/>
      <c r="AX523" s="92"/>
      <c r="AY523" s="92"/>
    </row>
    <row r="524" spans="1:58" s="37" customFormat="1" ht="16.5" customHeight="1" x14ac:dyDescent="0.3">
      <c r="A524" s="72"/>
      <c r="B524" s="72"/>
      <c r="C524" s="72"/>
      <c r="D524" s="72"/>
      <c r="E524" s="72"/>
      <c r="F524" s="72"/>
      <c r="G524" s="72"/>
      <c r="H524" s="72"/>
      <c r="I524" s="72"/>
      <c r="J524" s="72"/>
      <c r="K524" s="72"/>
      <c r="L524" s="72"/>
      <c r="M524" s="72"/>
      <c r="N524" s="72"/>
      <c r="O524" s="72"/>
      <c r="P524" s="72"/>
      <c r="Q524" s="72"/>
      <c r="R524" s="72"/>
      <c r="S524" s="72"/>
      <c r="T524" s="72"/>
      <c r="U524" s="72"/>
      <c r="V524" s="72"/>
      <c r="W524" s="72"/>
      <c r="X524" s="72"/>
      <c r="Y524" s="72"/>
      <c r="Z524" s="72"/>
      <c r="AA524" s="72"/>
      <c r="AB524" s="72"/>
      <c r="AC524" s="72"/>
      <c r="AD524" s="72"/>
      <c r="AE524" s="72"/>
      <c r="AF524" s="72"/>
      <c r="AG524" s="72"/>
      <c r="AH524" s="72"/>
      <c r="AI524" s="72"/>
      <c r="AJ524" s="72"/>
      <c r="AK524" s="72"/>
      <c r="AL524" s="72"/>
      <c r="AM524" s="72"/>
      <c r="AN524" s="72"/>
      <c r="AO524" s="72"/>
      <c r="AP524" s="72"/>
      <c r="AQ524" s="72"/>
      <c r="AR524" s="72"/>
      <c r="AS524" s="72"/>
      <c r="AT524" s="72"/>
      <c r="AU524" s="72"/>
      <c r="AV524" s="72"/>
      <c r="AX524" s="92"/>
      <c r="AY524" s="92"/>
    </row>
    <row r="525" spans="1:58" s="37" customFormat="1" ht="16.5" customHeight="1" x14ac:dyDescent="0.3">
      <c r="A525" s="72"/>
      <c r="B525" s="72"/>
      <c r="C525" s="72"/>
      <c r="D525" s="72"/>
      <c r="E525" s="72"/>
      <c r="F525" s="72"/>
      <c r="G525" s="72"/>
      <c r="H525" s="72"/>
      <c r="I525" s="72"/>
      <c r="J525" s="72"/>
      <c r="K525" s="72"/>
      <c r="L525" s="72"/>
      <c r="M525" s="72"/>
      <c r="N525" s="72"/>
      <c r="O525" s="72"/>
      <c r="P525" s="72"/>
      <c r="Q525" s="72"/>
      <c r="R525" s="72"/>
      <c r="S525" s="72"/>
      <c r="T525" s="72"/>
      <c r="U525" s="72"/>
      <c r="V525" s="72"/>
      <c r="W525" s="72"/>
      <c r="X525" s="72"/>
      <c r="Y525" s="72"/>
      <c r="Z525" s="72"/>
      <c r="AA525" s="72"/>
      <c r="AB525" s="72"/>
      <c r="AC525" s="72"/>
      <c r="AD525" s="72"/>
      <c r="AE525" s="72"/>
      <c r="AF525" s="72"/>
      <c r="AG525" s="72"/>
      <c r="AH525" s="72"/>
      <c r="AI525" s="72"/>
      <c r="AJ525" s="72"/>
      <c r="AK525" s="72"/>
      <c r="AL525" s="72"/>
      <c r="AM525" s="72"/>
      <c r="AN525" s="72"/>
      <c r="AO525" s="72"/>
      <c r="AP525" s="72"/>
      <c r="AQ525" s="72"/>
      <c r="AR525" s="72"/>
      <c r="AS525" s="72"/>
      <c r="AT525" s="72"/>
      <c r="AU525" s="72"/>
      <c r="AV525" s="72"/>
      <c r="AX525" s="92"/>
      <c r="AY525" s="92"/>
    </row>
    <row r="526" spans="1:58" s="37" customFormat="1" ht="16.5" customHeight="1" x14ac:dyDescent="0.3">
      <c r="A526" s="72"/>
      <c r="B526" s="72"/>
      <c r="C526" s="72"/>
      <c r="D526" s="72"/>
      <c r="E526" s="72"/>
      <c r="F526" s="72"/>
      <c r="G526" s="72"/>
      <c r="H526" s="72"/>
      <c r="I526" s="72"/>
      <c r="J526" s="72"/>
      <c r="K526" s="72"/>
      <c r="L526" s="72"/>
      <c r="M526" s="72"/>
      <c r="N526" s="72"/>
      <c r="O526" s="72"/>
      <c r="P526" s="72"/>
      <c r="Q526" s="72"/>
      <c r="R526" s="72"/>
      <c r="S526" s="72"/>
      <c r="T526" s="72"/>
      <c r="U526" s="72"/>
      <c r="V526" s="72"/>
      <c r="W526" s="72"/>
      <c r="X526" s="72"/>
      <c r="Y526" s="72"/>
      <c r="Z526" s="72"/>
      <c r="AA526" s="72"/>
      <c r="AB526" s="72"/>
      <c r="AC526" s="72"/>
      <c r="AD526" s="72"/>
      <c r="AE526" s="72"/>
      <c r="AF526" s="72"/>
      <c r="AG526" s="72"/>
      <c r="AH526" s="72"/>
      <c r="AI526" s="72"/>
      <c r="AJ526" s="72"/>
      <c r="AK526" s="72"/>
      <c r="AL526" s="72"/>
      <c r="AM526" s="72"/>
      <c r="AN526" s="72"/>
      <c r="AO526" s="72"/>
      <c r="AP526" s="72"/>
      <c r="AQ526" s="72"/>
      <c r="AR526" s="72"/>
      <c r="AS526" s="72"/>
      <c r="AT526" s="72"/>
      <c r="AU526" s="72"/>
      <c r="AV526" s="72"/>
      <c r="AX526" s="92"/>
      <c r="AY526" s="92"/>
    </row>
    <row r="527" spans="1:58" s="37" customFormat="1" ht="16.5" customHeight="1" x14ac:dyDescent="0.3">
      <c r="A527" s="72"/>
      <c r="B527" s="72"/>
      <c r="C527" s="72"/>
      <c r="D527" s="72"/>
      <c r="E527" s="72"/>
      <c r="F527" s="72"/>
      <c r="G527" s="72"/>
      <c r="H527" s="72"/>
      <c r="I527" s="72"/>
      <c r="J527" s="72"/>
      <c r="K527" s="72"/>
      <c r="L527" s="72"/>
      <c r="M527" s="72"/>
      <c r="N527" s="72"/>
      <c r="O527" s="72"/>
      <c r="P527" s="72"/>
      <c r="Q527" s="72"/>
      <c r="R527" s="72"/>
      <c r="S527" s="72"/>
      <c r="T527" s="72"/>
      <c r="U527" s="72"/>
      <c r="V527" s="72"/>
      <c r="W527" s="72"/>
      <c r="X527" s="72"/>
      <c r="Y527" s="72"/>
      <c r="Z527" s="72"/>
      <c r="AA527" s="72"/>
      <c r="AB527" s="72"/>
      <c r="AC527" s="72"/>
      <c r="AD527" s="72"/>
      <c r="AE527" s="72"/>
      <c r="AF527" s="72"/>
      <c r="AG527" s="72"/>
      <c r="AH527" s="72"/>
      <c r="AI527" s="72"/>
      <c r="AJ527" s="72"/>
      <c r="AK527" s="72"/>
      <c r="AL527" s="72"/>
      <c r="AM527" s="72"/>
      <c r="AN527" s="72"/>
      <c r="AO527" s="72"/>
      <c r="AP527" s="72"/>
      <c r="AQ527" s="72"/>
      <c r="AR527" s="72"/>
      <c r="AS527" s="72"/>
      <c r="AT527" s="72"/>
      <c r="AU527" s="72"/>
      <c r="AV527" s="72"/>
      <c r="AX527" s="92"/>
      <c r="AY527" s="92"/>
    </row>
    <row r="528" spans="1:58" s="37" customFormat="1" ht="16.5" customHeight="1" x14ac:dyDescent="0.3">
      <c r="A528" s="72"/>
      <c r="B528" s="72"/>
      <c r="C528" s="72"/>
      <c r="D528" s="72"/>
      <c r="E528" s="72"/>
      <c r="F528" s="72"/>
      <c r="G528" s="72"/>
      <c r="H528" s="72"/>
      <c r="I528" s="72"/>
      <c r="J528" s="72"/>
      <c r="K528" s="72"/>
      <c r="L528" s="72"/>
      <c r="M528" s="72"/>
      <c r="N528" s="72"/>
      <c r="O528" s="72"/>
      <c r="P528" s="72"/>
      <c r="Q528" s="72"/>
      <c r="R528" s="72"/>
      <c r="S528" s="72"/>
      <c r="T528" s="72"/>
      <c r="U528" s="72"/>
      <c r="V528" s="72"/>
      <c r="W528" s="72"/>
      <c r="X528" s="72"/>
      <c r="Y528" s="72"/>
      <c r="Z528" s="72"/>
      <c r="AA528" s="72"/>
      <c r="AB528" s="72"/>
      <c r="AC528" s="72"/>
      <c r="AD528" s="72"/>
      <c r="AE528" s="72"/>
      <c r="AF528" s="72"/>
      <c r="AG528" s="72"/>
      <c r="AH528" s="72"/>
      <c r="AI528" s="72"/>
      <c r="AJ528" s="72"/>
      <c r="AK528" s="72"/>
      <c r="AL528" s="72"/>
      <c r="AM528" s="72"/>
      <c r="AN528" s="72"/>
      <c r="AO528" s="72"/>
      <c r="AP528" s="72"/>
      <c r="AQ528" s="72"/>
      <c r="AR528" s="72"/>
      <c r="AS528" s="72"/>
      <c r="AT528" s="72"/>
      <c r="AU528" s="72"/>
      <c r="AV528" s="72"/>
      <c r="AX528" s="92"/>
      <c r="AY528" s="92"/>
      <c r="AZ528" s="92"/>
      <c r="BA528" s="76" t="s">
        <v>492</v>
      </c>
      <c r="BB528" s="93">
        <v>0</v>
      </c>
      <c r="BC528" s="93">
        <v>0</v>
      </c>
      <c r="BD528" s="93">
        <v>0</v>
      </c>
      <c r="BE528" s="93">
        <v>0</v>
      </c>
      <c r="BF528" s="93">
        <v>0</v>
      </c>
    </row>
    <row r="529" spans="1:58" s="37" customFormat="1" ht="16.5" customHeight="1" x14ac:dyDescent="0.3">
      <c r="A529" s="72"/>
      <c r="B529" s="72"/>
      <c r="C529" s="72"/>
      <c r="D529" s="72"/>
      <c r="E529" s="72"/>
      <c r="F529" s="72"/>
      <c r="G529" s="72"/>
      <c r="H529" s="72"/>
      <c r="I529" s="72"/>
      <c r="J529" s="72"/>
      <c r="K529" s="72"/>
      <c r="L529" s="72"/>
      <c r="M529" s="72"/>
      <c r="N529" s="72"/>
      <c r="O529" s="72"/>
      <c r="P529" s="72"/>
      <c r="Q529" s="72"/>
      <c r="R529" s="72"/>
      <c r="S529" s="72"/>
      <c r="T529" s="72"/>
      <c r="U529" s="72"/>
      <c r="V529" s="72"/>
      <c r="W529" s="72"/>
      <c r="X529" s="72"/>
      <c r="Y529" s="72"/>
      <c r="Z529" s="72"/>
      <c r="AA529" s="72"/>
      <c r="AB529" s="72"/>
      <c r="AC529" s="72"/>
      <c r="AD529" s="72"/>
      <c r="AE529" s="72"/>
      <c r="AF529" s="72"/>
      <c r="AG529" s="72"/>
      <c r="AH529" s="72"/>
      <c r="AI529" s="72"/>
      <c r="AJ529" s="72"/>
      <c r="AK529" s="72"/>
      <c r="AL529" s="72"/>
      <c r="AM529" s="72"/>
      <c r="AN529" s="72"/>
      <c r="AO529" s="72"/>
      <c r="AP529" s="72"/>
      <c r="AQ529" s="72"/>
      <c r="AR529" s="72"/>
      <c r="AS529" s="72"/>
      <c r="AT529" s="72"/>
      <c r="AU529" s="72"/>
      <c r="AV529" s="72"/>
      <c r="AX529" s="92"/>
      <c r="AY529" s="92"/>
      <c r="AZ529" s="92"/>
      <c r="BA529" s="76" t="s">
        <v>493</v>
      </c>
      <c r="BB529" s="93">
        <v>0</v>
      </c>
      <c r="BC529" s="93">
        <v>0</v>
      </c>
      <c r="BD529" s="93">
        <v>0</v>
      </c>
      <c r="BE529" s="93">
        <v>0</v>
      </c>
      <c r="BF529" s="93">
        <v>0</v>
      </c>
    </row>
    <row r="530" spans="1:58" s="37" customFormat="1" ht="16.5" customHeight="1" x14ac:dyDescent="0.3">
      <c r="A530" s="72"/>
      <c r="B530" s="72"/>
      <c r="C530" s="72"/>
      <c r="D530" s="72"/>
      <c r="E530" s="72"/>
      <c r="F530" s="72"/>
      <c r="G530" s="72"/>
      <c r="H530" s="72"/>
      <c r="I530" s="72"/>
      <c r="J530" s="72"/>
      <c r="K530" s="72"/>
      <c r="L530" s="72"/>
      <c r="M530" s="72"/>
      <c r="N530" s="72"/>
      <c r="O530" s="72"/>
      <c r="P530" s="72"/>
      <c r="Q530" s="72"/>
      <c r="R530" s="72"/>
      <c r="S530" s="72"/>
      <c r="T530" s="72"/>
      <c r="U530" s="72"/>
      <c r="V530" s="72"/>
      <c r="W530" s="72"/>
      <c r="X530" s="72"/>
      <c r="Y530" s="72"/>
      <c r="Z530" s="72"/>
      <c r="AA530" s="72"/>
      <c r="AB530" s="72"/>
      <c r="AC530" s="72"/>
      <c r="AD530" s="72"/>
      <c r="AE530" s="72"/>
      <c r="AF530" s="72"/>
      <c r="AG530" s="72"/>
      <c r="AH530" s="72"/>
      <c r="AI530" s="72"/>
      <c r="AJ530" s="72"/>
      <c r="AK530" s="72"/>
      <c r="AL530" s="72"/>
      <c r="AM530" s="72"/>
      <c r="AN530" s="72"/>
      <c r="AO530" s="72"/>
      <c r="AP530" s="72"/>
      <c r="AQ530" s="72"/>
      <c r="AR530" s="72"/>
      <c r="AS530" s="72"/>
      <c r="AT530" s="72"/>
      <c r="AU530" s="72"/>
      <c r="AV530" s="72"/>
      <c r="AX530" s="92"/>
      <c r="AY530" s="92"/>
      <c r="AZ530" s="92"/>
      <c r="BA530" s="76" t="s">
        <v>494</v>
      </c>
      <c r="BB530" s="93">
        <v>0</v>
      </c>
      <c r="BC530" s="93">
        <v>0</v>
      </c>
      <c r="BD530" s="93">
        <v>0</v>
      </c>
      <c r="BE530" s="93">
        <v>0</v>
      </c>
      <c r="BF530" s="93">
        <v>0</v>
      </c>
    </row>
    <row r="531" spans="1:58" s="37" customFormat="1" ht="16.5" customHeight="1" x14ac:dyDescent="0.3">
      <c r="A531" s="72"/>
      <c r="B531" s="72"/>
      <c r="C531" s="72"/>
      <c r="D531" s="72"/>
      <c r="E531" s="72"/>
      <c r="F531" s="72"/>
      <c r="G531" s="72"/>
      <c r="H531" s="72"/>
      <c r="I531" s="72"/>
      <c r="J531" s="72"/>
      <c r="K531" s="72"/>
      <c r="L531" s="72"/>
      <c r="M531" s="72"/>
      <c r="N531" s="72"/>
      <c r="O531" s="72"/>
      <c r="P531" s="72"/>
      <c r="Q531" s="72"/>
      <c r="R531" s="72"/>
      <c r="S531" s="72"/>
      <c r="T531" s="72"/>
      <c r="U531" s="72"/>
      <c r="V531" s="72"/>
      <c r="W531" s="72"/>
      <c r="X531" s="72"/>
      <c r="Y531" s="72"/>
      <c r="Z531" s="72"/>
      <c r="AA531" s="72"/>
      <c r="AB531" s="72"/>
      <c r="AC531" s="72"/>
      <c r="AD531" s="72"/>
      <c r="AE531" s="72"/>
      <c r="AF531" s="72"/>
      <c r="AG531" s="72"/>
      <c r="AH531" s="72"/>
      <c r="AI531" s="72"/>
      <c r="AJ531" s="72"/>
      <c r="AK531" s="72"/>
      <c r="AL531" s="72"/>
      <c r="AM531" s="72"/>
      <c r="AN531" s="72"/>
      <c r="AO531" s="72"/>
      <c r="AP531" s="72"/>
      <c r="AQ531" s="72"/>
      <c r="AR531" s="72"/>
      <c r="AS531" s="72"/>
      <c r="AT531" s="72"/>
      <c r="AU531" s="72"/>
      <c r="AV531" s="72"/>
      <c r="AX531" s="92"/>
      <c r="AY531" s="92"/>
      <c r="AZ531" s="92"/>
      <c r="BA531" s="2"/>
    </row>
    <row r="532" spans="1:58" s="37" customFormat="1" ht="16.5" customHeight="1" x14ac:dyDescent="0.3">
      <c r="A532" s="72"/>
      <c r="B532" s="72"/>
      <c r="C532" s="72"/>
      <c r="D532" s="72"/>
      <c r="E532" s="72"/>
      <c r="F532" s="72"/>
      <c r="G532" s="72"/>
      <c r="H532" s="72"/>
      <c r="I532" s="72"/>
      <c r="J532" s="72"/>
      <c r="K532" s="72"/>
      <c r="L532" s="72"/>
      <c r="M532" s="72"/>
      <c r="N532" s="72"/>
      <c r="O532" s="72"/>
      <c r="P532" s="72"/>
      <c r="Q532" s="72"/>
      <c r="R532" s="72"/>
      <c r="S532" s="72"/>
      <c r="T532" s="72"/>
      <c r="U532" s="72"/>
      <c r="V532" s="72"/>
      <c r="W532" s="72"/>
      <c r="X532" s="72"/>
      <c r="Y532" s="72"/>
      <c r="Z532" s="72"/>
      <c r="AA532" s="72"/>
      <c r="AB532" s="72"/>
      <c r="AC532" s="72"/>
      <c r="AD532" s="72"/>
      <c r="AE532" s="72"/>
      <c r="AF532" s="72"/>
      <c r="AG532" s="72"/>
      <c r="AH532" s="72"/>
      <c r="AI532" s="72"/>
      <c r="AJ532" s="72"/>
      <c r="AK532" s="72"/>
      <c r="AL532" s="72"/>
      <c r="AM532" s="72"/>
      <c r="AN532" s="72"/>
      <c r="AO532" s="72"/>
      <c r="AP532" s="72"/>
      <c r="AQ532" s="72"/>
      <c r="AR532" s="72"/>
      <c r="AS532" s="72"/>
      <c r="AT532" s="72"/>
      <c r="AU532" s="72"/>
      <c r="AV532" s="72"/>
      <c r="AX532" s="92"/>
      <c r="AY532" s="92"/>
      <c r="AZ532" s="92"/>
      <c r="BA532" s="76"/>
      <c r="BB532" s="76" t="s">
        <v>495</v>
      </c>
      <c r="BC532" s="76" t="s">
        <v>496</v>
      </c>
      <c r="BD532" s="76" t="s">
        <v>497</v>
      </c>
      <c r="BE532" s="76" t="s">
        <v>498</v>
      </c>
      <c r="BF532" s="76" t="s">
        <v>494</v>
      </c>
    </row>
    <row r="533" spans="1:58" s="37" customFormat="1" ht="16.5" customHeight="1" x14ac:dyDescent="0.3">
      <c r="A533" s="72"/>
      <c r="B533" s="72"/>
      <c r="C533" s="72"/>
      <c r="D533" s="72"/>
      <c r="E533" s="72"/>
      <c r="F533" s="72"/>
      <c r="G533" s="72"/>
      <c r="H533" s="72"/>
      <c r="I533" s="72"/>
      <c r="J533" s="72"/>
      <c r="K533" s="72"/>
      <c r="L533" s="72"/>
      <c r="M533" s="72"/>
      <c r="N533" s="72"/>
      <c r="O533" s="72"/>
      <c r="P533" s="72"/>
      <c r="Q533" s="72"/>
      <c r="R533" s="72"/>
      <c r="S533" s="72"/>
      <c r="T533" s="72"/>
      <c r="U533" s="72"/>
      <c r="V533" s="72"/>
      <c r="W533" s="72"/>
      <c r="X533" s="72"/>
      <c r="Y533" s="72"/>
      <c r="Z533" s="72"/>
      <c r="AA533" s="72"/>
      <c r="AB533" s="72"/>
      <c r="AC533" s="72"/>
      <c r="AD533" s="72"/>
      <c r="AE533" s="72"/>
      <c r="AF533" s="72"/>
      <c r="AG533" s="72"/>
      <c r="AH533" s="72"/>
      <c r="AI533" s="72"/>
      <c r="AJ533" s="72"/>
      <c r="AK533" s="72"/>
      <c r="AL533" s="72"/>
      <c r="AM533" s="72"/>
      <c r="AN533" s="72"/>
      <c r="AO533" s="72"/>
      <c r="AP533" s="72"/>
      <c r="AQ533" s="72"/>
      <c r="AR533" s="72"/>
      <c r="AS533" s="72"/>
      <c r="AT533" s="72"/>
      <c r="AU533" s="72"/>
      <c r="AV533" s="72"/>
      <c r="AX533" s="92"/>
      <c r="AY533" s="92"/>
      <c r="BA533" s="76" t="s">
        <v>492</v>
      </c>
      <c r="BB533" s="94" t="e">
        <v>#DIV/0!</v>
      </c>
      <c r="BC533" s="94" t="e">
        <v>#DIV/0!</v>
      </c>
      <c r="BD533" s="94" t="e">
        <v>#DIV/0!</v>
      </c>
      <c r="BE533" s="94" t="e">
        <v>#DIV/0!</v>
      </c>
      <c r="BF533" s="94" t="e">
        <v>#DIV/0!</v>
      </c>
    </row>
    <row r="534" spans="1:58" s="37" customFormat="1" ht="16.5" customHeight="1" x14ac:dyDescent="0.3">
      <c r="A534" s="72"/>
      <c r="B534" s="72"/>
      <c r="C534" s="72"/>
      <c r="D534" s="72"/>
      <c r="E534" s="72"/>
      <c r="F534" s="72"/>
      <c r="G534" s="72"/>
      <c r="H534" s="72"/>
      <c r="I534" s="72"/>
      <c r="J534" s="72"/>
      <c r="K534" s="72"/>
      <c r="L534" s="72"/>
      <c r="M534" s="72"/>
      <c r="N534" s="72"/>
      <c r="O534" s="72"/>
      <c r="P534" s="72"/>
      <c r="Q534" s="72"/>
      <c r="R534" s="72"/>
      <c r="S534" s="72"/>
      <c r="T534" s="72"/>
      <c r="U534" s="72"/>
      <c r="V534" s="72"/>
      <c r="W534" s="72"/>
      <c r="X534" s="72"/>
      <c r="Y534" s="72"/>
      <c r="Z534" s="72"/>
      <c r="AA534" s="72"/>
      <c r="AB534" s="72"/>
      <c r="AC534" s="72"/>
      <c r="AD534" s="72"/>
      <c r="AE534" s="72"/>
      <c r="AF534" s="72"/>
      <c r="AG534" s="72"/>
      <c r="AH534" s="72"/>
      <c r="AI534" s="72"/>
      <c r="AJ534" s="72"/>
      <c r="AK534" s="72"/>
      <c r="AL534" s="72"/>
      <c r="AM534" s="72"/>
      <c r="AN534" s="72"/>
      <c r="AO534" s="72"/>
      <c r="AP534" s="72"/>
      <c r="AQ534" s="72"/>
      <c r="AR534" s="72"/>
      <c r="AS534" s="72"/>
      <c r="AT534" s="72"/>
      <c r="AU534" s="72"/>
      <c r="AV534" s="72"/>
      <c r="AX534" s="92"/>
      <c r="AY534" s="92"/>
      <c r="BA534" s="76" t="s">
        <v>493</v>
      </c>
      <c r="BB534" s="94" t="e">
        <v>#DIV/0!</v>
      </c>
      <c r="BC534" s="94" t="e">
        <v>#DIV/0!</v>
      </c>
      <c r="BD534" s="94" t="e">
        <v>#DIV/0!</v>
      </c>
      <c r="BE534" s="94" t="e">
        <v>#DIV/0!</v>
      </c>
      <c r="BF534" s="94" t="e">
        <v>#DIV/0!</v>
      </c>
    </row>
    <row r="535" spans="1:58" s="37" customFormat="1" ht="16.5" customHeight="1" x14ac:dyDescent="0.3">
      <c r="A535" s="72"/>
      <c r="B535" s="72"/>
      <c r="C535" s="72"/>
      <c r="D535" s="72"/>
      <c r="E535" s="72"/>
      <c r="F535" s="72"/>
      <c r="G535" s="72"/>
      <c r="H535" s="72"/>
      <c r="I535" s="72"/>
      <c r="J535" s="72"/>
      <c r="K535" s="72"/>
      <c r="L535" s="72"/>
      <c r="M535" s="72"/>
      <c r="N535" s="72"/>
      <c r="O535" s="72"/>
      <c r="P535" s="72"/>
      <c r="Q535" s="72"/>
      <c r="R535" s="72"/>
      <c r="S535" s="72"/>
      <c r="T535" s="72"/>
      <c r="U535" s="72"/>
      <c r="V535" s="72"/>
      <c r="W535" s="72"/>
      <c r="X535" s="72"/>
      <c r="Y535" s="72"/>
      <c r="Z535" s="72"/>
      <c r="AA535" s="72"/>
      <c r="AB535" s="72"/>
      <c r="AC535" s="72"/>
      <c r="AD535" s="72"/>
      <c r="AE535" s="72"/>
      <c r="AF535" s="72"/>
      <c r="AG535" s="72"/>
      <c r="AH535" s="72"/>
      <c r="AI535" s="72"/>
      <c r="AJ535" s="72"/>
      <c r="AK535" s="72"/>
      <c r="AL535" s="72"/>
      <c r="AM535" s="72"/>
      <c r="AN535" s="72"/>
      <c r="AO535" s="72"/>
      <c r="AP535" s="72"/>
      <c r="AQ535" s="72"/>
      <c r="AR535" s="72"/>
      <c r="AS535" s="72"/>
      <c r="AT535" s="72"/>
      <c r="AU535" s="72"/>
      <c r="AV535" s="72"/>
      <c r="AX535" s="92"/>
      <c r="AY535" s="92"/>
      <c r="BA535" s="76" t="s">
        <v>494</v>
      </c>
      <c r="BB535" s="94" t="e">
        <v>#DIV/0!</v>
      </c>
      <c r="BC535" s="94" t="e">
        <v>#DIV/0!</v>
      </c>
      <c r="BD535" s="94" t="e">
        <v>#DIV/0!</v>
      </c>
      <c r="BE535" s="94" t="e">
        <v>#DIV/0!</v>
      </c>
      <c r="BF535" s="94" t="e">
        <v>#DIV/0!</v>
      </c>
    </row>
    <row r="536" spans="1:58" s="37" customFormat="1" ht="16.5" customHeight="1" x14ac:dyDescent="0.3">
      <c r="A536" s="72"/>
      <c r="B536" s="72"/>
      <c r="C536" s="72"/>
      <c r="D536" s="72"/>
      <c r="E536" s="72"/>
      <c r="F536" s="72"/>
      <c r="G536" s="72"/>
      <c r="H536" s="72"/>
      <c r="I536" s="72"/>
      <c r="J536" s="72"/>
      <c r="K536" s="72"/>
      <c r="L536" s="72"/>
      <c r="M536" s="72"/>
      <c r="N536" s="72"/>
      <c r="O536" s="72"/>
      <c r="P536" s="72"/>
      <c r="Q536" s="72"/>
      <c r="R536" s="72"/>
      <c r="S536" s="72"/>
      <c r="T536" s="72"/>
      <c r="U536" s="72"/>
      <c r="V536" s="72"/>
      <c r="W536" s="72"/>
      <c r="X536" s="72"/>
      <c r="Y536" s="72"/>
      <c r="Z536" s="72"/>
      <c r="AA536" s="72"/>
      <c r="AB536" s="72"/>
      <c r="AC536" s="72"/>
      <c r="AD536" s="72"/>
      <c r="AE536" s="72"/>
      <c r="AF536" s="72"/>
      <c r="AG536" s="72"/>
      <c r="AH536" s="72"/>
      <c r="AI536" s="72"/>
      <c r="AJ536" s="72"/>
      <c r="AK536" s="72"/>
      <c r="AL536" s="72"/>
      <c r="AM536" s="72"/>
      <c r="AN536" s="72"/>
      <c r="AO536" s="72"/>
      <c r="AP536" s="72"/>
      <c r="AQ536" s="72"/>
      <c r="AR536" s="72"/>
      <c r="AS536" s="72"/>
      <c r="AT536" s="72"/>
      <c r="AU536" s="72"/>
      <c r="AV536" s="72"/>
      <c r="AX536" s="92"/>
      <c r="AY536" s="92"/>
    </row>
    <row r="537" spans="1:58" s="37" customFormat="1" ht="16.5" customHeight="1" x14ac:dyDescent="0.3">
      <c r="A537" s="72"/>
      <c r="B537" s="72"/>
      <c r="C537" s="72"/>
      <c r="D537" s="72"/>
      <c r="E537" s="72"/>
      <c r="F537" s="72"/>
      <c r="G537" s="72"/>
      <c r="H537" s="72"/>
      <c r="I537" s="72"/>
      <c r="J537" s="72"/>
      <c r="K537" s="72"/>
      <c r="L537" s="72"/>
      <c r="M537" s="72"/>
      <c r="N537" s="72"/>
      <c r="O537" s="72"/>
      <c r="P537" s="72"/>
      <c r="Q537" s="72"/>
      <c r="R537" s="72"/>
      <c r="S537" s="72"/>
      <c r="T537" s="72"/>
      <c r="U537" s="72"/>
      <c r="V537" s="72"/>
      <c r="W537" s="72"/>
      <c r="X537" s="72"/>
      <c r="Y537" s="72"/>
      <c r="Z537" s="72"/>
      <c r="AA537" s="72"/>
      <c r="AB537" s="72"/>
      <c r="AC537" s="72"/>
      <c r="AD537" s="72"/>
      <c r="AE537" s="72"/>
      <c r="AF537" s="72"/>
      <c r="AG537" s="72"/>
      <c r="AH537" s="72"/>
      <c r="AI537" s="72"/>
      <c r="AJ537" s="72"/>
      <c r="AK537" s="72"/>
      <c r="AL537" s="72"/>
      <c r="AM537" s="72"/>
      <c r="AN537" s="72"/>
      <c r="AO537" s="72"/>
      <c r="AP537" s="72"/>
      <c r="AQ537" s="72"/>
      <c r="AR537" s="72"/>
      <c r="AS537" s="72"/>
      <c r="AT537" s="72"/>
      <c r="AU537" s="72"/>
      <c r="AV537" s="72"/>
      <c r="AX537" s="92"/>
      <c r="AY537" s="92"/>
    </row>
    <row r="538" spans="1:58" s="37" customFormat="1" ht="16.5" customHeight="1" x14ac:dyDescent="0.3">
      <c r="A538" s="72"/>
      <c r="B538" s="72"/>
      <c r="C538" s="72"/>
      <c r="D538" s="72"/>
      <c r="E538" s="72"/>
      <c r="F538" s="72"/>
      <c r="G538" s="72"/>
      <c r="H538" s="72"/>
      <c r="I538" s="72"/>
      <c r="J538" s="72"/>
      <c r="K538" s="72"/>
      <c r="L538" s="72"/>
      <c r="M538" s="72"/>
      <c r="N538" s="72"/>
      <c r="O538" s="72"/>
      <c r="P538" s="72"/>
      <c r="Q538" s="72"/>
      <c r="R538" s="72"/>
      <c r="S538" s="72"/>
      <c r="T538" s="72"/>
      <c r="U538" s="72"/>
      <c r="V538" s="72"/>
      <c r="W538" s="72"/>
      <c r="X538" s="72"/>
      <c r="Y538" s="72"/>
      <c r="Z538" s="72"/>
      <c r="AA538" s="72"/>
      <c r="AB538" s="72"/>
      <c r="AC538" s="72"/>
      <c r="AD538" s="72"/>
      <c r="AE538" s="72"/>
      <c r="AF538" s="72"/>
      <c r="AG538" s="72"/>
      <c r="AH538" s="72"/>
      <c r="AI538" s="72"/>
      <c r="AJ538" s="72"/>
      <c r="AK538" s="72"/>
      <c r="AL538" s="72"/>
      <c r="AM538" s="72"/>
      <c r="AN538" s="72"/>
      <c r="AO538" s="72"/>
      <c r="AP538" s="72"/>
      <c r="AQ538" s="72"/>
      <c r="AR538" s="72"/>
      <c r="AS538" s="72"/>
      <c r="AT538" s="72"/>
      <c r="AU538" s="72"/>
      <c r="AV538" s="72"/>
      <c r="AX538" s="92"/>
      <c r="AY538" s="92"/>
    </row>
    <row r="539" spans="1:58" s="37" customFormat="1" ht="16.5" customHeight="1" x14ac:dyDescent="0.3">
      <c r="A539" s="72"/>
      <c r="B539" s="72"/>
      <c r="C539" s="72"/>
      <c r="D539" s="72"/>
      <c r="E539" s="72"/>
      <c r="F539" s="72"/>
      <c r="G539" s="72"/>
      <c r="H539" s="72"/>
      <c r="I539" s="72"/>
      <c r="J539" s="72"/>
      <c r="K539" s="72"/>
      <c r="L539" s="72"/>
      <c r="M539" s="72"/>
      <c r="N539" s="72"/>
      <c r="O539" s="72"/>
      <c r="P539" s="72"/>
      <c r="Q539" s="72"/>
      <c r="R539" s="72"/>
      <c r="S539" s="72"/>
      <c r="T539" s="72"/>
      <c r="U539" s="72"/>
      <c r="V539" s="72"/>
      <c r="W539" s="72"/>
      <c r="X539" s="72"/>
      <c r="Y539" s="72"/>
      <c r="Z539" s="72"/>
      <c r="AA539" s="72"/>
      <c r="AB539" s="72"/>
      <c r="AC539" s="72"/>
      <c r="AD539" s="72"/>
      <c r="AE539" s="72"/>
      <c r="AF539" s="72"/>
      <c r="AG539" s="72"/>
      <c r="AH539" s="72"/>
      <c r="AI539" s="72"/>
      <c r="AJ539" s="72"/>
      <c r="AK539" s="72"/>
      <c r="AL539" s="72"/>
      <c r="AM539" s="72"/>
      <c r="AN539" s="72"/>
      <c r="AO539" s="72"/>
      <c r="AP539" s="72"/>
      <c r="AQ539" s="72"/>
      <c r="AR539" s="72"/>
      <c r="AS539" s="72"/>
      <c r="AT539" s="72"/>
      <c r="AU539" s="72"/>
      <c r="AV539" s="72"/>
      <c r="AX539" s="92"/>
      <c r="AY539" s="92"/>
    </row>
  </sheetData>
  <mergeCells count="7">
    <mergeCell ref="AT2:AU2"/>
    <mergeCell ref="J1:K1"/>
    <mergeCell ref="N1:O1"/>
    <mergeCell ref="Q1:S1"/>
    <mergeCell ref="AJ1:AN1"/>
    <mergeCell ref="AO2:AQ2"/>
    <mergeCell ref="AR2:AS2"/>
  </mergeCells>
  <phoneticPr fontId="2" type="noConversion"/>
  <conditionalFormatting sqref="X3">
    <cfRule type="cellIs" dxfId="30027" priority="99172" operator="lessThan">
      <formula>15.1</formula>
    </cfRule>
    <cfRule type="cellIs" dxfId="30026" priority="99173" operator="lessThan">
      <formula>18.1</formula>
    </cfRule>
    <cfRule type="cellIs" dxfId="30025" priority="99174" operator="lessThan">
      <formula>21.1</formula>
    </cfRule>
    <cfRule type="cellIs" dxfId="30024" priority="99175" operator="lessThan">
      <formula>24.1</formula>
    </cfRule>
    <cfRule type="cellIs" dxfId="30023" priority="99176" operator="lessThan">
      <formula>30</formula>
    </cfRule>
    <cfRule type="cellIs" dxfId="30022" priority="99177" operator="lessThan">
      <formula>34.1</formula>
    </cfRule>
  </conditionalFormatting>
  <conditionalFormatting sqref="Z3">
    <cfRule type="colorScale" priority="99171">
      <colorScale>
        <cfvo type="num" val="20000"/>
        <cfvo type="num" val="35000"/>
        <cfvo type="num" val="50000"/>
        <color rgb="FFFFFF99"/>
        <color rgb="FFFFC000"/>
        <color rgb="FFFF0000"/>
      </colorScale>
    </cfRule>
  </conditionalFormatting>
  <conditionalFormatting sqref="AC1:AC2">
    <cfRule type="cellIs" dxfId="30021" priority="99169" operator="greaterThan">
      <formula>0.9</formula>
    </cfRule>
    <cfRule type="cellIs" dxfId="30020" priority="99170" operator="greaterThan">
      <formula>0.85</formula>
    </cfRule>
  </conditionalFormatting>
  <conditionalFormatting sqref="N2">
    <cfRule type="cellIs" dxfId="30019" priority="99167" operator="greaterThan">
      <formula>0.9</formula>
    </cfRule>
    <cfRule type="cellIs" dxfId="30018" priority="99168" operator="greaterThan">
      <formula>0.85</formula>
    </cfRule>
  </conditionalFormatting>
  <conditionalFormatting sqref="AV4">
    <cfRule type="expression" dxfId="989" priority="989">
      <formula>AV4="X"</formula>
    </cfRule>
    <cfRule type="expression" dxfId="988" priority="990">
      <formula>AV4="후보"</formula>
    </cfRule>
  </conditionalFormatting>
  <conditionalFormatting sqref="AC4">
    <cfRule type="cellIs" dxfId="987" priority="987" operator="greaterThan">
      <formula>0.9</formula>
    </cfRule>
    <cfRule type="cellIs" dxfId="986" priority="988" operator="greaterThan">
      <formula>0.85</formula>
    </cfRule>
  </conditionalFormatting>
  <conditionalFormatting sqref="N4">
    <cfRule type="cellIs" dxfId="985" priority="985" operator="greaterThan">
      <formula>0.9</formula>
    </cfRule>
    <cfRule type="cellIs" dxfId="984" priority="986" operator="greaterThan">
      <formula>0.85</formula>
    </cfRule>
  </conditionalFormatting>
  <conditionalFormatting sqref="E4">
    <cfRule type="expression" dxfId="983" priority="981">
      <formula>AND(IF(OR($Q4=1,$Q4=2),1,0),IF($X4&lt;=20,1,0))</formula>
    </cfRule>
    <cfRule type="expression" dxfId="982" priority="982">
      <formula>AND(IF($Q4=2,1,0),IF($X4&lt;30,1,0))</formula>
    </cfRule>
    <cfRule type="expression" dxfId="981" priority="983">
      <formula>AND(IF($Q4=3,1,0),IF($X4&lt;30,1,0))</formula>
    </cfRule>
    <cfRule type="expression" dxfId="980" priority="984">
      <formula>AND(IF($Q4=3,1,IF($Q4=4,1,0)),IF($F4&lt;=85,1,0))</formula>
    </cfRule>
  </conditionalFormatting>
  <conditionalFormatting sqref="X4">
    <cfRule type="expression" dxfId="979" priority="977">
      <formula>AND(IF(OR($Q4=1,$Q4=2),1,0),IF($X4&lt;=20,1,0))</formula>
    </cfRule>
    <cfRule type="expression" dxfId="978" priority="978">
      <formula>AND(IF($Q4=2,1,0),IF($X4&lt;30,1,0))</formula>
    </cfRule>
    <cfRule type="expression" dxfId="977" priority="979">
      <formula>AND(IF($Q4=3,1,0),IF($X4&lt;30,1,0))</formula>
    </cfRule>
    <cfRule type="expression" dxfId="976" priority="980">
      <formula>AND(IF($Q4=3,1,IF($Q4=4,1,0)),IF($F4&lt;=85,1,0))</formula>
    </cfRule>
  </conditionalFormatting>
  <conditionalFormatting sqref="AI4">
    <cfRule type="expression" dxfId="975" priority="973">
      <formula>AND(IF(OR($Q4=1,$Q4=2),1,0),IF($X4&lt;=20,1,0))</formula>
    </cfRule>
    <cfRule type="expression" dxfId="974" priority="974">
      <formula>AND(IF($Q4=2,1,0),IF($X4&lt;30,1,0))</formula>
    </cfRule>
    <cfRule type="expression" dxfId="973" priority="975">
      <formula>AND(IF($Q4=3,1,0),IF($X4&lt;30,1,0))</formula>
    </cfRule>
    <cfRule type="expression" dxfId="972" priority="976">
      <formula>AND(IF($Q4=3,1,IF($Q4=4,1,0)),IF($F4&lt;=85,1,0))</formula>
    </cfRule>
  </conditionalFormatting>
  <conditionalFormatting sqref="AV5">
    <cfRule type="expression" dxfId="971" priority="971">
      <formula>AV5="X"</formula>
    </cfRule>
    <cfRule type="expression" dxfId="970" priority="972">
      <formula>AV5="후보"</formula>
    </cfRule>
  </conditionalFormatting>
  <conditionalFormatting sqref="AC5">
    <cfRule type="cellIs" dxfId="969" priority="969" operator="greaterThan">
      <formula>0.9</formula>
    </cfRule>
    <cfRule type="cellIs" dxfId="968" priority="970" operator="greaterThan">
      <formula>0.85</formula>
    </cfRule>
  </conditionalFormatting>
  <conditionalFormatting sqref="N5">
    <cfRule type="cellIs" dxfId="967" priority="967" operator="greaterThan">
      <formula>0.9</formula>
    </cfRule>
    <cfRule type="cellIs" dxfId="966" priority="968" operator="greaterThan">
      <formula>0.85</formula>
    </cfRule>
  </conditionalFormatting>
  <conditionalFormatting sqref="E5">
    <cfRule type="expression" dxfId="965" priority="963">
      <formula>AND(IF(OR($Q5=1,$Q5=2),1,0),IF($X5&lt;=20,1,0))</formula>
    </cfRule>
    <cfRule type="expression" dxfId="964" priority="964">
      <formula>AND(IF($Q5=2,1,0),IF($X5&lt;30,1,0))</formula>
    </cfRule>
    <cfRule type="expression" dxfId="963" priority="965">
      <formula>AND(IF($Q5=3,1,0),IF($X5&lt;30,1,0))</formula>
    </cfRule>
    <cfRule type="expression" dxfId="962" priority="966">
      <formula>AND(IF($Q5=3,1,IF($Q5=4,1,0)),IF($F5&lt;=85,1,0))</formula>
    </cfRule>
  </conditionalFormatting>
  <conditionalFormatting sqref="X5">
    <cfRule type="expression" dxfId="961" priority="959">
      <formula>AND(IF(OR($Q5=1,$Q5=2),1,0),IF($X5&lt;=20,1,0))</formula>
    </cfRule>
    <cfRule type="expression" dxfId="960" priority="960">
      <formula>AND(IF($Q5=2,1,0),IF($X5&lt;30,1,0))</formula>
    </cfRule>
    <cfRule type="expression" dxfId="959" priority="961">
      <formula>AND(IF($Q5=3,1,0),IF($X5&lt;30,1,0))</formula>
    </cfRule>
    <cfRule type="expression" dxfId="958" priority="962">
      <formula>AND(IF($Q5=3,1,IF($Q5=4,1,0)),IF($F5&lt;=85,1,0))</formula>
    </cfRule>
  </conditionalFormatting>
  <conditionalFormatting sqref="AI5">
    <cfRule type="expression" dxfId="957" priority="955">
      <formula>AND(IF(OR($Q5=1,$Q5=2),1,0),IF($X5&lt;=20,1,0))</formula>
    </cfRule>
    <cfRule type="expression" dxfId="956" priority="956">
      <formula>AND(IF($Q5=2,1,0),IF($X5&lt;30,1,0))</formula>
    </cfRule>
    <cfRule type="expression" dxfId="955" priority="957">
      <formula>AND(IF($Q5=3,1,0),IF($X5&lt;30,1,0))</formula>
    </cfRule>
    <cfRule type="expression" dxfId="954" priority="958">
      <formula>AND(IF($Q5=3,1,IF($Q5=4,1,0)),IF($F5&lt;=85,1,0))</formula>
    </cfRule>
  </conditionalFormatting>
  <conditionalFormatting sqref="AV6">
    <cfRule type="expression" dxfId="953" priority="953">
      <formula>AV6="X"</formula>
    </cfRule>
    <cfRule type="expression" dxfId="952" priority="954">
      <formula>AV6="후보"</formula>
    </cfRule>
  </conditionalFormatting>
  <conditionalFormatting sqref="AC6">
    <cfRule type="cellIs" dxfId="951" priority="951" operator="greaterThan">
      <formula>0.9</formula>
    </cfRule>
    <cfRule type="cellIs" dxfId="950" priority="952" operator="greaterThan">
      <formula>0.85</formula>
    </cfRule>
  </conditionalFormatting>
  <conditionalFormatting sqref="N6">
    <cfRule type="cellIs" dxfId="949" priority="949" operator="greaterThan">
      <formula>0.9</formula>
    </cfRule>
    <cfRule type="cellIs" dxfId="948" priority="950" operator="greaterThan">
      <formula>0.85</formula>
    </cfRule>
  </conditionalFormatting>
  <conditionalFormatting sqref="E6">
    <cfRule type="expression" dxfId="947" priority="945">
      <formula>AND(IF(OR($Q6=1,$Q6=2),1,0),IF($X6&lt;=20,1,0))</formula>
    </cfRule>
    <cfRule type="expression" dxfId="946" priority="946">
      <formula>AND(IF($Q6=2,1,0),IF($X6&lt;30,1,0))</formula>
    </cfRule>
    <cfRule type="expression" dxfId="945" priority="947">
      <formula>AND(IF($Q6=3,1,0),IF($X6&lt;30,1,0))</formula>
    </cfRule>
    <cfRule type="expression" dxfId="944" priority="948">
      <formula>AND(IF($Q6=3,1,IF($Q6=4,1,0)),IF($F6&lt;=85,1,0))</formula>
    </cfRule>
  </conditionalFormatting>
  <conditionalFormatting sqref="X6">
    <cfRule type="expression" dxfId="943" priority="941">
      <formula>AND(IF(OR($Q6=1,$Q6=2),1,0),IF($X6&lt;=20,1,0))</formula>
    </cfRule>
    <cfRule type="expression" dxfId="942" priority="942">
      <formula>AND(IF($Q6=2,1,0),IF($X6&lt;30,1,0))</formula>
    </cfRule>
    <cfRule type="expression" dxfId="941" priority="943">
      <formula>AND(IF($Q6=3,1,0),IF($X6&lt;30,1,0))</formula>
    </cfRule>
    <cfRule type="expression" dxfId="940" priority="944">
      <formula>AND(IF($Q6=3,1,IF($Q6=4,1,0)),IF($F6&lt;=85,1,0))</formula>
    </cfRule>
  </conditionalFormatting>
  <conditionalFormatting sqref="AI6">
    <cfRule type="expression" dxfId="939" priority="937">
      <formula>AND(IF(OR($Q6=1,$Q6=2),1,0),IF($X6&lt;=20,1,0))</formula>
    </cfRule>
    <cfRule type="expression" dxfId="938" priority="938">
      <formula>AND(IF($Q6=2,1,0),IF($X6&lt;30,1,0))</formula>
    </cfRule>
    <cfRule type="expression" dxfId="937" priority="939">
      <formula>AND(IF($Q6=3,1,0),IF($X6&lt;30,1,0))</formula>
    </cfRule>
    <cfRule type="expression" dxfId="936" priority="940">
      <formula>AND(IF($Q6=3,1,IF($Q6=4,1,0)),IF($F6&lt;=85,1,0))</formula>
    </cfRule>
  </conditionalFormatting>
  <conditionalFormatting sqref="AV7">
    <cfRule type="expression" dxfId="935" priority="935">
      <formula>AV7="X"</formula>
    </cfRule>
    <cfRule type="expression" dxfId="934" priority="936">
      <formula>AV7="후보"</formula>
    </cfRule>
  </conditionalFormatting>
  <conditionalFormatting sqref="AC7">
    <cfRule type="cellIs" dxfId="933" priority="933" operator="greaterThan">
      <formula>0.9</formula>
    </cfRule>
    <cfRule type="cellIs" dxfId="932" priority="934" operator="greaterThan">
      <formula>0.85</formula>
    </cfRule>
  </conditionalFormatting>
  <conditionalFormatting sqref="N7">
    <cfRule type="cellIs" dxfId="931" priority="931" operator="greaterThan">
      <formula>0.9</formula>
    </cfRule>
    <cfRule type="cellIs" dxfId="930" priority="932" operator="greaterThan">
      <formula>0.85</formula>
    </cfRule>
  </conditionalFormatting>
  <conditionalFormatting sqref="E7">
    <cfRule type="expression" dxfId="929" priority="927">
      <formula>AND(IF(OR($Q7=1,$Q7=2),1,0),IF($X7&lt;=20,1,0))</formula>
    </cfRule>
    <cfRule type="expression" dxfId="928" priority="928">
      <formula>AND(IF($Q7=2,1,0),IF($X7&lt;30,1,0))</formula>
    </cfRule>
    <cfRule type="expression" dxfId="927" priority="929">
      <formula>AND(IF($Q7=3,1,0),IF($X7&lt;30,1,0))</formula>
    </cfRule>
    <cfRule type="expression" dxfId="926" priority="930">
      <formula>AND(IF($Q7=3,1,IF($Q7=4,1,0)),IF($F7&lt;=85,1,0))</formula>
    </cfRule>
  </conditionalFormatting>
  <conditionalFormatting sqref="X7">
    <cfRule type="expression" dxfId="925" priority="923">
      <formula>AND(IF(OR($Q7=1,$Q7=2),1,0),IF($X7&lt;=20,1,0))</formula>
    </cfRule>
    <cfRule type="expression" dxfId="924" priority="924">
      <formula>AND(IF($Q7=2,1,0),IF($X7&lt;30,1,0))</formula>
    </cfRule>
    <cfRule type="expression" dxfId="923" priority="925">
      <formula>AND(IF($Q7=3,1,0),IF($X7&lt;30,1,0))</formula>
    </cfRule>
    <cfRule type="expression" dxfId="922" priority="926">
      <formula>AND(IF($Q7=3,1,IF($Q7=4,1,0)),IF($F7&lt;=85,1,0))</formula>
    </cfRule>
  </conditionalFormatting>
  <conditionalFormatting sqref="AI7">
    <cfRule type="expression" dxfId="921" priority="919">
      <formula>AND(IF(OR($Q7=1,$Q7=2),1,0),IF($X7&lt;=20,1,0))</formula>
    </cfRule>
    <cfRule type="expression" dxfId="920" priority="920">
      <formula>AND(IF($Q7=2,1,0),IF($X7&lt;30,1,0))</formula>
    </cfRule>
    <cfRule type="expression" dxfId="919" priority="921">
      <formula>AND(IF($Q7=3,1,0),IF($X7&lt;30,1,0))</formula>
    </cfRule>
    <cfRule type="expression" dxfId="918" priority="922">
      <formula>AND(IF($Q7=3,1,IF($Q7=4,1,0)),IF($F7&lt;=85,1,0))</formula>
    </cfRule>
  </conditionalFormatting>
  <conditionalFormatting sqref="AV8">
    <cfRule type="expression" dxfId="917" priority="917">
      <formula>AV8="X"</formula>
    </cfRule>
    <cfRule type="expression" dxfId="916" priority="918">
      <formula>AV8="후보"</formula>
    </cfRule>
  </conditionalFormatting>
  <conditionalFormatting sqref="AC8">
    <cfRule type="cellIs" dxfId="915" priority="915" operator="greaterThan">
      <formula>0.9</formula>
    </cfRule>
    <cfRule type="cellIs" dxfId="914" priority="916" operator="greaterThan">
      <formula>0.85</formula>
    </cfRule>
  </conditionalFormatting>
  <conditionalFormatting sqref="N8">
    <cfRule type="cellIs" dxfId="913" priority="913" operator="greaterThan">
      <formula>0.9</formula>
    </cfRule>
    <cfRule type="cellIs" dxfId="912" priority="914" operator="greaterThan">
      <formula>0.85</formula>
    </cfRule>
  </conditionalFormatting>
  <conditionalFormatting sqref="E8">
    <cfRule type="expression" dxfId="911" priority="909">
      <formula>AND(IF(OR($Q8=1,$Q8=2),1,0),IF($X8&lt;=20,1,0))</formula>
    </cfRule>
    <cfRule type="expression" dxfId="910" priority="910">
      <formula>AND(IF($Q8=2,1,0),IF($X8&lt;30,1,0))</formula>
    </cfRule>
    <cfRule type="expression" dxfId="909" priority="911">
      <formula>AND(IF($Q8=3,1,0),IF($X8&lt;30,1,0))</formula>
    </cfRule>
    <cfRule type="expression" dxfId="908" priority="912">
      <formula>AND(IF($Q8=3,1,IF($Q8=4,1,0)),IF($F8&lt;=85,1,0))</formula>
    </cfRule>
  </conditionalFormatting>
  <conditionalFormatting sqref="X8">
    <cfRule type="expression" dxfId="907" priority="905">
      <formula>AND(IF(OR($Q8=1,$Q8=2),1,0),IF($X8&lt;=20,1,0))</formula>
    </cfRule>
    <cfRule type="expression" dxfId="906" priority="906">
      <formula>AND(IF($Q8=2,1,0),IF($X8&lt;30,1,0))</formula>
    </cfRule>
    <cfRule type="expression" dxfId="905" priority="907">
      <formula>AND(IF($Q8=3,1,0),IF($X8&lt;30,1,0))</formula>
    </cfRule>
    <cfRule type="expression" dxfId="904" priority="908">
      <formula>AND(IF($Q8=3,1,IF($Q8=4,1,0)),IF($F8&lt;=85,1,0))</formula>
    </cfRule>
  </conditionalFormatting>
  <conditionalFormatting sqref="AI8">
    <cfRule type="expression" dxfId="903" priority="901">
      <formula>AND(IF(OR($Q8=1,$Q8=2),1,0),IF($X8&lt;=20,1,0))</formula>
    </cfRule>
    <cfRule type="expression" dxfId="902" priority="902">
      <formula>AND(IF($Q8=2,1,0),IF($X8&lt;30,1,0))</formula>
    </cfRule>
    <cfRule type="expression" dxfId="901" priority="903">
      <formula>AND(IF($Q8=3,1,0),IF($X8&lt;30,1,0))</formula>
    </cfRule>
    <cfRule type="expression" dxfId="900" priority="904">
      <formula>AND(IF($Q8=3,1,IF($Q8=4,1,0)),IF($F8&lt;=85,1,0))</formula>
    </cfRule>
  </conditionalFormatting>
  <conditionalFormatting sqref="AV9">
    <cfRule type="expression" dxfId="899" priority="899">
      <formula>AV9="X"</formula>
    </cfRule>
    <cfRule type="expression" dxfId="898" priority="900">
      <formula>AV9="후보"</formula>
    </cfRule>
  </conditionalFormatting>
  <conditionalFormatting sqref="AC9">
    <cfRule type="cellIs" dxfId="897" priority="897" operator="greaterThan">
      <formula>0.9</formula>
    </cfRule>
    <cfRule type="cellIs" dxfId="896" priority="898" operator="greaterThan">
      <formula>0.85</formula>
    </cfRule>
  </conditionalFormatting>
  <conditionalFormatting sqref="N9">
    <cfRule type="cellIs" dxfId="895" priority="895" operator="greaterThan">
      <formula>0.9</formula>
    </cfRule>
    <cfRule type="cellIs" dxfId="894" priority="896" operator="greaterThan">
      <formula>0.85</formula>
    </cfRule>
  </conditionalFormatting>
  <conditionalFormatting sqref="E9">
    <cfRule type="expression" dxfId="893" priority="891">
      <formula>AND(IF(OR($Q9=1,$Q9=2),1,0),IF($X9&lt;=20,1,0))</formula>
    </cfRule>
    <cfRule type="expression" dxfId="892" priority="892">
      <formula>AND(IF($Q9=2,1,0),IF($X9&lt;30,1,0))</formula>
    </cfRule>
    <cfRule type="expression" dxfId="891" priority="893">
      <formula>AND(IF($Q9=3,1,0),IF($X9&lt;30,1,0))</formula>
    </cfRule>
    <cfRule type="expression" dxfId="890" priority="894">
      <formula>AND(IF($Q9=3,1,IF($Q9=4,1,0)),IF($F9&lt;=85,1,0))</formula>
    </cfRule>
  </conditionalFormatting>
  <conditionalFormatting sqref="X9">
    <cfRule type="expression" dxfId="889" priority="887">
      <formula>AND(IF(OR($Q9=1,$Q9=2),1,0),IF($X9&lt;=20,1,0))</formula>
    </cfRule>
    <cfRule type="expression" dxfId="888" priority="888">
      <formula>AND(IF($Q9=2,1,0),IF($X9&lt;30,1,0))</formula>
    </cfRule>
    <cfRule type="expression" dxfId="887" priority="889">
      <formula>AND(IF($Q9=3,1,0),IF($X9&lt;30,1,0))</formula>
    </cfRule>
    <cfRule type="expression" dxfId="886" priority="890">
      <formula>AND(IF($Q9=3,1,IF($Q9=4,1,0)),IF($F9&lt;=85,1,0))</formula>
    </cfRule>
  </conditionalFormatting>
  <conditionalFormatting sqref="AI9">
    <cfRule type="expression" dxfId="885" priority="883">
      <formula>AND(IF(OR($Q9=1,$Q9=2),1,0),IF($X9&lt;=20,1,0))</formula>
    </cfRule>
    <cfRule type="expression" dxfId="884" priority="884">
      <formula>AND(IF($Q9=2,1,0),IF($X9&lt;30,1,0))</formula>
    </cfRule>
    <cfRule type="expression" dxfId="883" priority="885">
      <formula>AND(IF($Q9=3,1,0),IF($X9&lt;30,1,0))</formula>
    </cfRule>
    <cfRule type="expression" dxfId="882" priority="886">
      <formula>AND(IF($Q9=3,1,IF($Q9=4,1,0)),IF($F9&lt;=85,1,0))</formula>
    </cfRule>
  </conditionalFormatting>
  <conditionalFormatting sqref="AV10">
    <cfRule type="expression" dxfId="881" priority="881">
      <formula>AV10="X"</formula>
    </cfRule>
    <cfRule type="expression" dxfId="880" priority="882">
      <formula>AV10="후보"</formula>
    </cfRule>
  </conditionalFormatting>
  <conditionalFormatting sqref="AC10">
    <cfRule type="cellIs" dxfId="879" priority="879" operator="greaterThan">
      <formula>0.9</formula>
    </cfRule>
    <cfRule type="cellIs" dxfId="878" priority="880" operator="greaterThan">
      <formula>0.85</formula>
    </cfRule>
  </conditionalFormatting>
  <conditionalFormatting sqref="N10">
    <cfRule type="cellIs" dxfId="877" priority="877" operator="greaterThan">
      <formula>0.9</formula>
    </cfRule>
    <cfRule type="cellIs" dxfId="876" priority="878" operator="greaterThan">
      <formula>0.85</formula>
    </cfRule>
  </conditionalFormatting>
  <conditionalFormatting sqref="E10">
    <cfRule type="expression" dxfId="875" priority="873">
      <formula>AND(IF(OR($Q10=1,$Q10=2),1,0),IF($X10&lt;=20,1,0))</formula>
    </cfRule>
    <cfRule type="expression" dxfId="874" priority="874">
      <formula>AND(IF($Q10=2,1,0),IF($X10&lt;30,1,0))</formula>
    </cfRule>
    <cfRule type="expression" dxfId="873" priority="875">
      <formula>AND(IF($Q10=3,1,0),IF($X10&lt;30,1,0))</formula>
    </cfRule>
    <cfRule type="expression" dxfId="872" priority="876">
      <formula>AND(IF($Q10=3,1,IF($Q10=4,1,0)),IF($F10&lt;=85,1,0))</formula>
    </cfRule>
  </conditionalFormatting>
  <conditionalFormatting sqref="X10">
    <cfRule type="expression" dxfId="871" priority="869">
      <formula>AND(IF(OR($Q10=1,$Q10=2),1,0),IF($X10&lt;=20,1,0))</formula>
    </cfRule>
    <cfRule type="expression" dxfId="870" priority="870">
      <formula>AND(IF($Q10=2,1,0),IF($X10&lt;30,1,0))</formula>
    </cfRule>
    <cfRule type="expression" dxfId="869" priority="871">
      <formula>AND(IF($Q10=3,1,0),IF($X10&lt;30,1,0))</formula>
    </cfRule>
    <cfRule type="expression" dxfId="868" priority="872">
      <formula>AND(IF($Q10=3,1,IF($Q10=4,1,0)),IF($F10&lt;=85,1,0))</formula>
    </cfRule>
  </conditionalFormatting>
  <conditionalFormatting sqref="AI10">
    <cfRule type="expression" dxfId="867" priority="865">
      <formula>AND(IF(OR($Q10=1,$Q10=2),1,0),IF($X10&lt;=20,1,0))</formula>
    </cfRule>
    <cfRule type="expression" dxfId="866" priority="866">
      <formula>AND(IF($Q10=2,1,0),IF($X10&lt;30,1,0))</formula>
    </cfRule>
    <cfRule type="expression" dxfId="865" priority="867">
      <formula>AND(IF($Q10=3,1,0),IF($X10&lt;30,1,0))</formula>
    </cfRule>
    <cfRule type="expression" dxfId="864" priority="868">
      <formula>AND(IF($Q10=3,1,IF($Q10=4,1,0)),IF($F10&lt;=85,1,0))</formula>
    </cfRule>
  </conditionalFormatting>
  <conditionalFormatting sqref="AV11">
    <cfRule type="expression" dxfId="863" priority="863">
      <formula>AV11="X"</formula>
    </cfRule>
    <cfRule type="expression" dxfId="862" priority="864">
      <formula>AV11="후보"</formula>
    </cfRule>
  </conditionalFormatting>
  <conditionalFormatting sqref="AC11">
    <cfRule type="cellIs" dxfId="861" priority="861" operator="greaterThan">
      <formula>0.9</formula>
    </cfRule>
    <cfRule type="cellIs" dxfId="860" priority="862" operator="greaterThan">
      <formula>0.85</formula>
    </cfRule>
  </conditionalFormatting>
  <conditionalFormatting sqref="N11">
    <cfRule type="cellIs" dxfId="859" priority="859" operator="greaterThan">
      <formula>0.9</formula>
    </cfRule>
    <cfRule type="cellIs" dxfId="858" priority="860" operator="greaterThan">
      <formula>0.85</formula>
    </cfRule>
  </conditionalFormatting>
  <conditionalFormatting sqref="E11">
    <cfRule type="expression" dxfId="857" priority="855">
      <formula>AND(IF(OR($Q11=1,$Q11=2),1,0),IF($X11&lt;=20,1,0))</formula>
    </cfRule>
    <cfRule type="expression" dxfId="856" priority="856">
      <formula>AND(IF($Q11=2,1,0),IF($X11&lt;30,1,0))</formula>
    </cfRule>
    <cfRule type="expression" dxfId="855" priority="857">
      <formula>AND(IF($Q11=3,1,0),IF($X11&lt;30,1,0))</formula>
    </cfRule>
    <cfRule type="expression" dxfId="854" priority="858">
      <formula>AND(IF($Q11=3,1,IF($Q11=4,1,0)),IF($F11&lt;=85,1,0))</formula>
    </cfRule>
  </conditionalFormatting>
  <conditionalFormatting sqref="X11">
    <cfRule type="expression" dxfId="853" priority="851">
      <formula>AND(IF(OR($Q11=1,$Q11=2),1,0),IF($X11&lt;=20,1,0))</formula>
    </cfRule>
    <cfRule type="expression" dxfId="852" priority="852">
      <formula>AND(IF($Q11=2,1,0),IF($X11&lt;30,1,0))</formula>
    </cfRule>
    <cfRule type="expression" dxfId="851" priority="853">
      <formula>AND(IF($Q11=3,1,0),IF($X11&lt;30,1,0))</formula>
    </cfRule>
    <cfRule type="expression" dxfId="850" priority="854">
      <formula>AND(IF($Q11=3,1,IF($Q11=4,1,0)),IF($F11&lt;=85,1,0))</formula>
    </cfRule>
  </conditionalFormatting>
  <conditionalFormatting sqref="AI11">
    <cfRule type="expression" dxfId="849" priority="847">
      <formula>AND(IF(OR($Q11=1,$Q11=2),1,0),IF($X11&lt;=20,1,0))</formula>
    </cfRule>
    <cfRule type="expression" dxfId="848" priority="848">
      <formula>AND(IF($Q11=2,1,0),IF($X11&lt;30,1,0))</formula>
    </cfRule>
    <cfRule type="expression" dxfId="847" priority="849">
      <formula>AND(IF($Q11=3,1,0),IF($X11&lt;30,1,0))</formula>
    </cfRule>
    <cfRule type="expression" dxfId="846" priority="850">
      <formula>AND(IF($Q11=3,1,IF($Q11=4,1,0)),IF($F11&lt;=85,1,0))</formula>
    </cfRule>
  </conditionalFormatting>
  <conditionalFormatting sqref="AV12">
    <cfRule type="expression" dxfId="845" priority="845">
      <formula>AV12="X"</formula>
    </cfRule>
    <cfRule type="expression" dxfId="844" priority="846">
      <formula>AV12="후보"</formula>
    </cfRule>
  </conditionalFormatting>
  <conditionalFormatting sqref="AC12">
    <cfRule type="cellIs" dxfId="843" priority="843" operator="greaterThan">
      <formula>0.9</formula>
    </cfRule>
    <cfRule type="cellIs" dxfId="842" priority="844" operator="greaterThan">
      <formula>0.85</formula>
    </cfRule>
  </conditionalFormatting>
  <conditionalFormatting sqref="N12">
    <cfRule type="cellIs" dxfId="841" priority="841" operator="greaterThan">
      <formula>0.9</formula>
    </cfRule>
    <cfRule type="cellIs" dxfId="840" priority="842" operator="greaterThan">
      <formula>0.85</formula>
    </cfRule>
  </conditionalFormatting>
  <conditionalFormatting sqref="E12">
    <cfRule type="expression" dxfId="839" priority="837">
      <formula>AND(IF(OR($Q12=1,$Q12=2),1,0),IF($X12&lt;=20,1,0))</formula>
    </cfRule>
    <cfRule type="expression" dxfId="838" priority="838">
      <formula>AND(IF($Q12=2,1,0),IF($X12&lt;30,1,0))</formula>
    </cfRule>
    <cfRule type="expression" dxfId="837" priority="839">
      <formula>AND(IF($Q12=3,1,0),IF($X12&lt;30,1,0))</formula>
    </cfRule>
    <cfRule type="expression" dxfId="836" priority="840">
      <formula>AND(IF($Q12=3,1,IF($Q12=4,1,0)),IF($F12&lt;=85,1,0))</formula>
    </cfRule>
  </conditionalFormatting>
  <conditionalFormatting sqref="X12">
    <cfRule type="expression" dxfId="835" priority="833">
      <formula>AND(IF(OR($Q12=1,$Q12=2),1,0),IF($X12&lt;=20,1,0))</formula>
    </cfRule>
    <cfRule type="expression" dxfId="834" priority="834">
      <formula>AND(IF($Q12=2,1,0),IF($X12&lt;30,1,0))</formula>
    </cfRule>
    <cfRule type="expression" dxfId="833" priority="835">
      <formula>AND(IF($Q12=3,1,0),IF($X12&lt;30,1,0))</formula>
    </cfRule>
    <cfRule type="expression" dxfId="832" priority="836">
      <formula>AND(IF($Q12=3,1,IF($Q12=4,1,0)),IF($F12&lt;=85,1,0))</formula>
    </cfRule>
  </conditionalFormatting>
  <conditionalFormatting sqref="AI12">
    <cfRule type="expression" dxfId="831" priority="829">
      <formula>AND(IF(OR($Q12=1,$Q12=2),1,0),IF($X12&lt;=20,1,0))</formula>
    </cfRule>
    <cfRule type="expression" dxfId="830" priority="830">
      <formula>AND(IF($Q12=2,1,0),IF($X12&lt;30,1,0))</formula>
    </cfRule>
    <cfRule type="expression" dxfId="829" priority="831">
      <formula>AND(IF($Q12=3,1,0),IF($X12&lt;30,1,0))</formula>
    </cfRule>
    <cfRule type="expression" dxfId="828" priority="832">
      <formula>AND(IF($Q12=3,1,IF($Q12=4,1,0)),IF($F12&lt;=85,1,0))</formula>
    </cfRule>
  </conditionalFormatting>
  <conditionalFormatting sqref="AV13">
    <cfRule type="expression" dxfId="827" priority="827">
      <formula>AV13="X"</formula>
    </cfRule>
    <cfRule type="expression" dxfId="826" priority="828">
      <formula>AV13="후보"</formula>
    </cfRule>
  </conditionalFormatting>
  <conditionalFormatting sqref="AC13">
    <cfRule type="cellIs" dxfId="825" priority="825" operator="greaterThan">
      <formula>0.9</formula>
    </cfRule>
    <cfRule type="cellIs" dxfId="824" priority="826" operator="greaterThan">
      <formula>0.85</formula>
    </cfRule>
  </conditionalFormatting>
  <conditionalFormatting sqref="N13">
    <cfRule type="cellIs" dxfId="823" priority="823" operator="greaterThan">
      <formula>0.9</formula>
    </cfRule>
    <cfRule type="cellIs" dxfId="822" priority="824" operator="greaterThan">
      <formula>0.85</formula>
    </cfRule>
  </conditionalFormatting>
  <conditionalFormatting sqref="E13">
    <cfRule type="expression" dxfId="821" priority="819">
      <formula>AND(IF(OR($Q13=1,$Q13=2),1,0),IF($X13&lt;=20,1,0))</formula>
    </cfRule>
    <cfRule type="expression" dxfId="820" priority="820">
      <formula>AND(IF($Q13=2,1,0),IF($X13&lt;30,1,0))</formula>
    </cfRule>
    <cfRule type="expression" dxfId="819" priority="821">
      <formula>AND(IF($Q13=3,1,0),IF($X13&lt;30,1,0))</formula>
    </cfRule>
    <cfRule type="expression" dxfId="818" priority="822">
      <formula>AND(IF($Q13=3,1,IF($Q13=4,1,0)),IF($F13&lt;=85,1,0))</formula>
    </cfRule>
  </conditionalFormatting>
  <conditionalFormatting sqref="X13">
    <cfRule type="expression" dxfId="817" priority="815">
      <formula>AND(IF(OR($Q13=1,$Q13=2),1,0),IF($X13&lt;=20,1,0))</formula>
    </cfRule>
    <cfRule type="expression" dxfId="816" priority="816">
      <formula>AND(IF($Q13=2,1,0),IF($X13&lt;30,1,0))</formula>
    </cfRule>
    <cfRule type="expression" dxfId="815" priority="817">
      <formula>AND(IF($Q13=3,1,0),IF($X13&lt;30,1,0))</formula>
    </cfRule>
    <cfRule type="expression" dxfId="814" priority="818">
      <formula>AND(IF($Q13=3,1,IF($Q13=4,1,0)),IF($F13&lt;=85,1,0))</formula>
    </cfRule>
  </conditionalFormatting>
  <conditionalFormatting sqref="AI13">
    <cfRule type="expression" dxfId="813" priority="811">
      <formula>AND(IF(OR($Q13=1,$Q13=2),1,0),IF($X13&lt;=20,1,0))</formula>
    </cfRule>
    <cfRule type="expression" dxfId="812" priority="812">
      <formula>AND(IF($Q13=2,1,0),IF($X13&lt;30,1,0))</formula>
    </cfRule>
    <cfRule type="expression" dxfId="811" priority="813">
      <formula>AND(IF($Q13=3,1,0),IF($X13&lt;30,1,0))</formula>
    </cfRule>
    <cfRule type="expression" dxfId="810" priority="814">
      <formula>AND(IF($Q13=3,1,IF($Q13=4,1,0)),IF($F13&lt;=85,1,0))</formula>
    </cfRule>
  </conditionalFormatting>
  <conditionalFormatting sqref="AV14">
    <cfRule type="expression" dxfId="809" priority="809">
      <formula>AV14="X"</formula>
    </cfRule>
    <cfRule type="expression" dxfId="808" priority="810">
      <formula>AV14="후보"</formula>
    </cfRule>
  </conditionalFormatting>
  <conditionalFormatting sqref="AC14">
    <cfRule type="cellIs" dxfId="807" priority="807" operator="greaterThan">
      <formula>0.9</formula>
    </cfRule>
    <cfRule type="cellIs" dxfId="806" priority="808" operator="greaterThan">
      <formula>0.85</formula>
    </cfRule>
  </conditionalFormatting>
  <conditionalFormatting sqref="N14">
    <cfRule type="cellIs" dxfId="805" priority="805" operator="greaterThan">
      <formula>0.9</formula>
    </cfRule>
    <cfRule type="cellIs" dxfId="804" priority="806" operator="greaterThan">
      <formula>0.85</formula>
    </cfRule>
  </conditionalFormatting>
  <conditionalFormatting sqref="E14">
    <cfRule type="expression" dxfId="803" priority="801">
      <formula>AND(IF(OR($Q14=1,$Q14=2),1,0),IF($X14&lt;=20,1,0))</formula>
    </cfRule>
    <cfRule type="expression" dxfId="802" priority="802">
      <formula>AND(IF($Q14=2,1,0),IF($X14&lt;30,1,0))</formula>
    </cfRule>
    <cfRule type="expression" dxfId="801" priority="803">
      <formula>AND(IF($Q14=3,1,0),IF($X14&lt;30,1,0))</formula>
    </cfRule>
    <cfRule type="expression" dxfId="800" priority="804">
      <formula>AND(IF($Q14=3,1,IF($Q14=4,1,0)),IF($F14&lt;=85,1,0))</formula>
    </cfRule>
  </conditionalFormatting>
  <conditionalFormatting sqref="X14">
    <cfRule type="expression" dxfId="799" priority="797">
      <formula>AND(IF(OR($Q14=1,$Q14=2),1,0),IF($X14&lt;=20,1,0))</formula>
    </cfRule>
    <cfRule type="expression" dxfId="798" priority="798">
      <formula>AND(IF($Q14=2,1,0),IF($X14&lt;30,1,0))</formula>
    </cfRule>
    <cfRule type="expression" dxfId="797" priority="799">
      <formula>AND(IF($Q14=3,1,0),IF($X14&lt;30,1,0))</formula>
    </cfRule>
    <cfRule type="expression" dxfId="796" priority="800">
      <formula>AND(IF($Q14=3,1,IF($Q14=4,1,0)),IF($F14&lt;=85,1,0))</formula>
    </cfRule>
  </conditionalFormatting>
  <conditionalFormatting sqref="AI14">
    <cfRule type="expression" dxfId="795" priority="793">
      <formula>AND(IF(OR($Q14=1,$Q14=2),1,0),IF($X14&lt;=20,1,0))</formula>
    </cfRule>
    <cfRule type="expression" dxfId="794" priority="794">
      <formula>AND(IF($Q14=2,1,0),IF($X14&lt;30,1,0))</formula>
    </cfRule>
    <cfRule type="expression" dxfId="793" priority="795">
      <formula>AND(IF($Q14=3,1,0),IF($X14&lt;30,1,0))</formula>
    </cfRule>
    <cfRule type="expression" dxfId="792" priority="796">
      <formula>AND(IF($Q14=3,1,IF($Q14=4,1,0)),IF($F14&lt;=85,1,0))</formula>
    </cfRule>
  </conditionalFormatting>
  <conditionalFormatting sqref="AV15">
    <cfRule type="expression" dxfId="791" priority="791">
      <formula>AV15="X"</formula>
    </cfRule>
    <cfRule type="expression" dxfId="790" priority="792">
      <formula>AV15="후보"</formula>
    </cfRule>
  </conditionalFormatting>
  <conditionalFormatting sqref="AC15">
    <cfRule type="cellIs" dxfId="789" priority="789" operator="greaterThan">
      <formula>0.9</formula>
    </cfRule>
    <cfRule type="cellIs" dxfId="788" priority="790" operator="greaterThan">
      <formula>0.85</formula>
    </cfRule>
  </conditionalFormatting>
  <conditionalFormatting sqref="N15">
    <cfRule type="cellIs" dxfId="787" priority="787" operator="greaterThan">
      <formula>0.9</formula>
    </cfRule>
    <cfRule type="cellIs" dxfId="786" priority="788" operator="greaterThan">
      <formula>0.85</formula>
    </cfRule>
  </conditionalFormatting>
  <conditionalFormatting sqref="E15">
    <cfRule type="expression" dxfId="785" priority="783">
      <formula>AND(IF(OR($Q15=1,$Q15=2),1,0),IF($X15&lt;=20,1,0))</formula>
    </cfRule>
    <cfRule type="expression" dxfId="784" priority="784">
      <formula>AND(IF($Q15=2,1,0),IF($X15&lt;30,1,0))</formula>
    </cfRule>
    <cfRule type="expression" dxfId="783" priority="785">
      <formula>AND(IF($Q15=3,1,0),IF($X15&lt;30,1,0))</formula>
    </cfRule>
    <cfRule type="expression" dxfId="782" priority="786">
      <formula>AND(IF($Q15=3,1,IF($Q15=4,1,0)),IF($F15&lt;=85,1,0))</formula>
    </cfRule>
  </conditionalFormatting>
  <conditionalFormatting sqref="X15">
    <cfRule type="expression" dxfId="781" priority="779">
      <formula>AND(IF(OR($Q15=1,$Q15=2),1,0),IF($X15&lt;=20,1,0))</formula>
    </cfRule>
    <cfRule type="expression" dxfId="780" priority="780">
      <formula>AND(IF($Q15=2,1,0),IF($X15&lt;30,1,0))</formula>
    </cfRule>
    <cfRule type="expression" dxfId="779" priority="781">
      <formula>AND(IF($Q15=3,1,0),IF($X15&lt;30,1,0))</formula>
    </cfRule>
    <cfRule type="expression" dxfId="778" priority="782">
      <formula>AND(IF($Q15=3,1,IF($Q15=4,1,0)),IF($F15&lt;=85,1,0))</formula>
    </cfRule>
  </conditionalFormatting>
  <conditionalFormatting sqref="AI15">
    <cfRule type="expression" dxfId="777" priority="775">
      <formula>AND(IF(OR($Q15=1,$Q15=2),1,0),IF($X15&lt;=20,1,0))</formula>
    </cfRule>
    <cfRule type="expression" dxfId="776" priority="776">
      <formula>AND(IF($Q15=2,1,0),IF($X15&lt;30,1,0))</formula>
    </cfRule>
    <cfRule type="expression" dxfId="775" priority="777">
      <formula>AND(IF($Q15=3,1,0),IF($X15&lt;30,1,0))</formula>
    </cfRule>
    <cfRule type="expression" dxfId="774" priority="778">
      <formula>AND(IF($Q15=3,1,IF($Q15=4,1,0)),IF($F15&lt;=85,1,0))</formula>
    </cfRule>
  </conditionalFormatting>
  <conditionalFormatting sqref="AV16">
    <cfRule type="expression" dxfId="773" priority="773">
      <formula>AV16="X"</formula>
    </cfRule>
    <cfRule type="expression" dxfId="772" priority="774">
      <formula>AV16="후보"</formula>
    </cfRule>
  </conditionalFormatting>
  <conditionalFormatting sqref="AC16">
    <cfRule type="cellIs" dxfId="771" priority="771" operator="greaterThan">
      <formula>0.9</formula>
    </cfRule>
    <cfRule type="cellIs" dxfId="770" priority="772" operator="greaterThan">
      <formula>0.85</formula>
    </cfRule>
  </conditionalFormatting>
  <conditionalFormatting sqref="N16">
    <cfRule type="cellIs" dxfId="769" priority="769" operator="greaterThan">
      <formula>0.9</formula>
    </cfRule>
    <cfRule type="cellIs" dxfId="768" priority="770" operator="greaterThan">
      <formula>0.85</formula>
    </cfRule>
  </conditionalFormatting>
  <conditionalFormatting sqref="E16">
    <cfRule type="expression" dxfId="767" priority="765">
      <formula>AND(IF(OR($Q16=1,$Q16=2),1,0),IF($X16&lt;=20,1,0))</formula>
    </cfRule>
    <cfRule type="expression" dxfId="766" priority="766">
      <formula>AND(IF($Q16=2,1,0),IF($X16&lt;30,1,0))</formula>
    </cfRule>
    <cfRule type="expression" dxfId="765" priority="767">
      <formula>AND(IF($Q16=3,1,0),IF($X16&lt;30,1,0))</formula>
    </cfRule>
    <cfRule type="expression" dxfId="764" priority="768">
      <formula>AND(IF($Q16=3,1,IF($Q16=4,1,0)),IF($F16&lt;=85,1,0))</formula>
    </cfRule>
  </conditionalFormatting>
  <conditionalFormatting sqref="X16">
    <cfRule type="expression" dxfId="763" priority="761">
      <formula>AND(IF(OR($Q16=1,$Q16=2),1,0),IF($X16&lt;=20,1,0))</formula>
    </cfRule>
    <cfRule type="expression" dxfId="762" priority="762">
      <formula>AND(IF($Q16=2,1,0),IF($X16&lt;30,1,0))</formula>
    </cfRule>
    <cfRule type="expression" dxfId="761" priority="763">
      <formula>AND(IF($Q16=3,1,0),IF($X16&lt;30,1,0))</formula>
    </cfRule>
    <cfRule type="expression" dxfId="760" priority="764">
      <formula>AND(IF($Q16=3,1,IF($Q16=4,1,0)),IF($F16&lt;=85,1,0))</formula>
    </cfRule>
  </conditionalFormatting>
  <conditionalFormatting sqref="AI16">
    <cfRule type="expression" dxfId="759" priority="757">
      <formula>AND(IF(OR($Q16=1,$Q16=2),1,0),IF($X16&lt;=20,1,0))</formula>
    </cfRule>
    <cfRule type="expression" dxfId="758" priority="758">
      <formula>AND(IF($Q16=2,1,0),IF($X16&lt;30,1,0))</formula>
    </cfRule>
    <cfRule type="expression" dxfId="757" priority="759">
      <formula>AND(IF($Q16=3,1,0),IF($X16&lt;30,1,0))</formula>
    </cfRule>
    <cfRule type="expression" dxfId="756" priority="760">
      <formula>AND(IF($Q16=3,1,IF($Q16=4,1,0)),IF($F16&lt;=85,1,0))</formula>
    </cfRule>
  </conditionalFormatting>
  <conditionalFormatting sqref="AV17">
    <cfRule type="expression" dxfId="755" priority="755">
      <formula>AV17="X"</formula>
    </cfRule>
    <cfRule type="expression" dxfId="754" priority="756">
      <formula>AV17="후보"</formula>
    </cfRule>
  </conditionalFormatting>
  <conditionalFormatting sqref="AC17">
    <cfRule type="cellIs" dxfId="753" priority="753" operator="greaterThan">
      <formula>0.9</formula>
    </cfRule>
    <cfRule type="cellIs" dxfId="752" priority="754" operator="greaterThan">
      <formula>0.85</formula>
    </cfRule>
  </conditionalFormatting>
  <conditionalFormatting sqref="N17">
    <cfRule type="cellIs" dxfId="751" priority="751" operator="greaterThan">
      <formula>0.9</formula>
    </cfRule>
    <cfRule type="cellIs" dxfId="750" priority="752" operator="greaterThan">
      <formula>0.85</formula>
    </cfRule>
  </conditionalFormatting>
  <conditionalFormatting sqref="E17">
    <cfRule type="expression" dxfId="749" priority="747">
      <formula>AND(IF(OR($Q17=1,$Q17=2),1,0),IF($X17&lt;=20,1,0))</formula>
    </cfRule>
    <cfRule type="expression" dxfId="748" priority="748">
      <formula>AND(IF($Q17=2,1,0),IF($X17&lt;30,1,0))</formula>
    </cfRule>
    <cfRule type="expression" dxfId="747" priority="749">
      <formula>AND(IF($Q17=3,1,0),IF($X17&lt;30,1,0))</formula>
    </cfRule>
    <cfRule type="expression" dxfId="746" priority="750">
      <formula>AND(IF($Q17=3,1,IF($Q17=4,1,0)),IF($F17&lt;=85,1,0))</formula>
    </cfRule>
  </conditionalFormatting>
  <conditionalFormatting sqref="X17">
    <cfRule type="expression" dxfId="745" priority="743">
      <formula>AND(IF(OR($Q17=1,$Q17=2),1,0),IF($X17&lt;=20,1,0))</formula>
    </cfRule>
    <cfRule type="expression" dxfId="744" priority="744">
      <formula>AND(IF($Q17=2,1,0),IF($X17&lt;30,1,0))</formula>
    </cfRule>
    <cfRule type="expression" dxfId="743" priority="745">
      <formula>AND(IF($Q17=3,1,0),IF($X17&lt;30,1,0))</formula>
    </cfRule>
    <cfRule type="expression" dxfId="742" priority="746">
      <formula>AND(IF($Q17=3,1,IF($Q17=4,1,0)),IF($F17&lt;=85,1,0))</formula>
    </cfRule>
  </conditionalFormatting>
  <conditionalFormatting sqref="AI17">
    <cfRule type="expression" dxfId="741" priority="739">
      <formula>AND(IF(OR($Q17=1,$Q17=2),1,0),IF($X17&lt;=20,1,0))</formula>
    </cfRule>
    <cfRule type="expression" dxfId="740" priority="740">
      <formula>AND(IF($Q17=2,1,0),IF($X17&lt;30,1,0))</formula>
    </cfRule>
    <cfRule type="expression" dxfId="739" priority="741">
      <formula>AND(IF($Q17=3,1,0),IF($X17&lt;30,1,0))</formula>
    </cfRule>
    <cfRule type="expression" dxfId="738" priority="742">
      <formula>AND(IF($Q17=3,1,IF($Q17=4,1,0)),IF($F17&lt;=85,1,0))</formula>
    </cfRule>
  </conditionalFormatting>
  <conditionalFormatting sqref="AV18">
    <cfRule type="expression" dxfId="737" priority="737">
      <formula>AV18="X"</formula>
    </cfRule>
    <cfRule type="expression" dxfId="736" priority="738">
      <formula>AV18="후보"</formula>
    </cfRule>
  </conditionalFormatting>
  <conditionalFormatting sqref="AC18">
    <cfRule type="cellIs" dxfId="735" priority="735" operator="greaterThan">
      <formula>0.9</formula>
    </cfRule>
    <cfRule type="cellIs" dxfId="734" priority="736" operator="greaterThan">
      <formula>0.85</formula>
    </cfRule>
  </conditionalFormatting>
  <conditionalFormatting sqref="N18">
    <cfRule type="cellIs" dxfId="733" priority="733" operator="greaterThan">
      <formula>0.9</formula>
    </cfRule>
    <cfRule type="cellIs" dxfId="732" priority="734" operator="greaterThan">
      <formula>0.85</formula>
    </cfRule>
  </conditionalFormatting>
  <conditionalFormatting sqref="E18">
    <cfRule type="expression" dxfId="731" priority="729">
      <formula>AND(IF(OR($Q18=1,$Q18=2),1,0),IF($X18&lt;=20,1,0))</formula>
    </cfRule>
    <cfRule type="expression" dxfId="730" priority="730">
      <formula>AND(IF($Q18=2,1,0),IF($X18&lt;30,1,0))</formula>
    </cfRule>
    <cfRule type="expression" dxfId="729" priority="731">
      <formula>AND(IF($Q18=3,1,0),IF($X18&lt;30,1,0))</formula>
    </cfRule>
    <cfRule type="expression" dxfId="728" priority="732">
      <formula>AND(IF($Q18=3,1,IF($Q18=4,1,0)),IF($F18&lt;=85,1,0))</formula>
    </cfRule>
  </conditionalFormatting>
  <conditionalFormatting sqref="X18">
    <cfRule type="expression" dxfId="727" priority="725">
      <formula>AND(IF(OR($Q18=1,$Q18=2),1,0),IF($X18&lt;=20,1,0))</formula>
    </cfRule>
    <cfRule type="expression" dxfId="726" priority="726">
      <formula>AND(IF($Q18=2,1,0),IF($X18&lt;30,1,0))</formula>
    </cfRule>
    <cfRule type="expression" dxfId="725" priority="727">
      <formula>AND(IF($Q18=3,1,0),IF($X18&lt;30,1,0))</formula>
    </cfRule>
    <cfRule type="expression" dxfId="724" priority="728">
      <formula>AND(IF($Q18=3,1,IF($Q18=4,1,0)),IF($F18&lt;=85,1,0))</formula>
    </cfRule>
  </conditionalFormatting>
  <conditionalFormatting sqref="AI18">
    <cfRule type="expression" dxfId="723" priority="721">
      <formula>AND(IF(OR($Q18=1,$Q18=2),1,0),IF($X18&lt;=20,1,0))</formula>
    </cfRule>
    <cfRule type="expression" dxfId="722" priority="722">
      <formula>AND(IF($Q18=2,1,0),IF($X18&lt;30,1,0))</formula>
    </cfRule>
    <cfRule type="expression" dxfId="721" priority="723">
      <formula>AND(IF($Q18=3,1,0),IF($X18&lt;30,1,0))</formula>
    </cfRule>
    <cfRule type="expression" dxfId="720" priority="724">
      <formula>AND(IF($Q18=3,1,IF($Q18=4,1,0)),IF($F18&lt;=85,1,0))</formula>
    </cfRule>
  </conditionalFormatting>
  <conditionalFormatting sqref="AV19">
    <cfRule type="expression" dxfId="719" priority="719">
      <formula>AV19="X"</formula>
    </cfRule>
    <cfRule type="expression" dxfId="718" priority="720">
      <formula>AV19="후보"</formula>
    </cfRule>
  </conditionalFormatting>
  <conditionalFormatting sqref="AC19">
    <cfRule type="cellIs" dxfId="717" priority="717" operator="greaterThan">
      <formula>0.9</formula>
    </cfRule>
    <cfRule type="cellIs" dxfId="716" priority="718" operator="greaterThan">
      <formula>0.85</formula>
    </cfRule>
  </conditionalFormatting>
  <conditionalFormatting sqref="N19">
    <cfRule type="cellIs" dxfId="715" priority="715" operator="greaterThan">
      <formula>0.9</formula>
    </cfRule>
    <cfRule type="cellIs" dxfId="714" priority="716" operator="greaterThan">
      <formula>0.85</formula>
    </cfRule>
  </conditionalFormatting>
  <conditionalFormatting sqref="E19">
    <cfRule type="expression" dxfId="713" priority="711">
      <formula>AND(IF(OR($Q19=1,$Q19=2),1,0),IF($X19&lt;=20,1,0))</formula>
    </cfRule>
    <cfRule type="expression" dxfId="712" priority="712">
      <formula>AND(IF($Q19=2,1,0),IF($X19&lt;30,1,0))</formula>
    </cfRule>
    <cfRule type="expression" dxfId="711" priority="713">
      <formula>AND(IF($Q19=3,1,0),IF($X19&lt;30,1,0))</formula>
    </cfRule>
    <cfRule type="expression" dxfId="710" priority="714">
      <formula>AND(IF($Q19=3,1,IF($Q19=4,1,0)),IF($F19&lt;=85,1,0))</formula>
    </cfRule>
  </conditionalFormatting>
  <conditionalFormatting sqref="X19">
    <cfRule type="expression" dxfId="709" priority="707">
      <formula>AND(IF(OR($Q19=1,$Q19=2),1,0),IF($X19&lt;=20,1,0))</formula>
    </cfRule>
    <cfRule type="expression" dxfId="708" priority="708">
      <formula>AND(IF($Q19=2,1,0),IF($X19&lt;30,1,0))</formula>
    </cfRule>
    <cfRule type="expression" dxfId="707" priority="709">
      <formula>AND(IF($Q19=3,1,0),IF($X19&lt;30,1,0))</formula>
    </cfRule>
    <cfRule type="expression" dxfId="706" priority="710">
      <formula>AND(IF($Q19=3,1,IF($Q19=4,1,0)),IF($F19&lt;=85,1,0))</formula>
    </cfRule>
  </conditionalFormatting>
  <conditionalFormatting sqref="AI19">
    <cfRule type="expression" dxfId="705" priority="703">
      <formula>AND(IF(OR($Q19=1,$Q19=2),1,0),IF($X19&lt;=20,1,0))</formula>
    </cfRule>
    <cfRule type="expression" dxfId="704" priority="704">
      <formula>AND(IF($Q19=2,1,0),IF($X19&lt;30,1,0))</formula>
    </cfRule>
    <cfRule type="expression" dxfId="703" priority="705">
      <formula>AND(IF($Q19=3,1,0),IF($X19&lt;30,1,0))</formula>
    </cfRule>
    <cfRule type="expression" dxfId="702" priority="706">
      <formula>AND(IF($Q19=3,1,IF($Q19=4,1,0)),IF($F19&lt;=85,1,0))</formula>
    </cfRule>
  </conditionalFormatting>
  <conditionalFormatting sqref="AV20">
    <cfRule type="expression" dxfId="701" priority="701">
      <formula>AV20="X"</formula>
    </cfRule>
    <cfRule type="expression" dxfId="700" priority="702">
      <formula>AV20="후보"</formula>
    </cfRule>
  </conditionalFormatting>
  <conditionalFormatting sqref="AC20">
    <cfRule type="cellIs" dxfId="699" priority="699" operator="greaterThan">
      <formula>0.9</formula>
    </cfRule>
    <cfRule type="cellIs" dxfId="698" priority="700" operator="greaterThan">
      <formula>0.85</formula>
    </cfRule>
  </conditionalFormatting>
  <conditionalFormatting sqref="N20">
    <cfRule type="cellIs" dxfId="697" priority="697" operator="greaterThan">
      <formula>0.9</formula>
    </cfRule>
    <cfRule type="cellIs" dxfId="696" priority="698" operator="greaterThan">
      <formula>0.85</formula>
    </cfRule>
  </conditionalFormatting>
  <conditionalFormatting sqref="E20">
    <cfRule type="expression" dxfId="695" priority="693">
      <formula>AND(IF(OR($Q20=1,$Q20=2),1,0),IF($X20&lt;=20,1,0))</formula>
    </cfRule>
    <cfRule type="expression" dxfId="694" priority="694">
      <formula>AND(IF($Q20=2,1,0),IF($X20&lt;30,1,0))</formula>
    </cfRule>
    <cfRule type="expression" dxfId="693" priority="695">
      <formula>AND(IF($Q20=3,1,0),IF($X20&lt;30,1,0))</formula>
    </cfRule>
    <cfRule type="expression" dxfId="692" priority="696">
      <formula>AND(IF($Q20=3,1,IF($Q20=4,1,0)),IF($F20&lt;=85,1,0))</formula>
    </cfRule>
  </conditionalFormatting>
  <conditionalFormatting sqref="X20">
    <cfRule type="expression" dxfId="691" priority="689">
      <formula>AND(IF(OR($Q20=1,$Q20=2),1,0),IF($X20&lt;=20,1,0))</formula>
    </cfRule>
    <cfRule type="expression" dxfId="690" priority="690">
      <formula>AND(IF($Q20=2,1,0),IF($X20&lt;30,1,0))</formula>
    </cfRule>
    <cfRule type="expression" dxfId="689" priority="691">
      <formula>AND(IF($Q20=3,1,0),IF($X20&lt;30,1,0))</formula>
    </cfRule>
    <cfRule type="expression" dxfId="688" priority="692">
      <formula>AND(IF($Q20=3,1,IF($Q20=4,1,0)),IF($F20&lt;=85,1,0))</formula>
    </cfRule>
  </conditionalFormatting>
  <conditionalFormatting sqref="AI20">
    <cfRule type="expression" dxfId="687" priority="685">
      <formula>AND(IF(OR($Q20=1,$Q20=2),1,0),IF($X20&lt;=20,1,0))</formula>
    </cfRule>
    <cfRule type="expression" dxfId="686" priority="686">
      <formula>AND(IF($Q20=2,1,0),IF($X20&lt;30,1,0))</formula>
    </cfRule>
    <cfRule type="expression" dxfId="685" priority="687">
      <formula>AND(IF($Q20=3,1,0),IF($X20&lt;30,1,0))</formula>
    </cfRule>
    <cfRule type="expression" dxfId="684" priority="688">
      <formula>AND(IF($Q20=3,1,IF($Q20=4,1,0)),IF($F20&lt;=85,1,0))</formula>
    </cfRule>
  </conditionalFormatting>
  <conditionalFormatting sqref="AV21">
    <cfRule type="expression" dxfId="683" priority="683">
      <formula>AV21="X"</formula>
    </cfRule>
    <cfRule type="expression" dxfId="682" priority="684">
      <formula>AV21="후보"</formula>
    </cfRule>
  </conditionalFormatting>
  <conditionalFormatting sqref="AC21">
    <cfRule type="cellIs" dxfId="681" priority="681" operator="greaterThan">
      <formula>0.9</formula>
    </cfRule>
    <cfRule type="cellIs" dxfId="680" priority="682" operator="greaterThan">
      <formula>0.85</formula>
    </cfRule>
  </conditionalFormatting>
  <conditionalFormatting sqref="N21">
    <cfRule type="cellIs" dxfId="679" priority="679" operator="greaterThan">
      <formula>0.9</formula>
    </cfRule>
    <cfRule type="cellIs" dxfId="678" priority="680" operator="greaterThan">
      <formula>0.85</formula>
    </cfRule>
  </conditionalFormatting>
  <conditionalFormatting sqref="E21">
    <cfRule type="expression" dxfId="677" priority="675">
      <formula>AND(IF(OR($Q21=1,$Q21=2),1,0),IF($X21&lt;=20,1,0))</formula>
    </cfRule>
    <cfRule type="expression" dxfId="676" priority="676">
      <formula>AND(IF($Q21=2,1,0),IF($X21&lt;30,1,0))</formula>
    </cfRule>
    <cfRule type="expression" dxfId="675" priority="677">
      <formula>AND(IF($Q21=3,1,0),IF($X21&lt;30,1,0))</formula>
    </cfRule>
    <cfRule type="expression" dxfId="674" priority="678">
      <formula>AND(IF($Q21=3,1,IF($Q21=4,1,0)),IF($F21&lt;=85,1,0))</formula>
    </cfRule>
  </conditionalFormatting>
  <conditionalFormatting sqref="X21">
    <cfRule type="expression" dxfId="673" priority="671">
      <formula>AND(IF(OR($Q21=1,$Q21=2),1,0),IF($X21&lt;=20,1,0))</formula>
    </cfRule>
    <cfRule type="expression" dxfId="672" priority="672">
      <formula>AND(IF($Q21=2,1,0),IF($X21&lt;30,1,0))</formula>
    </cfRule>
    <cfRule type="expression" dxfId="671" priority="673">
      <formula>AND(IF($Q21=3,1,0),IF($X21&lt;30,1,0))</formula>
    </cfRule>
    <cfRule type="expression" dxfId="670" priority="674">
      <formula>AND(IF($Q21=3,1,IF($Q21=4,1,0)),IF($F21&lt;=85,1,0))</formula>
    </cfRule>
  </conditionalFormatting>
  <conditionalFormatting sqref="AI21">
    <cfRule type="expression" dxfId="669" priority="667">
      <formula>AND(IF(OR($Q21=1,$Q21=2),1,0),IF($X21&lt;=20,1,0))</formula>
    </cfRule>
    <cfRule type="expression" dxfId="668" priority="668">
      <formula>AND(IF($Q21=2,1,0),IF($X21&lt;30,1,0))</formula>
    </cfRule>
    <cfRule type="expression" dxfId="667" priority="669">
      <formula>AND(IF($Q21=3,1,0),IF($X21&lt;30,1,0))</formula>
    </cfRule>
    <cfRule type="expression" dxfId="666" priority="670">
      <formula>AND(IF($Q21=3,1,IF($Q21=4,1,0)),IF($F21&lt;=85,1,0))</formula>
    </cfRule>
  </conditionalFormatting>
  <conditionalFormatting sqref="AV22">
    <cfRule type="expression" dxfId="665" priority="665">
      <formula>AV22="X"</formula>
    </cfRule>
    <cfRule type="expression" dxfId="664" priority="666">
      <formula>AV22="후보"</formula>
    </cfRule>
  </conditionalFormatting>
  <conditionalFormatting sqref="AC22">
    <cfRule type="cellIs" dxfId="663" priority="663" operator="greaterThan">
      <formula>0.9</formula>
    </cfRule>
    <cfRule type="cellIs" dxfId="662" priority="664" operator="greaterThan">
      <formula>0.85</formula>
    </cfRule>
  </conditionalFormatting>
  <conditionalFormatting sqref="N22">
    <cfRule type="cellIs" dxfId="661" priority="661" operator="greaterThan">
      <formula>0.9</formula>
    </cfRule>
    <cfRule type="cellIs" dxfId="660" priority="662" operator="greaterThan">
      <formula>0.85</formula>
    </cfRule>
  </conditionalFormatting>
  <conditionalFormatting sqref="E22">
    <cfRule type="expression" dxfId="659" priority="657">
      <formula>AND(IF(OR($Q22=1,$Q22=2),1,0),IF($X22&lt;=20,1,0))</formula>
    </cfRule>
    <cfRule type="expression" dxfId="658" priority="658">
      <formula>AND(IF($Q22=2,1,0),IF($X22&lt;30,1,0))</formula>
    </cfRule>
    <cfRule type="expression" dxfId="657" priority="659">
      <formula>AND(IF($Q22=3,1,0),IF($X22&lt;30,1,0))</formula>
    </cfRule>
    <cfRule type="expression" dxfId="656" priority="660">
      <formula>AND(IF($Q22=3,1,IF($Q22=4,1,0)),IF($F22&lt;=85,1,0))</formula>
    </cfRule>
  </conditionalFormatting>
  <conditionalFormatting sqref="X22">
    <cfRule type="expression" dxfId="655" priority="653">
      <formula>AND(IF(OR($Q22=1,$Q22=2),1,0),IF($X22&lt;=20,1,0))</formula>
    </cfRule>
    <cfRule type="expression" dxfId="654" priority="654">
      <formula>AND(IF($Q22=2,1,0),IF($X22&lt;30,1,0))</formula>
    </cfRule>
    <cfRule type="expression" dxfId="653" priority="655">
      <formula>AND(IF($Q22=3,1,0),IF($X22&lt;30,1,0))</formula>
    </cfRule>
    <cfRule type="expression" dxfId="652" priority="656">
      <formula>AND(IF($Q22=3,1,IF($Q22=4,1,0)),IF($F22&lt;=85,1,0))</formula>
    </cfRule>
  </conditionalFormatting>
  <conditionalFormatting sqref="AI22">
    <cfRule type="expression" dxfId="651" priority="649">
      <formula>AND(IF(OR($Q22=1,$Q22=2),1,0),IF($X22&lt;=20,1,0))</formula>
    </cfRule>
    <cfRule type="expression" dxfId="650" priority="650">
      <formula>AND(IF($Q22=2,1,0),IF($X22&lt;30,1,0))</formula>
    </cfRule>
    <cfRule type="expression" dxfId="649" priority="651">
      <formula>AND(IF($Q22=3,1,0),IF($X22&lt;30,1,0))</formula>
    </cfRule>
    <cfRule type="expression" dxfId="648" priority="652">
      <formula>AND(IF($Q22=3,1,IF($Q22=4,1,0)),IF($F22&lt;=85,1,0))</formula>
    </cfRule>
  </conditionalFormatting>
  <conditionalFormatting sqref="AV23">
    <cfRule type="expression" dxfId="647" priority="647">
      <formula>AV23="X"</formula>
    </cfRule>
    <cfRule type="expression" dxfId="646" priority="648">
      <formula>AV23="후보"</formula>
    </cfRule>
  </conditionalFormatting>
  <conditionalFormatting sqref="AC23">
    <cfRule type="cellIs" dxfId="645" priority="645" operator="greaterThan">
      <formula>0.9</formula>
    </cfRule>
    <cfRule type="cellIs" dxfId="644" priority="646" operator="greaterThan">
      <formula>0.85</formula>
    </cfRule>
  </conditionalFormatting>
  <conditionalFormatting sqref="N23">
    <cfRule type="cellIs" dxfId="643" priority="643" operator="greaterThan">
      <formula>0.9</formula>
    </cfRule>
    <cfRule type="cellIs" dxfId="642" priority="644" operator="greaterThan">
      <formula>0.85</formula>
    </cfRule>
  </conditionalFormatting>
  <conditionalFormatting sqref="E23">
    <cfRule type="expression" dxfId="641" priority="639">
      <formula>AND(IF(OR($Q23=1,$Q23=2),1,0),IF($X23&lt;=20,1,0))</formula>
    </cfRule>
    <cfRule type="expression" dxfId="640" priority="640">
      <formula>AND(IF($Q23=2,1,0),IF($X23&lt;30,1,0))</formula>
    </cfRule>
    <cfRule type="expression" dxfId="639" priority="641">
      <formula>AND(IF($Q23=3,1,0),IF($X23&lt;30,1,0))</formula>
    </cfRule>
    <cfRule type="expression" dxfId="638" priority="642">
      <formula>AND(IF($Q23=3,1,IF($Q23=4,1,0)),IF($F23&lt;=85,1,0))</formula>
    </cfRule>
  </conditionalFormatting>
  <conditionalFormatting sqref="X23">
    <cfRule type="expression" dxfId="637" priority="635">
      <formula>AND(IF(OR($Q23=1,$Q23=2),1,0),IF($X23&lt;=20,1,0))</formula>
    </cfRule>
    <cfRule type="expression" dxfId="636" priority="636">
      <formula>AND(IF($Q23=2,1,0),IF($X23&lt;30,1,0))</formula>
    </cfRule>
    <cfRule type="expression" dxfId="635" priority="637">
      <formula>AND(IF($Q23=3,1,0),IF($X23&lt;30,1,0))</formula>
    </cfRule>
    <cfRule type="expression" dxfId="634" priority="638">
      <formula>AND(IF($Q23=3,1,IF($Q23=4,1,0)),IF($F23&lt;=85,1,0))</formula>
    </cfRule>
  </conditionalFormatting>
  <conditionalFormatting sqref="AI23">
    <cfRule type="expression" dxfId="633" priority="631">
      <formula>AND(IF(OR($Q23=1,$Q23=2),1,0),IF($X23&lt;=20,1,0))</formula>
    </cfRule>
    <cfRule type="expression" dxfId="632" priority="632">
      <formula>AND(IF($Q23=2,1,0),IF($X23&lt;30,1,0))</formula>
    </cfRule>
    <cfRule type="expression" dxfId="631" priority="633">
      <formula>AND(IF($Q23=3,1,0),IF($X23&lt;30,1,0))</formula>
    </cfRule>
    <cfRule type="expression" dxfId="630" priority="634">
      <formula>AND(IF($Q23=3,1,IF($Q23=4,1,0)),IF($F23&lt;=85,1,0))</formula>
    </cfRule>
  </conditionalFormatting>
  <conditionalFormatting sqref="AV24">
    <cfRule type="expression" dxfId="629" priority="629">
      <formula>AV24="X"</formula>
    </cfRule>
    <cfRule type="expression" dxfId="628" priority="630">
      <formula>AV24="후보"</formula>
    </cfRule>
  </conditionalFormatting>
  <conditionalFormatting sqref="AC24">
    <cfRule type="cellIs" dxfId="627" priority="627" operator="greaterThan">
      <formula>0.9</formula>
    </cfRule>
    <cfRule type="cellIs" dxfId="626" priority="628" operator="greaterThan">
      <formula>0.85</formula>
    </cfRule>
  </conditionalFormatting>
  <conditionalFormatting sqref="N24">
    <cfRule type="cellIs" dxfId="625" priority="625" operator="greaterThan">
      <formula>0.9</formula>
    </cfRule>
    <cfRule type="cellIs" dxfId="624" priority="626" operator="greaterThan">
      <formula>0.85</formula>
    </cfRule>
  </conditionalFormatting>
  <conditionalFormatting sqref="E24">
    <cfRule type="expression" dxfId="623" priority="621">
      <formula>AND(IF(OR($Q24=1,$Q24=2),1,0),IF($X24&lt;=20,1,0))</formula>
    </cfRule>
    <cfRule type="expression" dxfId="622" priority="622">
      <formula>AND(IF($Q24=2,1,0),IF($X24&lt;30,1,0))</formula>
    </cfRule>
    <cfRule type="expression" dxfId="621" priority="623">
      <formula>AND(IF($Q24=3,1,0),IF($X24&lt;30,1,0))</formula>
    </cfRule>
    <cfRule type="expression" dxfId="620" priority="624">
      <formula>AND(IF($Q24=3,1,IF($Q24=4,1,0)),IF($F24&lt;=85,1,0))</formula>
    </cfRule>
  </conditionalFormatting>
  <conditionalFormatting sqref="X24">
    <cfRule type="expression" dxfId="619" priority="617">
      <formula>AND(IF(OR($Q24=1,$Q24=2),1,0),IF($X24&lt;=20,1,0))</formula>
    </cfRule>
    <cfRule type="expression" dxfId="618" priority="618">
      <formula>AND(IF($Q24=2,1,0),IF($X24&lt;30,1,0))</formula>
    </cfRule>
    <cfRule type="expression" dxfId="617" priority="619">
      <formula>AND(IF($Q24=3,1,0),IF($X24&lt;30,1,0))</formula>
    </cfRule>
    <cfRule type="expression" dxfId="616" priority="620">
      <formula>AND(IF($Q24=3,1,IF($Q24=4,1,0)),IF($F24&lt;=85,1,0))</formula>
    </cfRule>
  </conditionalFormatting>
  <conditionalFormatting sqref="AI24">
    <cfRule type="expression" dxfId="615" priority="613">
      <formula>AND(IF(OR($Q24=1,$Q24=2),1,0),IF($X24&lt;=20,1,0))</formula>
    </cfRule>
    <cfRule type="expression" dxfId="614" priority="614">
      <formula>AND(IF($Q24=2,1,0),IF($X24&lt;30,1,0))</formula>
    </cfRule>
    <cfRule type="expression" dxfId="613" priority="615">
      <formula>AND(IF($Q24=3,1,0),IF($X24&lt;30,1,0))</formula>
    </cfRule>
    <cfRule type="expression" dxfId="612" priority="616">
      <formula>AND(IF($Q24=3,1,IF($Q24=4,1,0)),IF($F24&lt;=85,1,0))</formula>
    </cfRule>
  </conditionalFormatting>
  <conditionalFormatting sqref="AV25">
    <cfRule type="expression" dxfId="611" priority="611">
      <formula>AV25="X"</formula>
    </cfRule>
    <cfRule type="expression" dxfId="610" priority="612">
      <formula>AV25="후보"</formula>
    </cfRule>
  </conditionalFormatting>
  <conditionalFormatting sqref="AC25">
    <cfRule type="cellIs" dxfId="609" priority="609" operator="greaterThan">
      <formula>0.9</formula>
    </cfRule>
    <cfRule type="cellIs" dxfId="608" priority="610" operator="greaterThan">
      <formula>0.85</formula>
    </cfRule>
  </conditionalFormatting>
  <conditionalFormatting sqref="N25">
    <cfRule type="cellIs" dxfId="607" priority="607" operator="greaterThan">
      <formula>0.9</formula>
    </cfRule>
    <cfRule type="cellIs" dxfId="606" priority="608" operator="greaterThan">
      <formula>0.85</formula>
    </cfRule>
  </conditionalFormatting>
  <conditionalFormatting sqref="E25">
    <cfRule type="expression" dxfId="605" priority="603">
      <formula>AND(IF(OR($Q25=1,$Q25=2),1,0),IF($X25&lt;=20,1,0))</formula>
    </cfRule>
    <cfRule type="expression" dxfId="604" priority="604">
      <formula>AND(IF($Q25=2,1,0),IF($X25&lt;30,1,0))</formula>
    </cfRule>
    <cfRule type="expression" dxfId="603" priority="605">
      <formula>AND(IF($Q25=3,1,0),IF($X25&lt;30,1,0))</formula>
    </cfRule>
    <cfRule type="expression" dxfId="602" priority="606">
      <formula>AND(IF($Q25=3,1,IF($Q25=4,1,0)),IF($F25&lt;=85,1,0))</formula>
    </cfRule>
  </conditionalFormatting>
  <conditionalFormatting sqref="X25">
    <cfRule type="expression" dxfId="601" priority="599">
      <formula>AND(IF(OR($Q25=1,$Q25=2),1,0),IF($X25&lt;=20,1,0))</formula>
    </cfRule>
    <cfRule type="expression" dxfId="600" priority="600">
      <formula>AND(IF($Q25=2,1,0),IF($X25&lt;30,1,0))</formula>
    </cfRule>
    <cfRule type="expression" dxfId="599" priority="601">
      <formula>AND(IF($Q25=3,1,0),IF($X25&lt;30,1,0))</formula>
    </cfRule>
    <cfRule type="expression" dxfId="598" priority="602">
      <formula>AND(IF($Q25=3,1,IF($Q25=4,1,0)),IF($F25&lt;=85,1,0))</formula>
    </cfRule>
  </conditionalFormatting>
  <conditionalFormatting sqref="AI25">
    <cfRule type="expression" dxfId="597" priority="595">
      <formula>AND(IF(OR($Q25=1,$Q25=2),1,0),IF($X25&lt;=20,1,0))</formula>
    </cfRule>
    <cfRule type="expression" dxfId="596" priority="596">
      <formula>AND(IF($Q25=2,1,0),IF($X25&lt;30,1,0))</formula>
    </cfRule>
    <cfRule type="expression" dxfId="595" priority="597">
      <formula>AND(IF($Q25=3,1,0),IF($X25&lt;30,1,0))</formula>
    </cfRule>
    <cfRule type="expression" dxfId="594" priority="598">
      <formula>AND(IF($Q25=3,1,IF($Q25=4,1,0)),IF($F25&lt;=85,1,0))</formula>
    </cfRule>
  </conditionalFormatting>
  <conditionalFormatting sqref="AV26">
    <cfRule type="expression" dxfId="593" priority="593">
      <formula>AV26="X"</formula>
    </cfRule>
    <cfRule type="expression" dxfId="592" priority="594">
      <formula>AV26="후보"</formula>
    </cfRule>
  </conditionalFormatting>
  <conditionalFormatting sqref="AC26">
    <cfRule type="cellIs" dxfId="591" priority="591" operator="greaterThan">
      <formula>0.9</formula>
    </cfRule>
    <cfRule type="cellIs" dxfId="590" priority="592" operator="greaterThan">
      <formula>0.85</formula>
    </cfRule>
  </conditionalFormatting>
  <conditionalFormatting sqref="N26">
    <cfRule type="cellIs" dxfId="589" priority="589" operator="greaterThan">
      <formula>0.9</formula>
    </cfRule>
    <cfRule type="cellIs" dxfId="588" priority="590" operator="greaterThan">
      <formula>0.85</formula>
    </cfRule>
  </conditionalFormatting>
  <conditionalFormatting sqref="E26">
    <cfRule type="expression" dxfId="587" priority="585">
      <formula>AND(IF(OR($Q26=1,$Q26=2),1,0),IF($X26&lt;=20,1,0))</formula>
    </cfRule>
    <cfRule type="expression" dxfId="586" priority="586">
      <formula>AND(IF($Q26=2,1,0),IF($X26&lt;30,1,0))</formula>
    </cfRule>
    <cfRule type="expression" dxfId="585" priority="587">
      <formula>AND(IF($Q26=3,1,0),IF($X26&lt;30,1,0))</formula>
    </cfRule>
    <cfRule type="expression" dxfId="584" priority="588">
      <formula>AND(IF($Q26=3,1,IF($Q26=4,1,0)),IF($F26&lt;=85,1,0))</formula>
    </cfRule>
  </conditionalFormatting>
  <conditionalFormatting sqref="X26">
    <cfRule type="expression" dxfId="583" priority="581">
      <formula>AND(IF(OR($Q26=1,$Q26=2),1,0),IF($X26&lt;=20,1,0))</formula>
    </cfRule>
    <cfRule type="expression" dxfId="582" priority="582">
      <formula>AND(IF($Q26=2,1,0),IF($X26&lt;30,1,0))</formula>
    </cfRule>
    <cfRule type="expression" dxfId="581" priority="583">
      <formula>AND(IF($Q26=3,1,0),IF($X26&lt;30,1,0))</formula>
    </cfRule>
    <cfRule type="expression" dxfId="580" priority="584">
      <formula>AND(IF($Q26=3,1,IF($Q26=4,1,0)),IF($F26&lt;=85,1,0))</formula>
    </cfRule>
  </conditionalFormatting>
  <conditionalFormatting sqref="AI26">
    <cfRule type="expression" dxfId="579" priority="577">
      <formula>AND(IF(OR($Q26=1,$Q26=2),1,0),IF($X26&lt;=20,1,0))</formula>
    </cfRule>
    <cfRule type="expression" dxfId="578" priority="578">
      <formula>AND(IF($Q26=2,1,0),IF($X26&lt;30,1,0))</formula>
    </cfRule>
    <cfRule type="expression" dxfId="577" priority="579">
      <formula>AND(IF($Q26=3,1,0),IF($X26&lt;30,1,0))</formula>
    </cfRule>
    <cfRule type="expression" dxfId="576" priority="580">
      <formula>AND(IF($Q26=3,1,IF($Q26=4,1,0)),IF($F26&lt;=85,1,0))</formula>
    </cfRule>
  </conditionalFormatting>
  <conditionalFormatting sqref="AV27">
    <cfRule type="expression" dxfId="575" priority="575">
      <formula>AV27="X"</formula>
    </cfRule>
    <cfRule type="expression" dxfId="574" priority="576">
      <formula>AV27="후보"</formula>
    </cfRule>
  </conditionalFormatting>
  <conditionalFormatting sqref="AC27">
    <cfRule type="cellIs" dxfId="573" priority="573" operator="greaterThan">
      <formula>0.9</formula>
    </cfRule>
    <cfRule type="cellIs" dxfId="572" priority="574" operator="greaterThan">
      <formula>0.85</formula>
    </cfRule>
  </conditionalFormatting>
  <conditionalFormatting sqref="N27">
    <cfRule type="cellIs" dxfId="571" priority="571" operator="greaterThan">
      <formula>0.9</formula>
    </cfRule>
    <cfRule type="cellIs" dxfId="570" priority="572" operator="greaterThan">
      <formula>0.85</formula>
    </cfRule>
  </conditionalFormatting>
  <conditionalFormatting sqref="E27">
    <cfRule type="expression" dxfId="569" priority="567">
      <formula>AND(IF(OR($Q27=1,$Q27=2),1,0),IF($X27&lt;=20,1,0))</formula>
    </cfRule>
    <cfRule type="expression" dxfId="568" priority="568">
      <formula>AND(IF($Q27=2,1,0),IF($X27&lt;30,1,0))</formula>
    </cfRule>
    <cfRule type="expression" dxfId="567" priority="569">
      <formula>AND(IF($Q27=3,1,0),IF($X27&lt;30,1,0))</formula>
    </cfRule>
    <cfRule type="expression" dxfId="566" priority="570">
      <formula>AND(IF($Q27=3,1,IF($Q27=4,1,0)),IF($F27&lt;=85,1,0))</formula>
    </cfRule>
  </conditionalFormatting>
  <conditionalFormatting sqref="X27">
    <cfRule type="expression" dxfId="565" priority="563">
      <formula>AND(IF(OR($Q27=1,$Q27=2),1,0),IF($X27&lt;=20,1,0))</formula>
    </cfRule>
    <cfRule type="expression" dxfId="564" priority="564">
      <formula>AND(IF($Q27=2,1,0),IF($X27&lt;30,1,0))</formula>
    </cfRule>
    <cfRule type="expression" dxfId="563" priority="565">
      <formula>AND(IF($Q27=3,1,0),IF($X27&lt;30,1,0))</formula>
    </cfRule>
    <cfRule type="expression" dxfId="562" priority="566">
      <formula>AND(IF($Q27=3,1,IF($Q27=4,1,0)),IF($F27&lt;=85,1,0))</formula>
    </cfRule>
  </conditionalFormatting>
  <conditionalFormatting sqref="AI27">
    <cfRule type="expression" dxfId="561" priority="559">
      <formula>AND(IF(OR($Q27=1,$Q27=2),1,0),IF($X27&lt;=20,1,0))</formula>
    </cfRule>
    <cfRule type="expression" dxfId="560" priority="560">
      <formula>AND(IF($Q27=2,1,0),IF($X27&lt;30,1,0))</formula>
    </cfRule>
    <cfRule type="expression" dxfId="559" priority="561">
      <formula>AND(IF($Q27=3,1,0),IF($X27&lt;30,1,0))</formula>
    </cfRule>
    <cfRule type="expression" dxfId="558" priority="562">
      <formula>AND(IF($Q27=3,1,IF($Q27=4,1,0)),IF($F27&lt;=85,1,0))</formula>
    </cfRule>
  </conditionalFormatting>
  <conditionalFormatting sqref="AV28">
    <cfRule type="expression" dxfId="557" priority="557">
      <formula>AV28="X"</formula>
    </cfRule>
    <cfRule type="expression" dxfId="556" priority="558">
      <formula>AV28="후보"</formula>
    </cfRule>
  </conditionalFormatting>
  <conditionalFormatting sqref="AC28">
    <cfRule type="cellIs" dxfId="555" priority="555" operator="greaterThan">
      <formula>0.9</formula>
    </cfRule>
    <cfRule type="cellIs" dxfId="554" priority="556" operator="greaterThan">
      <formula>0.85</formula>
    </cfRule>
  </conditionalFormatting>
  <conditionalFormatting sqref="N28">
    <cfRule type="cellIs" dxfId="553" priority="553" operator="greaterThan">
      <formula>0.9</formula>
    </cfRule>
    <cfRule type="cellIs" dxfId="552" priority="554" operator="greaterThan">
      <formula>0.85</formula>
    </cfRule>
  </conditionalFormatting>
  <conditionalFormatting sqref="E28">
    <cfRule type="expression" dxfId="551" priority="549">
      <formula>AND(IF(OR($Q28=1,$Q28=2),1,0),IF($X28&lt;=20,1,0))</formula>
    </cfRule>
    <cfRule type="expression" dxfId="550" priority="550">
      <formula>AND(IF($Q28=2,1,0),IF($X28&lt;30,1,0))</formula>
    </cfRule>
    <cfRule type="expression" dxfId="549" priority="551">
      <formula>AND(IF($Q28=3,1,0),IF($X28&lt;30,1,0))</formula>
    </cfRule>
    <cfRule type="expression" dxfId="548" priority="552">
      <formula>AND(IF($Q28=3,1,IF($Q28=4,1,0)),IF($F28&lt;=85,1,0))</formula>
    </cfRule>
  </conditionalFormatting>
  <conditionalFormatting sqref="X28">
    <cfRule type="expression" dxfId="547" priority="545">
      <formula>AND(IF(OR($Q28=1,$Q28=2),1,0),IF($X28&lt;=20,1,0))</formula>
    </cfRule>
    <cfRule type="expression" dxfId="546" priority="546">
      <formula>AND(IF($Q28=2,1,0),IF($X28&lt;30,1,0))</formula>
    </cfRule>
    <cfRule type="expression" dxfId="545" priority="547">
      <formula>AND(IF($Q28=3,1,0),IF($X28&lt;30,1,0))</formula>
    </cfRule>
    <cfRule type="expression" dxfId="544" priority="548">
      <formula>AND(IF($Q28=3,1,IF($Q28=4,1,0)),IF($F28&lt;=85,1,0))</formula>
    </cfRule>
  </conditionalFormatting>
  <conditionalFormatting sqref="AI28">
    <cfRule type="expression" dxfId="543" priority="541">
      <formula>AND(IF(OR($Q28=1,$Q28=2),1,0),IF($X28&lt;=20,1,0))</formula>
    </cfRule>
    <cfRule type="expression" dxfId="542" priority="542">
      <formula>AND(IF($Q28=2,1,0),IF($X28&lt;30,1,0))</formula>
    </cfRule>
    <cfRule type="expression" dxfId="541" priority="543">
      <formula>AND(IF($Q28=3,1,0),IF($X28&lt;30,1,0))</formula>
    </cfRule>
    <cfRule type="expression" dxfId="540" priority="544">
      <formula>AND(IF($Q28=3,1,IF($Q28=4,1,0)),IF($F28&lt;=85,1,0))</formula>
    </cfRule>
  </conditionalFormatting>
  <conditionalFormatting sqref="AV29">
    <cfRule type="expression" dxfId="539" priority="539">
      <formula>AV29="X"</formula>
    </cfRule>
    <cfRule type="expression" dxfId="538" priority="540">
      <formula>AV29="후보"</formula>
    </cfRule>
  </conditionalFormatting>
  <conditionalFormatting sqref="AC29">
    <cfRule type="cellIs" dxfId="537" priority="537" operator="greaterThan">
      <formula>0.9</formula>
    </cfRule>
    <cfRule type="cellIs" dxfId="536" priority="538" operator="greaterThan">
      <formula>0.85</formula>
    </cfRule>
  </conditionalFormatting>
  <conditionalFormatting sqref="N29">
    <cfRule type="cellIs" dxfId="535" priority="535" operator="greaterThan">
      <formula>0.9</formula>
    </cfRule>
    <cfRule type="cellIs" dxfId="534" priority="536" operator="greaterThan">
      <formula>0.85</formula>
    </cfRule>
  </conditionalFormatting>
  <conditionalFormatting sqref="E29">
    <cfRule type="expression" dxfId="533" priority="531">
      <formula>AND(IF(OR($Q29=1,$Q29=2),1,0),IF($X29&lt;=20,1,0))</formula>
    </cfRule>
    <cfRule type="expression" dxfId="532" priority="532">
      <formula>AND(IF($Q29=2,1,0),IF($X29&lt;30,1,0))</formula>
    </cfRule>
    <cfRule type="expression" dxfId="531" priority="533">
      <formula>AND(IF($Q29=3,1,0),IF($X29&lt;30,1,0))</formula>
    </cfRule>
    <cfRule type="expression" dxfId="530" priority="534">
      <formula>AND(IF($Q29=3,1,IF($Q29=4,1,0)),IF($F29&lt;=85,1,0))</formula>
    </cfRule>
  </conditionalFormatting>
  <conditionalFormatting sqref="X29">
    <cfRule type="expression" dxfId="529" priority="527">
      <formula>AND(IF(OR($Q29=1,$Q29=2),1,0),IF($X29&lt;=20,1,0))</formula>
    </cfRule>
    <cfRule type="expression" dxfId="528" priority="528">
      <formula>AND(IF($Q29=2,1,0),IF($X29&lt;30,1,0))</formula>
    </cfRule>
    <cfRule type="expression" dxfId="527" priority="529">
      <formula>AND(IF($Q29=3,1,0),IF($X29&lt;30,1,0))</formula>
    </cfRule>
    <cfRule type="expression" dxfId="526" priority="530">
      <formula>AND(IF($Q29=3,1,IF($Q29=4,1,0)),IF($F29&lt;=85,1,0))</formula>
    </cfRule>
  </conditionalFormatting>
  <conditionalFormatting sqref="AI29">
    <cfRule type="expression" dxfId="525" priority="523">
      <formula>AND(IF(OR($Q29=1,$Q29=2),1,0),IF($X29&lt;=20,1,0))</formula>
    </cfRule>
    <cfRule type="expression" dxfId="524" priority="524">
      <formula>AND(IF($Q29=2,1,0),IF($X29&lt;30,1,0))</formula>
    </cfRule>
    <cfRule type="expression" dxfId="523" priority="525">
      <formula>AND(IF($Q29=3,1,0),IF($X29&lt;30,1,0))</formula>
    </cfRule>
    <cfRule type="expression" dxfId="522" priority="526">
      <formula>AND(IF($Q29=3,1,IF($Q29=4,1,0)),IF($F29&lt;=85,1,0))</formula>
    </cfRule>
  </conditionalFormatting>
  <conditionalFormatting sqref="AV30">
    <cfRule type="expression" dxfId="521" priority="521">
      <formula>AV30="X"</formula>
    </cfRule>
    <cfRule type="expression" dxfId="520" priority="522">
      <formula>AV30="후보"</formula>
    </cfRule>
  </conditionalFormatting>
  <conditionalFormatting sqref="AC30">
    <cfRule type="cellIs" dxfId="519" priority="519" operator="greaterThan">
      <formula>0.9</formula>
    </cfRule>
    <cfRule type="cellIs" dxfId="518" priority="520" operator="greaterThan">
      <formula>0.85</formula>
    </cfRule>
  </conditionalFormatting>
  <conditionalFormatting sqref="N30">
    <cfRule type="cellIs" dxfId="517" priority="517" operator="greaterThan">
      <formula>0.9</formula>
    </cfRule>
    <cfRule type="cellIs" dxfId="516" priority="518" operator="greaterThan">
      <formula>0.85</formula>
    </cfRule>
  </conditionalFormatting>
  <conditionalFormatting sqref="E30">
    <cfRule type="expression" dxfId="515" priority="513">
      <formula>AND(IF(OR($Q30=1,$Q30=2),1,0),IF($X30&lt;=20,1,0))</formula>
    </cfRule>
    <cfRule type="expression" dxfId="514" priority="514">
      <formula>AND(IF($Q30=2,1,0),IF($X30&lt;30,1,0))</formula>
    </cfRule>
    <cfRule type="expression" dxfId="513" priority="515">
      <formula>AND(IF($Q30=3,1,0),IF($X30&lt;30,1,0))</formula>
    </cfRule>
    <cfRule type="expression" dxfId="512" priority="516">
      <formula>AND(IF($Q30=3,1,IF($Q30=4,1,0)),IF($F30&lt;=85,1,0))</formula>
    </cfRule>
  </conditionalFormatting>
  <conditionalFormatting sqref="X30">
    <cfRule type="expression" dxfId="511" priority="509">
      <formula>AND(IF(OR($Q30=1,$Q30=2),1,0),IF($X30&lt;=20,1,0))</formula>
    </cfRule>
    <cfRule type="expression" dxfId="510" priority="510">
      <formula>AND(IF($Q30=2,1,0),IF($X30&lt;30,1,0))</formula>
    </cfRule>
    <cfRule type="expression" dxfId="509" priority="511">
      <formula>AND(IF($Q30=3,1,0),IF($X30&lt;30,1,0))</formula>
    </cfRule>
    <cfRule type="expression" dxfId="508" priority="512">
      <formula>AND(IF($Q30=3,1,IF($Q30=4,1,0)),IF($F30&lt;=85,1,0))</formula>
    </cfRule>
  </conditionalFormatting>
  <conditionalFormatting sqref="AI30">
    <cfRule type="expression" dxfId="507" priority="505">
      <formula>AND(IF(OR($Q30=1,$Q30=2),1,0),IF($X30&lt;=20,1,0))</formula>
    </cfRule>
    <cfRule type="expression" dxfId="506" priority="506">
      <formula>AND(IF($Q30=2,1,0),IF($X30&lt;30,1,0))</formula>
    </cfRule>
    <cfRule type="expression" dxfId="505" priority="507">
      <formula>AND(IF($Q30=3,1,0),IF($X30&lt;30,1,0))</formula>
    </cfRule>
    <cfRule type="expression" dxfId="504" priority="508">
      <formula>AND(IF($Q30=3,1,IF($Q30=4,1,0)),IF($F30&lt;=85,1,0))</formula>
    </cfRule>
  </conditionalFormatting>
  <conditionalFormatting sqref="AV31">
    <cfRule type="expression" dxfId="503" priority="503">
      <formula>AV31="X"</formula>
    </cfRule>
    <cfRule type="expression" dxfId="502" priority="504">
      <formula>AV31="후보"</formula>
    </cfRule>
  </conditionalFormatting>
  <conditionalFormatting sqref="AC31">
    <cfRule type="cellIs" dxfId="501" priority="501" operator="greaterThan">
      <formula>0.9</formula>
    </cfRule>
    <cfRule type="cellIs" dxfId="500" priority="502" operator="greaterThan">
      <formula>0.85</formula>
    </cfRule>
  </conditionalFormatting>
  <conditionalFormatting sqref="N31">
    <cfRule type="cellIs" dxfId="499" priority="499" operator="greaterThan">
      <formula>0.9</formula>
    </cfRule>
    <cfRule type="cellIs" dxfId="498" priority="500" operator="greaterThan">
      <formula>0.85</formula>
    </cfRule>
  </conditionalFormatting>
  <conditionalFormatting sqref="E31">
    <cfRule type="expression" dxfId="497" priority="495">
      <formula>AND(IF(OR($Q31=1,$Q31=2),1,0),IF($X31&lt;=20,1,0))</formula>
    </cfRule>
    <cfRule type="expression" dxfId="496" priority="496">
      <formula>AND(IF($Q31=2,1,0),IF($X31&lt;30,1,0))</formula>
    </cfRule>
    <cfRule type="expression" dxfId="495" priority="497">
      <formula>AND(IF($Q31=3,1,0),IF($X31&lt;30,1,0))</formula>
    </cfRule>
    <cfRule type="expression" dxfId="494" priority="498">
      <formula>AND(IF($Q31=3,1,IF($Q31=4,1,0)),IF($F31&lt;=85,1,0))</formula>
    </cfRule>
  </conditionalFormatting>
  <conditionalFormatting sqref="X31">
    <cfRule type="expression" dxfId="493" priority="491">
      <formula>AND(IF(OR($Q31=1,$Q31=2),1,0),IF($X31&lt;=20,1,0))</formula>
    </cfRule>
    <cfRule type="expression" dxfId="492" priority="492">
      <formula>AND(IF($Q31=2,1,0),IF($X31&lt;30,1,0))</formula>
    </cfRule>
    <cfRule type="expression" dxfId="491" priority="493">
      <formula>AND(IF($Q31=3,1,0),IF($X31&lt;30,1,0))</formula>
    </cfRule>
    <cfRule type="expression" dxfId="490" priority="494">
      <formula>AND(IF($Q31=3,1,IF($Q31=4,1,0)),IF($F31&lt;=85,1,0))</formula>
    </cfRule>
  </conditionalFormatting>
  <conditionalFormatting sqref="AI31">
    <cfRule type="expression" dxfId="489" priority="487">
      <formula>AND(IF(OR($Q31=1,$Q31=2),1,0),IF($X31&lt;=20,1,0))</formula>
    </cfRule>
    <cfRule type="expression" dxfId="488" priority="488">
      <formula>AND(IF($Q31=2,1,0),IF($X31&lt;30,1,0))</formula>
    </cfRule>
    <cfRule type="expression" dxfId="487" priority="489">
      <formula>AND(IF($Q31=3,1,0),IF($X31&lt;30,1,0))</formula>
    </cfRule>
    <cfRule type="expression" dxfId="486" priority="490">
      <formula>AND(IF($Q31=3,1,IF($Q31=4,1,0)),IF($F31&lt;=85,1,0))</formula>
    </cfRule>
  </conditionalFormatting>
  <conditionalFormatting sqref="AV32">
    <cfRule type="expression" dxfId="485" priority="485">
      <formula>AV32="X"</formula>
    </cfRule>
    <cfRule type="expression" dxfId="484" priority="486">
      <formula>AV32="후보"</formula>
    </cfRule>
  </conditionalFormatting>
  <conditionalFormatting sqref="AC32">
    <cfRule type="cellIs" dxfId="483" priority="483" operator="greaterThan">
      <formula>0.9</formula>
    </cfRule>
    <cfRule type="cellIs" dxfId="482" priority="484" operator="greaterThan">
      <formula>0.85</formula>
    </cfRule>
  </conditionalFormatting>
  <conditionalFormatting sqref="N32">
    <cfRule type="cellIs" dxfId="481" priority="481" operator="greaterThan">
      <formula>0.9</formula>
    </cfRule>
    <cfRule type="cellIs" dxfId="480" priority="482" operator="greaterThan">
      <formula>0.85</formula>
    </cfRule>
  </conditionalFormatting>
  <conditionalFormatting sqref="E32">
    <cfRule type="expression" dxfId="479" priority="477">
      <formula>AND(IF(OR($Q32=1,$Q32=2),1,0),IF($X32&lt;=20,1,0))</formula>
    </cfRule>
    <cfRule type="expression" dxfId="478" priority="478">
      <formula>AND(IF($Q32=2,1,0),IF($X32&lt;30,1,0))</formula>
    </cfRule>
    <cfRule type="expression" dxfId="477" priority="479">
      <formula>AND(IF($Q32=3,1,0),IF($X32&lt;30,1,0))</formula>
    </cfRule>
    <cfRule type="expression" dxfId="476" priority="480">
      <formula>AND(IF($Q32=3,1,IF($Q32=4,1,0)),IF($F32&lt;=85,1,0))</formula>
    </cfRule>
  </conditionalFormatting>
  <conditionalFormatting sqref="X32">
    <cfRule type="expression" dxfId="475" priority="473">
      <formula>AND(IF(OR($Q32=1,$Q32=2),1,0),IF($X32&lt;=20,1,0))</formula>
    </cfRule>
    <cfRule type="expression" dxfId="474" priority="474">
      <formula>AND(IF($Q32=2,1,0),IF($X32&lt;30,1,0))</formula>
    </cfRule>
    <cfRule type="expression" dxfId="473" priority="475">
      <formula>AND(IF($Q32=3,1,0),IF($X32&lt;30,1,0))</formula>
    </cfRule>
    <cfRule type="expression" dxfId="472" priority="476">
      <formula>AND(IF($Q32=3,1,IF($Q32=4,1,0)),IF($F32&lt;=85,1,0))</formula>
    </cfRule>
  </conditionalFormatting>
  <conditionalFormatting sqref="AI32">
    <cfRule type="expression" dxfId="471" priority="469">
      <formula>AND(IF(OR($Q32=1,$Q32=2),1,0),IF($X32&lt;=20,1,0))</formula>
    </cfRule>
    <cfRule type="expression" dxfId="470" priority="470">
      <formula>AND(IF($Q32=2,1,0),IF($X32&lt;30,1,0))</formula>
    </cfRule>
    <cfRule type="expression" dxfId="469" priority="471">
      <formula>AND(IF($Q32=3,1,0),IF($X32&lt;30,1,0))</formula>
    </cfRule>
    <cfRule type="expression" dxfId="468" priority="472">
      <formula>AND(IF($Q32=3,1,IF($Q32=4,1,0)),IF($F32&lt;=85,1,0))</formula>
    </cfRule>
  </conditionalFormatting>
  <conditionalFormatting sqref="AV33">
    <cfRule type="expression" dxfId="467" priority="467">
      <formula>AV33="X"</formula>
    </cfRule>
    <cfRule type="expression" dxfId="466" priority="468">
      <formula>AV33="후보"</formula>
    </cfRule>
  </conditionalFormatting>
  <conditionalFormatting sqref="AC33">
    <cfRule type="cellIs" dxfId="465" priority="465" operator="greaterThan">
      <formula>0.9</formula>
    </cfRule>
    <cfRule type="cellIs" dxfId="464" priority="466" operator="greaterThan">
      <formula>0.85</formula>
    </cfRule>
  </conditionalFormatting>
  <conditionalFormatting sqref="N33">
    <cfRule type="cellIs" dxfId="463" priority="463" operator="greaterThan">
      <formula>0.9</formula>
    </cfRule>
    <cfRule type="cellIs" dxfId="462" priority="464" operator="greaterThan">
      <formula>0.85</formula>
    </cfRule>
  </conditionalFormatting>
  <conditionalFormatting sqref="E33">
    <cfRule type="expression" dxfId="461" priority="459">
      <formula>AND(IF(OR($Q33=1,$Q33=2),1,0),IF($X33&lt;=20,1,0))</formula>
    </cfRule>
    <cfRule type="expression" dxfId="460" priority="460">
      <formula>AND(IF($Q33=2,1,0),IF($X33&lt;30,1,0))</formula>
    </cfRule>
    <cfRule type="expression" dxfId="459" priority="461">
      <formula>AND(IF($Q33=3,1,0),IF($X33&lt;30,1,0))</formula>
    </cfRule>
    <cfRule type="expression" dxfId="458" priority="462">
      <formula>AND(IF($Q33=3,1,IF($Q33=4,1,0)),IF($F33&lt;=85,1,0))</formula>
    </cfRule>
  </conditionalFormatting>
  <conditionalFormatting sqref="X33">
    <cfRule type="expression" dxfId="457" priority="455">
      <formula>AND(IF(OR($Q33=1,$Q33=2),1,0),IF($X33&lt;=20,1,0))</formula>
    </cfRule>
    <cfRule type="expression" dxfId="456" priority="456">
      <formula>AND(IF($Q33=2,1,0),IF($X33&lt;30,1,0))</formula>
    </cfRule>
    <cfRule type="expression" dxfId="455" priority="457">
      <formula>AND(IF($Q33=3,1,0),IF($X33&lt;30,1,0))</formula>
    </cfRule>
    <cfRule type="expression" dxfId="454" priority="458">
      <formula>AND(IF($Q33=3,1,IF($Q33=4,1,0)),IF($F33&lt;=85,1,0))</formula>
    </cfRule>
  </conditionalFormatting>
  <conditionalFormatting sqref="AI33">
    <cfRule type="expression" dxfId="453" priority="451">
      <formula>AND(IF(OR($Q33=1,$Q33=2),1,0),IF($X33&lt;=20,1,0))</formula>
    </cfRule>
    <cfRule type="expression" dxfId="452" priority="452">
      <formula>AND(IF($Q33=2,1,0),IF($X33&lt;30,1,0))</formula>
    </cfRule>
    <cfRule type="expression" dxfId="451" priority="453">
      <formula>AND(IF($Q33=3,1,0),IF($X33&lt;30,1,0))</formula>
    </cfRule>
    <cfRule type="expression" dxfId="450" priority="454">
      <formula>AND(IF($Q33=3,1,IF($Q33=4,1,0)),IF($F33&lt;=85,1,0))</formula>
    </cfRule>
  </conditionalFormatting>
  <conditionalFormatting sqref="AV34">
    <cfRule type="expression" dxfId="449" priority="449">
      <formula>AV34="X"</formula>
    </cfRule>
    <cfRule type="expression" dxfId="448" priority="450">
      <formula>AV34="후보"</formula>
    </cfRule>
  </conditionalFormatting>
  <conditionalFormatting sqref="AC34">
    <cfRule type="cellIs" dxfId="447" priority="447" operator="greaterThan">
      <formula>0.9</formula>
    </cfRule>
    <cfRule type="cellIs" dxfId="446" priority="448" operator="greaterThan">
      <formula>0.85</formula>
    </cfRule>
  </conditionalFormatting>
  <conditionalFormatting sqref="N34">
    <cfRule type="cellIs" dxfId="445" priority="445" operator="greaterThan">
      <formula>0.9</formula>
    </cfRule>
    <cfRule type="cellIs" dxfId="444" priority="446" operator="greaterThan">
      <formula>0.85</formula>
    </cfRule>
  </conditionalFormatting>
  <conditionalFormatting sqref="E34">
    <cfRule type="expression" dxfId="443" priority="441">
      <formula>AND(IF(OR($Q34=1,$Q34=2),1,0),IF($X34&lt;=20,1,0))</formula>
    </cfRule>
    <cfRule type="expression" dxfId="442" priority="442">
      <formula>AND(IF($Q34=2,1,0),IF($X34&lt;30,1,0))</formula>
    </cfRule>
    <cfRule type="expression" dxfId="441" priority="443">
      <formula>AND(IF($Q34=3,1,0),IF($X34&lt;30,1,0))</formula>
    </cfRule>
    <cfRule type="expression" dxfId="440" priority="444">
      <formula>AND(IF($Q34=3,1,IF($Q34=4,1,0)),IF($F34&lt;=85,1,0))</formula>
    </cfRule>
  </conditionalFormatting>
  <conditionalFormatting sqref="X34">
    <cfRule type="expression" dxfId="439" priority="437">
      <formula>AND(IF(OR($Q34=1,$Q34=2),1,0),IF($X34&lt;=20,1,0))</formula>
    </cfRule>
    <cfRule type="expression" dxfId="438" priority="438">
      <formula>AND(IF($Q34=2,1,0),IF($X34&lt;30,1,0))</formula>
    </cfRule>
    <cfRule type="expression" dxfId="437" priority="439">
      <formula>AND(IF($Q34=3,1,0),IF($X34&lt;30,1,0))</formula>
    </cfRule>
    <cfRule type="expression" dxfId="436" priority="440">
      <formula>AND(IF($Q34=3,1,IF($Q34=4,1,0)),IF($F34&lt;=85,1,0))</formula>
    </cfRule>
  </conditionalFormatting>
  <conditionalFormatting sqref="AI34">
    <cfRule type="expression" dxfId="435" priority="433">
      <formula>AND(IF(OR($Q34=1,$Q34=2),1,0),IF($X34&lt;=20,1,0))</formula>
    </cfRule>
    <cfRule type="expression" dxfId="434" priority="434">
      <formula>AND(IF($Q34=2,1,0),IF($X34&lt;30,1,0))</formula>
    </cfRule>
    <cfRule type="expression" dxfId="433" priority="435">
      <formula>AND(IF($Q34=3,1,0),IF($X34&lt;30,1,0))</formula>
    </cfRule>
    <cfRule type="expression" dxfId="432" priority="436">
      <formula>AND(IF($Q34=3,1,IF($Q34=4,1,0)),IF($F34&lt;=85,1,0))</formula>
    </cfRule>
  </conditionalFormatting>
  <conditionalFormatting sqref="AV35">
    <cfRule type="expression" dxfId="431" priority="431">
      <formula>AV35="X"</formula>
    </cfRule>
    <cfRule type="expression" dxfId="430" priority="432">
      <formula>AV35="후보"</formula>
    </cfRule>
  </conditionalFormatting>
  <conditionalFormatting sqref="AC35">
    <cfRule type="cellIs" dxfId="429" priority="429" operator="greaterThan">
      <formula>0.9</formula>
    </cfRule>
    <cfRule type="cellIs" dxfId="428" priority="430" operator="greaterThan">
      <formula>0.85</formula>
    </cfRule>
  </conditionalFormatting>
  <conditionalFormatting sqref="N35">
    <cfRule type="cellIs" dxfId="427" priority="427" operator="greaterThan">
      <formula>0.9</formula>
    </cfRule>
    <cfRule type="cellIs" dxfId="426" priority="428" operator="greaterThan">
      <formula>0.85</formula>
    </cfRule>
  </conditionalFormatting>
  <conditionalFormatting sqref="E35">
    <cfRule type="expression" dxfId="425" priority="423">
      <formula>AND(IF(OR($Q35=1,$Q35=2),1,0),IF($X35&lt;=20,1,0))</formula>
    </cfRule>
    <cfRule type="expression" dxfId="424" priority="424">
      <formula>AND(IF($Q35=2,1,0),IF($X35&lt;30,1,0))</formula>
    </cfRule>
    <cfRule type="expression" dxfId="423" priority="425">
      <formula>AND(IF($Q35=3,1,0),IF($X35&lt;30,1,0))</formula>
    </cfRule>
    <cfRule type="expression" dxfId="422" priority="426">
      <formula>AND(IF($Q35=3,1,IF($Q35=4,1,0)),IF($F35&lt;=85,1,0))</formula>
    </cfRule>
  </conditionalFormatting>
  <conditionalFormatting sqref="X35">
    <cfRule type="expression" dxfId="421" priority="419">
      <formula>AND(IF(OR($Q35=1,$Q35=2),1,0),IF($X35&lt;=20,1,0))</formula>
    </cfRule>
    <cfRule type="expression" dxfId="420" priority="420">
      <formula>AND(IF($Q35=2,1,0),IF($X35&lt;30,1,0))</formula>
    </cfRule>
    <cfRule type="expression" dxfId="419" priority="421">
      <formula>AND(IF($Q35=3,1,0),IF($X35&lt;30,1,0))</formula>
    </cfRule>
    <cfRule type="expression" dxfId="418" priority="422">
      <formula>AND(IF($Q35=3,1,IF($Q35=4,1,0)),IF($F35&lt;=85,1,0))</formula>
    </cfRule>
  </conditionalFormatting>
  <conditionalFormatting sqref="AI35">
    <cfRule type="expression" dxfId="417" priority="415">
      <formula>AND(IF(OR($Q35=1,$Q35=2),1,0),IF($X35&lt;=20,1,0))</formula>
    </cfRule>
    <cfRule type="expression" dxfId="416" priority="416">
      <formula>AND(IF($Q35=2,1,0),IF($X35&lt;30,1,0))</formula>
    </cfRule>
    <cfRule type="expression" dxfId="415" priority="417">
      <formula>AND(IF($Q35=3,1,0),IF($X35&lt;30,1,0))</formula>
    </cfRule>
    <cfRule type="expression" dxfId="414" priority="418">
      <formula>AND(IF($Q35=3,1,IF($Q35=4,1,0)),IF($F35&lt;=85,1,0))</formula>
    </cfRule>
  </conditionalFormatting>
  <conditionalFormatting sqref="AV36">
    <cfRule type="expression" dxfId="413" priority="413">
      <formula>AV36="X"</formula>
    </cfRule>
    <cfRule type="expression" dxfId="412" priority="414">
      <formula>AV36="후보"</formula>
    </cfRule>
  </conditionalFormatting>
  <conditionalFormatting sqref="AC36">
    <cfRule type="cellIs" dxfId="411" priority="411" operator="greaterThan">
      <formula>0.9</formula>
    </cfRule>
    <cfRule type="cellIs" dxfId="410" priority="412" operator="greaterThan">
      <formula>0.85</formula>
    </cfRule>
  </conditionalFormatting>
  <conditionalFormatting sqref="N36">
    <cfRule type="cellIs" dxfId="409" priority="409" operator="greaterThan">
      <formula>0.9</formula>
    </cfRule>
    <cfRule type="cellIs" dxfId="408" priority="410" operator="greaterThan">
      <formula>0.85</formula>
    </cfRule>
  </conditionalFormatting>
  <conditionalFormatting sqref="E36">
    <cfRule type="expression" dxfId="407" priority="405">
      <formula>AND(IF(OR($Q36=1,$Q36=2),1,0),IF($X36&lt;=20,1,0))</formula>
    </cfRule>
    <cfRule type="expression" dxfId="406" priority="406">
      <formula>AND(IF($Q36=2,1,0),IF($X36&lt;30,1,0))</formula>
    </cfRule>
    <cfRule type="expression" dxfId="405" priority="407">
      <formula>AND(IF($Q36=3,1,0),IF($X36&lt;30,1,0))</formula>
    </cfRule>
    <cfRule type="expression" dxfId="404" priority="408">
      <formula>AND(IF($Q36=3,1,IF($Q36=4,1,0)),IF($F36&lt;=85,1,0))</formula>
    </cfRule>
  </conditionalFormatting>
  <conditionalFormatting sqref="X36">
    <cfRule type="expression" dxfId="403" priority="401">
      <formula>AND(IF(OR($Q36=1,$Q36=2),1,0),IF($X36&lt;=20,1,0))</formula>
    </cfRule>
    <cfRule type="expression" dxfId="402" priority="402">
      <formula>AND(IF($Q36=2,1,0),IF($X36&lt;30,1,0))</formula>
    </cfRule>
    <cfRule type="expression" dxfId="401" priority="403">
      <formula>AND(IF($Q36=3,1,0),IF($X36&lt;30,1,0))</formula>
    </cfRule>
    <cfRule type="expression" dxfId="400" priority="404">
      <formula>AND(IF($Q36=3,1,IF($Q36=4,1,0)),IF($F36&lt;=85,1,0))</formula>
    </cfRule>
  </conditionalFormatting>
  <conditionalFormatting sqref="AI36">
    <cfRule type="expression" dxfId="399" priority="397">
      <formula>AND(IF(OR($Q36=1,$Q36=2),1,0),IF($X36&lt;=20,1,0))</formula>
    </cfRule>
    <cfRule type="expression" dxfId="398" priority="398">
      <formula>AND(IF($Q36=2,1,0),IF($X36&lt;30,1,0))</formula>
    </cfRule>
    <cfRule type="expression" dxfId="397" priority="399">
      <formula>AND(IF($Q36=3,1,0),IF($X36&lt;30,1,0))</formula>
    </cfRule>
    <cfRule type="expression" dxfId="396" priority="400">
      <formula>AND(IF($Q36=3,1,IF($Q36=4,1,0)),IF($F36&lt;=85,1,0))</formula>
    </cfRule>
  </conditionalFormatting>
  <conditionalFormatting sqref="AV37">
    <cfRule type="expression" dxfId="395" priority="395">
      <formula>AV37="X"</formula>
    </cfRule>
    <cfRule type="expression" dxfId="394" priority="396">
      <formula>AV37="후보"</formula>
    </cfRule>
  </conditionalFormatting>
  <conditionalFormatting sqref="AC37">
    <cfRule type="cellIs" dxfId="393" priority="393" operator="greaterThan">
      <formula>0.9</formula>
    </cfRule>
    <cfRule type="cellIs" dxfId="392" priority="394" operator="greaterThan">
      <formula>0.85</formula>
    </cfRule>
  </conditionalFormatting>
  <conditionalFormatting sqref="N37">
    <cfRule type="cellIs" dxfId="391" priority="391" operator="greaterThan">
      <formula>0.9</formula>
    </cfRule>
    <cfRule type="cellIs" dxfId="390" priority="392" operator="greaterThan">
      <formula>0.85</formula>
    </cfRule>
  </conditionalFormatting>
  <conditionalFormatting sqref="E37">
    <cfRule type="expression" dxfId="389" priority="387">
      <formula>AND(IF(OR($Q37=1,$Q37=2),1,0),IF($X37&lt;=20,1,0))</formula>
    </cfRule>
    <cfRule type="expression" dxfId="388" priority="388">
      <formula>AND(IF($Q37=2,1,0),IF($X37&lt;30,1,0))</formula>
    </cfRule>
    <cfRule type="expression" dxfId="387" priority="389">
      <formula>AND(IF($Q37=3,1,0),IF($X37&lt;30,1,0))</formula>
    </cfRule>
    <cfRule type="expression" dxfId="386" priority="390">
      <formula>AND(IF($Q37=3,1,IF($Q37=4,1,0)),IF($F37&lt;=85,1,0))</formula>
    </cfRule>
  </conditionalFormatting>
  <conditionalFormatting sqref="X37">
    <cfRule type="expression" dxfId="385" priority="383">
      <formula>AND(IF(OR($Q37=1,$Q37=2),1,0),IF($X37&lt;=20,1,0))</formula>
    </cfRule>
    <cfRule type="expression" dxfId="384" priority="384">
      <formula>AND(IF($Q37=2,1,0),IF($X37&lt;30,1,0))</formula>
    </cfRule>
    <cfRule type="expression" dxfId="383" priority="385">
      <formula>AND(IF($Q37=3,1,0),IF($X37&lt;30,1,0))</formula>
    </cfRule>
    <cfRule type="expression" dxfId="382" priority="386">
      <formula>AND(IF($Q37=3,1,IF($Q37=4,1,0)),IF($F37&lt;=85,1,0))</formula>
    </cfRule>
  </conditionalFormatting>
  <conditionalFormatting sqref="AI37">
    <cfRule type="expression" dxfId="381" priority="379">
      <formula>AND(IF(OR($Q37=1,$Q37=2),1,0),IF($X37&lt;=20,1,0))</formula>
    </cfRule>
    <cfRule type="expression" dxfId="380" priority="380">
      <formula>AND(IF($Q37=2,1,0),IF($X37&lt;30,1,0))</formula>
    </cfRule>
    <cfRule type="expression" dxfId="379" priority="381">
      <formula>AND(IF($Q37=3,1,0),IF($X37&lt;30,1,0))</formula>
    </cfRule>
    <cfRule type="expression" dxfId="378" priority="382">
      <formula>AND(IF($Q37=3,1,IF($Q37=4,1,0)),IF($F37&lt;=85,1,0))</formula>
    </cfRule>
  </conditionalFormatting>
  <conditionalFormatting sqref="AV38">
    <cfRule type="expression" dxfId="377" priority="377">
      <formula>AV38="X"</formula>
    </cfRule>
    <cfRule type="expression" dxfId="376" priority="378">
      <formula>AV38="후보"</formula>
    </cfRule>
  </conditionalFormatting>
  <conditionalFormatting sqref="AC38">
    <cfRule type="cellIs" dxfId="375" priority="375" operator="greaterThan">
      <formula>0.9</formula>
    </cfRule>
    <cfRule type="cellIs" dxfId="374" priority="376" operator="greaterThan">
      <formula>0.85</formula>
    </cfRule>
  </conditionalFormatting>
  <conditionalFormatting sqref="N38">
    <cfRule type="cellIs" dxfId="373" priority="373" operator="greaterThan">
      <formula>0.9</formula>
    </cfRule>
    <cfRule type="cellIs" dxfId="372" priority="374" operator="greaterThan">
      <formula>0.85</formula>
    </cfRule>
  </conditionalFormatting>
  <conditionalFormatting sqref="E38">
    <cfRule type="expression" dxfId="371" priority="369">
      <formula>AND(IF(OR($Q38=1,$Q38=2),1,0),IF($X38&lt;=20,1,0))</formula>
    </cfRule>
    <cfRule type="expression" dxfId="370" priority="370">
      <formula>AND(IF($Q38=2,1,0),IF($X38&lt;30,1,0))</formula>
    </cfRule>
    <cfRule type="expression" dxfId="369" priority="371">
      <formula>AND(IF($Q38=3,1,0),IF($X38&lt;30,1,0))</formula>
    </cfRule>
    <cfRule type="expression" dxfId="368" priority="372">
      <formula>AND(IF($Q38=3,1,IF($Q38=4,1,0)),IF($F38&lt;=85,1,0))</formula>
    </cfRule>
  </conditionalFormatting>
  <conditionalFormatting sqref="X38">
    <cfRule type="expression" dxfId="367" priority="365">
      <formula>AND(IF(OR($Q38=1,$Q38=2),1,0),IF($X38&lt;=20,1,0))</formula>
    </cfRule>
    <cfRule type="expression" dxfId="366" priority="366">
      <formula>AND(IF($Q38=2,1,0),IF($X38&lt;30,1,0))</formula>
    </cfRule>
    <cfRule type="expression" dxfId="365" priority="367">
      <formula>AND(IF($Q38=3,1,0),IF($X38&lt;30,1,0))</formula>
    </cfRule>
    <cfRule type="expression" dxfId="364" priority="368">
      <formula>AND(IF($Q38=3,1,IF($Q38=4,1,0)),IF($F38&lt;=85,1,0))</formula>
    </cfRule>
  </conditionalFormatting>
  <conditionalFormatting sqref="AI38">
    <cfRule type="expression" dxfId="363" priority="361">
      <formula>AND(IF(OR($Q38=1,$Q38=2),1,0),IF($X38&lt;=20,1,0))</formula>
    </cfRule>
    <cfRule type="expression" dxfId="362" priority="362">
      <formula>AND(IF($Q38=2,1,0),IF($X38&lt;30,1,0))</formula>
    </cfRule>
    <cfRule type="expression" dxfId="361" priority="363">
      <formula>AND(IF($Q38=3,1,0),IF($X38&lt;30,1,0))</formula>
    </cfRule>
    <cfRule type="expression" dxfId="360" priority="364">
      <formula>AND(IF($Q38=3,1,IF($Q38=4,1,0)),IF($F38&lt;=85,1,0))</formula>
    </cfRule>
  </conditionalFormatting>
  <conditionalFormatting sqref="AV39">
    <cfRule type="expression" dxfId="359" priority="359">
      <formula>AV39="X"</formula>
    </cfRule>
    <cfRule type="expression" dxfId="358" priority="360">
      <formula>AV39="후보"</formula>
    </cfRule>
  </conditionalFormatting>
  <conditionalFormatting sqref="AC39">
    <cfRule type="cellIs" dxfId="357" priority="357" operator="greaterThan">
      <formula>0.9</formula>
    </cfRule>
    <cfRule type="cellIs" dxfId="356" priority="358" operator="greaterThan">
      <formula>0.85</formula>
    </cfRule>
  </conditionalFormatting>
  <conditionalFormatting sqref="N39">
    <cfRule type="cellIs" dxfId="355" priority="355" operator="greaterThan">
      <formula>0.9</formula>
    </cfRule>
    <cfRule type="cellIs" dxfId="354" priority="356" operator="greaterThan">
      <formula>0.85</formula>
    </cfRule>
  </conditionalFormatting>
  <conditionalFormatting sqref="E39">
    <cfRule type="expression" dxfId="353" priority="351">
      <formula>AND(IF(OR($Q39=1,$Q39=2),1,0),IF($X39&lt;=20,1,0))</formula>
    </cfRule>
    <cfRule type="expression" dxfId="352" priority="352">
      <formula>AND(IF($Q39=2,1,0),IF($X39&lt;30,1,0))</formula>
    </cfRule>
    <cfRule type="expression" dxfId="351" priority="353">
      <formula>AND(IF($Q39=3,1,0),IF($X39&lt;30,1,0))</formula>
    </cfRule>
    <cfRule type="expression" dxfId="350" priority="354">
      <formula>AND(IF($Q39=3,1,IF($Q39=4,1,0)),IF($F39&lt;=85,1,0))</formula>
    </cfRule>
  </conditionalFormatting>
  <conditionalFormatting sqref="X39">
    <cfRule type="expression" dxfId="349" priority="347">
      <formula>AND(IF(OR($Q39=1,$Q39=2),1,0),IF($X39&lt;=20,1,0))</formula>
    </cfRule>
    <cfRule type="expression" dxfId="348" priority="348">
      <formula>AND(IF($Q39=2,1,0),IF($X39&lt;30,1,0))</formula>
    </cfRule>
    <cfRule type="expression" dxfId="347" priority="349">
      <formula>AND(IF($Q39=3,1,0),IF($X39&lt;30,1,0))</formula>
    </cfRule>
    <cfRule type="expression" dxfId="346" priority="350">
      <formula>AND(IF($Q39=3,1,IF($Q39=4,1,0)),IF($F39&lt;=85,1,0))</formula>
    </cfRule>
  </conditionalFormatting>
  <conditionalFormatting sqref="AI39">
    <cfRule type="expression" dxfId="345" priority="343">
      <formula>AND(IF(OR($Q39=1,$Q39=2),1,0),IF($X39&lt;=20,1,0))</formula>
    </cfRule>
    <cfRule type="expression" dxfId="344" priority="344">
      <formula>AND(IF($Q39=2,1,0),IF($X39&lt;30,1,0))</formula>
    </cfRule>
    <cfRule type="expression" dxfId="343" priority="345">
      <formula>AND(IF($Q39=3,1,0),IF($X39&lt;30,1,0))</formula>
    </cfRule>
    <cfRule type="expression" dxfId="342" priority="346">
      <formula>AND(IF($Q39=3,1,IF($Q39=4,1,0)),IF($F39&lt;=85,1,0))</formula>
    </cfRule>
  </conditionalFormatting>
  <conditionalFormatting sqref="AV40">
    <cfRule type="expression" dxfId="341" priority="341">
      <formula>AV40="X"</formula>
    </cfRule>
    <cfRule type="expression" dxfId="340" priority="342">
      <formula>AV40="후보"</formula>
    </cfRule>
  </conditionalFormatting>
  <conditionalFormatting sqref="AC40">
    <cfRule type="cellIs" dxfId="339" priority="339" operator="greaterThan">
      <formula>0.9</formula>
    </cfRule>
    <cfRule type="cellIs" dxfId="338" priority="340" operator="greaterThan">
      <formula>0.85</formula>
    </cfRule>
  </conditionalFormatting>
  <conditionalFormatting sqref="N40">
    <cfRule type="cellIs" dxfId="337" priority="337" operator="greaterThan">
      <formula>0.9</formula>
    </cfRule>
    <cfRule type="cellIs" dxfId="336" priority="338" operator="greaterThan">
      <formula>0.85</formula>
    </cfRule>
  </conditionalFormatting>
  <conditionalFormatting sqref="E40">
    <cfRule type="expression" dxfId="335" priority="333">
      <formula>AND(IF(OR($Q40=1,$Q40=2),1,0),IF($X40&lt;=20,1,0))</formula>
    </cfRule>
    <cfRule type="expression" dxfId="334" priority="334">
      <formula>AND(IF($Q40=2,1,0),IF($X40&lt;30,1,0))</formula>
    </cfRule>
    <cfRule type="expression" dxfId="333" priority="335">
      <formula>AND(IF($Q40=3,1,0),IF($X40&lt;30,1,0))</formula>
    </cfRule>
    <cfRule type="expression" dxfId="332" priority="336">
      <formula>AND(IF($Q40=3,1,IF($Q40=4,1,0)),IF($F40&lt;=85,1,0))</formula>
    </cfRule>
  </conditionalFormatting>
  <conditionalFormatting sqref="X40">
    <cfRule type="expression" dxfId="331" priority="329">
      <formula>AND(IF(OR($Q40=1,$Q40=2),1,0),IF($X40&lt;=20,1,0))</formula>
    </cfRule>
    <cfRule type="expression" dxfId="330" priority="330">
      <formula>AND(IF($Q40=2,1,0),IF($X40&lt;30,1,0))</formula>
    </cfRule>
    <cfRule type="expression" dxfId="329" priority="331">
      <formula>AND(IF($Q40=3,1,0),IF($X40&lt;30,1,0))</formula>
    </cfRule>
    <cfRule type="expression" dxfId="328" priority="332">
      <formula>AND(IF($Q40=3,1,IF($Q40=4,1,0)),IF($F40&lt;=85,1,0))</formula>
    </cfRule>
  </conditionalFormatting>
  <conditionalFormatting sqref="AI40">
    <cfRule type="expression" dxfId="327" priority="325">
      <formula>AND(IF(OR($Q40=1,$Q40=2),1,0),IF($X40&lt;=20,1,0))</formula>
    </cfRule>
    <cfRule type="expression" dxfId="326" priority="326">
      <formula>AND(IF($Q40=2,1,0),IF($X40&lt;30,1,0))</formula>
    </cfRule>
    <cfRule type="expression" dxfId="325" priority="327">
      <formula>AND(IF($Q40=3,1,0),IF($X40&lt;30,1,0))</formula>
    </cfRule>
    <cfRule type="expression" dxfId="324" priority="328">
      <formula>AND(IF($Q40=3,1,IF($Q40=4,1,0)),IF($F40&lt;=85,1,0))</formula>
    </cfRule>
  </conditionalFormatting>
  <conditionalFormatting sqref="AV41">
    <cfRule type="expression" dxfId="323" priority="323">
      <formula>AV41="X"</formula>
    </cfRule>
    <cfRule type="expression" dxfId="322" priority="324">
      <formula>AV41="후보"</formula>
    </cfRule>
  </conditionalFormatting>
  <conditionalFormatting sqref="AC41">
    <cfRule type="cellIs" dxfId="321" priority="321" operator="greaterThan">
      <formula>0.9</formula>
    </cfRule>
    <cfRule type="cellIs" dxfId="320" priority="322" operator="greaterThan">
      <formula>0.85</formula>
    </cfRule>
  </conditionalFormatting>
  <conditionalFormatting sqref="N41">
    <cfRule type="cellIs" dxfId="319" priority="319" operator="greaterThan">
      <formula>0.9</formula>
    </cfRule>
    <cfRule type="cellIs" dxfId="318" priority="320" operator="greaterThan">
      <formula>0.85</formula>
    </cfRule>
  </conditionalFormatting>
  <conditionalFormatting sqref="E41">
    <cfRule type="expression" dxfId="317" priority="315">
      <formula>AND(IF(OR($Q41=1,$Q41=2),1,0),IF($X41&lt;=20,1,0))</formula>
    </cfRule>
    <cfRule type="expression" dxfId="316" priority="316">
      <formula>AND(IF($Q41=2,1,0),IF($X41&lt;30,1,0))</formula>
    </cfRule>
    <cfRule type="expression" dxfId="315" priority="317">
      <formula>AND(IF($Q41=3,1,0),IF($X41&lt;30,1,0))</formula>
    </cfRule>
    <cfRule type="expression" dxfId="314" priority="318">
      <formula>AND(IF($Q41=3,1,IF($Q41=4,1,0)),IF($F41&lt;=85,1,0))</formula>
    </cfRule>
  </conditionalFormatting>
  <conditionalFormatting sqref="X41">
    <cfRule type="expression" dxfId="313" priority="311">
      <formula>AND(IF(OR($Q41=1,$Q41=2),1,0),IF($X41&lt;=20,1,0))</formula>
    </cfRule>
    <cfRule type="expression" dxfId="312" priority="312">
      <formula>AND(IF($Q41=2,1,0),IF($X41&lt;30,1,0))</formula>
    </cfRule>
    <cfRule type="expression" dxfId="311" priority="313">
      <formula>AND(IF($Q41=3,1,0),IF($X41&lt;30,1,0))</formula>
    </cfRule>
    <cfRule type="expression" dxfId="310" priority="314">
      <formula>AND(IF($Q41=3,1,IF($Q41=4,1,0)),IF($F41&lt;=85,1,0))</formula>
    </cfRule>
  </conditionalFormatting>
  <conditionalFormatting sqref="AI41">
    <cfRule type="expression" dxfId="309" priority="307">
      <formula>AND(IF(OR($Q41=1,$Q41=2),1,0),IF($X41&lt;=20,1,0))</formula>
    </cfRule>
    <cfRule type="expression" dxfId="308" priority="308">
      <formula>AND(IF($Q41=2,1,0),IF($X41&lt;30,1,0))</formula>
    </cfRule>
    <cfRule type="expression" dxfId="307" priority="309">
      <formula>AND(IF($Q41=3,1,0),IF($X41&lt;30,1,0))</formula>
    </cfRule>
    <cfRule type="expression" dxfId="306" priority="310">
      <formula>AND(IF($Q41=3,1,IF($Q41=4,1,0)),IF($F41&lt;=85,1,0))</formula>
    </cfRule>
  </conditionalFormatting>
  <conditionalFormatting sqref="AV42">
    <cfRule type="expression" dxfId="305" priority="305">
      <formula>AV42="X"</formula>
    </cfRule>
    <cfRule type="expression" dxfId="304" priority="306">
      <formula>AV42="후보"</formula>
    </cfRule>
  </conditionalFormatting>
  <conditionalFormatting sqref="AC42">
    <cfRule type="cellIs" dxfId="303" priority="303" operator="greaterThan">
      <formula>0.9</formula>
    </cfRule>
    <cfRule type="cellIs" dxfId="302" priority="304" operator="greaterThan">
      <formula>0.85</formula>
    </cfRule>
  </conditionalFormatting>
  <conditionalFormatting sqref="N42">
    <cfRule type="cellIs" dxfId="301" priority="301" operator="greaterThan">
      <formula>0.9</formula>
    </cfRule>
    <cfRule type="cellIs" dxfId="300" priority="302" operator="greaterThan">
      <formula>0.85</formula>
    </cfRule>
  </conditionalFormatting>
  <conditionalFormatting sqref="E42">
    <cfRule type="expression" dxfId="299" priority="297">
      <formula>AND(IF(OR($Q42=1,$Q42=2),1,0),IF($X42&lt;=20,1,0))</formula>
    </cfRule>
    <cfRule type="expression" dxfId="298" priority="298">
      <formula>AND(IF($Q42=2,1,0),IF($X42&lt;30,1,0))</formula>
    </cfRule>
    <cfRule type="expression" dxfId="297" priority="299">
      <formula>AND(IF($Q42=3,1,0),IF($X42&lt;30,1,0))</formula>
    </cfRule>
    <cfRule type="expression" dxfId="296" priority="300">
      <formula>AND(IF($Q42=3,1,IF($Q42=4,1,0)),IF($F42&lt;=85,1,0))</formula>
    </cfRule>
  </conditionalFormatting>
  <conditionalFormatting sqref="X42">
    <cfRule type="expression" dxfId="295" priority="293">
      <formula>AND(IF(OR($Q42=1,$Q42=2),1,0),IF($X42&lt;=20,1,0))</formula>
    </cfRule>
    <cfRule type="expression" dxfId="294" priority="294">
      <formula>AND(IF($Q42=2,1,0),IF($X42&lt;30,1,0))</formula>
    </cfRule>
    <cfRule type="expression" dxfId="293" priority="295">
      <formula>AND(IF($Q42=3,1,0),IF($X42&lt;30,1,0))</formula>
    </cfRule>
    <cfRule type="expression" dxfId="292" priority="296">
      <formula>AND(IF($Q42=3,1,IF($Q42=4,1,0)),IF($F42&lt;=85,1,0))</formula>
    </cfRule>
  </conditionalFormatting>
  <conditionalFormatting sqref="AI42">
    <cfRule type="expression" dxfId="291" priority="289">
      <formula>AND(IF(OR($Q42=1,$Q42=2),1,0),IF($X42&lt;=20,1,0))</formula>
    </cfRule>
    <cfRule type="expression" dxfId="290" priority="290">
      <formula>AND(IF($Q42=2,1,0),IF($X42&lt;30,1,0))</formula>
    </cfRule>
    <cfRule type="expression" dxfId="289" priority="291">
      <formula>AND(IF($Q42=3,1,0),IF($X42&lt;30,1,0))</formula>
    </cfRule>
    <cfRule type="expression" dxfId="288" priority="292">
      <formula>AND(IF($Q42=3,1,IF($Q42=4,1,0)),IF($F42&lt;=85,1,0))</formula>
    </cfRule>
  </conditionalFormatting>
  <conditionalFormatting sqref="AV43">
    <cfRule type="expression" dxfId="287" priority="287">
      <formula>AV43="X"</formula>
    </cfRule>
    <cfRule type="expression" dxfId="286" priority="288">
      <formula>AV43="후보"</formula>
    </cfRule>
  </conditionalFormatting>
  <conditionalFormatting sqref="AC43">
    <cfRule type="cellIs" dxfId="285" priority="285" operator="greaterThan">
      <formula>0.9</formula>
    </cfRule>
    <cfRule type="cellIs" dxfId="284" priority="286" operator="greaterThan">
      <formula>0.85</formula>
    </cfRule>
  </conditionalFormatting>
  <conditionalFormatting sqref="N43">
    <cfRule type="cellIs" dxfId="283" priority="283" operator="greaterThan">
      <formula>0.9</formula>
    </cfRule>
    <cfRule type="cellIs" dxfId="282" priority="284" operator="greaterThan">
      <formula>0.85</formula>
    </cfRule>
  </conditionalFormatting>
  <conditionalFormatting sqref="E43">
    <cfRule type="expression" dxfId="281" priority="279">
      <formula>AND(IF(OR($Q43=1,$Q43=2),1,0),IF($X43&lt;=20,1,0))</formula>
    </cfRule>
    <cfRule type="expression" dxfId="280" priority="280">
      <formula>AND(IF($Q43=2,1,0),IF($X43&lt;30,1,0))</formula>
    </cfRule>
    <cfRule type="expression" dxfId="279" priority="281">
      <formula>AND(IF($Q43=3,1,0),IF($X43&lt;30,1,0))</formula>
    </cfRule>
    <cfRule type="expression" dxfId="278" priority="282">
      <formula>AND(IF($Q43=3,1,IF($Q43=4,1,0)),IF($F43&lt;=85,1,0))</formula>
    </cfRule>
  </conditionalFormatting>
  <conditionalFormatting sqref="X43">
    <cfRule type="expression" dxfId="277" priority="275">
      <formula>AND(IF(OR($Q43=1,$Q43=2),1,0),IF($X43&lt;=20,1,0))</formula>
    </cfRule>
    <cfRule type="expression" dxfId="276" priority="276">
      <formula>AND(IF($Q43=2,1,0),IF($X43&lt;30,1,0))</formula>
    </cfRule>
    <cfRule type="expression" dxfId="275" priority="277">
      <formula>AND(IF($Q43=3,1,0),IF($X43&lt;30,1,0))</formula>
    </cfRule>
    <cfRule type="expression" dxfId="274" priority="278">
      <formula>AND(IF($Q43=3,1,IF($Q43=4,1,0)),IF($F43&lt;=85,1,0))</formula>
    </cfRule>
  </conditionalFormatting>
  <conditionalFormatting sqref="AI43">
    <cfRule type="expression" dxfId="273" priority="271">
      <formula>AND(IF(OR($Q43=1,$Q43=2),1,0),IF($X43&lt;=20,1,0))</formula>
    </cfRule>
    <cfRule type="expression" dxfId="272" priority="272">
      <formula>AND(IF($Q43=2,1,0),IF($X43&lt;30,1,0))</formula>
    </cfRule>
    <cfRule type="expression" dxfId="271" priority="273">
      <formula>AND(IF($Q43=3,1,0),IF($X43&lt;30,1,0))</formula>
    </cfRule>
    <cfRule type="expression" dxfId="270" priority="274">
      <formula>AND(IF($Q43=3,1,IF($Q43=4,1,0)),IF($F43&lt;=85,1,0))</formula>
    </cfRule>
  </conditionalFormatting>
  <conditionalFormatting sqref="AV44">
    <cfRule type="expression" dxfId="269" priority="269">
      <formula>AV44="X"</formula>
    </cfRule>
    <cfRule type="expression" dxfId="268" priority="270">
      <formula>AV44="후보"</formula>
    </cfRule>
  </conditionalFormatting>
  <conditionalFormatting sqref="AC44">
    <cfRule type="cellIs" dxfId="267" priority="267" operator="greaterThan">
      <formula>0.9</formula>
    </cfRule>
    <cfRule type="cellIs" dxfId="266" priority="268" operator="greaterThan">
      <formula>0.85</formula>
    </cfRule>
  </conditionalFormatting>
  <conditionalFormatting sqref="N44">
    <cfRule type="cellIs" dxfId="265" priority="265" operator="greaterThan">
      <formula>0.9</formula>
    </cfRule>
    <cfRule type="cellIs" dxfId="264" priority="266" operator="greaterThan">
      <formula>0.85</formula>
    </cfRule>
  </conditionalFormatting>
  <conditionalFormatting sqref="E44">
    <cfRule type="expression" dxfId="263" priority="261">
      <formula>AND(IF(OR($Q44=1,$Q44=2),1,0),IF($X44&lt;=20,1,0))</formula>
    </cfRule>
    <cfRule type="expression" dxfId="262" priority="262">
      <formula>AND(IF($Q44=2,1,0),IF($X44&lt;30,1,0))</formula>
    </cfRule>
    <cfRule type="expression" dxfId="261" priority="263">
      <formula>AND(IF($Q44=3,1,0),IF($X44&lt;30,1,0))</formula>
    </cfRule>
    <cfRule type="expression" dxfId="260" priority="264">
      <formula>AND(IF($Q44=3,1,IF($Q44=4,1,0)),IF($F44&lt;=85,1,0))</formula>
    </cfRule>
  </conditionalFormatting>
  <conditionalFormatting sqref="X44">
    <cfRule type="expression" dxfId="259" priority="257">
      <formula>AND(IF(OR($Q44=1,$Q44=2),1,0),IF($X44&lt;=20,1,0))</formula>
    </cfRule>
    <cfRule type="expression" dxfId="258" priority="258">
      <formula>AND(IF($Q44=2,1,0),IF($X44&lt;30,1,0))</formula>
    </cfRule>
    <cfRule type="expression" dxfId="257" priority="259">
      <formula>AND(IF($Q44=3,1,0),IF($X44&lt;30,1,0))</formula>
    </cfRule>
    <cfRule type="expression" dxfId="256" priority="260">
      <formula>AND(IF($Q44=3,1,IF($Q44=4,1,0)),IF($F44&lt;=85,1,0))</formula>
    </cfRule>
  </conditionalFormatting>
  <conditionalFormatting sqref="AI44">
    <cfRule type="expression" dxfId="255" priority="253">
      <formula>AND(IF(OR($Q44=1,$Q44=2),1,0),IF($X44&lt;=20,1,0))</formula>
    </cfRule>
    <cfRule type="expression" dxfId="254" priority="254">
      <formula>AND(IF($Q44=2,1,0),IF($X44&lt;30,1,0))</formula>
    </cfRule>
    <cfRule type="expression" dxfId="253" priority="255">
      <formula>AND(IF($Q44=3,1,0),IF($X44&lt;30,1,0))</formula>
    </cfRule>
    <cfRule type="expression" dxfId="252" priority="256">
      <formula>AND(IF($Q44=3,1,IF($Q44=4,1,0)),IF($F44&lt;=85,1,0))</formula>
    </cfRule>
  </conditionalFormatting>
  <conditionalFormatting sqref="AV45">
    <cfRule type="expression" dxfId="251" priority="251">
      <formula>AV45="X"</formula>
    </cfRule>
    <cfRule type="expression" dxfId="250" priority="252">
      <formula>AV45="후보"</formula>
    </cfRule>
  </conditionalFormatting>
  <conditionalFormatting sqref="AC45">
    <cfRule type="cellIs" dxfId="249" priority="249" operator="greaterThan">
      <formula>0.9</formula>
    </cfRule>
    <cfRule type="cellIs" dxfId="248" priority="250" operator="greaterThan">
      <formula>0.85</formula>
    </cfRule>
  </conditionalFormatting>
  <conditionalFormatting sqref="N45">
    <cfRule type="cellIs" dxfId="247" priority="247" operator="greaterThan">
      <formula>0.9</formula>
    </cfRule>
    <cfRule type="cellIs" dxfId="246" priority="248" operator="greaterThan">
      <formula>0.85</formula>
    </cfRule>
  </conditionalFormatting>
  <conditionalFormatting sqref="E45">
    <cfRule type="expression" dxfId="245" priority="243">
      <formula>AND(IF(OR($Q45=1,$Q45=2),1,0),IF($X45&lt;=20,1,0))</formula>
    </cfRule>
    <cfRule type="expression" dxfId="244" priority="244">
      <formula>AND(IF($Q45=2,1,0),IF($X45&lt;30,1,0))</formula>
    </cfRule>
    <cfRule type="expression" dxfId="243" priority="245">
      <formula>AND(IF($Q45=3,1,0),IF($X45&lt;30,1,0))</formula>
    </cfRule>
    <cfRule type="expression" dxfId="242" priority="246">
      <formula>AND(IF($Q45=3,1,IF($Q45=4,1,0)),IF($F45&lt;=85,1,0))</formula>
    </cfRule>
  </conditionalFormatting>
  <conditionalFormatting sqref="X45">
    <cfRule type="expression" dxfId="241" priority="239">
      <formula>AND(IF(OR($Q45=1,$Q45=2),1,0),IF($X45&lt;=20,1,0))</formula>
    </cfRule>
    <cfRule type="expression" dxfId="240" priority="240">
      <formula>AND(IF($Q45=2,1,0),IF($X45&lt;30,1,0))</formula>
    </cfRule>
    <cfRule type="expression" dxfId="239" priority="241">
      <formula>AND(IF($Q45=3,1,0),IF($X45&lt;30,1,0))</formula>
    </cfRule>
    <cfRule type="expression" dxfId="238" priority="242">
      <formula>AND(IF($Q45=3,1,IF($Q45=4,1,0)),IF($F45&lt;=85,1,0))</formula>
    </cfRule>
  </conditionalFormatting>
  <conditionalFormatting sqref="AI45">
    <cfRule type="expression" dxfId="237" priority="235">
      <formula>AND(IF(OR($Q45=1,$Q45=2),1,0),IF($X45&lt;=20,1,0))</formula>
    </cfRule>
    <cfRule type="expression" dxfId="236" priority="236">
      <formula>AND(IF($Q45=2,1,0),IF($X45&lt;30,1,0))</formula>
    </cfRule>
    <cfRule type="expression" dxfId="235" priority="237">
      <formula>AND(IF($Q45=3,1,0),IF($X45&lt;30,1,0))</formula>
    </cfRule>
    <cfRule type="expression" dxfId="234" priority="238">
      <formula>AND(IF($Q45=3,1,IF($Q45=4,1,0)),IF($F45&lt;=85,1,0))</formula>
    </cfRule>
  </conditionalFormatting>
  <conditionalFormatting sqref="AV46">
    <cfRule type="expression" dxfId="233" priority="233">
      <formula>AV46="X"</formula>
    </cfRule>
    <cfRule type="expression" dxfId="232" priority="234">
      <formula>AV46="후보"</formula>
    </cfRule>
  </conditionalFormatting>
  <conditionalFormatting sqref="AC46">
    <cfRule type="cellIs" dxfId="231" priority="231" operator="greaterThan">
      <formula>0.9</formula>
    </cfRule>
    <cfRule type="cellIs" dxfId="230" priority="232" operator="greaterThan">
      <formula>0.85</formula>
    </cfRule>
  </conditionalFormatting>
  <conditionalFormatting sqref="N46">
    <cfRule type="cellIs" dxfId="229" priority="229" operator="greaterThan">
      <formula>0.9</formula>
    </cfRule>
    <cfRule type="cellIs" dxfId="228" priority="230" operator="greaterThan">
      <formula>0.85</formula>
    </cfRule>
  </conditionalFormatting>
  <conditionalFormatting sqref="E46">
    <cfRule type="expression" dxfId="227" priority="225">
      <formula>AND(IF(OR($Q46=1,$Q46=2),1,0),IF($X46&lt;=20,1,0))</formula>
    </cfRule>
    <cfRule type="expression" dxfId="226" priority="226">
      <formula>AND(IF($Q46=2,1,0),IF($X46&lt;30,1,0))</formula>
    </cfRule>
    <cfRule type="expression" dxfId="225" priority="227">
      <formula>AND(IF($Q46=3,1,0),IF($X46&lt;30,1,0))</formula>
    </cfRule>
    <cfRule type="expression" dxfId="224" priority="228">
      <formula>AND(IF($Q46=3,1,IF($Q46=4,1,0)),IF($F46&lt;=85,1,0))</formula>
    </cfRule>
  </conditionalFormatting>
  <conditionalFormatting sqref="X46">
    <cfRule type="expression" dxfId="223" priority="221">
      <formula>AND(IF(OR($Q46=1,$Q46=2),1,0),IF($X46&lt;=20,1,0))</formula>
    </cfRule>
    <cfRule type="expression" dxfId="222" priority="222">
      <formula>AND(IF($Q46=2,1,0),IF($X46&lt;30,1,0))</formula>
    </cfRule>
    <cfRule type="expression" dxfId="221" priority="223">
      <formula>AND(IF($Q46=3,1,0),IF($X46&lt;30,1,0))</formula>
    </cfRule>
    <cfRule type="expression" dxfId="220" priority="224">
      <formula>AND(IF($Q46=3,1,IF($Q46=4,1,0)),IF($F46&lt;=85,1,0))</formula>
    </cfRule>
  </conditionalFormatting>
  <conditionalFormatting sqref="AI46">
    <cfRule type="expression" dxfId="219" priority="217">
      <formula>AND(IF(OR($Q46=1,$Q46=2),1,0),IF($X46&lt;=20,1,0))</formula>
    </cfRule>
    <cfRule type="expression" dxfId="218" priority="218">
      <formula>AND(IF($Q46=2,1,0),IF($X46&lt;30,1,0))</formula>
    </cfRule>
    <cfRule type="expression" dxfId="217" priority="219">
      <formula>AND(IF($Q46=3,1,0),IF($X46&lt;30,1,0))</formula>
    </cfRule>
    <cfRule type="expression" dxfId="216" priority="220">
      <formula>AND(IF($Q46=3,1,IF($Q46=4,1,0)),IF($F46&lt;=85,1,0))</formula>
    </cfRule>
  </conditionalFormatting>
  <conditionalFormatting sqref="AV47">
    <cfRule type="expression" dxfId="215" priority="215">
      <formula>AV47="X"</formula>
    </cfRule>
    <cfRule type="expression" dxfId="214" priority="216">
      <formula>AV47="후보"</formula>
    </cfRule>
  </conditionalFormatting>
  <conditionalFormatting sqref="AC47">
    <cfRule type="cellIs" dxfId="213" priority="213" operator="greaterThan">
      <formula>0.9</formula>
    </cfRule>
    <cfRule type="cellIs" dxfId="212" priority="214" operator="greaterThan">
      <formula>0.85</formula>
    </cfRule>
  </conditionalFormatting>
  <conditionalFormatting sqref="N47">
    <cfRule type="cellIs" dxfId="211" priority="211" operator="greaterThan">
      <formula>0.9</formula>
    </cfRule>
    <cfRule type="cellIs" dxfId="210" priority="212" operator="greaterThan">
      <formula>0.85</formula>
    </cfRule>
  </conditionalFormatting>
  <conditionalFormatting sqref="E47">
    <cfRule type="expression" dxfId="209" priority="207">
      <formula>AND(IF(OR($Q47=1,$Q47=2),1,0),IF($X47&lt;=20,1,0))</formula>
    </cfRule>
    <cfRule type="expression" dxfId="208" priority="208">
      <formula>AND(IF($Q47=2,1,0),IF($X47&lt;30,1,0))</formula>
    </cfRule>
    <cfRule type="expression" dxfId="207" priority="209">
      <formula>AND(IF($Q47=3,1,0),IF($X47&lt;30,1,0))</formula>
    </cfRule>
    <cfRule type="expression" dxfId="206" priority="210">
      <formula>AND(IF($Q47=3,1,IF($Q47=4,1,0)),IF($F47&lt;=85,1,0))</formula>
    </cfRule>
  </conditionalFormatting>
  <conditionalFormatting sqref="X47">
    <cfRule type="expression" dxfId="205" priority="203">
      <formula>AND(IF(OR($Q47=1,$Q47=2),1,0),IF($X47&lt;=20,1,0))</formula>
    </cfRule>
    <cfRule type="expression" dxfId="204" priority="204">
      <formula>AND(IF($Q47=2,1,0),IF($X47&lt;30,1,0))</formula>
    </cfRule>
    <cfRule type="expression" dxfId="203" priority="205">
      <formula>AND(IF($Q47=3,1,0),IF($X47&lt;30,1,0))</formula>
    </cfRule>
    <cfRule type="expression" dxfId="202" priority="206">
      <formula>AND(IF($Q47=3,1,IF($Q47=4,1,0)),IF($F47&lt;=85,1,0))</formula>
    </cfRule>
  </conditionalFormatting>
  <conditionalFormatting sqref="AI47">
    <cfRule type="expression" dxfId="201" priority="199">
      <formula>AND(IF(OR($Q47=1,$Q47=2),1,0),IF($X47&lt;=20,1,0))</formula>
    </cfRule>
    <cfRule type="expression" dxfId="200" priority="200">
      <formula>AND(IF($Q47=2,1,0),IF($X47&lt;30,1,0))</formula>
    </cfRule>
    <cfRule type="expression" dxfId="199" priority="201">
      <formula>AND(IF($Q47=3,1,0),IF($X47&lt;30,1,0))</formula>
    </cfRule>
    <cfRule type="expression" dxfId="198" priority="202">
      <formula>AND(IF($Q47=3,1,IF($Q47=4,1,0)),IF($F47&lt;=85,1,0))</formula>
    </cfRule>
  </conditionalFormatting>
  <conditionalFormatting sqref="AV48">
    <cfRule type="expression" dxfId="197" priority="197">
      <formula>AV48="X"</formula>
    </cfRule>
    <cfRule type="expression" dxfId="196" priority="198">
      <formula>AV48="후보"</formula>
    </cfRule>
  </conditionalFormatting>
  <conditionalFormatting sqref="AC48">
    <cfRule type="cellIs" dxfId="195" priority="195" operator="greaterThan">
      <formula>0.9</formula>
    </cfRule>
    <cfRule type="cellIs" dxfId="194" priority="196" operator="greaterThan">
      <formula>0.85</formula>
    </cfRule>
  </conditionalFormatting>
  <conditionalFormatting sqref="N48">
    <cfRule type="cellIs" dxfId="193" priority="193" operator="greaterThan">
      <formula>0.9</formula>
    </cfRule>
    <cfRule type="cellIs" dxfId="192" priority="194" operator="greaterThan">
      <formula>0.85</formula>
    </cfRule>
  </conditionalFormatting>
  <conditionalFormatting sqref="E48">
    <cfRule type="expression" dxfId="191" priority="189">
      <formula>AND(IF(OR($Q48=1,$Q48=2),1,0),IF($X48&lt;=20,1,0))</formula>
    </cfRule>
    <cfRule type="expression" dxfId="190" priority="190">
      <formula>AND(IF($Q48=2,1,0),IF($X48&lt;30,1,0))</formula>
    </cfRule>
    <cfRule type="expression" dxfId="189" priority="191">
      <formula>AND(IF($Q48=3,1,0),IF($X48&lt;30,1,0))</formula>
    </cfRule>
    <cfRule type="expression" dxfId="188" priority="192">
      <formula>AND(IF($Q48=3,1,IF($Q48=4,1,0)),IF($F48&lt;=85,1,0))</formula>
    </cfRule>
  </conditionalFormatting>
  <conditionalFormatting sqref="X48">
    <cfRule type="expression" dxfId="187" priority="185">
      <formula>AND(IF(OR($Q48=1,$Q48=2),1,0),IF($X48&lt;=20,1,0))</formula>
    </cfRule>
    <cfRule type="expression" dxfId="186" priority="186">
      <formula>AND(IF($Q48=2,1,0),IF($X48&lt;30,1,0))</formula>
    </cfRule>
    <cfRule type="expression" dxfId="185" priority="187">
      <formula>AND(IF($Q48=3,1,0),IF($X48&lt;30,1,0))</formula>
    </cfRule>
    <cfRule type="expression" dxfId="184" priority="188">
      <formula>AND(IF($Q48=3,1,IF($Q48=4,1,0)),IF($F48&lt;=85,1,0))</formula>
    </cfRule>
  </conditionalFormatting>
  <conditionalFormatting sqref="AI48">
    <cfRule type="expression" dxfId="183" priority="181">
      <formula>AND(IF(OR($Q48=1,$Q48=2),1,0),IF($X48&lt;=20,1,0))</formula>
    </cfRule>
    <cfRule type="expression" dxfId="182" priority="182">
      <formula>AND(IF($Q48=2,1,0),IF($X48&lt;30,1,0))</formula>
    </cfRule>
    <cfRule type="expression" dxfId="181" priority="183">
      <formula>AND(IF($Q48=3,1,0),IF($X48&lt;30,1,0))</formula>
    </cfRule>
    <cfRule type="expression" dxfId="180" priority="184">
      <formula>AND(IF($Q48=3,1,IF($Q48=4,1,0)),IF($F48&lt;=85,1,0))</formula>
    </cfRule>
  </conditionalFormatting>
  <conditionalFormatting sqref="AV49">
    <cfRule type="expression" dxfId="179" priority="179">
      <formula>AV49="X"</formula>
    </cfRule>
    <cfRule type="expression" dxfId="178" priority="180">
      <formula>AV49="후보"</formula>
    </cfRule>
  </conditionalFormatting>
  <conditionalFormatting sqref="AC49">
    <cfRule type="cellIs" dxfId="177" priority="177" operator="greaterThan">
      <formula>0.9</formula>
    </cfRule>
    <cfRule type="cellIs" dxfId="176" priority="178" operator="greaterThan">
      <formula>0.85</formula>
    </cfRule>
  </conditionalFormatting>
  <conditionalFormatting sqref="N49">
    <cfRule type="cellIs" dxfId="175" priority="175" operator="greaterThan">
      <formula>0.9</formula>
    </cfRule>
    <cfRule type="cellIs" dxfId="174" priority="176" operator="greaterThan">
      <formula>0.85</formula>
    </cfRule>
  </conditionalFormatting>
  <conditionalFormatting sqref="E49">
    <cfRule type="expression" dxfId="173" priority="171">
      <formula>AND(IF(OR($Q49=1,$Q49=2),1,0),IF($X49&lt;=20,1,0))</formula>
    </cfRule>
    <cfRule type="expression" dxfId="172" priority="172">
      <formula>AND(IF($Q49=2,1,0),IF($X49&lt;30,1,0))</formula>
    </cfRule>
    <cfRule type="expression" dxfId="171" priority="173">
      <formula>AND(IF($Q49=3,1,0),IF($X49&lt;30,1,0))</formula>
    </cfRule>
    <cfRule type="expression" dxfId="170" priority="174">
      <formula>AND(IF($Q49=3,1,IF($Q49=4,1,0)),IF($F49&lt;=85,1,0))</formula>
    </cfRule>
  </conditionalFormatting>
  <conditionalFormatting sqref="X49">
    <cfRule type="expression" dxfId="169" priority="167">
      <formula>AND(IF(OR($Q49=1,$Q49=2),1,0),IF($X49&lt;=20,1,0))</formula>
    </cfRule>
    <cfRule type="expression" dxfId="168" priority="168">
      <formula>AND(IF($Q49=2,1,0),IF($X49&lt;30,1,0))</formula>
    </cfRule>
    <cfRule type="expression" dxfId="167" priority="169">
      <formula>AND(IF($Q49=3,1,0),IF($X49&lt;30,1,0))</formula>
    </cfRule>
    <cfRule type="expression" dxfId="166" priority="170">
      <formula>AND(IF($Q49=3,1,IF($Q49=4,1,0)),IF($F49&lt;=85,1,0))</formula>
    </cfRule>
  </conditionalFormatting>
  <conditionalFormatting sqref="AI49">
    <cfRule type="expression" dxfId="165" priority="163">
      <formula>AND(IF(OR($Q49=1,$Q49=2),1,0),IF($X49&lt;=20,1,0))</formula>
    </cfRule>
    <cfRule type="expression" dxfId="164" priority="164">
      <formula>AND(IF($Q49=2,1,0),IF($X49&lt;30,1,0))</formula>
    </cfRule>
    <cfRule type="expression" dxfId="163" priority="165">
      <formula>AND(IF($Q49=3,1,0),IF($X49&lt;30,1,0))</formula>
    </cfRule>
    <cfRule type="expression" dxfId="162" priority="166">
      <formula>AND(IF($Q49=3,1,IF($Q49=4,1,0)),IF($F49&lt;=85,1,0))</formula>
    </cfRule>
  </conditionalFormatting>
  <conditionalFormatting sqref="AV50">
    <cfRule type="expression" dxfId="161" priority="161">
      <formula>AV50="X"</formula>
    </cfRule>
    <cfRule type="expression" dxfId="160" priority="162">
      <formula>AV50="후보"</formula>
    </cfRule>
  </conditionalFormatting>
  <conditionalFormatting sqref="AC50">
    <cfRule type="cellIs" dxfId="159" priority="159" operator="greaterThan">
      <formula>0.9</formula>
    </cfRule>
    <cfRule type="cellIs" dxfId="158" priority="160" operator="greaterThan">
      <formula>0.85</formula>
    </cfRule>
  </conditionalFormatting>
  <conditionalFormatting sqref="N50">
    <cfRule type="cellIs" dxfId="157" priority="157" operator="greaterThan">
      <formula>0.9</formula>
    </cfRule>
    <cfRule type="cellIs" dxfId="156" priority="158" operator="greaterThan">
      <formula>0.85</formula>
    </cfRule>
  </conditionalFormatting>
  <conditionalFormatting sqref="E50">
    <cfRule type="expression" dxfId="155" priority="153">
      <formula>AND(IF(OR($Q50=1,$Q50=2),1,0),IF($X50&lt;=20,1,0))</formula>
    </cfRule>
    <cfRule type="expression" dxfId="154" priority="154">
      <formula>AND(IF($Q50=2,1,0),IF($X50&lt;30,1,0))</formula>
    </cfRule>
    <cfRule type="expression" dxfId="153" priority="155">
      <formula>AND(IF($Q50=3,1,0),IF($X50&lt;30,1,0))</formula>
    </cfRule>
    <cfRule type="expression" dxfId="152" priority="156">
      <formula>AND(IF($Q50=3,1,IF($Q50=4,1,0)),IF($F50&lt;=85,1,0))</formula>
    </cfRule>
  </conditionalFormatting>
  <conditionalFormatting sqref="X50">
    <cfRule type="expression" dxfId="151" priority="149">
      <formula>AND(IF(OR($Q50=1,$Q50=2),1,0),IF($X50&lt;=20,1,0))</formula>
    </cfRule>
    <cfRule type="expression" dxfId="150" priority="150">
      <formula>AND(IF($Q50=2,1,0),IF($X50&lt;30,1,0))</formula>
    </cfRule>
    <cfRule type="expression" dxfId="149" priority="151">
      <formula>AND(IF($Q50=3,1,0),IF($X50&lt;30,1,0))</formula>
    </cfRule>
    <cfRule type="expression" dxfId="148" priority="152">
      <formula>AND(IF($Q50=3,1,IF($Q50=4,1,0)),IF($F50&lt;=85,1,0))</formula>
    </cfRule>
  </conditionalFormatting>
  <conditionalFormatting sqref="AI50">
    <cfRule type="expression" dxfId="147" priority="145">
      <formula>AND(IF(OR($Q50=1,$Q50=2),1,0),IF($X50&lt;=20,1,0))</formula>
    </cfRule>
    <cfRule type="expression" dxfId="146" priority="146">
      <formula>AND(IF($Q50=2,1,0),IF($X50&lt;30,1,0))</formula>
    </cfRule>
    <cfRule type="expression" dxfId="145" priority="147">
      <formula>AND(IF($Q50=3,1,0),IF($X50&lt;30,1,0))</formula>
    </cfRule>
    <cfRule type="expression" dxfId="144" priority="148">
      <formula>AND(IF($Q50=3,1,IF($Q50=4,1,0)),IF($F50&lt;=85,1,0))</formula>
    </cfRule>
  </conditionalFormatting>
  <conditionalFormatting sqref="AV51">
    <cfRule type="expression" dxfId="143" priority="143">
      <formula>AV51="X"</formula>
    </cfRule>
    <cfRule type="expression" dxfId="142" priority="144">
      <formula>AV51="후보"</formula>
    </cfRule>
  </conditionalFormatting>
  <conditionalFormatting sqref="AC51">
    <cfRule type="cellIs" dxfId="141" priority="141" operator="greaterThan">
      <formula>0.9</formula>
    </cfRule>
    <cfRule type="cellIs" dxfId="140" priority="142" operator="greaterThan">
      <formula>0.85</formula>
    </cfRule>
  </conditionalFormatting>
  <conditionalFormatting sqref="N51">
    <cfRule type="cellIs" dxfId="139" priority="139" operator="greaterThan">
      <formula>0.9</formula>
    </cfRule>
    <cfRule type="cellIs" dxfId="138" priority="140" operator="greaterThan">
      <formula>0.85</formula>
    </cfRule>
  </conditionalFormatting>
  <conditionalFormatting sqref="E51">
    <cfRule type="expression" dxfId="137" priority="135">
      <formula>AND(IF(OR($Q51=1,$Q51=2),1,0),IF($X51&lt;=20,1,0))</formula>
    </cfRule>
    <cfRule type="expression" dxfId="136" priority="136">
      <formula>AND(IF($Q51=2,1,0),IF($X51&lt;30,1,0))</formula>
    </cfRule>
    <cfRule type="expression" dxfId="135" priority="137">
      <formula>AND(IF($Q51=3,1,0),IF($X51&lt;30,1,0))</formula>
    </cfRule>
    <cfRule type="expression" dxfId="134" priority="138">
      <formula>AND(IF($Q51=3,1,IF($Q51=4,1,0)),IF($F51&lt;=85,1,0))</formula>
    </cfRule>
  </conditionalFormatting>
  <conditionalFormatting sqref="X51">
    <cfRule type="expression" dxfId="133" priority="131">
      <formula>AND(IF(OR($Q51=1,$Q51=2),1,0),IF($X51&lt;=20,1,0))</formula>
    </cfRule>
    <cfRule type="expression" dxfId="132" priority="132">
      <formula>AND(IF($Q51=2,1,0),IF($X51&lt;30,1,0))</formula>
    </cfRule>
    <cfRule type="expression" dxfId="131" priority="133">
      <formula>AND(IF($Q51=3,1,0),IF($X51&lt;30,1,0))</formula>
    </cfRule>
    <cfRule type="expression" dxfId="130" priority="134">
      <formula>AND(IF($Q51=3,1,IF($Q51=4,1,0)),IF($F51&lt;=85,1,0))</formula>
    </cfRule>
  </conditionalFormatting>
  <conditionalFormatting sqref="AI51">
    <cfRule type="expression" dxfId="129" priority="127">
      <formula>AND(IF(OR($Q51=1,$Q51=2),1,0),IF($X51&lt;=20,1,0))</formula>
    </cfRule>
    <cfRule type="expression" dxfId="128" priority="128">
      <formula>AND(IF($Q51=2,1,0),IF($X51&lt;30,1,0))</formula>
    </cfRule>
    <cfRule type="expression" dxfId="127" priority="129">
      <formula>AND(IF($Q51=3,1,0),IF($X51&lt;30,1,0))</formula>
    </cfRule>
    <cfRule type="expression" dxfId="126" priority="130">
      <formula>AND(IF($Q51=3,1,IF($Q51=4,1,0)),IF($F51&lt;=85,1,0))</formula>
    </cfRule>
  </conditionalFormatting>
  <conditionalFormatting sqref="AV52">
    <cfRule type="expression" dxfId="125" priority="125">
      <formula>AV52="X"</formula>
    </cfRule>
    <cfRule type="expression" dxfId="124" priority="126">
      <formula>AV52="후보"</formula>
    </cfRule>
  </conditionalFormatting>
  <conditionalFormatting sqref="AC52">
    <cfRule type="cellIs" dxfId="123" priority="123" operator="greaterThan">
      <formula>0.9</formula>
    </cfRule>
    <cfRule type="cellIs" dxfId="122" priority="124" operator="greaterThan">
      <formula>0.85</formula>
    </cfRule>
  </conditionalFormatting>
  <conditionalFormatting sqref="N52">
    <cfRule type="cellIs" dxfId="121" priority="121" operator="greaterThan">
      <formula>0.9</formula>
    </cfRule>
    <cfRule type="cellIs" dxfId="120" priority="122" operator="greaterThan">
      <formula>0.85</formula>
    </cfRule>
  </conditionalFormatting>
  <conditionalFormatting sqref="E52">
    <cfRule type="expression" dxfId="119" priority="117">
      <formula>AND(IF(OR($Q52=1,$Q52=2),1,0),IF($X52&lt;=20,1,0))</formula>
    </cfRule>
    <cfRule type="expression" dxfId="118" priority="118">
      <formula>AND(IF($Q52=2,1,0),IF($X52&lt;30,1,0))</formula>
    </cfRule>
    <cfRule type="expression" dxfId="117" priority="119">
      <formula>AND(IF($Q52=3,1,0),IF($X52&lt;30,1,0))</formula>
    </cfRule>
    <cfRule type="expression" dxfId="116" priority="120">
      <formula>AND(IF($Q52=3,1,IF($Q52=4,1,0)),IF($F52&lt;=85,1,0))</formula>
    </cfRule>
  </conditionalFormatting>
  <conditionalFormatting sqref="X52">
    <cfRule type="expression" dxfId="115" priority="113">
      <formula>AND(IF(OR($Q52=1,$Q52=2),1,0),IF($X52&lt;=20,1,0))</formula>
    </cfRule>
    <cfRule type="expression" dxfId="114" priority="114">
      <formula>AND(IF($Q52=2,1,0),IF($X52&lt;30,1,0))</formula>
    </cfRule>
    <cfRule type="expression" dxfId="113" priority="115">
      <formula>AND(IF($Q52=3,1,0),IF($X52&lt;30,1,0))</formula>
    </cfRule>
    <cfRule type="expression" dxfId="112" priority="116">
      <formula>AND(IF($Q52=3,1,IF($Q52=4,1,0)),IF($F52&lt;=85,1,0))</formula>
    </cfRule>
  </conditionalFormatting>
  <conditionalFormatting sqref="AI52">
    <cfRule type="expression" dxfId="111" priority="109">
      <formula>AND(IF(OR($Q52=1,$Q52=2),1,0),IF($X52&lt;=20,1,0))</formula>
    </cfRule>
    <cfRule type="expression" dxfId="110" priority="110">
      <formula>AND(IF($Q52=2,1,0),IF($X52&lt;30,1,0))</formula>
    </cfRule>
    <cfRule type="expression" dxfId="109" priority="111">
      <formula>AND(IF($Q52=3,1,0),IF($X52&lt;30,1,0))</formula>
    </cfRule>
    <cfRule type="expression" dxfId="108" priority="112">
      <formula>AND(IF($Q52=3,1,IF($Q52=4,1,0)),IF($F52&lt;=85,1,0))</formula>
    </cfRule>
  </conditionalFormatting>
  <conditionalFormatting sqref="AV53">
    <cfRule type="expression" dxfId="107" priority="107">
      <formula>AV53="X"</formula>
    </cfRule>
    <cfRule type="expression" dxfId="106" priority="108">
      <formula>AV53="후보"</formula>
    </cfRule>
  </conditionalFormatting>
  <conditionalFormatting sqref="AC53">
    <cfRule type="cellIs" dxfId="105" priority="105" operator="greaterThan">
      <formula>0.9</formula>
    </cfRule>
    <cfRule type="cellIs" dxfId="104" priority="106" operator="greaterThan">
      <formula>0.85</formula>
    </cfRule>
  </conditionalFormatting>
  <conditionalFormatting sqref="N53">
    <cfRule type="cellIs" dxfId="103" priority="103" operator="greaterThan">
      <formula>0.9</formula>
    </cfRule>
    <cfRule type="cellIs" dxfId="102" priority="104" operator="greaterThan">
      <formula>0.85</formula>
    </cfRule>
  </conditionalFormatting>
  <conditionalFormatting sqref="E53">
    <cfRule type="expression" dxfId="101" priority="99">
      <formula>AND(IF(OR($Q53=1,$Q53=2),1,0),IF($X53&lt;=20,1,0))</formula>
    </cfRule>
    <cfRule type="expression" dxfId="100" priority="100">
      <formula>AND(IF($Q53=2,1,0),IF($X53&lt;30,1,0))</formula>
    </cfRule>
    <cfRule type="expression" dxfId="99" priority="101">
      <formula>AND(IF($Q53=3,1,0),IF($X53&lt;30,1,0))</formula>
    </cfRule>
    <cfRule type="expression" dxfId="98" priority="102">
      <formula>AND(IF($Q53=3,1,IF($Q53=4,1,0)),IF($F53&lt;=85,1,0))</formula>
    </cfRule>
  </conditionalFormatting>
  <conditionalFormatting sqref="X53">
    <cfRule type="expression" dxfId="97" priority="95">
      <formula>AND(IF(OR($Q53=1,$Q53=2),1,0),IF($X53&lt;=20,1,0))</formula>
    </cfRule>
    <cfRule type="expression" dxfId="96" priority="96">
      <formula>AND(IF($Q53=2,1,0),IF($X53&lt;30,1,0))</formula>
    </cfRule>
    <cfRule type="expression" dxfId="95" priority="97">
      <formula>AND(IF($Q53=3,1,0),IF($X53&lt;30,1,0))</formula>
    </cfRule>
    <cfRule type="expression" dxfId="94" priority="98">
      <formula>AND(IF($Q53=3,1,IF($Q53=4,1,0)),IF($F53&lt;=85,1,0))</formula>
    </cfRule>
  </conditionalFormatting>
  <conditionalFormatting sqref="AI53">
    <cfRule type="expression" dxfId="93" priority="91">
      <formula>AND(IF(OR($Q53=1,$Q53=2),1,0),IF($X53&lt;=20,1,0))</formula>
    </cfRule>
    <cfRule type="expression" dxfId="92" priority="92">
      <formula>AND(IF($Q53=2,1,0),IF($X53&lt;30,1,0))</formula>
    </cfRule>
    <cfRule type="expression" dxfId="91" priority="93">
      <formula>AND(IF($Q53=3,1,0),IF($X53&lt;30,1,0))</formula>
    </cfRule>
    <cfRule type="expression" dxfId="90" priority="94">
      <formula>AND(IF($Q53=3,1,IF($Q53=4,1,0)),IF($F53&lt;=85,1,0))</formula>
    </cfRule>
  </conditionalFormatting>
  <conditionalFormatting sqref="AV54">
    <cfRule type="expression" dxfId="89" priority="89">
      <formula>AV54="X"</formula>
    </cfRule>
    <cfRule type="expression" dxfId="88" priority="90">
      <formula>AV54="후보"</formula>
    </cfRule>
  </conditionalFormatting>
  <conditionalFormatting sqref="AC54">
    <cfRule type="cellIs" dxfId="87" priority="87" operator="greaterThan">
      <formula>0.9</formula>
    </cfRule>
    <cfRule type="cellIs" dxfId="86" priority="88" operator="greaterThan">
      <formula>0.85</formula>
    </cfRule>
  </conditionalFormatting>
  <conditionalFormatting sqref="N54">
    <cfRule type="cellIs" dxfId="85" priority="85" operator="greaterThan">
      <formula>0.9</formula>
    </cfRule>
    <cfRule type="cellIs" dxfId="84" priority="86" operator="greaterThan">
      <formula>0.85</formula>
    </cfRule>
  </conditionalFormatting>
  <conditionalFormatting sqref="E54">
    <cfRule type="expression" dxfId="83" priority="81">
      <formula>AND(IF(OR($Q54=1,$Q54=2),1,0),IF($X54&lt;=20,1,0))</formula>
    </cfRule>
    <cfRule type="expression" dxfId="82" priority="82">
      <formula>AND(IF($Q54=2,1,0),IF($X54&lt;30,1,0))</formula>
    </cfRule>
    <cfRule type="expression" dxfId="81" priority="83">
      <formula>AND(IF($Q54=3,1,0),IF($X54&lt;30,1,0))</formula>
    </cfRule>
    <cfRule type="expression" dxfId="80" priority="84">
      <formula>AND(IF($Q54=3,1,IF($Q54=4,1,0)),IF($F54&lt;=85,1,0))</formula>
    </cfRule>
  </conditionalFormatting>
  <conditionalFormatting sqref="X54">
    <cfRule type="expression" dxfId="79" priority="77">
      <formula>AND(IF(OR($Q54=1,$Q54=2),1,0),IF($X54&lt;=20,1,0))</formula>
    </cfRule>
    <cfRule type="expression" dxfId="78" priority="78">
      <formula>AND(IF($Q54=2,1,0),IF($X54&lt;30,1,0))</formula>
    </cfRule>
    <cfRule type="expression" dxfId="77" priority="79">
      <formula>AND(IF($Q54=3,1,0),IF($X54&lt;30,1,0))</formula>
    </cfRule>
    <cfRule type="expression" dxfId="76" priority="80">
      <formula>AND(IF($Q54=3,1,IF($Q54=4,1,0)),IF($F54&lt;=85,1,0))</formula>
    </cfRule>
  </conditionalFormatting>
  <conditionalFormatting sqref="AI54">
    <cfRule type="expression" dxfId="75" priority="73">
      <formula>AND(IF(OR($Q54=1,$Q54=2),1,0),IF($X54&lt;=20,1,0))</formula>
    </cfRule>
    <cfRule type="expression" dxfId="74" priority="74">
      <formula>AND(IF($Q54=2,1,0),IF($X54&lt;30,1,0))</formula>
    </cfRule>
    <cfRule type="expression" dxfId="73" priority="75">
      <formula>AND(IF($Q54=3,1,0),IF($X54&lt;30,1,0))</formula>
    </cfRule>
    <cfRule type="expression" dxfId="72" priority="76">
      <formula>AND(IF($Q54=3,1,IF($Q54=4,1,0)),IF($F54&lt;=85,1,0))</formula>
    </cfRule>
  </conditionalFormatting>
  <conditionalFormatting sqref="AV55">
    <cfRule type="expression" dxfId="71" priority="71">
      <formula>AV55="X"</formula>
    </cfRule>
    <cfRule type="expression" dxfId="70" priority="72">
      <formula>AV55="후보"</formula>
    </cfRule>
  </conditionalFormatting>
  <conditionalFormatting sqref="AC55">
    <cfRule type="cellIs" dxfId="69" priority="69" operator="greaterThan">
      <formula>0.9</formula>
    </cfRule>
    <cfRule type="cellIs" dxfId="68" priority="70" operator="greaterThan">
      <formula>0.85</formula>
    </cfRule>
  </conditionalFormatting>
  <conditionalFormatting sqref="N55">
    <cfRule type="cellIs" dxfId="67" priority="67" operator="greaterThan">
      <formula>0.9</formula>
    </cfRule>
    <cfRule type="cellIs" dxfId="66" priority="68" operator="greaterThan">
      <formula>0.85</formula>
    </cfRule>
  </conditionalFormatting>
  <conditionalFormatting sqref="E55">
    <cfRule type="expression" dxfId="65" priority="63">
      <formula>AND(IF(OR($Q55=1,$Q55=2),1,0),IF($X55&lt;=20,1,0))</formula>
    </cfRule>
    <cfRule type="expression" dxfId="64" priority="64">
      <formula>AND(IF($Q55=2,1,0),IF($X55&lt;30,1,0))</formula>
    </cfRule>
    <cfRule type="expression" dxfId="63" priority="65">
      <formula>AND(IF($Q55=3,1,0),IF($X55&lt;30,1,0))</formula>
    </cfRule>
    <cfRule type="expression" dxfId="62" priority="66">
      <formula>AND(IF($Q55=3,1,IF($Q55=4,1,0)),IF($F55&lt;=85,1,0))</formula>
    </cfRule>
  </conditionalFormatting>
  <conditionalFormatting sqref="X55">
    <cfRule type="expression" dxfId="61" priority="59">
      <formula>AND(IF(OR($Q55=1,$Q55=2),1,0),IF($X55&lt;=20,1,0))</formula>
    </cfRule>
    <cfRule type="expression" dxfId="60" priority="60">
      <formula>AND(IF($Q55=2,1,0),IF($X55&lt;30,1,0))</formula>
    </cfRule>
    <cfRule type="expression" dxfId="59" priority="61">
      <formula>AND(IF($Q55=3,1,0),IF($X55&lt;30,1,0))</formula>
    </cfRule>
    <cfRule type="expression" dxfId="58" priority="62">
      <formula>AND(IF($Q55=3,1,IF($Q55=4,1,0)),IF($F55&lt;=85,1,0))</formula>
    </cfRule>
  </conditionalFormatting>
  <conditionalFormatting sqref="AI55">
    <cfRule type="expression" dxfId="57" priority="55">
      <formula>AND(IF(OR($Q55=1,$Q55=2),1,0),IF($X55&lt;=20,1,0))</formula>
    </cfRule>
    <cfRule type="expression" dxfId="56" priority="56">
      <formula>AND(IF($Q55=2,1,0),IF($X55&lt;30,1,0))</formula>
    </cfRule>
    <cfRule type="expression" dxfId="55" priority="57">
      <formula>AND(IF($Q55=3,1,0),IF($X55&lt;30,1,0))</formula>
    </cfRule>
    <cfRule type="expression" dxfId="54" priority="58">
      <formula>AND(IF($Q55=3,1,IF($Q55=4,1,0)),IF($F55&lt;=85,1,0))</formula>
    </cfRule>
  </conditionalFormatting>
  <conditionalFormatting sqref="AV56">
    <cfRule type="expression" dxfId="53" priority="53">
      <formula>AV56="X"</formula>
    </cfRule>
    <cfRule type="expression" dxfId="52" priority="54">
      <formula>AV56="후보"</formula>
    </cfRule>
  </conditionalFormatting>
  <conditionalFormatting sqref="AC56">
    <cfRule type="cellIs" dxfId="51" priority="51" operator="greaterThan">
      <formula>0.9</formula>
    </cfRule>
    <cfRule type="cellIs" dxfId="50" priority="52" operator="greaterThan">
      <formula>0.85</formula>
    </cfRule>
  </conditionalFormatting>
  <conditionalFormatting sqref="N56">
    <cfRule type="cellIs" dxfId="49" priority="49" operator="greaterThan">
      <formula>0.9</formula>
    </cfRule>
    <cfRule type="cellIs" dxfId="48" priority="50" operator="greaterThan">
      <formula>0.85</formula>
    </cfRule>
  </conditionalFormatting>
  <conditionalFormatting sqref="E56">
    <cfRule type="expression" dxfId="47" priority="45">
      <formula>AND(IF(OR($Q56=1,$Q56=2),1,0),IF($X56&lt;=20,1,0))</formula>
    </cfRule>
    <cfRule type="expression" dxfId="46" priority="46">
      <formula>AND(IF($Q56=2,1,0),IF($X56&lt;30,1,0))</formula>
    </cfRule>
    <cfRule type="expression" dxfId="45" priority="47">
      <formula>AND(IF($Q56=3,1,0),IF($X56&lt;30,1,0))</formula>
    </cfRule>
    <cfRule type="expression" dxfId="44" priority="48">
      <formula>AND(IF($Q56=3,1,IF($Q56=4,1,0)),IF($F56&lt;=85,1,0))</formula>
    </cfRule>
  </conditionalFormatting>
  <conditionalFormatting sqref="X56">
    <cfRule type="expression" dxfId="43" priority="41">
      <formula>AND(IF(OR($Q56=1,$Q56=2),1,0),IF($X56&lt;=20,1,0))</formula>
    </cfRule>
    <cfRule type="expression" dxfId="42" priority="42">
      <formula>AND(IF($Q56=2,1,0),IF($X56&lt;30,1,0))</formula>
    </cfRule>
    <cfRule type="expression" dxfId="41" priority="43">
      <formula>AND(IF($Q56=3,1,0),IF($X56&lt;30,1,0))</formula>
    </cfRule>
    <cfRule type="expression" dxfId="40" priority="44">
      <formula>AND(IF($Q56=3,1,IF($Q56=4,1,0)),IF($F56&lt;=85,1,0))</formula>
    </cfRule>
  </conditionalFormatting>
  <conditionalFormatting sqref="AI56">
    <cfRule type="expression" dxfId="39" priority="37">
      <formula>AND(IF(OR($Q56=1,$Q56=2),1,0),IF($X56&lt;=20,1,0))</formula>
    </cfRule>
    <cfRule type="expression" dxfId="38" priority="38">
      <formula>AND(IF($Q56=2,1,0),IF($X56&lt;30,1,0))</formula>
    </cfRule>
    <cfRule type="expression" dxfId="37" priority="39">
      <formula>AND(IF($Q56=3,1,0),IF($X56&lt;30,1,0))</formula>
    </cfRule>
    <cfRule type="expression" dxfId="36" priority="40">
      <formula>AND(IF($Q56=3,1,IF($Q56=4,1,0)),IF($F56&lt;=85,1,0))</formula>
    </cfRule>
  </conditionalFormatting>
  <conditionalFormatting sqref="AV57">
    <cfRule type="expression" dxfId="35" priority="35">
      <formula>AV57="X"</formula>
    </cfRule>
    <cfRule type="expression" dxfId="34" priority="36">
      <formula>AV57="후보"</formula>
    </cfRule>
  </conditionalFormatting>
  <conditionalFormatting sqref="AC57">
    <cfRule type="cellIs" dxfId="33" priority="33" operator="greaterThan">
      <formula>0.9</formula>
    </cfRule>
    <cfRule type="cellIs" dxfId="32" priority="34" operator="greaterThan">
      <formula>0.85</formula>
    </cfRule>
  </conditionalFormatting>
  <conditionalFormatting sqref="N57">
    <cfRule type="cellIs" dxfId="31" priority="31" operator="greaterThan">
      <formula>0.9</formula>
    </cfRule>
    <cfRule type="cellIs" dxfId="30" priority="32" operator="greaterThan">
      <formula>0.85</formula>
    </cfRule>
  </conditionalFormatting>
  <conditionalFormatting sqref="E57">
    <cfRule type="expression" dxfId="29" priority="27">
      <formula>AND(IF(OR($Q57=1,$Q57=2),1,0),IF($X57&lt;=20,1,0))</formula>
    </cfRule>
    <cfRule type="expression" dxfId="28" priority="28">
      <formula>AND(IF($Q57=2,1,0),IF($X57&lt;30,1,0))</formula>
    </cfRule>
    <cfRule type="expression" dxfId="27" priority="29">
      <formula>AND(IF($Q57=3,1,0),IF($X57&lt;30,1,0))</formula>
    </cfRule>
    <cfRule type="expression" dxfId="26" priority="30">
      <formula>AND(IF($Q57=3,1,IF($Q57=4,1,0)),IF($F57&lt;=85,1,0))</formula>
    </cfRule>
  </conditionalFormatting>
  <conditionalFormatting sqref="X57">
    <cfRule type="expression" dxfId="25" priority="23">
      <formula>AND(IF(OR($Q57=1,$Q57=2),1,0),IF($X57&lt;=20,1,0))</formula>
    </cfRule>
    <cfRule type="expression" dxfId="24" priority="24">
      <formula>AND(IF($Q57=2,1,0),IF($X57&lt;30,1,0))</formula>
    </cfRule>
    <cfRule type="expression" dxfId="23" priority="25">
      <formula>AND(IF($Q57=3,1,0),IF($X57&lt;30,1,0))</formula>
    </cfRule>
    <cfRule type="expression" dxfId="22" priority="26">
      <formula>AND(IF($Q57=3,1,IF($Q57=4,1,0)),IF($F57&lt;=85,1,0))</formula>
    </cfRule>
  </conditionalFormatting>
  <conditionalFormatting sqref="AI57">
    <cfRule type="expression" dxfId="21" priority="19">
      <formula>AND(IF(OR($Q57=1,$Q57=2),1,0),IF($X57&lt;=20,1,0))</formula>
    </cfRule>
    <cfRule type="expression" dxfId="20" priority="20">
      <formula>AND(IF($Q57=2,1,0),IF($X57&lt;30,1,0))</formula>
    </cfRule>
    <cfRule type="expression" dxfId="19" priority="21">
      <formula>AND(IF($Q57=3,1,0),IF($X57&lt;30,1,0))</formula>
    </cfRule>
    <cfRule type="expression" dxfId="18" priority="22">
      <formula>AND(IF($Q57=3,1,IF($Q57=4,1,0)),IF($F57&lt;=85,1,0))</formula>
    </cfRule>
  </conditionalFormatting>
  <conditionalFormatting sqref="AV58">
    <cfRule type="expression" dxfId="17" priority="17">
      <formula>AV58="X"</formula>
    </cfRule>
    <cfRule type="expression" dxfId="16" priority="18">
      <formula>AV58="후보"</formula>
    </cfRule>
  </conditionalFormatting>
  <conditionalFormatting sqref="AC58">
    <cfRule type="cellIs" dxfId="15" priority="15" operator="greaterThan">
      <formula>0.9</formula>
    </cfRule>
    <cfRule type="cellIs" dxfId="14" priority="16" operator="greaterThan">
      <formula>0.85</formula>
    </cfRule>
  </conditionalFormatting>
  <conditionalFormatting sqref="N58">
    <cfRule type="cellIs" dxfId="13" priority="13" operator="greaterThan">
      <formula>0.9</formula>
    </cfRule>
    <cfRule type="cellIs" dxfId="12" priority="14" operator="greaterThan">
      <formula>0.85</formula>
    </cfRule>
  </conditionalFormatting>
  <conditionalFormatting sqref="E58">
    <cfRule type="expression" dxfId="11" priority="9">
      <formula>AND(IF(OR($Q58=1,$Q58=2),1,0),IF($X58&lt;=20,1,0))</formula>
    </cfRule>
    <cfRule type="expression" dxfId="10" priority="10">
      <formula>AND(IF($Q58=2,1,0),IF($X58&lt;30,1,0))</formula>
    </cfRule>
    <cfRule type="expression" dxfId="9" priority="11">
      <formula>AND(IF($Q58=3,1,0),IF($X58&lt;30,1,0))</formula>
    </cfRule>
    <cfRule type="expression" dxfId="8" priority="12">
      <formula>AND(IF($Q58=3,1,IF($Q58=4,1,0)),IF($F58&lt;=85,1,0))</formula>
    </cfRule>
  </conditionalFormatting>
  <conditionalFormatting sqref="X58">
    <cfRule type="expression" dxfId="7" priority="5">
      <formula>AND(IF(OR($Q58=1,$Q58=2),1,0),IF($X58&lt;=20,1,0))</formula>
    </cfRule>
    <cfRule type="expression" dxfId="6" priority="6">
      <formula>AND(IF($Q58=2,1,0),IF($X58&lt;30,1,0))</formula>
    </cfRule>
    <cfRule type="expression" dxfId="5" priority="7">
      <formula>AND(IF($Q58=3,1,0),IF($X58&lt;30,1,0))</formula>
    </cfRule>
    <cfRule type="expression" dxfId="4" priority="8">
      <formula>AND(IF($Q58=3,1,IF($Q58=4,1,0)),IF($F58&lt;=85,1,0))</formula>
    </cfRule>
  </conditionalFormatting>
  <conditionalFormatting sqref="AI58">
    <cfRule type="expression" dxfId="3" priority="1">
      <formula>AND(IF(OR($Q58=1,$Q58=2),1,0),IF($X58&lt;=20,1,0))</formula>
    </cfRule>
    <cfRule type="expression" dxfId="2" priority="2">
      <formula>AND(IF($Q58=2,1,0),IF($X58&lt;30,1,0))</formula>
    </cfRule>
    <cfRule type="expression" dxfId="1" priority="3">
      <formula>AND(IF($Q58=3,1,0),IF($X58&lt;30,1,0))</formula>
    </cfRule>
    <cfRule type="expression" dxfId="0" priority="4">
      <formula>AND(IF($Q58=3,1,IF($Q58=4,1,0)),IF($F58&lt;=85,1,0))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8097" r:id="rId4" name="Button 1025">
              <controlPr defaultSize="0" print="0" autoFill="0" autoPict="0" macro="[0]!AllList">
                <anchor moveWithCells="1" sizeWithCells="1">
                  <from>
                    <xdr:col>2</xdr:col>
                    <xdr:colOff>95250</xdr:colOff>
                    <xdr:row>0</xdr:row>
                    <xdr:rowOff>47625</xdr:rowOff>
                  </from>
                  <to>
                    <xdr:col>4</xdr:col>
                    <xdr:colOff>247650</xdr:colOff>
                    <xdr:row>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8098" r:id="rId5" name="Button 1026">
              <controlPr defaultSize="0" print="0" autoFill="0" autoPict="0" macro="[0]!CandidateList">
                <anchor moveWithCells="1" sizeWithCells="1">
                  <from>
                    <xdr:col>4</xdr:col>
                    <xdr:colOff>342900</xdr:colOff>
                    <xdr:row>0</xdr:row>
                    <xdr:rowOff>47625</xdr:rowOff>
                  </from>
                  <to>
                    <xdr:col>7</xdr:col>
                    <xdr:colOff>304800</xdr:colOff>
                    <xdr:row>1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>
    <tabColor theme="5" tint="0.59999389629810485"/>
    <pageSetUpPr fitToPage="1"/>
  </sheetPr>
  <dimension ref="A1:V450"/>
  <sheetViews>
    <sheetView tabSelected="1"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H23" sqref="H23"/>
    </sheetView>
  </sheetViews>
  <sheetFormatPr defaultColWidth="9" defaultRowHeight="14.1" customHeight="1" x14ac:dyDescent="0.3"/>
  <cols>
    <col min="1" max="1" width="22.5" style="72" bestFit="1" customWidth="1"/>
    <col min="2" max="2" width="5.625" style="72" bestFit="1" customWidth="1"/>
    <col min="3" max="3" width="6.625" style="72" bestFit="1" customWidth="1"/>
    <col min="4" max="4" width="5.625" style="72" bestFit="1" customWidth="1"/>
    <col min="5" max="5" width="4.625" style="72" bestFit="1" customWidth="1"/>
    <col min="6" max="6" width="5.625" style="72" bestFit="1" customWidth="1"/>
    <col min="7" max="7" width="4.625" style="72" bestFit="1" customWidth="1"/>
    <col min="8" max="8" width="6.625" style="72" bestFit="1" customWidth="1"/>
    <col min="9" max="9" width="7.75" style="72" bestFit="1" customWidth="1"/>
    <col min="10" max="10" width="4" style="72" bestFit="1" customWidth="1"/>
    <col min="11" max="11" width="6.875" style="72" bestFit="1" customWidth="1"/>
    <col min="12" max="12" width="4" style="72" bestFit="1" customWidth="1"/>
    <col min="13" max="13" width="6.875" style="72" bestFit="1" customWidth="1"/>
    <col min="14" max="14" width="4.625" style="72" bestFit="1" customWidth="1"/>
    <col min="15" max="16" width="7.625" style="72" bestFit="1" customWidth="1"/>
    <col min="17" max="19" width="3.25" style="72" bestFit="1" customWidth="1"/>
    <col min="20" max="20" width="10.125" style="72" customWidth="1"/>
    <col min="21" max="21" width="25" style="72" customWidth="1"/>
    <col min="22" max="22" width="9" style="72" customWidth="1"/>
    <col min="23" max="23" width="9" style="25" customWidth="1"/>
    <col min="24" max="16384" width="9" style="25"/>
  </cols>
  <sheetData>
    <row r="1" spans="1:22" ht="17.25" customHeight="1" x14ac:dyDescent="0.3">
      <c r="A1" s="24" t="str">
        <f>단지추출!A1</f>
        <v>인천광역시 연수구</v>
      </c>
      <c r="B1" s="25"/>
      <c r="C1" s="26"/>
      <c r="D1" s="25"/>
      <c r="E1" s="25"/>
      <c r="F1" s="25"/>
      <c r="G1" s="25"/>
      <c r="H1" s="26"/>
      <c r="I1" s="25"/>
      <c r="J1" s="111" t="s">
        <v>1</v>
      </c>
      <c r="K1" s="110"/>
      <c r="L1" s="43" t="s">
        <v>499</v>
      </c>
      <c r="M1"/>
      <c r="N1" s="111" t="s">
        <v>3</v>
      </c>
      <c r="O1" s="110"/>
      <c r="P1" s="79">
        <v>30</v>
      </c>
      <c r="Q1" s="112" t="s">
        <v>4</v>
      </c>
      <c r="R1" s="113"/>
      <c r="S1" s="110"/>
      <c r="T1" s="28"/>
      <c r="U1" s="25"/>
      <c r="V1" s="25"/>
    </row>
    <row r="2" spans="1:22" ht="12" customHeight="1" x14ac:dyDescent="0.3">
      <c r="A2" s="80">
        <f>단지추출!A2</f>
        <v>44197</v>
      </c>
      <c r="B2" s="27"/>
      <c r="C2" s="26"/>
      <c r="D2" s="25"/>
      <c r="E2" s="25"/>
      <c r="F2" s="25"/>
      <c r="G2" s="25"/>
      <c r="H2" s="26"/>
      <c r="I2" s="25"/>
      <c r="J2" s="25"/>
      <c r="K2" s="25"/>
      <c r="L2" s="25"/>
      <c r="M2" s="25"/>
      <c r="N2" s="25"/>
      <c r="O2" s="25"/>
      <c r="P2" s="25"/>
      <c r="Q2" s="28"/>
      <c r="R2" s="28"/>
      <c r="S2" s="27"/>
      <c r="T2" s="28"/>
      <c r="U2" s="29"/>
      <c r="V2" s="25"/>
    </row>
    <row r="3" spans="1:22" ht="26.25" customHeight="1" x14ac:dyDescent="0.3">
      <c r="A3" s="73" t="s">
        <v>20</v>
      </c>
      <c r="B3" s="73" t="s">
        <v>21</v>
      </c>
      <c r="C3" s="73" t="s">
        <v>22</v>
      </c>
      <c r="D3" s="73" t="s">
        <v>23</v>
      </c>
      <c r="E3" s="73" t="s">
        <v>24</v>
      </c>
      <c r="F3" s="73" t="s">
        <v>25</v>
      </c>
      <c r="G3" s="73" t="s">
        <v>26</v>
      </c>
      <c r="H3" s="74" t="s">
        <v>27</v>
      </c>
      <c r="I3" s="33" t="s">
        <v>28</v>
      </c>
      <c r="J3" s="33" t="s">
        <v>29</v>
      </c>
      <c r="K3" s="33" t="s">
        <v>30</v>
      </c>
      <c r="L3" s="33" t="s">
        <v>29</v>
      </c>
      <c r="M3" s="74" t="s">
        <v>31</v>
      </c>
      <c r="N3" s="73" t="s">
        <v>32</v>
      </c>
      <c r="O3" s="33" t="s">
        <v>33</v>
      </c>
      <c r="P3" s="33" t="s">
        <v>34</v>
      </c>
      <c r="Q3" s="34" t="s">
        <v>35</v>
      </c>
      <c r="R3" s="34" t="s">
        <v>36</v>
      </c>
      <c r="S3" s="73" t="s">
        <v>37</v>
      </c>
      <c r="T3" s="35" t="s">
        <v>38</v>
      </c>
      <c r="U3" s="74" t="s">
        <v>39</v>
      </c>
      <c r="V3" s="25"/>
    </row>
    <row r="4" spans="1:22" s="37" customFormat="1" ht="12" customHeight="1" x14ac:dyDescent="0.3">
      <c r="A4" s="77" t="s">
        <v>426</v>
      </c>
      <c r="B4" s="78" t="s">
        <v>427</v>
      </c>
      <c r="C4" s="84">
        <v>1370</v>
      </c>
      <c r="D4" s="85">
        <v>143.19999999999999</v>
      </c>
      <c r="E4" s="86">
        <v>43</v>
      </c>
      <c r="F4" s="85">
        <v>117.4</v>
      </c>
      <c r="G4" s="17">
        <v>36</v>
      </c>
      <c r="H4" s="87">
        <v>150</v>
      </c>
      <c r="I4" s="88">
        <v>115000</v>
      </c>
      <c r="J4" s="88" t="s">
        <v>89</v>
      </c>
      <c r="K4" s="88"/>
      <c r="L4" s="88"/>
      <c r="M4" s="89">
        <f t="shared" ref="M4:M67" si="0">I4-K4</f>
        <v>115000</v>
      </c>
      <c r="N4" s="4">
        <f t="shared" ref="N4:N67" si="1">IF(ISERROR(K4/I4),"",K4/I4)</f>
        <v>0</v>
      </c>
      <c r="O4" s="90">
        <f t="shared" ref="O4:O67" si="2">I4/E4</f>
        <v>2674.4186046511627</v>
      </c>
      <c r="P4" s="90">
        <f t="shared" ref="P4:P67" si="3">K4/E4</f>
        <v>0</v>
      </c>
      <c r="Q4" s="76">
        <v>4</v>
      </c>
      <c r="R4" s="76">
        <v>2</v>
      </c>
      <c r="S4" s="76" t="s">
        <v>61</v>
      </c>
      <c r="T4" s="5" t="s">
        <v>432</v>
      </c>
      <c r="U4" s="9"/>
    </row>
    <row r="5" spans="1:22" s="37" customFormat="1" ht="12" customHeight="1" x14ac:dyDescent="0.3">
      <c r="A5" s="77" t="s">
        <v>488</v>
      </c>
      <c r="B5" s="78" t="s">
        <v>477</v>
      </c>
      <c r="C5" s="84">
        <v>622</v>
      </c>
      <c r="D5" s="85">
        <v>169.4</v>
      </c>
      <c r="E5" s="86">
        <v>51</v>
      </c>
      <c r="F5" s="85">
        <v>135</v>
      </c>
      <c r="G5" s="17">
        <v>41</v>
      </c>
      <c r="H5" s="87">
        <v>106</v>
      </c>
      <c r="I5" s="88">
        <v>110000</v>
      </c>
      <c r="J5" s="88" t="s">
        <v>71</v>
      </c>
      <c r="K5" s="88"/>
      <c r="L5" s="88"/>
      <c r="M5" s="89">
        <f t="shared" si="0"/>
        <v>110000</v>
      </c>
      <c r="N5" s="4">
        <f t="shared" si="1"/>
        <v>0</v>
      </c>
      <c r="O5" s="90">
        <f t="shared" si="2"/>
        <v>2156.8627450980393</v>
      </c>
      <c r="P5" s="90">
        <f t="shared" si="3"/>
        <v>0</v>
      </c>
      <c r="Q5" s="76">
        <v>4</v>
      </c>
      <c r="R5" s="76">
        <v>2</v>
      </c>
      <c r="S5" s="76" t="s">
        <v>61</v>
      </c>
      <c r="T5" s="5">
        <v>169</v>
      </c>
      <c r="U5" s="9"/>
    </row>
    <row r="6" spans="1:22" s="37" customFormat="1" ht="12" customHeight="1" x14ac:dyDescent="0.3">
      <c r="A6" s="77" t="s">
        <v>279</v>
      </c>
      <c r="B6" s="78" t="s">
        <v>280</v>
      </c>
      <c r="C6" s="84">
        <v>712</v>
      </c>
      <c r="D6" s="85">
        <v>256.39999999999998</v>
      </c>
      <c r="E6" s="86">
        <v>78</v>
      </c>
      <c r="F6" s="85">
        <v>205.8</v>
      </c>
      <c r="G6" s="17">
        <v>62</v>
      </c>
      <c r="H6" s="87">
        <v>34</v>
      </c>
      <c r="I6" s="88">
        <v>95000</v>
      </c>
      <c r="J6" s="88" t="s">
        <v>89</v>
      </c>
      <c r="K6" s="88"/>
      <c r="L6" s="88"/>
      <c r="M6" s="89">
        <f t="shared" si="0"/>
        <v>95000</v>
      </c>
      <c r="N6" s="4">
        <f t="shared" si="1"/>
        <v>0</v>
      </c>
      <c r="O6" s="90">
        <f t="shared" si="2"/>
        <v>1217.948717948718</v>
      </c>
      <c r="P6" s="90">
        <f t="shared" si="3"/>
        <v>0</v>
      </c>
      <c r="Q6" s="76">
        <v>4</v>
      </c>
      <c r="R6" s="76">
        <v>3</v>
      </c>
      <c r="S6" s="76" t="s">
        <v>68</v>
      </c>
      <c r="T6" s="5">
        <v>256</v>
      </c>
      <c r="U6" s="9"/>
    </row>
    <row r="7" spans="1:22" s="37" customFormat="1" ht="12" customHeight="1" x14ac:dyDescent="0.3">
      <c r="A7" s="77" t="s">
        <v>488</v>
      </c>
      <c r="B7" s="78" t="s">
        <v>477</v>
      </c>
      <c r="C7" s="84">
        <v>622</v>
      </c>
      <c r="D7" s="85">
        <v>156</v>
      </c>
      <c r="E7" s="86">
        <v>47</v>
      </c>
      <c r="F7" s="85">
        <v>121.1</v>
      </c>
      <c r="G7" s="17">
        <v>37</v>
      </c>
      <c r="H7" s="87">
        <v>127</v>
      </c>
      <c r="I7" s="88">
        <v>95000</v>
      </c>
      <c r="J7" s="88" t="s">
        <v>72</v>
      </c>
      <c r="K7" s="88"/>
      <c r="L7" s="88"/>
      <c r="M7" s="89">
        <f t="shared" si="0"/>
        <v>95000</v>
      </c>
      <c r="N7" s="4">
        <f t="shared" si="1"/>
        <v>0</v>
      </c>
      <c r="O7" s="90">
        <f t="shared" si="2"/>
        <v>2021.2765957446809</v>
      </c>
      <c r="P7" s="90">
        <f t="shared" si="3"/>
        <v>0</v>
      </c>
      <c r="Q7" s="76">
        <v>4</v>
      </c>
      <c r="R7" s="76">
        <v>2</v>
      </c>
      <c r="S7" s="76" t="s">
        <v>61</v>
      </c>
      <c r="T7" s="5" t="s">
        <v>489</v>
      </c>
      <c r="U7" s="9"/>
    </row>
    <row r="8" spans="1:22" s="37" customFormat="1" ht="12" customHeight="1" x14ac:dyDescent="0.3">
      <c r="A8" s="77" t="s">
        <v>185</v>
      </c>
      <c r="B8" s="78" t="s">
        <v>186</v>
      </c>
      <c r="C8" s="84">
        <v>1390</v>
      </c>
      <c r="D8" s="85">
        <v>130.30000000000001</v>
      </c>
      <c r="E8" s="86">
        <v>39</v>
      </c>
      <c r="F8" s="85">
        <v>102</v>
      </c>
      <c r="G8" s="17">
        <v>31</v>
      </c>
      <c r="H8" s="87">
        <v>84</v>
      </c>
      <c r="I8" s="88">
        <v>90000</v>
      </c>
      <c r="J8" s="88" t="s">
        <v>85</v>
      </c>
      <c r="K8" s="88"/>
      <c r="L8" s="88"/>
      <c r="M8" s="89">
        <f t="shared" si="0"/>
        <v>90000</v>
      </c>
      <c r="N8" s="4">
        <f t="shared" si="1"/>
        <v>0</v>
      </c>
      <c r="O8" s="90">
        <f t="shared" si="2"/>
        <v>2307.6923076923076</v>
      </c>
      <c r="P8" s="90">
        <f t="shared" si="3"/>
        <v>0</v>
      </c>
      <c r="Q8" s="76">
        <v>4</v>
      </c>
      <c r="R8" s="76">
        <v>2</v>
      </c>
      <c r="S8" s="76" t="s">
        <v>61</v>
      </c>
      <c r="T8" s="5" t="s">
        <v>194</v>
      </c>
      <c r="U8" s="9"/>
    </row>
    <row r="9" spans="1:22" s="37" customFormat="1" ht="12" customHeight="1" x14ac:dyDescent="0.3">
      <c r="A9" s="77" t="s">
        <v>426</v>
      </c>
      <c r="B9" s="78" t="s">
        <v>427</v>
      </c>
      <c r="C9" s="84">
        <v>1370</v>
      </c>
      <c r="D9" s="85">
        <v>133.1</v>
      </c>
      <c r="E9" s="86">
        <v>40</v>
      </c>
      <c r="F9" s="85">
        <v>108</v>
      </c>
      <c r="G9" s="17">
        <v>33</v>
      </c>
      <c r="H9" s="87">
        <v>200</v>
      </c>
      <c r="I9" s="88">
        <v>89000</v>
      </c>
      <c r="J9" s="88" t="s">
        <v>111</v>
      </c>
      <c r="K9" s="88">
        <v>58000</v>
      </c>
      <c r="L9" s="88" t="s">
        <v>111</v>
      </c>
      <c r="M9" s="89">
        <f t="shared" si="0"/>
        <v>31000</v>
      </c>
      <c r="N9" s="4">
        <f t="shared" si="1"/>
        <v>0.651685393258427</v>
      </c>
      <c r="O9" s="90">
        <f t="shared" si="2"/>
        <v>2225</v>
      </c>
      <c r="P9" s="90">
        <f t="shared" si="3"/>
        <v>1450</v>
      </c>
      <c r="Q9" s="76">
        <v>4</v>
      </c>
      <c r="R9" s="76">
        <v>2</v>
      </c>
      <c r="S9" s="76" t="s">
        <v>61</v>
      </c>
      <c r="T9" s="5" t="s">
        <v>429</v>
      </c>
      <c r="U9" s="9"/>
    </row>
    <row r="10" spans="1:22" s="37" customFormat="1" ht="12" customHeight="1" x14ac:dyDescent="0.3">
      <c r="A10" s="77" t="s">
        <v>279</v>
      </c>
      <c r="B10" s="78" t="s">
        <v>280</v>
      </c>
      <c r="C10" s="84">
        <v>712</v>
      </c>
      <c r="D10" s="85">
        <v>229.2</v>
      </c>
      <c r="E10" s="86">
        <v>69</v>
      </c>
      <c r="F10" s="85">
        <v>189.8</v>
      </c>
      <c r="G10" s="17">
        <v>57</v>
      </c>
      <c r="H10" s="87">
        <v>172</v>
      </c>
      <c r="I10" s="88">
        <v>75000</v>
      </c>
      <c r="J10" s="88" t="s">
        <v>90</v>
      </c>
      <c r="K10" s="88"/>
      <c r="L10" s="88"/>
      <c r="M10" s="89">
        <f t="shared" si="0"/>
        <v>75000</v>
      </c>
      <c r="N10" s="4">
        <f t="shared" si="1"/>
        <v>0</v>
      </c>
      <c r="O10" s="90">
        <f t="shared" si="2"/>
        <v>1086.9565217391305</v>
      </c>
      <c r="P10" s="90">
        <f t="shared" si="3"/>
        <v>0</v>
      </c>
      <c r="Q10" s="76">
        <v>4</v>
      </c>
      <c r="R10" s="76">
        <v>3</v>
      </c>
      <c r="S10" s="76" t="s">
        <v>68</v>
      </c>
      <c r="T10" s="5">
        <v>229</v>
      </c>
      <c r="U10" s="9"/>
    </row>
    <row r="11" spans="1:22" s="37" customFormat="1" ht="12" customHeight="1" x14ac:dyDescent="0.3">
      <c r="A11" s="77" t="s">
        <v>426</v>
      </c>
      <c r="B11" s="78" t="s">
        <v>427</v>
      </c>
      <c r="C11" s="84">
        <v>1370</v>
      </c>
      <c r="D11" s="85">
        <v>111.8</v>
      </c>
      <c r="E11" s="86">
        <v>34</v>
      </c>
      <c r="F11" s="85">
        <v>85</v>
      </c>
      <c r="G11" s="17">
        <v>26</v>
      </c>
      <c r="H11" s="87">
        <v>349</v>
      </c>
      <c r="I11" s="88">
        <v>70000</v>
      </c>
      <c r="J11" s="88" t="s">
        <v>248</v>
      </c>
      <c r="K11" s="88"/>
      <c r="L11" s="88"/>
      <c r="M11" s="89">
        <f t="shared" si="0"/>
        <v>70000</v>
      </c>
      <c r="N11" s="4">
        <f t="shared" si="1"/>
        <v>0</v>
      </c>
      <c r="O11" s="90">
        <f t="shared" si="2"/>
        <v>2058.8235294117649</v>
      </c>
      <c r="P11" s="90">
        <f t="shared" si="3"/>
        <v>0</v>
      </c>
      <c r="Q11" s="76">
        <v>3</v>
      </c>
      <c r="R11" s="76">
        <v>2</v>
      </c>
      <c r="S11" s="76" t="s">
        <v>61</v>
      </c>
      <c r="T11" s="5" t="s">
        <v>428</v>
      </c>
      <c r="U11" s="9"/>
    </row>
    <row r="12" spans="1:22" s="37" customFormat="1" ht="12" customHeight="1" x14ac:dyDescent="0.3">
      <c r="A12" s="77" t="s">
        <v>434</v>
      </c>
      <c r="B12" s="78" t="s">
        <v>435</v>
      </c>
      <c r="C12" s="84">
        <v>340</v>
      </c>
      <c r="D12" s="85">
        <v>186.2</v>
      </c>
      <c r="E12" s="86">
        <v>56</v>
      </c>
      <c r="F12" s="85">
        <v>149.80000000000001</v>
      </c>
      <c r="G12" s="17">
        <v>45</v>
      </c>
      <c r="H12" s="87">
        <v>64</v>
      </c>
      <c r="I12" s="88">
        <v>70000</v>
      </c>
      <c r="J12" s="88" t="s">
        <v>83</v>
      </c>
      <c r="K12" s="88"/>
      <c r="L12" s="88"/>
      <c r="M12" s="89">
        <f t="shared" si="0"/>
        <v>70000</v>
      </c>
      <c r="N12" s="4">
        <f t="shared" si="1"/>
        <v>0</v>
      </c>
      <c r="O12" s="90">
        <f t="shared" si="2"/>
        <v>1250</v>
      </c>
      <c r="P12" s="90">
        <f t="shared" si="3"/>
        <v>0</v>
      </c>
      <c r="Q12" s="76">
        <v>4</v>
      </c>
      <c r="R12" s="76">
        <v>2</v>
      </c>
      <c r="S12" s="76" t="s">
        <v>61</v>
      </c>
      <c r="T12" s="5" t="s">
        <v>438</v>
      </c>
      <c r="U12" s="9"/>
    </row>
    <row r="13" spans="1:22" s="37" customFormat="1" ht="12" customHeight="1" x14ac:dyDescent="0.3">
      <c r="A13" s="77" t="s">
        <v>434</v>
      </c>
      <c r="B13" s="78" t="s">
        <v>435</v>
      </c>
      <c r="C13" s="84">
        <v>340</v>
      </c>
      <c r="D13" s="85">
        <v>167.6</v>
      </c>
      <c r="E13" s="86">
        <v>51</v>
      </c>
      <c r="F13" s="85">
        <v>134.9</v>
      </c>
      <c r="G13" s="17">
        <v>41</v>
      </c>
      <c r="H13" s="87">
        <v>114</v>
      </c>
      <c r="I13" s="88">
        <v>65000</v>
      </c>
      <c r="J13" s="88" t="s">
        <v>83</v>
      </c>
      <c r="K13" s="88"/>
      <c r="L13" s="88"/>
      <c r="M13" s="89">
        <f t="shared" si="0"/>
        <v>65000</v>
      </c>
      <c r="N13" s="4">
        <f t="shared" si="1"/>
        <v>0</v>
      </c>
      <c r="O13" s="90">
        <f t="shared" si="2"/>
        <v>1274.5098039215686</v>
      </c>
      <c r="P13" s="90">
        <f t="shared" si="3"/>
        <v>0</v>
      </c>
      <c r="Q13" s="76">
        <v>4</v>
      </c>
      <c r="R13" s="76">
        <v>2</v>
      </c>
      <c r="S13" s="76" t="s">
        <v>61</v>
      </c>
      <c r="T13" s="5" t="s">
        <v>436</v>
      </c>
      <c r="U13" s="9"/>
    </row>
    <row r="14" spans="1:22" s="37" customFormat="1" ht="12" customHeight="1" x14ac:dyDescent="0.3">
      <c r="A14" s="77" t="s">
        <v>448</v>
      </c>
      <c r="B14" s="78" t="s">
        <v>449</v>
      </c>
      <c r="C14" s="84">
        <v>888</v>
      </c>
      <c r="D14" s="85">
        <v>181.8</v>
      </c>
      <c r="E14" s="86">
        <v>55</v>
      </c>
      <c r="F14" s="85">
        <v>148.4</v>
      </c>
      <c r="G14" s="17">
        <v>45</v>
      </c>
      <c r="H14" s="87">
        <v>165</v>
      </c>
      <c r="I14" s="88">
        <v>65000</v>
      </c>
      <c r="J14" s="88" t="s">
        <v>89</v>
      </c>
      <c r="K14" s="88">
        <v>55000</v>
      </c>
      <c r="L14" s="88" t="s">
        <v>172</v>
      </c>
      <c r="M14" s="89">
        <f t="shared" si="0"/>
        <v>10000</v>
      </c>
      <c r="N14" s="4">
        <f t="shared" si="1"/>
        <v>0.84615384615384615</v>
      </c>
      <c r="O14" s="90">
        <f t="shared" si="2"/>
        <v>1181.8181818181818</v>
      </c>
      <c r="P14" s="90">
        <f t="shared" si="3"/>
        <v>1000</v>
      </c>
      <c r="Q14" s="76">
        <v>4</v>
      </c>
      <c r="R14" s="76">
        <v>2</v>
      </c>
      <c r="S14" s="76" t="s">
        <v>61</v>
      </c>
      <c r="T14" s="5" t="s">
        <v>450</v>
      </c>
      <c r="U14" s="9"/>
    </row>
    <row r="15" spans="1:22" s="37" customFormat="1" ht="12" customHeight="1" x14ac:dyDescent="0.3">
      <c r="A15" s="77" t="s">
        <v>185</v>
      </c>
      <c r="B15" s="78" t="s">
        <v>186</v>
      </c>
      <c r="C15" s="84">
        <v>1390</v>
      </c>
      <c r="D15" s="85">
        <v>109.2</v>
      </c>
      <c r="E15" s="86">
        <v>33</v>
      </c>
      <c r="F15" s="85">
        <v>85</v>
      </c>
      <c r="G15" s="17">
        <v>26</v>
      </c>
      <c r="H15" s="87">
        <v>414</v>
      </c>
      <c r="I15" s="88">
        <v>61500</v>
      </c>
      <c r="J15" s="88" t="s">
        <v>71</v>
      </c>
      <c r="K15" s="88">
        <v>42000</v>
      </c>
      <c r="L15" s="88" t="s">
        <v>84</v>
      </c>
      <c r="M15" s="89">
        <f t="shared" si="0"/>
        <v>19500</v>
      </c>
      <c r="N15" s="4">
        <f t="shared" si="1"/>
        <v>0.68292682926829273</v>
      </c>
      <c r="O15" s="90">
        <f t="shared" si="2"/>
        <v>1863.6363636363637</v>
      </c>
      <c r="P15" s="90">
        <f t="shared" si="3"/>
        <v>1272.7272727272727</v>
      </c>
      <c r="Q15" s="76">
        <v>3</v>
      </c>
      <c r="R15" s="76">
        <v>2</v>
      </c>
      <c r="S15" s="76" t="s">
        <v>61</v>
      </c>
      <c r="T15" s="5" t="s">
        <v>124</v>
      </c>
      <c r="U15" s="9"/>
    </row>
    <row r="16" spans="1:22" s="37" customFormat="1" ht="12" customHeight="1" x14ac:dyDescent="0.3">
      <c r="A16" s="77" t="s">
        <v>324</v>
      </c>
      <c r="B16" s="78" t="s">
        <v>318</v>
      </c>
      <c r="C16" s="84">
        <v>398</v>
      </c>
      <c r="D16" s="85">
        <v>111</v>
      </c>
      <c r="E16" s="86">
        <v>34</v>
      </c>
      <c r="F16" s="85">
        <v>85</v>
      </c>
      <c r="G16" s="17">
        <v>26</v>
      </c>
      <c r="H16" s="87">
        <v>191</v>
      </c>
      <c r="I16" s="88">
        <v>60000</v>
      </c>
      <c r="J16" s="88" t="s">
        <v>325</v>
      </c>
      <c r="K16" s="88"/>
      <c r="L16" s="88"/>
      <c r="M16" s="89">
        <f t="shared" si="0"/>
        <v>60000</v>
      </c>
      <c r="N16" s="4">
        <f t="shared" si="1"/>
        <v>0</v>
      </c>
      <c r="O16" s="90">
        <f t="shared" si="2"/>
        <v>1764.7058823529412</v>
      </c>
      <c r="P16" s="90">
        <f t="shared" si="3"/>
        <v>0</v>
      </c>
      <c r="Q16" s="76">
        <v>4</v>
      </c>
      <c r="R16" s="76">
        <v>2</v>
      </c>
      <c r="S16" s="76" t="s">
        <v>61</v>
      </c>
      <c r="T16" s="5" t="s">
        <v>292</v>
      </c>
      <c r="U16" s="9"/>
    </row>
    <row r="17" spans="1:21" s="37" customFormat="1" ht="12" customHeight="1" x14ac:dyDescent="0.3">
      <c r="A17" s="77" t="s">
        <v>215</v>
      </c>
      <c r="B17" s="78" t="s">
        <v>216</v>
      </c>
      <c r="C17" s="84">
        <v>821</v>
      </c>
      <c r="D17" s="85">
        <v>135.19999999999999</v>
      </c>
      <c r="E17" s="86">
        <v>41</v>
      </c>
      <c r="F17" s="85">
        <v>103.8</v>
      </c>
      <c r="G17" s="17">
        <v>31</v>
      </c>
      <c r="H17" s="87">
        <v>70</v>
      </c>
      <c r="I17" s="88">
        <v>59000</v>
      </c>
      <c r="J17" s="88" t="s">
        <v>83</v>
      </c>
      <c r="K17" s="88"/>
      <c r="L17" s="88"/>
      <c r="M17" s="89">
        <f t="shared" si="0"/>
        <v>59000</v>
      </c>
      <c r="N17" s="4">
        <f t="shared" si="1"/>
        <v>0</v>
      </c>
      <c r="O17" s="90">
        <f t="shared" si="2"/>
        <v>1439.0243902439024</v>
      </c>
      <c r="P17" s="90">
        <f t="shared" si="3"/>
        <v>0</v>
      </c>
      <c r="Q17" s="76">
        <v>4</v>
      </c>
      <c r="R17" s="76">
        <v>2</v>
      </c>
      <c r="S17" s="76" t="s">
        <v>61</v>
      </c>
      <c r="T17" s="5">
        <v>135</v>
      </c>
      <c r="U17" s="9"/>
    </row>
    <row r="18" spans="1:21" s="37" customFormat="1" ht="12" customHeight="1" x14ac:dyDescent="0.3">
      <c r="A18" s="77" t="s">
        <v>434</v>
      </c>
      <c r="B18" s="78" t="s">
        <v>435</v>
      </c>
      <c r="C18" s="84">
        <v>340</v>
      </c>
      <c r="D18" s="85">
        <v>149.1</v>
      </c>
      <c r="E18" s="86">
        <v>45</v>
      </c>
      <c r="F18" s="85">
        <v>120</v>
      </c>
      <c r="G18" s="17">
        <v>36</v>
      </c>
      <c r="H18" s="87">
        <v>158</v>
      </c>
      <c r="I18" s="88">
        <v>59000</v>
      </c>
      <c r="J18" s="88" t="s">
        <v>80</v>
      </c>
      <c r="K18" s="88"/>
      <c r="L18" s="88"/>
      <c r="M18" s="89">
        <f t="shared" si="0"/>
        <v>59000</v>
      </c>
      <c r="N18" s="4">
        <f t="shared" si="1"/>
        <v>0</v>
      </c>
      <c r="O18" s="90">
        <f t="shared" si="2"/>
        <v>1311.1111111111111</v>
      </c>
      <c r="P18" s="90">
        <f t="shared" si="3"/>
        <v>0</v>
      </c>
      <c r="Q18" s="76">
        <v>4</v>
      </c>
      <c r="R18" s="76">
        <v>2</v>
      </c>
      <c r="S18" s="76" t="s">
        <v>61</v>
      </c>
      <c r="T18" s="5">
        <v>149</v>
      </c>
      <c r="U18" s="9"/>
    </row>
    <row r="19" spans="1:21" s="37" customFormat="1" ht="12" customHeight="1" x14ac:dyDescent="0.3">
      <c r="A19" s="77" t="s">
        <v>418</v>
      </c>
      <c r="B19" s="78" t="s">
        <v>419</v>
      </c>
      <c r="C19" s="84">
        <v>1128</v>
      </c>
      <c r="D19" s="85">
        <v>109.1</v>
      </c>
      <c r="E19" s="86">
        <v>33</v>
      </c>
      <c r="F19" s="85">
        <v>85</v>
      </c>
      <c r="G19" s="17">
        <v>26</v>
      </c>
      <c r="H19" s="87">
        <v>671</v>
      </c>
      <c r="I19" s="88">
        <v>58000</v>
      </c>
      <c r="J19" s="88" t="s">
        <v>420</v>
      </c>
      <c r="K19" s="88">
        <v>43000</v>
      </c>
      <c r="L19" s="88" t="s">
        <v>71</v>
      </c>
      <c r="M19" s="89">
        <f t="shared" si="0"/>
        <v>15000</v>
      </c>
      <c r="N19" s="4">
        <f t="shared" si="1"/>
        <v>0.74137931034482762</v>
      </c>
      <c r="O19" s="90">
        <f t="shared" si="2"/>
        <v>1757.5757575757575</v>
      </c>
      <c r="P19" s="90">
        <f t="shared" si="3"/>
        <v>1303.030303030303</v>
      </c>
      <c r="Q19" s="76">
        <v>3</v>
      </c>
      <c r="R19" s="76">
        <v>2</v>
      </c>
      <c r="S19" s="76" t="s">
        <v>61</v>
      </c>
      <c r="T19" s="5" t="s">
        <v>124</v>
      </c>
      <c r="U19" s="9"/>
    </row>
    <row r="20" spans="1:21" s="37" customFormat="1" ht="12" customHeight="1" x14ac:dyDescent="0.3">
      <c r="A20" s="77" t="s">
        <v>157</v>
      </c>
      <c r="B20" s="78" t="s">
        <v>158</v>
      </c>
      <c r="C20" s="84">
        <v>651</v>
      </c>
      <c r="D20" s="85">
        <v>160.80000000000001</v>
      </c>
      <c r="E20" s="86">
        <v>49</v>
      </c>
      <c r="F20" s="85">
        <v>134.9</v>
      </c>
      <c r="G20" s="17">
        <v>41</v>
      </c>
      <c r="H20" s="87">
        <v>177</v>
      </c>
      <c r="I20" s="88">
        <v>57000</v>
      </c>
      <c r="J20" s="88" t="s">
        <v>83</v>
      </c>
      <c r="K20" s="88"/>
      <c r="L20" s="88"/>
      <c r="M20" s="89">
        <f t="shared" si="0"/>
        <v>57000</v>
      </c>
      <c r="N20" s="4">
        <f t="shared" si="1"/>
        <v>0</v>
      </c>
      <c r="O20" s="90">
        <f t="shared" si="2"/>
        <v>1163.2653061224489</v>
      </c>
      <c r="P20" s="90">
        <f t="shared" si="3"/>
        <v>0</v>
      </c>
      <c r="Q20" s="76">
        <v>4</v>
      </c>
      <c r="R20" s="76">
        <v>2</v>
      </c>
      <c r="S20" s="76" t="s">
        <v>61</v>
      </c>
      <c r="T20" s="5" t="s">
        <v>159</v>
      </c>
      <c r="U20" s="9"/>
    </row>
    <row r="21" spans="1:21" s="37" customFormat="1" ht="12" customHeight="1" x14ac:dyDescent="0.3">
      <c r="A21" s="77" t="s">
        <v>448</v>
      </c>
      <c r="B21" s="78" t="s">
        <v>449</v>
      </c>
      <c r="C21" s="84">
        <v>888</v>
      </c>
      <c r="D21" s="85">
        <v>156.80000000000001</v>
      </c>
      <c r="E21" s="86">
        <v>47</v>
      </c>
      <c r="F21" s="85">
        <v>125.9</v>
      </c>
      <c r="G21" s="17">
        <v>38</v>
      </c>
      <c r="H21" s="87">
        <v>473</v>
      </c>
      <c r="I21" s="88">
        <v>57000</v>
      </c>
      <c r="J21" s="88" t="s">
        <v>131</v>
      </c>
      <c r="K21" s="88"/>
      <c r="L21" s="88"/>
      <c r="M21" s="89">
        <f t="shared" si="0"/>
        <v>57000</v>
      </c>
      <c r="N21" s="4">
        <f t="shared" si="1"/>
        <v>0</v>
      </c>
      <c r="O21" s="90">
        <f t="shared" si="2"/>
        <v>1212.7659574468084</v>
      </c>
      <c r="P21" s="90">
        <f t="shared" si="3"/>
        <v>0</v>
      </c>
      <c r="Q21" s="76">
        <v>4</v>
      </c>
      <c r="R21" s="76">
        <v>2</v>
      </c>
      <c r="S21" s="76" t="s">
        <v>61</v>
      </c>
      <c r="T21" s="5">
        <v>156</v>
      </c>
      <c r="U21" s="9"/>
    </row>
    <row r="22" spans="1:21" s="37" customFormat="1" ht="12" customHeight="1" x14ac:dyDescent="0.3">
      <c r="A22" s="77" t="s">
        <v>424</v>
      </c>
      <c r="B22" s="78" t="s">
        <v>425</v>
      </c>
      <c r="C22" s="84">
        <v>1120</v>
      </c>
      <c r="D22" s="85">
        <v>109.3</v>
      </c>
      <c r="E22" s="86">
        <v>33</v>
      </c>
      <c r="F22" s="85">
        <v>85</v>
      </c>
      <c r="G22" s="17">
        <v>26</v>
      </c>
      <c r="H22" s="87">
        <v>694</v>
      </c>
      <c r="I22" s="88">
        <v>56000</v>
      </c>
      <c r="J22" s="88" t="s">
        <v>71</v>
      </c>
      <c r="K22" s="88">
        <v>42000</v>
      </c>
      <c r="L22" s="88" t="s">
        <v>104</v>
      </c>
      <c r="M22" s="89">
        <f t="shared" si="0"/>
        <v>14000</v>
      </c>
      <c r="N22" s="4">
        <f t="shared" si="1"/>
        <v>0.75</v>
      </c>
      <c r="O22" s="90">
        <f t="shared" si="2"/>
        <v>1696.969696969697</v>
      </c>
      <c r="P22" s="90">
        <f t="shared" si="3"/>
        <v>1272.7272727272727</v>
      </c>
      <c r="Q22" s="76">
        <v>3</v>
      </c>
      <c r="R22" s="76">
        <v>2</v>
      </c>
      <c r="S22" s="76" t="s">
        <v>61</v>
      </c>
      <c r="T22" s="5" t="s">
        <v>124</v>
      </c>
      <c r="U22" s="9"/>
    </row>
    <row r="23" spans="1:21" s="37" customFormat="1" ht="12" customHeight="1" x14ac:dyDescent="0.3">
      <c r="A23" s="77" t="s">
        <v>448</v>
      </c>
      <c r="B23" s="78" t="s">
        <v>449</v>
      </c>
      <c r="C23" s="84">
        <v>888</v>
      </c>
      <c r="D23" s="85">
        <v>128.69999999999999</v>
      </c>
      <c r="E23" s="86">
        <v>39</v>
      </c>
      <c r="F23" s="85">
        <v>101.9</v>
      </c>
      <c r="G23" s="17">
        <v>31</v>
      </c>
      <c r="H23" s="87">
        <v>156</v>
      </c>
      <c r="I23" s="88">
        <v>51000</v>
      </c>
      <c r="J23" s="88" t="s">
        <v>72</v>
      </c>
      <c r="K23" s="88">
        <v>47000</v>
      </c>
      <c r="L23" s="88" t="s">
        <v>71</v>
      </c>
      <c r="M23" s="89">
        <f t="shared" si="0"/>
        <v>4000</v>
      </c>
      <c r="N23" s="4">
        <f t="shared" si="1"/>
        <v>0.92156862745098034</v>
      </c>
      <c r="O23" s="90">
        <f t="shared" si="2"/>
        <v>1307.6923076923076</v>
      </c>
      <c r="P23" s="90">
        <f t="shared" si="3"/>
        <v>1205.1282051282051</v>
      </c>
      <c r="Q23" s="76">
        <v>3</v>
      </c>
      <c r="R23" s="76">
        <v>2</v>
      </c>
      <c r="S23" s="76" t="s">
        <v>61</v>
      </c>
      <c r="T23" s="5">
        <v>128</v>
      </c>
      <c r="U23" s="9"/>
    </row>
    <row r="24" spans="1:21" s="37" customFormat="1" ht="12" customHeight="1" x14ac:dyDescent="0.3">
      <c r="A24" s="77" t="s">
        <v>260</v>
      </c>
      <c r="B24" s="78" t="s">
        <v>261</v>
      </c>
      <c r="C24" s="84">
        <v>498</v>
      </c>
      <c r="D24" s="85">
        <v>164.7</v>
      </c>
      <c r="E24" s="86">
        <v>50</v>
      </c>
      <c r="F24" s="85">
        <v>130.19999999999999</v>
      </c>
      <c r="G24" s="17">
        <v>39</v>
      </c>
      <c r="H24" s="87">
        <v>245</v>
      </c>
      <c r="I24" s="88">
        <v>50500</v>
      </c>
      <c r="J24" s="88" t="s">
        <v>89</v>
      </c>
      <c r="K24" s="88">
        <v>39000</v>
      </c>
      <c r="L24" s="88" t="s">
        <v>90</v>
      </c>
      <c r="M24" s="89">
        <f t="shared" si="0"/>
        <v>11500</v>
      </c>
      <c r="N24" s="4">
        <f t="shared" si="1"/>
        <v>0.7722772277227723</v>
      </c>
      <c r="O24" s="90">
        <f t="shared" si="2"/>
        <v>1010</v>
      </c>
      <c r="P24" s="90">
        <f t="shared" si="3"/>
        <v>780</v>
      </c>
      <c r="Q24" s="76">
        <v>4</v>
      </c>
      <c r="R24" s="76">
        <v>2</v>
      </c>
      <c r="S24" s="76" t="s">
        <v>61</v>
      </c>
      <c r="T24" s="5">
        <v>164</v>
      </c>
      <c r="U24" s="9"/>
    </row>
    <row r="25" spans="1:21" s="37" customFormat="1" ht="12" customHeight="1" x14ac:dyDescent="0.3">
      <c r="A25" s="77" t="s">
        <v>474</v>
      </c>
      <c r="B25" s="78" t="s">
        <v>475</v>
      </c>
      <c r="C25" s="84">
        <v>302</v>
      </c>
      <c r="D25" s="85">
        <v>111</v>
      </c>
      <c r="E25" s="86">
        <v>34</v>
      </c>
      <c r="F25" s="85">
        <v>84</v>
      </c>
      <c r="G25" s="17">
        <v>25</v>
      </c>
      <c r="H25" s="87">
        <v>152</v>
      </c>
      <c r="I25" s="88">
        <v>49000</v>
      </c>
      <c r="J25" s="88" t="s">
        <v>310</v>
      </c>
      <c r="K25" s="88">
        <v>39000</v>
      </c>
      <c r="L25" s="88" t="s">
        <v>71</v>
      </c>
      <c r="M25" s="89">
        <f t="shared" si="0"/>
        <v>10000</v>
      </c>
      <c r="N25" s="4">
        <f t="shared" si="1"/>
        <v>0.79591836734693877</v>
      </c>
      <c r="O25" s="90">
        <f t="shared" si="2"/>
        <v>1441.1764705882354</v>
      </c>
      <c r="P25" s="90">
        <f t="shared" si="3"/>
        <v>1147.0588235294117</v>
      </c>
      <c r="Q25" s="76">
        <v>3</v>
      </c>
      <c r="R25" s="76">
        <v>2</v>
      </c>
      <c r="S25" s="76" t="s">
        <v>61</v>
      </c>
      <c r="T25" s="5" t="s">
        <v>220</v>
      </c>
      <c r="U25" s="9"/>
    </row>
    <row r="26" spans="1:21" s="37" customFormat="1" ht="12" customHeight="1" x14ac:dyDescent="0.3">
      <c r="A26" s="77" t="s">
        <v>122</v>
      </c>
      <c r="B26" s="78" t="s">
        <v>123</v>
      </c>
      <c r="C26" s="84">
        <v>702</v>
      </c>
      <c r="D26" s="85">
        <v>151.69999999999999</v>
      </c>
      <c r="E26" s="86">
        <v>46</v>
      </c>
      <c r="F26" s="85">
        <v>119.2</v>
      </c>
      <c r="G26" s="17">
        <v>36</v>
      </c>
      <c r="H26" s="87">
        <v>73</v>
      </c>
      <c r="I26" s="88">
        <v>48000</v>
      </c>
      <c r="J26" s="88" t="s">
        <v>75</v>
      </c>
      <c r="K26" s="88"/>
      <c r="L26" s="88"/>
      <c r="M26" s="89">
        <f t="shared" si="0"/>
        <v>48000</v>
      </c>
      <c r="N26" s="4">
        <f t="shared" si="1"/>
        <v>0</v>
      </c>
      <c r="O26" s="90">
        <f t="shared" si="2"/>
        <v>1043.4782608695652</v>
      </c>
      <c r="P26" s="90">
        <f t="shared" si="3"/>
        <v>0</v>
      </c>
      <c r="Q26" s="76">
        <v>4</v>
      </c>
      <c r="R26" s="76">
        <v>2</v>
      </c>
      <c r="S26" s="76" t="s">
        <v>61</v>
      </c>
      <c r="T26" s="5">
        <v>151</v>
      </c>
      <c r="U26" s="9"/>
    </row>
    <row r="27" spans="1:21" s="37" customFormat="1" ht="12" customHeight="1" x14ac:dyDescent="0.3">
      <c r="A27" s="77" t="s">
        <v>157</v>
      </c>
      <c r="B27" s="78" t="s">
        <v>158</v>
      </c>
      <c r="C27" s="84">
        <v>651</v>
      </c>
      <c r="D27" s="85">
        <v>125.9</v>
      </c>
      <c r="E27" s="86">
        <v>38</v>
      </c>
      <c r="F27" s="85">
        <v>101.8</v>
      </c>
      <c r="G27" s="17">
        <v>31</v>
      </c>
      <c r="H27" s="87">
        <v>179</v>
      </c>
      <c r="I27" s="88">
        <v>47000</v>
      </c>
      <c r="J27" s="88" t="s">
        <v>84</v>
      </c>
      <c r="K27" s="88">
        <v>40000</v>
      </c>
      <c r="L27" s="88" t="s">
        <v>89</v>
      </c>
      <c r="M27" s="89">
        <f t="shared" si="0"/>
        <v>7000</v>
      </c>
      <c r="N27" s="4">
        <f t="shared" si="1"/>
        <v>0.85106382978723405</v>
      </c>
      <c r="O27" s="90">
        <f t="shared" si="2"/>
        <v>1236.8421052631579</v>
      </c>
      <c r="P27" s="90">
        <f t="shared" si="3"/>
        <v>1052.6315789473683</v>
      </c>
      <c r="Q27" s="76">
        <v>3</v>
      </c>
      <c r="R27" s="76">
        <v>2</v>
      </c>
      <c r="S27" s="76" t="s">
        <v>61</v>
      </c>
      <c r="T27" s="5">
        <v>125</v>
      </c>
      <c r="U27" s="9"/>
    </row>
    <row r="28" spans="1:21" s="37" customFormat="1" ht="12" customHeight="1" x14ac:dyDescent="0.3">
      <c r="A28" s="77" t="s">
        <v>260</v>
      </c>
      <c r="B28" s="78" t="s">
        <v>261</v>
      </c>
      <c r="C28" s="84">
        <v>498</v>
      </c>
      <c r="D28" s="85">
        <v>144.9</v>
      </c>
      <c r="E28" s="86">
        <v>44</v>
      </c>
      <c r="F28" s="85">
        <v>113.4</v>
      </c>
      <c r="G28" s="17">
        <v>34</v>
      </c>
      <c r="H28" s="87">
        <v>109</v>
      </c>
      <c r="I28" s="88">
        <v>47000</v>
      </c>
      <c r="J28" s="88" t="s">
        <v>111</v>
      </c>
      <c r="K28" s="88"/>
      <c r="L28" s="88"/>
      <c r="M28" s="89">
        <f t="shared" si="0"/>
        <v>47000</v>
      </c>
      <c r="N28" s="4">
        <f t="shared" si="1"/>
        <v>0</v>
      </c>
      <c r="O28" s="90">
        <f t="shared" si="2"/>
        <v>1068.1818181818182</v>
      </c>
      <c r="P28" s="90">
        <f t="shared" si="3"/>
        <v>0</v>
      </c>
      <c r="Q28" s="76">
        <v>4</v>
      </c>
      <c r="R28" s="76">
        <v>2</v>
      </c>
      <c r="S28" s="76" t="s">
        <v>61</v>
      </c>
      <c r="T28" s="5">
        <v>144</v>
      </c>
      <c r="U28" s="9"/>
    </row>
    <row r="29" spans="1:21" s="37" customFormat="1" ht="12" customHeight="1" x14ac:dyDescent="0.3">
      <c r="A29" s="77" t="s">
        <v>245</v>
      </c>
      <c r="B29" s="78" t="s">
        <v>246</v>
      </c>
      <c r="C29" s="84">
        <v>992</v>
      </c>
      <c r="D29" s="85">
        <v>129.6</v>
      </c>
      <c r="E29" s="86">
        <v>39</v>
      </c>
      <c r="F29" s="85">
        <v>101.8</v>
      </c>
      <c r="G29" s="17">
        <v>31</v>
      </c>
      <c r="H29" s="87">
        <v>223</v>
      </c>
      <c r="I29" s="88">
        <v>46000</v>
      </c>
      <c r="J29" s="88" t="s">
        <v>83</v>
      </c>
      <c r="K29" s="88"/>
      <c r="L29" s="88"/>
      <c r="M29" s="89">
        <f t="shared" si="0"/>
        <v>46000</v>
      </c>
      <c r="N29" s="4">
        <f t="shared" si="1"/>
        <v>0</v>
      </c>
      <c r="O29" s="90">
        <f t="shared" si="2"/>
        <v>1179.4871794871794</v>
      </c>
      <c r="P29" s="90">
        <f t="shared" si="3"/>
        <v>0</v>
      </c>
      <c r="Q29" s="76">
        <v>3</v>
      </c>
      <c r="R29" s="76">
        <v>2</v>
      </c>
      <c r="S29" s="76" t="s">
        <v>61</v>
      </c>
      <c r="T29" s="5" t="s">
        <v>250</v>
      </c>
      <c r="U29" s="9"/>
    </row>
    <row r="30" spans="1:21" s="37" customFormat="1" ht="12" customHeight="1" x14ac:dyDescent="0.3">
      <c r="A30" s="77" t="s">
        <v>476</v>
      </c>
      <c r="B30" s="78" t="s">
        <v>477</v>
      </c>
      <c r="C30" s="84">
        <v>836</v>
      </c>
      <c r="D30" s="85">
        <v>113.1</v>
      </c>
      <c r="E30" s="86">
        <v>34</v>
      </c>
      <c r="F30" s="85">
        <v>84.8</v>
      </c>
      <c r="G30" s="17">
        <v>26</v>
      </c>
      <c r="H30" s="87">
        <v>290</v>
      </c>
      <c r="I30" s="88">
        <v>45000</v>
      </c>
      <c r="J30" s="88" t="s">
        <v>85</v>
      </c>
      <c r="K30" s="88">
        <v>35000</v>
      </c>
      <c r="L30" s="88" t="s">
        <v>131</v>
      </c>
      <c r="M30" s="89">
        <f t="shared" si="0"/>
        <v>10000</v>
      </c>
      <c r="N30" s="4">
        <f t="shared" si="1"/>
        <v>0.77777777777777779</v>
      </c>
      <c r="O30" s="90">
        <f t="shared" si="2"/>
        <v>1323.5294117647059</v>
      </c>
      <c r="P30" s="90">
        <f t="shared" si="3"/>
        <v>1029.4117647058824</v>
      </c>
      <c r="Q30" s="76">
        <v>3</v>
      </c>
      <c r="R30" s="76">
        <v>2</v>
      </c>
      <c r="S30" s="76" t="s">
        <v>61</v>
      </c>
      <c r="T30" s="5" t="s">
        <v>478</v>
      </c>
      <c r="U30" s="9"/>
    </row>
    <row r="31" spans="1:21" s="37" customFormat="1" ht="12" customHeight="1" x14ac:dyDescent="0.3">
      <c r="A31" s="77" t="s">
        <v>241</v>
      </c>
      <c r="B31" s="78" t="s">
        <v>242</v>
      </c>
      <c r="C31" s="84">
        <v>858</v>
      </c>
      <c r="D31" s="85">
        <v>111.4</v>
      </c>
      <c r="E31" s="86">
        <v>34</v>
      </c>
      <c r="F31" s="85">
        <v>84.9</v>
      </c>
      <c r="G31" s="17">
        <v>26</v>
      </c>
      <c r="H31" s="87">
        <v>484</v>
      </c>
      <c r="I31" s="88">
        <v>43500</v>
      </c>
      <c r="J31" s="88" t="s">
        <v>71</v>
      </c>
      <c r="K31" s="88"/>
      <c r="L31" s="88"/>
      <c r="M31" s="89">
        <f t="shared" si="0"/>
        <v>43500</v>
      </c>
      <c r="N31" s="4">
        <f t="shared" si="1"/>
        <v>0</v>
      </c>
      <c r="O31" s="90">
        <f t="shared" si="2"/>
        <v>1279.4117647058824</v>
      </c>
      <c r="P31" s="90">
        <f t="shared" si="3"/>
        <v>0</v>
      </c>
      <c r="Q31" s="76">
        <v>3</v>
      </c>
      <c r="R31" s="76">
        <v>2</v>
      </c>
      <c r="S31" s="76" t="s">
        <v>61</v>
      </c>
      <c r="T31" s="5">
        <v>111</v>
      </c>
      <c r="U31" s="9"/>
    </row>
    <row r="32" spans="1:21" s="37" customFormat="1" ht="12" customHeight="1" x14ac:dyDescent="0.3">
      <c r="A32" s="77" t="s">
        <v>185</v>
      </c>
      <c r="B32" s="78" t="s">
        <v>186</v>
      </c>
      <c r="C32" s="84">
        <v>1390</v>
      </c>
      <c r="D32" s="85">
        <v>84.2</v>
      </c>
      <c r="E32" s="86">
        <v>25</v>
      </c>
      <c r="F32" s="85">
        <v>60</v>
      </c>
      <c r="G32" s="17">
        <v>18</v>
      </c>
      <c r="H32" s="87">
        <v>103</v>
      </c>
      <c r="I32" s="88">
        <v>43000</v>
      </c>
      <c r="J32" s="88" t="s">
        <v>189</v>
      </c>
      <c r="K32" s="88"/>
      <c r="L32" s="88"/>
      <c r="M32" s="89">
        <f t="shared" si="0"/>
        <v>43000</v>
      </c>
      <c r="N32" s="4">
        <f t="shared" si="1"/>
        <v>0</v>
      </c>
      <c r="O32" s="90">
        <f t="shared" si="2"/>
        <v>1720</v>
      </c>
      <c r="P32" s="90">
        <f t="shared" si="3"/>
        <v>0</v>
      </c>
      <c r="Q32" s="76">
        <v>3</v>
      </c>
      <c r="R32" s="76">
        <v>2</v>
      </c>
      <c r="S32" s="76" t="s">
        <v>61</v>
      </c>
      <c r="T32" s="5" t="s">
        <v>190</v>
      </c>
      <c r="U32" s="9"/>
    </row>
    <row r="33" spans="1:21" s="37" customFormat="1" ht="12" customHeight="1" x14ac:dyDescent="0.3">
      <c r="A33" s="77" t="s">
        <v>206</v>
      </c>
      <c r="B33" s="78" t="s">
        <v>176</v>
      </c>
      <c r="C33" s="84">
        <v>419</v>
      </c>
      <c r="D33" s="85">
        <v>161.19999999999999</v>
      </c>
      <c r="E33" s="86">
        <v>49</v>
      </c>
      <c r="F33" s="85">
        <v>134.9</v>
      </c>
      <c r="G33" s="17">
        <v>41</v>
      </c>
      <c r="H33" s="87">
        <v>120</v>
      </c>
      <c r="I33" s="88">
        <v>43000</v>
      </c>
      <c r="J33" s="88" t="s">
        <v>75</v>
      </c>
      <c r="K33" s="88">
        <v>37000</v>
      </c>
      <c r="L33" s="88" t="s">
        <v>75</v>
      </c>
      <c r="M33" s="89">
        <f t="shared" si="0"/>
        <v>6000</v>
      </c>
      <c r="N33" s="4">
        <f t="shared" si="1"/>
        <v>0.86046511627906974</v>
      </c>
      <c r="O33" s="90">
        <f t="shared" si="2"/>
        <v>877.55102040816325</v>
      </c>
      <c r="P33" s="90">
        <f t="shared" si="3"/>
        <v>755.10204081632651</v>
      </c>
      <c r="Q33" s="76">
        <v>4</v>
      </c>
      <c r="R33" s="76">
        <v>2</v>
      </c>
      <c r="S33" s="76" t="s">
        <v>61</v>
      </c>
      <c r="T33" s="5">
        <v>161</v>
      </c>
      <c r="U33" s="9"/>
    </row>
    <row r="34" spans="1:21" s="37" customFormat="1" ht="12" customHeight="1" x14ac:dyDescent="0.3">
      <c r="A34" s="77" t="s">
        <v>440</v>
      </c>
      <c r="B34" s="78" t="s">
        <v>441</v>
      </c>
      <c r="C34" s="84">
        <v>604</v>
      </c>
      <c r="D34" s="85">
        <v>117</v>
      </c>
      <c r="E34" s="86">
        <v>35</v>
      </c>
      <c r="F34" s="85">
        <v>85</v>
      </c>
      <c r="G34" s="17">
        <v>26</v>
      </c>
      <c r="H34" s="87">
        <v>220</v>
      </c>
      <c r="I34" s="88">
        <v>43000</v>
      </c>
      <c r="J34" s="88" t="s">
        <v>219</v>
      </c>
      <c r="K34" s="88"/>
      <c r="L34" s="88"/>
      <c r="M34" s="89">
        <f t="shared" si="0"/>
        <v>43000</v>
      </c>
      <c r="N34" s="4">
        <f t="shared" si="1"/>
        <v>0</v>
      </c>
      <c r="O34" s="90">
        <f t="shared" si="2"/>
        <v>1228.5714285714287</v>
      </c>
      <c r="P34" s="90">
        <f t="shared" si="3"/>
        <v>0</v>
      </c>
      <c r="Q34" s="76">
        <v>3</v>
      </c>
      <c r="R34" s="76">
        <v>2</v>
      </c>
      <c r="S34" s="76" t="s">
        <v>61</v>
      </c>
      <c r="T34" s="5" t="s">
        <v>443</v>
      </c>
      <c r="U34" s="9"/>
    </row>
    <row r="35" spans="1:21" s="37" customFormat="1" ht="12" customHeight="1" x14ac:dyDescent="0.3">
      <c r="A35" s="77" t="s">
        <v>446</v>
      </c>
      <c r="B35" s="78" t="s">
        <v>289</v>
      </c>
      <c r="C35" s="84">
        <v>560</v>
      </c>
      <c r="D35" s="85">
        <v>109.9</v>
      </c>
      <c r="E35" s="86">
        <v>33</v>
      </c>
      <c r="F35" s="85">
        <v>84.7</v>
      </c>
      <c r="G35" s="17">
        <v>26</v>
      </c>
      <c r="H35" s="87">
        <v>379</v>
      </c>
      <c r="I35" s="88">
        <v>43000</v>
      </c>
      <c r="J35" s="88" t="s">
        <v>89</v>
      </c>
      <c r="K35" s="88">
        <v>36000</v>
      </c>
      <c r="L35" s="88" t="s">
        <v>189</v>
      </c>
      <c r="M35" s="89">
        <f t="shared" si="0"/>
        <v>7000</v>
      </c>
      <c r="N35" s="4">
        <f t="shared" si="1"/>
        <v>0.83720930232558144</v>
      </c>
      <c r="O35" s="90">
        <f t="shared" si="2"/>
        <v>1303.030303030303</v>
      </c>
      <c r="P35" s="90">
        <f t="shared" si="3"/>
        <v>1090.909090909091</v>
      </c>
      <c r="Q35" s="76">
        <v>3</v>
      </c>
      <c r="R35" s="76">
        <v>2</v>
      </c>
      <c r="S35" s="76" t="s">
        <v>61</v>
      </c>
      <c r="T35" s="5" t="s">
        <v>124</v>
      </c>
      <c r="U35" s="9"/>
    </row>
    <row r="36" spans="1:21" s="37" customFormat="1" ht="12" customHeight="1" x14ac:dyDescent="0.3">
      <c r="A36" s="77" t="s">
        <v>81</v>
      </c>
      <c r="B36" s="78" t="s">
        <v>82</v>
      </c>
      <c r="C36" s="84">
        <v>674</v>
      </c>
      <c r="D36" s="85">
        <v>143.4</v>
      </c>
      <c r="E36" s="86">
        <v>43</v>
      </c>
      <c r="F36" s="85">
        <v>114.8</v>
      </c>
      <c r="G36" s="17">
        <v>35</v>
      </c>
      <c r="H36" s="87">
        <v>118</v>
      </c>
      <c r="I36" s="88">
        <v>42000</v>
      </c>
      <c r="J36" s="88" t="s">
        <v>85</v>
      </c>
      <c r="K36" s="88"/>
      <c r="L36" s="88"/>
      <c r="M36" s="89">
        <f t="shared" si="0"/>
        <v>42000</v>
      </c>
      <c r="N36" s="4">
        <f t="shared" si="1"/>
        <v>0</v>
      </c>
      <c r="O36" s="90">
        <f t="shared" si="2"/>
        <v>976.74418604651157</v>
      </c>
      <c r="P36" s="90">
        <f t="shared" si="3"/>
        <v>0</v>
      </c>
      <c r="Q36" s="76">
        <v>4</v>
      </c>
      <c r="R36" s="76">
        <v>2</v>
      </c>
      <c r="S36" s="76" t="s">
        <v>61</v>
      </c>
      <c r="T36" s="5">
        <v>143</v>
      </c>
      <c r="U36" s="9"/>
    </row>
    <row r="37" spans="1:21" s="37" customFormat="1" ht="12" customHeight="1" x14ac:dyDescent="0.3">
      <c r="A37" s="77" t="s">
        <v>260</v>
      </c>
      <c r="B37" s="78" t="s">
        <v>261</v>
      </c>
      <c r="C37" s="84">
        <v>498</v>
      </c>
      <c r="D37" s="85">
        <v>118.6</v>
      </c>
      <c r="E37" s="86">
        <v>36</v>
      </c>
      <c r="F37" s="85">
        <v>84.9</v>
      </c>
      <c r="G37" s="17">
        <v>26</v>
      </c>
      <c r="H37" s="87">
        <v>78</v>
      </c>
      <c r="I37" s="88">
        <v>40400</v>
      </c>
      <c r="J37" s="88" t="s">
        <v>80</v>
      </c>
      <c r="K37" s="88"/>
      <c r="L37" s="88"/>
      <c r="M37" s="89">
        <f t="shared" si="0"/>
        <v>40400</v>
      </c>
      <c r="N37" s="4">
        <f t="shared" si="1"/>
        <v>0</v>
      </c>
      <c r="O37" s="90">
        <f t="shared" si="2"/>
        <v>1122.2222222222222</v>
      </c>
      <c r="P37" s="90">
        <f t="shared" si="3"/>
        <v>0</v>
      </c>
      <c r="Q37" s="76">
        <v>3</v>
      </c>
      <c r="R37" s="76">
        <v>2</v>
      </c>
      <c r="S37" s="76" t="s">
        <v>61</v>
      </c>
      <c r="T37" s="5">
        <v>118</v>
      </c>
      <c r="U37" s="9"/>
    </row>
    <row r="38" spans="1:21" s="37" customFormat="1" ht="12" customHeight="1" x14ac:dyDescent="0.3">
      <c r="A38" s="77" t="s">
        <v>412</v>
      </c>
      <c r="B38" s="78" t="s">
        <v>413</v>
      </c>
      <c r="C38" s="84">
        <v>502</v>
      </c>
      <c r="D38" s="85">
        <v>110.5</v>
      </c>
      <c r="E38" s="86">
        <v>33</v>
      </c>
      <c r="F38" s="85">
        <v>85</v>
      </c>
      <c r="G38" s="17">
        <v>26</v>
      </c>
      <c r="H38" s="87">
        <v>274</v>
      </c>
      <c r="I38" s="88">
        <v>40000</v>
      </c>
      <c r="J38" s="88" t="s">
        <v>219</v>
      </c>
      <c r="K38" s="88"/>
      <c r="L38" s="88"/>
      <c r="M38" s="89">
        <f t="shared" si="0"/>
        <v>40000</v>
      </c>
      <c r="N38" s="4">
        <f t="shared" si="1"/>
        <v>0</v>
      </c>
      <c r="O38" s="90">
        <f t="shared" si="2"/>
        <v>1212.121212121212</v>
      </c>
      <c r="P38" s="90">
        <f t="shared" si="3"/>
        <v>0</v>
      </c>
      <c r="Q38" s="76">
        <v>3</v>
      </c>
      <c r="R38" s="76">
        <v>2</v>
      </c>
      <c r="S38" s="76" t="s">
        <v>61</v>
      </c>
      <c r="T38" s="5" t="s">
        <v>292</v>
      </c>
      <c r="U38" s="9"/>
    </row>
    <row r="39" spans="1:21" s="37" customFormat="1" ht="12" customHeight="1" x14ac:dyDescent="0.3">
      <c r="A39" s="77" t="s">
        <v>355</v>
      </c>
      <c r="B39" s="78" t="s">
        <v>356</v>
      </c>
      <c r="C39" s="84">
        <v>326</v>
      </c>
      <c r="D39" s="85">
        <v>110</v>
      </c>
      <c r="E39" s="86">
        <v>33</v>
      </c>
      <c r="F39" s="85">
        <v>84.7</v>
      </c>
      <c r="G39" s="17">
        <v>26</v>
      </c>
      <c r="H39" s="87">
        <v>176</v>
      </c>
      <c r="I39" s="88">
        <v>39500</v>
      </c>
      <c r="J39" s="88" t="s">
        <v>71</v>
      </c>
      <c r="K39" s="88"/>
      <c r="L39" s="88"/>
      <c r="M39" s="89">
        <f t="shared" si="0"/>
        <v>39500</v>
      </c>
      <c r="N39" s="4">
        <f t="shared" si="1"/>
        <v>0</v>
      </c>
      <c r="O39" s="90">
        <f t="shared" si="2"/>
        <v>1196.969696969697</v>
      </c>
      <c r="P39" s="90">
        <f t="shared" si="3"/>
        <v>0</v>
      </c>
      <c r="Q39" s="76">
        <v>3</v>
      </c>
      <c r="R39" s="76">
        <v>2</v>
      </c>
      <c r="S39" s="76" t="s">
        <v>61</v>
      </c>
      <c r="T39" s="5" t="s">
        <v>124</v>
      </c>
      <c r="U39" s="9"/>
    </row>
    <row r="40" spans="1:21" s="37" customFormat="1" ht="12" customHeight="1" x14ac:dyDescent="0.3">
      <c r="A40" s="77" t="s">
        <v>440</v>
      </c>
      <c r="B40" s="78" t="s">
        <v>441</v>
      </c>
      <c r="C40" s="84">
        <v>604</v>
      </c>
      <c r="D40" s="85">
        <v>103.1</v>
      </c>
      <c r="E40" s="86">
        <v>31</v>
      </c>
      <c r="F40" s="85">
        <v>74.900000000000006</v>
      </c>
      <c r="G40" s="17">
        <v>23</v>
      </c>
      <c r="H40" s="87">
        <v>40</v>
      </c>
      <c r="I40" s="88">
        <v>39500</v>
      </c>
      <c r="J40" s="88" t="s">
        <v>75</v>
      </c>
      <c r="K40" s="88"/>
      <c r="L40" s="88"/>
      <c r="M40" s="89">
        <f t="shared" si="0"/>
        <v>39500</v>
      </c>
      <c r="N40" s="4">
        <f t="shared" si="1"/>
        <v>0</v>
      </c>
      <c r="O40" s="90">
        <f t="shared" si="2"/>
        <v>1274.1935483870968</v>
      </c>
      <c r="P40" s="90">
        <f t="shared" si="3"/>
        <v>0</v>
      </c>
      <c r="Q40" s="76">
        <v>3</v>
      </c>
      <c r="R40" s="76">
        <v>2</v>
      </c>
      <c r="S40" s="76" t="s">
        <v>61</v>
      </c>
      <c r="T40" s="5" t="s">
        <v>226</v>
      </c>
      <c r="U40" s="9"/>
    </row>
    <row r="41" spans="1:21" s="37" customFormat="1" ht="12" customHeight="1" x14ac:dyDescent="0.3">
      <c r="A41" s="77" t="s">
        <v>215</v>
      </c>
      <c r="B41" s="78" t="s">
        <v>216</v>
      </c>
      <c r="C41" s="84">
        <v>821</v>
      </c>
      <c r="D41" s="85">
        <v>111.3</v>
      </c>
      <c r="E41" s="86">
        <v>34</v>
      </c>
      <c r="F41" s="85">
        <v>85</v>
      </c>
      <c r="G41" s="17">
        <v>26</v>
      </c>
      <c r="H41" s="87">
        <v>332</v>
      </c>
      <c r="I41" s="88">
        <v>39000</v>
      </c>
      <c r="J41" s="88" t="s">
        <v>219</v>
      </c>
      <c r="K41" s="88">
        <v>32000</v>
      </c>
      <c r="L41" s="88" t="s">
        <v>89</v>
      </c>
      <c r="M41" s="89">
        <f t="shared" si="0"/>
        <v>7000</v>
      </c>
      <c r="N41" s="4">
        <f t="shared" si="1"/>
        <v>0.82051282051282048</v>
      </c>
      <c r="O41" s="90">
        <f t="shared" si="2"/>
        <v>1147.0588235294117</v>
      </c>
      <c r="P41" s="90">
        <f t="shared" si="3"/>
        <v>941.17647058823525</v>
      </c>
      <c r="Q41" s="76">
        <v>3</v>
      </c>
      <c r="R41" s="76">
        <v>2</v>
      </c>
      <c r="S41" s="76" t="s">
        <v>61</v>
      </c>
      <c r="T41" s="5" t="s">
        <v>220</v>
      </c>
      <c r="U41" s="9"/>
    </row>
    <row r="42" spans="1:21" s="37" customFormat="1" ht="12" customHeight="1" x14ac:dyDescent="0.3">
      <c r="A42" s="77" t="s">
        <v>262</v>
      </c>
      <c r="B42" s="78" t="s">
        <v>263</v>
      </c>
      <c r="C42" s="84">
        <v>336</v>
      </c>
      <c r="D42" s="85">
        <v>109.2</v>
      </c>
      <c r="E42" s="86">
        <v>33</v>
      </c>
      <c r="F42" s="85">
        <v>85</v>
      </c>
      <c r="G42" s="17">
        <v>26</v>
      </c>
      <c r="H42" s="87">
        <v>252</v>
      </c>
      <c r="I42" s="88">
        <v>38000</v>
      </c>
      <c r="J42" s="88" t="s">
        <v>172</v>
      </c>
      <c r="K42" s="88"/>
      <c r="L42" s="88"/>
      <c r="M42" s="89">
        <f t="shared" si="0"/>
        <v>38000</v>
      </c>
      <c r="N42" s="4">
        <f t="shared" si="1"/>
        <v>0</v>
      </c>
      <c r="O42" s="90">
        <f t="shared" si="2"/>
        <v>1151.5151515151515</v>
      </c>
      <c r="P42" s="90">
        <f t="shared" si="3"/>
        <v>0</v>
      </c>
      <c r="Q42" s="76">
        <v>3</v>
      </c>
      <c r="R42" s="76">
        <v>2</v>
      </c>
      <c r="S42" s="76" t="s">
        <v>61</v>
      </c>
      <c r="T42" s="5" t="s">
        <v>124</v>
      </c>
      <c r="U42" s="9"/>
    </row>
    <row r="43" spans="1:21" s="37" customFormat="1" ht="12" customHeight="1" x14ac:dyDescent="0.3">
      <c r="A43" s="77" t="s">
        <v>245</v>
      </c>
      <c r="B43" s="78" t="s">
        <v>246</v>
      </c>
      <c r="C43" s="84">
        <v>992</v>
      </c>
      <c r="D43" s="85">
        <v>112.6</v>
      </c>
      <c r="E43" s="86">
        <v>34</v>
      </c>
      <c r="F43" s="85">
        <v>84.8</v>
      </c>
      <c r="G43" s="17">
        <v>26</v>
      </c>
      <c r="H43" s="87">
        <v>387</v>
      </c>
      <c r="I43" s="88">
        <v>37000</v>
      </c>
      <c r="J43" s="88" t="s">
        <v>89</v>
      </c>
      <c r="K43" s="88"/>
      <c r="L43" s="88"/>
      <c r="M43" s="89">
        <f t="shared" si="0"/>
        <v>37000</v>
      </c>
      <c r="N43" s="4">
        <f t="shared" si="1"/>
        <v>0</v>
      </c>
      <c r="O43" s="90">
        <f t="shared" si="2"/>
        <v>1088.2352941176471</v>
      </c>
      <c r="P43" s="90">
        <f t="shared" si="3"/>
        <v>0</v>
      </c>
      <c r="Q43" s="76">
        <v>3</v>
      </c>
      <c r="R43" s="76">
        <v>2</v>
      </c>
      <c r="S43" s="76" t="s">
        <v>61</v>
      </c>
      <c r="T43" s="5" t="s">
        <v>247</v>
      </c>
      <c r="U43" s="9"/>
    </row>
    <row r="44" spans="1:21" s="37" customFormat="1" ht="12" customHeight="1" x14ac:dyDescent="0.3">
      <c r="A44" s="77" t="s">
        <v>378</v>
      </c>
      <c r="B44" s="78" t="s">
        <v>379</v>
      </c>
      <c r="C44" s="84">
        <v>370</v>
      </c>
      <c r="D44" s="85">
        <v>144.9</v>
      </c>
      <c r="E44" s="86">
        <v>44</v>
      </c>
      <c r="F44" s="85">
        <v>118.7</v>
      </c>
      <c r="G44" s="17">
        <v>36</v>
      </c>
      <c r="H44" s="87">
        <v>74</v>
      </c>
      <c r="I44" s="88">
        <v>37000</v>
      </c>
      <c r="J44" s="88" t="s">
        <v>75</v>
      </c>
      <c r="K44" s="88"/>
      <c r="L44" s="88"/>
      <c r="M44" s="89">
        <f t="shared" si="0"/>
        <v>37000</v>
      </c>
      <c r="N44" s="4">
        <f t="shared" si="1"/>
        <v>0</v>
      </c>
      <c r="O44" s="90">
        <f t="shared" si="2"/>
        <v>840.90909090909088</v>
      </c>
      <c r="P44" s="90">
        <f t="shared" si="3"/>
        <v>0</v>
      </c>
      <c r="Q44" s="76">
        <v>4</v>
      </c>
      <c r="R44" s="76">
        <v>2</v>
      </c>
      <c r="S44" s="76" t="s">
        <v>61</v>
      </c>
      <c r="T44" s="5">
        <v>144</v>
      </c>
      <c r="U44" s="9"/>
    </row>
    <row r="45" spans="1:21" s="37" customFormat="1" ht="12" customHeight="1" x14ac:dyDescent="0.3">
      <c r="A45" s="77" t="s">
        <v>81</v>
      </c>
      <c r="B45" s="78" t="s">
        <v>82</v>
      </c>
      <c r="C45" s="84">
        <v>674</v>
      </c>
      <c r="D45" s="85">
        <v>127.8</v>
      </c>
      <c r="E45" s="86">
        <v>39</v>
      </c>
      <c r="F45" s="85">
        <v>103.8</v>
      </c>
      <c r="G45" s="17">
        <v>31</v>
      </c>
      <c r="H45" s="87">
        <v>154</v>
      </c>
      <c r="I45" s="88">
        <v>35000</v>
      </c>
      <c r="J45" s="88" t="s">
        <v>84</v>
      </c>
      <c r="K45" s="88"/>
      <c r="L45" s="88"/>
      <c r="M45" s="89">
        <f t="shared" si="0"/>
        <v>35000</v>
      </c>
      <c r="N45" s="4">
        <f t="shared" si="1"/>
        <v>0</v>
      </c>
      <c r="O45" s="90">
        <f t="shared" si="2"/>
        <v>897.43589743589746</v>
      </c>
      <c r="P45" s="90">
        <f t="shared" si="3"/>
        <v>0</v>
      </c>
      <c r="Q45" s="76">
        <v>3</v>
      </c>
      <c r="R45" s="76">
        <v>2</v>
      </c>
      <c r="S45" s="76" t="s">
        <v>61</v>
      </c>
      <c r="T45" s="5">
        <v>127</v>
      </c>
      <c r="U45" s="9"/>
    </row>
    <row r="46" spans="1:21" s="37" customFormat="1" ht="12" customHeight="1" x14ac:dyDescent="0.3">
      <c r="A46" s="77" t="s">
        <v>122</v>
      </c>
      <c r="B46" s="78" t="s">
        <v>123</v>
      </c>
      <c r="C46" s="84">
        <v>702</v>
      </c>
      <c r="D46" s="85">
        <v>109.2</v>
      </c>
      <c r="E46" s="86">
        <v>33</v>
      </c>
      <c r="F46" s="85">
        <v>85</v>
      </c>
      <c r="G46" s="17">
        <v>26</v>
      </c>
      <c r="H46" s="87">
        <v>286</v>
      </c>
      <c r="I46" s="88">
        <v>35000</v>
      </c>
      <c r="J46" s="88" t="s">
        <v>75</v>
      </c>
      <c r="K46" s="88"/>
      <c r="L46" s="88"/>
      <c r="M46" s="89">
        <f t="shared" si="0"/>
        <v>35000</v>
      </c>
      <c r="N46" s="4">
        <f t="shared" si="1"/>
        <v>0</v>
      </c>
      <c r="O46" s="90">
        <f t="shared" si="2"/>
        <v>1060.6060606060605</v>
      </c>
      <c r="P46" s="90">
        <f t="shared" si="3"/>
        <v>0</v>
      </c>
      <c r="Q46" s="76">
        <v>3</v>
      </c>
      <c r="R46" s="76">
        <v>2</v>
      </c>
      <c r="S46" s="76" t="s">
        <v>61</v>
      </c>
      <c r="T46" s="5" t="s">
        <v>124</v>
      </c>
      <c r="U46" s="9"/>
    </row>
    <row r="47" spans="1:21" s="37" customFormat="1" ht="12" customHeight="1" x14ac:dyDescent="0.3">
      <c r="A47" s="77" t="s">
        <v>215</v>
      </c>
      <c r="B47" s="78" t="s">
        <v>216</v>
      </c>
      <c r="C47" s="84">
        <v>821</v>
      </c>
      <c r="D47" s="85">
        <v>95.1</v>
      </c>
      <c r="E47" s="86">
        <v>29</v>
      </c>
      <c r="F47" s="85">
        <v>72.3</v>
      </c>
      <c r="G47" s="17">
        <v>22</v>
      </c>
      <c r="H47" s="87">
        <v>35</v>
      </c>
      <c r="I47" s="88">
        <v>35000</v>
      </c>
      <c r="J47" s="88" t="s">
        <v>111</v>
      </c>
      <c r="K47" s="88"/>
      <c r="L47" s="88"/>
      <c r="M47" s="89">
        <f t="shared" si="0"/>
        <v>35000</v>
      </c>
      <c r="N47" s="4">
        <f t="shared" si="1"/>
        <v>0</v>
      </c>
      <c r="O47" s="90">
        <f t="shared" si="2"/>
        <v>1206.8965517241379</v>
      </c>
      <c r="P47" s="90">
        <f t="shared" si="3"/>
        <v>0</v>
      </c>
      <c r="Q47" s="76">
        <v>3</v>
      </c>
      <c r="R47" s="76">
        <v>2</v>
      </c>
      <c r="S47" s="76" t="s">
        <v>61</v>
      </c>
      <c r="T47" s="5" t="s">
        <v>217</v>
      </c>
      <c r="U47" s="9"/>
    </row>
    <row r="48" spans="1:21" s="37" customFormat="1" ht="12" customHeight="1" x14ac:dyDescent="0.3">
      <c r="A48" s="77" t="s">
        <v>480</v>
      </c>
      <c r="B48" s="78" t="s">
        <v>481</v>
      </c>
      <c r="C48" s="84">
        <v>328</v>
      </c>
      <c r="D48" s="85">
        <v>157.19999999999999</v>
      </c>
      <c r="E48" s="86">
        <v>48</v>
      </c>
      <c r="F48" s="85">
        <v>134.4</v>
      </c>
      <c r="G48" s="17">
        <v>41</v>
      </c>
      <c r="H48" s="87">
        <v>150</v>
      </c>
      <c r="I48" s="88">
        <v>35000</v>
      </c>
      <c r="J48" s="88" t="s">
        <v>104</v>
      </c>
      <c r="K48" s="88"/>
      <c r="L48" s="88"/>
      <c r="M48" s="89">
        <f t="shared" si="0"/>
        <v>35000</v>
      </c>
      <c r="N48" s="4">
        <f t="shared" si="1"/>
        <v>0</v>
      </c>
      <c r="O48" s="90">
        <f t="shared" si="2"/>
        <v>729.16666666666663</v>
      </c>
      <c r="P48" s="90">
        <f t="shared" si="3"/>
        <v>0</v>
      </c>
      <c r="Q48" s="76">
        <v>4</v>
      </c>
      <c r="R48" s="76">
        <v>2</v>
      </c>
      <c r="S48" s="76" t="s">
        <v>61</v>
      </c>
      <c r="T48" s="5">
        <v>157</v>
      </c>
      <c r="U48" s="9"/>
    </row>
    <row r="49" spans="1:21" s="37" customFormat="1" ht="12" customHeight="1" x14ac:dyDescent="0.3">
      <c r="A49" s="77" t="s">
        <v>175</v>
      </c>
      <c r="B49" s="78" t="s">
        <v>176</v>
      </c>
      <c r="C49" s="84">
        <v>419</v>
      </c>
      <c r="D49" s="85">
        <v>119.6</v>
      </c>
      <c r="E49" s="86">
        <v>36</v>
      </c>
      <c r="F49" s="85">
        <v>100</v>
      </c>
      <c r="G49" s="17">
        <v>30</v>
      </c>
      <c r="H49" s="87">
        <v>299</v>
      </c>
      <c r="I49" s="88">
        <v>34000</v>
      </c>
      <c r="J49" s="88" t="s">
        <v>85</v>
      </c>
      <c r="K49" s="88"/>
      <c r="L49" s="88"/>
      <c r="M49" s="89">
        <f t="shared" si="0"/>
        <v>34000</v>
      </c>
      <c r="N49" s="4">
        <f t="shared" si="1"/>
        <v>0</v>
      </c>
      <c r="O49" s="90">
        <f t="shared" si="2"/>
        <v>944.44444444444446</v>
      </c>
      <c r="P49" s="90">
        <f t="shared" si="3"/>
        <v>0</v>
      </c>
      <c r="Q49" s="76">
        <v>4</v>
      </c>
      <c r="R49" s="76">
        <v>2</v>
      </c>
      <c r="S49" s="76" t="s">
        <v>61</v>
      </c>
      <c r="T49" s="5">
        <v>119</v>
      </c>
      <c r="U49" s="9"/>
    </row>
    <row r="50" spans="1:21" s="37" customFormat="1" ht="12" customHeight="1" x14ac:dyDescent="0.3">
      <c r="A50" s="77" t="s">
        <v>206</v>
      </c>
      <c r="B50" s="78" t="s">
        <v>176</v>
      </c>
      <c r="C50" s="84">
        <v>419</v>
      </c>
      <c r="D50" s="85">
        <v>119.5</v>
      </c>
      <c r="E50" s="86">
        <v>36</v>
      </c>
      <c r="F50" s="85">
        <v>100</v>
      </c>
      <c r="G50" s="17">
        <v>30</v>
      </c>
      <c r="H50" s="87">
        <v>299</v>
      </c>
      <c r="I50" s="88">
        <v>34000</v>
      </c>
      <c r="J50" s="88" t="s">
        <v>89</v>
      </c>
      <c r="K50" s="88"/>
      <c r="L50" s="88"/>
      <c r="M50" s="89">
        <f t="shared" si="0"/>
        <v>34000</v>
      </c>
      <c r="N50" s="4">
        <f t="shared" si="1"/>
        <v>0</v>
      </c>
      <c r="O50" s="90">
        <f t="shared" si="2"/>
        <v>944.44444444444446</v>
      </c>
      <c r="P50" s="90">
        <f t="shared" si="3"/>
        <v>0</v>
      </c>
      <c r="Q50" s="76">
        <v>4</v>
      </c>
      <c r="R50" s="76">
        <v>2</v>
      </c>
      <c r="S50" s="76" t="s">
        <v>61</v>
      </c>
      <c r="T50" s="5">
        <v>119</v>
      </c>
      <c r="U50" s="9"/>
    </row>
    <row r="51" spans="1:21" s="37" customFormat="1" ht="12" customHeight="1" x14ac:dyDescent="0.3">
      <c r="A51" s="77" t="s">
        <v>328</v>
      </c>
      <c r="B51" s="78" t="s">
        <v>329</v>
      </c>
      <c r="C51" s="84">
        <v>396</v>
      </c>
      <c r="D51" s="85">
        <v>98</v>
      </c>
      <c r="E51" s="86">
        <v>30</v>
      </c>
      <c r="F51" s="85">
        <v>73.5</v>
      </c>
      <c r="G51" s="17">
        <v>22</v>
      </c>
      <c r="H51" s="87">
        <v>198</v>
      </c>
      <c r="I51" s="88">
        <v>34000</v>
      </c>
      <c r="J51" s="88" t="s">
        <v>104</v>
      </c>
      <c r="K51" s="88"/>
      <c r="L51" s="88"/>
      <c r="M51" s="89">
        <f t="shared" si="0"/>
        <v>34000</v>
      </c>
      <c r="N51" s="4">
        <f t="shared" si="1"/>
        <v>0</v>
      </c>
      <c r="O51" s="90">
        <f t="shared" si="2"/>
        <v>1133.3333333333333</v>
      </c>
      <c r="P51" s="90">
        <f t="shared" si="3"/>
        <v>0</v>
      </c>
      <c r="Q51" s="76">
        <v>3</v>
      </c>
      <c r="R51" s="76">
        <v>2</v>
      </c>
      <c r="S51" s="76" t="s">
        <v>61</v>
      </c>
      <c r="T51" s="5">
        <v>97</v>
      </c>
      <c r="U51" s="9"/>
    </row>
    <row r="52" spans="1:21" s="37" customFormat="1" ht="12" customHeight="1" x14ac:dyDescent="0.3">
      <c r="A52" s="77" t="s">
        <v>459</v>
      </c>
      <c r="B52" s="78" t="s">
        <v>236</v>
      </c>
      <c r="C52" s="84">
        <v>419</v>
      </c>
      <c r="D52" s="85">
        <v>100.5</v>
      </c>
      <c r="E52" s="86">
        <v>30</v>
      </c>
      <c r="F52" s="85">
        <v>84.8</v>
      </c>
      <c r="G52" s="17">
        <v>26</v>
      </c>
      <c r="H52" s="87">
        <v>269</v>
      </c>
      <c r="I52" s="88">
        <v>33000</v>
      </c>
      <c r="J52" s="88" t="s">
        <v>90</v>
      </c>
      <c r="K52" s="88"/>
      <c r="L52" s="88"/>
      <c r="M52" s="89">
        <f t="shared" si="0"/>
        <v>33000</v>
      </c>
      <c r="N52" s="4">
        <f t="shared" si="1"/>
        <v>0</v>
      </c>
      <c r="O52" s="90">
        <f t="shared" si="2"/>
        <v>1100</v>
      </c>
      <c r="P52" s="90">
        <f t="shared" si="3"/>
        <v>0</v>
      </c>
      <c r="Q52" s="76">
        <v>3</v>
      </c>
      <c r="R52" s="76">
        <v>2</v>
      </c>
      <c r="S52" s="76" t="s">
        <v>61</v>
      </c>
      <c r="T52" s="5" t="s">
        <v>460</v>
      </c>
      <c r="U52" s="9"/>
    </row>
    <row r="53" spans="1:21" s="37" customFormat="1" ht="12" customHeight="1" x14ac:dyDescent="0.3">
      <c r="A53" s="77" t="s">
        <v>486</v>
      </c>
      <c r="B53" s="78" t="s">
        <v>487</v>
      </c>
      <c r="C53" s="84">
        <v>323</v>
      </c>
      <c r="D53" s="85">
        <v>112.8</v>
      </c>
      <c r="E53" s="86">
        <v>34</v>
      </c>
      <c r="F53" s="85">
        <v>100</v>
      </c>
      <c r="G53" s="17">
        <v>30</v>
      </c>
      <c r="H53" s="87">
        <v>167</v>
      </c>
      <c r="I53" s="88">
        <v>32000</v>
      </c>
      <c r="J53" s="88" t="s">
        <v>75</v>
      </c>
      <c r="K53" s="88"/>
      <c r="L53" s="88"/>
      <c r="M53" s="89">
        <f t="shared" si="0"/>
        <v>32000</v>
      </c>
      <c r="N53" s="4">
        <f t="shared" si="1"/>
        <v>0</v>
      </c>
      <c r="O53" s="90">
        <f t="shared" si="2"/>
        <v>941.17647058823525</v>
      </c>
      <c r="P53" s="90">
        <f t="shared" si="3"/>
        <v>0</v>
      </c>
      <c r="Q53" s="76">
        <v>3</v>
      </c>
      <c r="R53" s="76">
        <v>2</v>
      </c>
      <c r="S53" s="76" t="s">
        <v>61</v>
      </c>
      <c r="T53" s="5">
        <v>112</v>
      </c>
      <c r="U53" s="9"/>
    </row>
    <row r="54" spans="1:21" s="37" customFormat="1" ht="12" customHeight="1" x14ac:dyDescent="0.3">
      <c r="A54" s="77" t="s">
        <v>480</v>
      </c>
      <c r="B54" s="78" t="s">
        <v>481</v>
      </c>
      <c r="C54" s="84">
        <v>328</v>
      </c>
      <c r="D54" s="85">
        <v>125.7</v>
      </c>
      <c r="E54" s="86">
        <v>38</v>
      </c>
      <c r="F54" s="85">
        <v>100.5</v>
      </c>
      <c r="G54" s="17">
        <v>30</v>
      </c>
      <c r="H54" s="87">
        <v>178</v>
      </c>
      <c r="I54" s="88">
        <v>31500</v>
      </c>
      <c r="J54" s="88" t="s">
        <v>71</v>
      </c>
      <c r="K54" s="88"/>
      <c r="L54" s="88"/>
      <c r="M54" s="89">
        <f t="shared" si="0"/>
        <v>31500</v>
      </c>
      <c r="N54" s="4">
        <f t="shared" si="1"/>
        <v>0</v>
      </c>
      <c r="O54" s="90">
        <f t="shared" si="2"/>
        <v>828.9473684210526</v>
      </c>
      <c r="P54" s="90">
        <f t="shared" si="3"/>
        <v>0</v>
      </c>
      <c r="Q54" s="76">
        <v>3</v>
      </c>
      <c r="R54" s="76">
        <v>2</v>
      </c>
      <c r="S54" s="76" t="s">
        <v>61</v>
      </c>
      <c r="T54" s="5">
        <v>125</v>
      </c>
      <c r="U54" s="9"/>
    </row>
    <row r="55" spans="1:21" s="37" customFormat="1" ht="12" customHeight="1" x14ac:dyDescent="0.3">
      <c r="A55" s="77" t="s">
        <v>346</v>
      </c>
      <c r="B55" s="78" t="s">
        <v>347</v>
      </c>
      <c r="C55" s="84">
        <v>510</v>
      </c>
      <c r="D55" s="85">
        <v>107.5</v>
      </c>
      <c r="E55" s="86">
        <v>33</v>
      </c>
      <c r="F55" s="85">
        <v>84.9</v>
      </c>
      <c r="G55" s="17">
        <v>26</v>
      </c>
      <c r="H55" s="87">
        <v>142</v>
      </c>
      <c r="I55" s="88">
        <v>31000</v>
      </c>
      <c r="J55" s="88" t="s">
        <v>131</v>
      </c>
      <c r="K55" s="88"/>
      <c r="L55" s="88"/>
      <c r="M55" s="89">
        <f t="shared" si="0"/>
        <v>31000</v>
      </c>
      <c r="N55" s="4">
        <f t="shared" si="1"/>
        <v>0</v>
      </c>
      <c r="O55" s="90">
        <f t="shared" si="2"/>
        <v>939.39393939393938</v>
      </c>
      <c r="P55" s="90">
        <f t="shared" si="3"/>
        <v>0</v>
      </c>
      <c r="Q55" s="76">
        <v>3</v>
      </c>
      <c r="R55" s="76">
        <v>2</v>
      </c>
      <c r="S55" s="76" t="s">
        <v>61</v>
      </c>
      <c r="T55" s="5" t="s">
        <v>348</v>
      </c>
      <c r="U55" s="9"/>
    </row>
    <row r="56" spans="1:21" s="37" customFormat="1" ht="12" customHeight="1" x14ac:dyDescent="0.3">
      <c r="A56" s="77" t="s">
        <v>78</v>
      </c>
      <c r="B56" s="78" t="s">
        <v>79</v>
      </c>
      <c r="C56" s="84">
        <v>508</v>
      </c>
      <c r="D56" s="85">
        <v>123.5</v>
      </c>
      <c r="E56" s="86">
        <v>37</v>
      </c>
      <c r="F56" s="85">
        <v>99.6</v>
      </c>
      <c r="G56" s="17">
        <v>30</v>
      </c>
      <c r="H56" s="87">
        <v>96</v>
      </c>
      <c r="I56" s="88">
        <v>30000</v>
      </c>
      <c r="J56" s="88" t="s">
        <v>80</v>
      </c>
      <c r="K56" s="88"/>
      <c r="L56" s="88"/>
      <c r="M56" s="89">
        <f t="shared" si="0"/>
        <v>30000</v>
      </c>
      <c r="N56" s="4">
        <f t="shared" si="1"/>
        <v>0</v>
      </c>
      <c r="O56" s="90">
        <f t="shared" si="2"/>
        <v>810.81081081081084</v>
      </c>
      <c r="P56" s="90">
        <f t="shared" si="3"/>
        <v>0</v>
      </c>
      <c r="Q56" s="76">
        <v>4</v>
      </c>
      <c r="R56" s="76">
        <v>2</v>
      </c>
      <c r="S56" s="76" t="s">
        <v>61</v>
      </c>
      <c r="T56" s="5">
        <v>123</v>
      </c>
      <c r="U56" s="9"/>
    </row>
    <row r="57" spans="1:21" s="37" customFormat="1" ht="12" customHeight="1" x14ac:dyDescent="0.3">
      <c r="A57" s="77" t="s">
        <v>395</v>
      </c>
      <c r="B57" s="78" t="s">
        <v>388</v>
      </c>
      <c r="C57" s="84">
        <v>666</v>
      </c>
      <c r="D57" s="85">
        <v>148.6</v>
      </c>
      <c r="E57" s="86">
        <v>45</v>
      </c>
      <c r="F57" s="85">
        <v>128.6</v>
      </c>
      <c r="G57" s="17">
        <v>39</v>
      </c>
      <c r="H57" s="87">
        <v>174</v>
      </c>
      <c r="I57" s="88">
        <v>30000</v>
      </c>
      <c r="J57" s="88" t="s">
        <v>104</v>
      </c>
      <c r="K57" s="88"/>
      <c r="L57" s="88"/>
      <c r="M57" s="89">
        <f t="shared" si="0"/>
        <v>30000</v>
      </c>
      <c r="N57" s="4">
        <f t="shared" si="1"/>
        <v>0</v>
      </c>
      <c r="O57" s="90">
        <f t="shared" si="2"/>
        <v>666.66666666666663</v>
      </c>
      <c r="P57" s="90">
        <f t="shared" si="3"/>
        <v>0</v>
      </c>
      <c r="Q57" s="76">
        <v>4</v>
      </c>
      <c r="R57" s="76">
        <v>2</v>
      </c>
      <c r="S57" s="76" t="s">
        <v>61</v>
      </c>
      <c r="T57" s="5">
        <v>148</v>
      </c>
      <c r="U57" s="9"/>
    </row>
    <row r="58" spans="1:21" s="37" customFormat="1" ht="12" customHeight="1" x14ac:dyDescent="0.3">
      <c r="A58" s="77" t="s">
        <v>313</v>
      </c>
      <c r="B58" s="78" t="s">
        <v>314</v>
      </c>
      <c r="C58" s="84">
        <v>541</v>
      </c>
      <c r="D58" s="85">
        <v>136.80000000000001</v>
      </c>
      <c r="E58" s="86">
        <v>41</v>
      </c>
      <c r="F58" s="85">
        <v>110.3</v>
      </c>
      <c r="G58" s="17">
        <v>33</v>
      </c>
      <c r="H58" s="87">
        <v>71</v>
      </c>
      <c r="I58" s="88">
        <v>29500</v>
      </c>
      <c r="J58" s="88" t="s">
        <v>75</v>
      </c>
      <c r="K58" s="88"/>
      <c r="L58" s="88"/>
      <c r="M58" s="89">
        <f t="shared" si="0"/>
        <v>29500</v>
      </c>
      <c r="N58" s="4">
        <f t="shared" si="1"/>
        <v>0</v>
      </c>
      <c r="O58" s="90">
        <f t="shared" si="2"/>
        <v>719.51219512195121</v>
      </c>
      <c r="P58" s="90">
        <f t="shared" si="3"/>
        <v>0</v>
      </c>
      <c r="Q58" s="76">
        <v>3</v>
      </c>
      <c r="R58" s="76">
        <v>2</v>
      </c>
      <c r="S58" s="76" t="s">
        <v>61</v>
      </c>
      <c r="T58" s="5">
        <v>136</v>
      </c>
      <c r="U58" s="9"/>
    </row>
    <row r="59" spans="1:21" s="37" customFormat="1" ht="12" customHeight="1" x14ac:dyDescent="0.3">
      <c r="A59" s="77" t="s">
        <v>213</v>
      </c>
      <c r="B59" s="78" t="s">
        <v>214</v>
      </c>
      <c r="C59" s="84">
        <v>400</v>
      </c>
      <c r="D59" s="85">
        <v>169.2</v>
      </c>
      <c r="E59" s="86">
        <v>51</v>
      </c>
      <c r="F59" s="85">
        <v>136.1</v>
      </c>
      <c r="G59" s="17">
        <v>41</v>
      </c>
      <c r="H59" s="87">
        <v>100</v>
      </c>
      <c r="I59" s="88">
        <v>29300</v>
      </c>
      <c r="J59" s="88" t="s">
        <v>89</v>
      </c>
      <c r="K59" s="88"/>
      <c r="L59" s="88"/>
      <c r="M59" s="89">
        <f t="shared" si="0"/>
        <v>29300</v>
      </c>
      <c r="N59" s="4">
        <f t="shared" si="1"/>
        <v>0</v>
      </c>
      <c r="O59" s="90">
        <f t="shared" si="2"/>
        <v>574.50980392156862</v>
      </c>
      <c r="P59" s="90">
        <f t="shared" si="3"/>
        <v>0</v>
      </c>
      <c r="Q59" s="76">
        <v>4</v>
      </c>
      <c r="R59" s="76">
        <v>2</v>
      </c>
      <c r="S59" s="76" t="s">
        <v>61</v>
      </c>
      <c r="T59" s="5">
        <v>169</v>
      </c>
      <c r="U59" s="9"/>
    </row>
    <row r="60" spans="1:21" s="37" customFormat="1" ht="12" customHeight="1" x14ac:dyDescent="0.3">
      <c r="A60" s="77" t="s">
        <v>78</v>
      </c>
      <c r="B60" s="78" t="s">
        <v>79</v>
      </c>
      <c r="C60" s="84">
        <v>508</v>
      </c>
      <c r="D60" s="85">
        <v>107.4</v>
      </c>
      <c r="E60" s="86">
        <v>32</v>
      </c>
      <c r="F60" s="85">
        <v>84.9</v>
      </c>
      <c r="G60" s="17">
        <v>26</v>
      </c>
      <c r="H60" s="87">
        <v>336</v>
      </c>
      <c r="I60" s="88">
        <v>28000</v>
      </c>
      <c r="J60" s="88" t="s">
        <v>72</v>
      </c>
      <c r="K60" s="88"/>
      <c r="L60" s="88"/>
      <c r="M60" s="89">
        <f t="shared" si="0"/>
        <v>28000</v>
      </c>
      <c r="N60" s="4">
        <f t="shared" si="1"/>
        <v>0</v>
      </c>
      <c r="O60" s="90">
        <f t="shared" si="2"/>
        <v>875</v>
      </c>
      <c r="P60" s="90">
        <f t="shared" si="3"/>
        <v>0</v>
      </c>
      <c r="Q60" s="76">
        <v>3</v>
      </c>
      <c r="R60" s="76">
        <v>2</v>
      </c>
      <c r="S60" s="76" t="s">
        <v>61</v>
      </c>
      <c r="T60" s="5">
        <v>107</v>
      </c>
      <c r="U60" s="9"/>
    </row>
    <row r="61" spans="1:21" s="37" customFormat="1" ht="12" customHeight="1" x14ac:dyDescent="0.3">
      <c r="A61" s="77" t="s">
        <v>93</v>
      </c>
      <c r="B61" s="78" t="s">
        <v>94</v>
      </c>
      <c r="C61" s="84">
        <v>709</v>
      </c>
      <c r="D61" s="85">
        <v>110.9</v>
      </c>
      <c r="E61" s="86">
        <v>34</v>
      </c>
      <c r="F61" s="85">
        <v>84.8</v>
      </c>
      <c r="G61" s="17">
        <v>26</v>
      </c>
      <c r="H61" s="87">
        <v>709</v>
      </c>
      <c r="I61" s="88">
        <v>28000</v>
      </c>
      <c r="J61" s="88" t="s">
        <v>80</v>
      </c>
      <c r="K61" s="88"/>
      <c r="L61" s="88"/>
      <c r="M61" s="89">
        <f t="shared" si="0"/>
        <v>28000</v>
      </c>
      <c r="N61" s="4">
        <f t="shared" si="1"/>
        <v>0</v>
      </c>
      <c r="O61" s="90">
        <f t="shared" si="2"/>
        <v>823.52941176470586</v>
      </c>
      <c r="P61" s="90">
        <f t="shared" si="3"/>
        <v>0</v>
      </c>
      <c r="Q61" s="76">
        <v>3</v>
      </c>
      <c r="R61" s="76">
        <v>2</v>
      </c>
      <c r="S61" s="76" t="s">
        <v>61</v>
      </c>
      <c r="T61" s="5">
        <v>110</v>
      </c>
      <c r="U61" s="9"/>
    </row>
    <row r="62" spans="1:21" s="37" customFormat="1" ht="12" customHeight="1" x14ac:dyDescent="0.3">
      <c r="A62" s="77" t="s">
        <v>102</v>
      </c>
      <c r="B62" s="78" t="s">
        <v>103</v>
      </c>
      <c r="C62" s="84">
        <v>349</v>
      </c>
      <c r="D62" s="85">
        <v>170</v>
      </c>
      <c r="E62" s="86">
        <v>51</v>
      </c>
      <c r="F62" s="85">
        <v>138.80000000000001</v>
      </c>
      <c r="G62" s="17">
        <v>42</v>
      </c>
      <c r="H62" s="87">
        <v>49</v>
      </c>
      <c r="I62" s="88">
        <v>28000</v>
      </c>
      <c r="J62" s="88" t="s">
        <v>71</v>
      </c>
      <c r="K62" s="88"/>
      <c r="L62" s="88"/>
      <c r="M62" s="89">
        <f t="shared" si="0"/>
        <v>28000</v>
      </c>
      <c r="N62" s="4">
        <f t="shared" si="1"/>
        <v>0</v>
      </c>
      <c r="O62" s="90">
        <f t="shared" si="2"/>
        <v>549.01960784313724</v>
      </c>
      <c r="P62" s="90">
        <f t="shared" si="3"/>
        <v>0</v>
      </c>
      <c r="Q62" s="76">
        <v>4</v>
      </c>
      <c r="R62" s="76">
        <v>2</v>
      </c>
      <c r="S62" s="76" t="s">
        <v>61</v>
      </c>
      <c r="T62" s="5">
        <v>170</v>
      </c>
      <c r="U62" s="9"/>
    </row>
    <row r="63" spans="1:21" s="37" customFormat="1" ht="12" customHeight="1" x14ac:dyDescent="0.3">
      <c r="A63" s="77" t="s">
        <v>296</v>
      </c>
      <c r="B63" s="78" t="s">
        <v>297</v>
      </c>
      <c r="C63" s="84">
        <v>1259</v>
      </c>
      <c r="D63" s="85">
        <v>159.69999999999999</v>
      </c>
      <c r="E63" s="86">
        <v>48</v>
      </c>
      <c r="F63" s="85">
        <v>134.30000000000001</v>
      </c>
      <c r="G63" s="17">
        <v>41</v>
      </c>
      <c r="H63" s="87">
        <v>138</v>
      </c>
      <c r="I63" s="88">
        <v>28000</v>
      </c>
      <c r="J63" s="88" t="s">
        <v>75</v>
      </c>
      <c r="K63" s="88"/>
      <c r="L63" s="88"/>
      <c r="M63" s="89">
        <f t="shared" si="0"/>
        <v>28000</v>
      </c>
      <c r="N63" s="4">
        <f t="shared" si="1"/>
        <v>0</v>
      </c>
      <c r="O63" s="90">
        <f t="shared" si="2"/>
        <v>583.33333333333337</v>
      </c>
      <c r="P63" s="90">
        <f t="shared" si="3"/>
        <v>0</v>
      </c>
      <c r="Q63" s="76">
        <v>4</v>
      </c>
      <c r="R63" s="76">
        <v>2</v>
      </c>
      <c r="S63" s="76" t="s">
        <v>61</v>
      </c>
      <c r="T63" s="5">
        <v>159</v>
      </c>
      <c r="U63" s="9"/>
    </row>
    <row r="64" spans="1:21" s="37" customFormat="1" ht="12" customHeight="1" x14ac:dyDescent="0.3">
      <c r="A64" s="77" t="s">
        <v>321</v>
      </c>
      <c r="B64" s="78" t="s">
        <v>145</v>
      </c>
      <c r="C64" s="84">
        <v>473</v>
      </c>
      <c r="D64" s="85">
        <v>120</v>
      </c>
      <c r="E64" s="86">
        <v>36</v>
      </c>
      <c r="F64" s="85">
        <v>100</v>
      </c>
      <c r="G64" s="17">
        <v>30</v>
      </c>
      <c r="H64" s="87">
        <v>153</v>
      </c>
      <c r="I64" s="88">
        <v>28000</v>
      </c>
      <c r="J64" s="88" t="s">
        <v>84</v>
      </c>
      <c r="K64" s="88"/>
      <c r="L64" s="88"/>
      <c r="M64" s="89">
        <f t="shared" si="0"/>
        <v>28000</v>
      </c>
      <c r="N64" s="4">
        <f t="shared" si="1"/>
        <v>0</v>
      </c>
      <c r="O64" s="90">
        <f t="shared" si="2"/>
        <v>777.77777777777783</v>
      </c>
      <c r="P64" s="90">
        <f t="shared" si="3"/>
        <v>0</v>
      </c>
      <c r="Q64" s="76">
        <v>3</v>
      </c>
      <c r="R64" s="76">
        <v>2</v>
      </c>
      <c r="S64" s="76" t="s">
        <v>61</v>
      </c>
      <c r="T64" s="5">
        <v>119</v>
      </c>
      <c r="U64" s="9"/>
    </row>
    <row r="65" spans="1:21" s="37" customFormat="1" ht="12" customHeight="1" x14ac:dyDescent="0.3">
      <c r="A65" s="77" t="s">
        <v>144</v>
      </c>
      <c r="B65" s="78" t="s">
        <v>145</v>
      </c>
      <c r="C65" s="84">
        <v>538</v>
      </c>
      <c r="D65" s="85">
        <v>106.9</v>
      </c>
      <c r="E65" s="86">
        <v>32</v>
      </c>
      <c r="F65" s="85">
        <v>85</v>
      </c>
      <c r="G65" s="17">
        <v>26</v>
      </c>
      <c r="H65" s="87">
        <v>404</v>
      </c>
      <c r="I65" s="88">
        <v>27000</v>
      </c>
      <c r="J65" s="88" t="s">
        <v>89</v>
      </c>
      <c r="K65" s="88"/>
      <c r="L65" s="88"/>
      <c r="M65" s="89">
        <f t="shared" si="0"/>
        <v>27000</v>
      </c>
      <c r="N65" s="4">
        <f t="shared" si="1"/>
        <v>0</v>
      </c>
      <c r="O65" s="90">
        <f t="shared" si="2"/>
        <v>843.75</v>
      </c>
      <c r="P65" s="90">
        <f t="shared" si="3"/>
        <v>0</v>
      </c>
      <c r="Q65" s="76">
        <v>3</v>
      </c>
      <c r="R65" s="76">
        <v>2</v>
      </c>
      <c r="S65" s="76" t="s">
        <v>61</v>
      </c>
      <c r="T65" s="5">
        <v>106</v>
      </c>
      <c r="U65" s="9"/>
    </row>
    <row r="66" spans="1:21" s="37" customFormat="1" ht="12" customHeight="1" x14ac:dyDescent="0.3">
      <c r="A66" s="77" t="s">
        <v>373</v>
      </c>
      <c r="B66" s="78" t="s">
        <v>374</v>
      </c>
      <c r="C66" s="84">
        <v>343</v>
      </c>
      <c r="D66" s="85">
        <v>157.4</v>
      </c>
      <c r="E66" s="86">
        <v>48</v>
      </c>
      <c r="F66" s="85">
        <v>132.6</v>
      </c>
      <c r="G66" s="17">
        <v>40</v>
      </c>
      <c r="H66" s="87">
        <v>59</v>
      </c>
      <c r="I66" s="88">
        <v>26500</v>
      </c>
      <c r="J66" s="88" t="s">
        <v>90</v>
      </c>
      <c r="K66" s="88"/>
      <c r="L66" s="88"/>
      <c r="M66" s="89">
        <f t="shared" si="0"/>
        <v>26500</v>
      </c>
      <c r="N66" s="4">
        <f t="shared" si="1"/>
        <v>0</v>
      </c>
      <c r="O66" s="90">
        <f t="shared" si="2"/>
        <v>552.08333333333337</v>
      </c>
      <c r="P66" s="90">
        <f t="shared" si="3"/>
        <v>0</v>
      </c>
      <c r="Q66" s="76">
        <v>4</v>
      </c>
      <c r="R66" s="76">
        <v>2</v>
      </c>
      <c r="S66" s="76" t="s">
        <v>61</v>
      </c>
      <c r="T66" s="5">
        <v>157</v>
      </c>
      <c r="U66" s="9"/>
    </row>
    <row r="67" spans="1:21" s="37" customFormat="1" ht="12" customHeight="1" x14ac:dyDescent="0.3">
      <c r="A67" s="77" t="s">
        <v>81</v>
      </c>
      <c r="B67" s="78" t="s">
        <v>82</v>
      </c>
      <c r="C67" s="84">
        <v>674</v>
      </c>
      <c r="D67" s="85">
        <v>108.3</v>
      </c>
      <c r="E67" s="86">
        <v>33</v>
      </c>
      <c r="F67" s="85">
        <v>85</v>
      </c>
      <c r="G67" s="17">
        <v>26</v>
      </c>
      <c r="H67" s="87">
        <v>295</v>
      </c>
      <c r="I67" s="88">
        <v>26000</v>
      </c>
      <c r="J67" s="88" t="s">
        <v>71</v>
      </c>
      <c r="K67" s="88"/>
      <c r="L67" s="88"/>
      <c r="M67" s="89">
        <f t="shared" si="0"/>
        <v>26000</v>
      </c>
      <c r="N67" s="4">
        <f t="shared" si="1"/>
        <v>0</v>
      </c>
      <c r="O67" s="90">
        <f t="shared" si="2"/>
        <v>787.87878787878788</v>
      </c>
      <c r="P67" s="90">
        <f t="shared" si="3"/>
        <v>0</v>
      </c>
      <c r="Q67" s="76">
        <v>3</v>
      </c>
      <c r="R67" s="76">
        <v>2</v>
      </c>
      <c r="S67" s="76" t="s">
        <v>61</v>
      </c>
      <c r="T67" s="5">
        <v>108</v>
      </c>
      <c r="U67" s="9"/>
    </row>
    <row r="68" spans="1:21" s="37" customFormat="1" ht="12" customHeight="1" x14ac:dyDescent="0.3">
      <c r="A68" s="77" t="s">
        <v>197</v>
      </c>
      <c r="B68" s="78" t="s">
        <v>198</v>
      </c>
      <c r="C68" s="84">
        <v>390</v>
      </c>
      <c r="D68" s="85">
        <v>106.8</v>
      </c>
      <c r="E68" s="86">
        <v>32</v>
      </c>
      <c r="F68" s="85">
        <v>84.6</v>
      </c>
      <c r="G68" s="17">
        <v>26</v>
      </c>
      <c r="H68" s="87">
        <v>248</v>
      </c>
      <c r="I68" s="88">
        <v>26000</v>
      </c>
      <c r="J68" s="88" t="s">
        <v>189</v>
      </c>
      <c r="K68" s="88">
        <v>28000</v>
      </c>
      <c r="L68" s="88" t="s">
        <v>75</v>
      </c>
      <c r="M68" s="89">
        <f t="shared" ref="M68:M131" si="4">I68-K68</f>
        <v>-2000</v>
      </c>
      <c r="N68" s="4">
        <f t="shared" ref="N68:N131" si="5">IF(ISERROR(K68/I68),"",K68/I68)</f>
        <v>1.0769230769230769</v>
      </c>
      <c r="O68" s="90">
        <f t="shared" ref="O68:O131" si="6">I68/E68</f>
        <v>812.5</v>
      </c>
      <c r="P68" s="90">
        <f t="shared" ref="P68:P131" si="7">K68/E68</f>
        <v>875</v>
      </c>
      <c r="Q68" s="76">
        <v>3</v>
      </c>
      <c r="R68" s="76">
        <v>2</v>
      </c>
      <c r="S68" s="76" t="s">
        <v>61</v>
      </c>
      <c r="T68" s="5">
        <v>106</v>
      </c>
      <c r="U68" s="9"/>
    </row>
    <row r="69" spans="1:21" s="37" customFormat="1" ht="12" customHeight="1" x14ac:dyDescent="0.3">
      <c r="A69" s="77" t="s">
        <v>209</v>
      </c>
      <c r="B69" s="78" t="s">
        <v>210</v>
      </c>
      <c r="C69" s="84">
        <v>390</v>
      </c>
      <c r="D69" s="85">
        <v>104.1</v>
      </c>
      <c r="E69" s="86">
        <v>31</v>
      </c>
      <c r="F69" s="85">
        <v>84.9</v>
      </c>
      <c r="G69" s="17">
        <v>26</v>
      </c>
      <c r="H69" s="87">
        <v>390</v>
      </c>
      <c r="I69" s="88">
        <v>26000</v>
      </c>
      <c r="J69" s="88" t="s">
        <v>85</v>
      </c>
      <c r="K69" s="88">
        <v>24000</v>
      </c>
      <c r="L69" s="88" t="s">
        <v>72</v>
      </c>
      <c r="M69" s="89">
        <f t="shared" si="4"/>
        <v>2000</v>
      </c>
      <c r="N69" s="4">
        <f t="shared" si="5"/>
        <v>0.92307692307692313</v>
      </c>
      <c r="O69" s="90">
        <f t="shared" si="6"/>
        <v>838.70967741935488</v>
      </c>
      <c r="P69" s="90">
        <f t="shared" si="7"/>
        <v>774.19354838709683</v>
      </c>
      <c r="Q69" s="76">
        <v>3</v>
      </c>
      <c r="R69" s="76">
        <v>2</v>
      </c>
      <c r="S69" s="76" t="s">
        <v>61</v>
      </c>
      <c r="T69" s="5">
        <v>104</v>
      </c>
      <c r="U69" s="9"/>
    </row>
    <row r="70" spans="1:21" s="37" customFormat="1" ht="12" customHeight="1" x14ac:dyDescent="0.3">
      <c r="A70" s="77" t="s">
        <v>351</v>
      </c>
      <c r="B70" s="78" t="s">
        <v>352</v>
      </c>
      <c r="C70" s="84">
        <v>639</v>
      </c>
      <c r="D70" s="85">
        <v>111.6</v>
      </c>
      <c r="E70" s="86">
        <v>34</v>
      </c>
      <c r="F70" s="85">
        <v>84.8</v>
      </c>
      <c r="G70" s="17">
        <v>26</v>
      </c>
      <c r="H70" s="87">
        <v>639</v>
      </c>
      <c r="I70" s="88">
        <v>26000</v>
      </c>
      <c r="J70" s="88" t="s">
        <v>75</v>
      </c>
      <c r="K70" s="88">
        <v>22000</v>
      </c>
      <c r="L70" s="88" t="s">
        <v>80</v>
      </c>
      <c r="M70" s="89">
        <f t="shared" si="4"/>
        <v>4000</v>
      </c>
      <c r="N70" s="4">
        <f t="shared" si="5"/>
        <v>0.84615384615384615</v>
      </c>
      <c r="O70" s="90">
        <f t="shared" si="6"/>
        <v>764.70588235294122</v>
      </c>
      <c r="P70" s="90">
        <f t="shared" si="7"/>
        <v>647.05882352941171</v>
      </c>
      <c r="Q70" s="76">
        <v>3</v>
      </c>
      <c r="R70" s="76">
        <v>2</v>
      </c>
      <c r="S70" s="76" t="s">
        <v>61</v>
      </c>
      <c r="T70" s="5">
        <v>111</v>
      </c>
      <c r="U70" s="9"/>
    </row>
    <row r="71" spans="1:21" s="37" customFormat="1" ht="12" customHeight="1" x14ac:dyDescent="0.3">
      <c r="A71" s="77" t="s">
        <v>163</v>
      </c>
      <c r="B71" s="78" t="s">
        <v>164</v>
      </c>
      <c r="C71" s="84">
        <v>510</v>
      </c>
      <c r="D71" s="85">
        <v>102.5</v>
      </c>
      <c r="E71" s="86">
        <v>31</v>
      </c>
      <c r="F71" s="85">
        <v>84.8</v>
      </c>
      <c r="G71" s="17">
        <v>26</v>
      </c>
      <c r="H71" s="87">
        <v>270</v>
      </c>
      <c r="I71" s="88">
        <v>25800</v>
      </c>
      <c r="J71" s="88" t="s">
        <v>111</v>
      </c>
      <c r="K71" s="88">
        <v>25000</v>
      </c>
      <c r="L71" s="88" t="s">
        <v>71</v>
      </c>
      <c r="M71" s="89">
        <f t="shared" si="4"/>
        <v>800</v>
      </c>
      <c r="N71" s="4">
        <f t="shared" si="5"/>
        <v>0.96899224806201545</v>
      </c>
      <c r="O71" s="90">
        <f t="shared" si="6"/>
        <v>832.25806451612902</v>
      </c>
      <c r="P71" s="90">
        <f t="shared" si="7"/>
        <v>806.45161290322585</v>
      </c>
      <c r="Q71" s="76">
        <v>3</v>
      </c>
      <c r="R71" s="76">
        <v>2</v>
      </c>
      <c r="S71" s="76" t="s">
        <v>61</v>
      </c>
      <c r="T71" s="5" t="s">
        <v>165</v>
      </c>
      <c r="U71" s="9"/>
    </row>
    <row r="72" spans="1:21" s="37" customFormat="1" ht="12" customHeight="1" x14ac:dyDescent="0.3">
      <c r="A72" s="77" t="s">
        <v>95</v>
      </c>
      <c r="B72" s="78" t="s">
        <v>79</v>
      </c>
      <c r="C72" s="84">
        <v>390</v>
      </c>
      <c r="D72" s="85">
        <v>109.7</v>
      </c>
      <c r="E72" s="86">
        <v>33</v>
      </c>
      <c r="F72" s="85">
        <v>84.3</v>
      </c>
      <c r="G72" s="17">
        <v>26</v>
      </c>
      <c r="H72" s="87">
        <v>150</v>
      </c>
      <c r="I72" s="88">
        <v>25500</v>
      </c>
      <c r="J72" s="88" t="s">
        <v>83</v>
      </c>
      <c r="K72" s="88"/>
      <c r="L72" s="88"/>
      <c r="M72" s="89">
        <f t="shared" si="4"/>
        <v>25500</v>
      </c>
      <c r="N72" s="4">
        <f t="shared" si="5"/>
        <v>0</v>
      </c>
      <c r="O72" s="90">
        <f t="shared" si="6"/>
        <v>772.72727272727275</v>
      </c>
      <c r="P72" s="90">
        <f t="shared" si="7"/>
        <v>0</v>
      </c>
      <c r="Q72" s="76">
        <v>3</v>
      </c>
      <c r="R72" s="76">
        <v>2</v>
      </c>
      <c r="S72" s="76" t="s">
        <v>61</v>
      </c>
      <c r="T72" s="5">
        <v>109</v>
      </c>
      <c r="U72" s="9"/>
    </row>
    <row r="73" spans="1:21" s="37" customFormat="1" ht="12" customHeight="1" x14ac:dyDescent="0.3">
      <c r="A73" s="77" t="s">
        <v>313</v>
      </c>
      <c r="B73" s="78" t="s">
        <v>314</v>
      </c>
      <c r="C73" s="84">
        <v>541</v>
      </c>
      <c r="D73" s="85">
        <v>113.1</v>
      </c>
      <c r="E73" s="86">
        <v>34</v>
      </c>
      <c r="F73" s="85">
        <v>85</v>
      </c>
      <c r="G73" s="17">
        <v>26</v>
      </c>
      <c r="H73" s="87">
        <v>450</v>
      </c>
      <c r="I73" s="88">
        <v>25500</v>
      </c>
      <c r="J73" s="88" t="s">
        <v>310</v>
      </c>
      <c r="K73" s="88"/>
      <c r="L73" s="88"/>
      <c r="M73" s="89">
        <f t="shared" si="4"/>
        <v>25500</v>
      </c>
      <c r="N73" s="4">
        <f t="shared" si="5"/>
        <v>0</v>
      </c>
      <c r="O73" s="90">
        <f t="shared" si="6"/>
        <v>750</v>
      </c>
      <c r="P73" s="90">
        <f t="shared" si="7"/>
        <v>0</v>
      </c>
      <c r="Q73" s="76">
        <v>3</v>
      </c>
      <c r="R73" s="76">
        <v>2</v>
      </c>
      <c r="S73" s="76" t="s">
        <v>61</v>
      </c>
      <c r="T73" s="5">
        <v>113</v>
      </c>
      <c r="U73" s="9"/>
    </row>
    <row r="74" spans="1:21" s="37" customFormat="1" ht="12" customHeight="1" x14ac:dyDescent="0.3">
      <c r="A74" s="77" t="s">
        <v>326</v>
      </c>
      <c r="B74" s="78" t="s">
        <v>327</v>
      </c>
      <c r="C74" s="84">
        <v>1329</v>
      </c>
      <c r="D74" s="85">
        <v>115</v>
      </c>
      <c r="E74" s="86">
        <v>35</v>
      </c>
      <c r="F74" s="85">
        <v>84.5</v>
      </c>
      <c r="G74" s="17">
        <v>26</v>
      </c>
      <c r="H74" s="87">
        <v>192</v>
      </c>
      <c r="I74" s="88">
        <v>25500</v>
      </c>
      <c r="J74" s="88" t="s">
        <v>84</v>
      </c>
      <c r="K74" s="88"/>
      <c r="L74" s="88"/>
      <c r="M74" s="89">
        <f t="shared" si="4"/>
        <v>25500</v>
      </c>
      <c r="N74" s="4">
        <f t="shared" si="5"/>
        <v>0</v>
      </c>
      <c r="O74" s="90">
        <f t="shared" si="6"/>
        <v>728.57142857142856</v>
      </c>
      <c r="P74" s="90">
        <f t="shared" si="7"/>
        <v>0</v>
      </c>
      <c r="Q74" s="76">
        <v>3</v>
      </c>
      <c r="R74" s="76">
        <v>2</v>
      </c>
      <c r="S74" s="76" t="s">
        <v>61</v>
      </c>
      <c r="T74" s="5">
        <v>114</v>
      </c>
      <c r="U74" s="9"/>
    </row>
    <row r="75" spans="1:21" s="37" customFormat="1" ht="12" customHeight="1" x14ac:dyDescent="0.3">
      <c r="A75" s="77" t="s">
        <v>378</v>
      </c>
      <c r="B75" s="78" t="s">
        <v>379</v>
      </c>
      <c r="C75" s="84">
        <v>370</v>
      </c>
      <c r="D75" s="85">
        <v>103.1</v>
      </c>
      <c r="E75" s="86">
        <v>31</v>
      </c>
      <c r="F75" s="85">
        <v>84.4</v>
      </c>
      <c r="G75" s="17">
        <v>26</v>
      </c>
      <c r="H75" s="87">
        <v>104</v>
      </c>
      <c r="I75" s="88">
        <v>25200</v>
      </c>
      <c r="J75" s="88" t="s">
        <v>75</v>
      </c>
      <c r="K75" s="88"/>
      <c r="L75" s="88"/>
      <c r="M75" s="89">
        <f t="shared" si="4"/>
        <v>25200</v>
      </c>
      <c r="N75" s="4">
        <f t="shared" si="5"/>
        <v>0</v>
      </c>
      <c r="O75" s="90">
        <f t="shared" si="6"/>
        <v>812.90322580645159</v>
      </c>
      <c r="P75" s="90">
        <f t="shared" si="7"/>
        <v>0</v>
      </c>
      <c r="Q75" s="76">
        <v>3</v>
      </c>
      <c r="R75" s="76">
        <v>2</v>
      </c>
      <c r="S75" s="76" t="s">
        <v>61</v>
      </c>
      <c r="T75" s="5" t="s">
        <v>226</v>
      </c>
      <c r="U75" s="9"/>
    </row>
    <row r="76" spans="1:21" s="37" customFormat="1" ht="12" customHeight="1" x14ac:dyDescent="0.3">
      <c r="A76" s="77" t="s">
        <v>102</v>
      </c>
      <c r="B76" s="78" t="s">
        <v>103</v>
      </c>
      <c r="C76" s="84">
        <v>349</v>
      </c>
      <c r="D76" s="85">
        <v>131.69999999999999</v>
      </c>
      <c r="E76" s="86">
        <v>40</v>
      </c>
      <c r="F76" s="85">
        <v>105.5</v>
      </c>
      <c r="G76" s="17">
        <v>32</v>
      </c>
      <c r="H76" s="87">
        <v>48</v>
      </c>
      <c r="I76" s="88">
        <v>25000</v>
      </c>
      <c r="J76" s="88" t="s">
        <v>104</v>
      </c>
      <c r="K76" s="88"/>
      <c r="L76" s="88"/>
      <c r="M76" s="89">
        <f t="shared" si="4"/>
        <v>25000</v>
      </c>
      <c r="N76" s="4">
        <f t="shared" si="5"/>
        <v>0</v>
      </c>
      <c r="O76" s="90">
        <f t="shared" si="6"/>
        <v>625</v>
      </c>
      <c r="P76" s="90">
        <f t="shared" si="7"/>
        <v>0</v>
      </c>
      <c r="Q76" s="76">
        <v>4</v>
      </c>
      <c r="R76" s="76">
        <v>2</v>
      </c>
      <c r="S76" s="76" t="s">
        <v>61</v>
      </c>
      <c r="T76" s="5">
        <v>131</v>
      </c>
      <c r="U76" s="9"/>
    </row>
    <row r="77" spans="1:21" s="37" customFormat="1" ht="12" customHeight="1" x14ac:dyDescent="0.3">
      <c r="A77" s="77" t="s">
        <v>179</v>
      </c>
      <c r="B77" s="78" t="s">
        <v>180</v>
      </c>
      <c r="C77" s="84">
        <v>510</v>
      </c>
      <c r="D77" s="85">
        <v>103.3</v>
      </c>
      <c r="E77" s="86">
        <v>31</v>
      </c>
      <c r="F77" s="85">
        <v>85</v>
      </c>
      <c r="G77" s="17">
        <v>26</v>
      </c>
      <c r="H77" s="87">
        <v>510</v>
      </c>
      <c r="I77" s="88">
        <v>25000</v>
      </c>
      <c r="J77" s="88" t="s">
        <v>89</v>
      </c>
      <c r="K77" s="88">
        <v>23000</v>
      </c>
      <c r="L77" s="88" t="s">
        <v>181</v>
      </c>
      <c r="M77" s="89">
        <f t="shared" si="4"/>
        <v>2000</v>
      </c>
      <c r="N77" s="4">
        <f t="shared" si="5"/>
        <v>0.92</v>
      </c>
      <c r="O77" s="90">
        <f t="shared" si="6"/>
        <v>806.45161290322585</v>
      </c>
      <c r="P77" s="90">
        <f t="shared" si="7"/>
        <v>741.93548387096769</v>
      </c>
      <c r="Q77" s="76">
        <v>3</v>
      </c>
      <c r="R77" s="76">
        <v>2</v>
      </c>
      <c r="S77" s="76" t="s">
        <v>61</v>
      </c>
      <c r="T77" s="5">
        <v>103</v>
      </c>
      <c r="U77" s="9"/>
    </row>
    <row r="78" spans="1:21" s="37" customFormat="1" ht="12" customHeight="1" x14ac:dyDescent="0.3">
      <c r="A78" s="77" t="s">
        <v>208</v>
      </c>
      <c r="B78" s="78" t="s">
        <v>110</v>
      </c>
      <c r="C78" s="84">
        <v>396</v>
      </c>
      <c r="D78" s="85">
        <v>159.69999999999999</v>
      </c>
      <c r="E78" s="86">
        <v>48</v>
      </c>
      <c r="F78" s="85">
        <v>138.80000000000001</v>
      </c>
      <c r="G78" s="17">
        <v>42</v>
      </c>
      <c r="H78" s="87">
        <v>90</v>
      </c>
      <c r="I78" s="88">
        <v>25000</v>
      </c>
      <c r="J78" s="88" t="s">
        <v>71</v>
      </c>
      <c r="K78" s="88"/>
      <c r="L78" s="88"/>
      <c r="M78" s="89">
        <f t="shared" si="4"/>
        <v>25000</v>
      </c>
      <c r="N78" s="4">
        <f t="shared" si="5"/>
        <v>0</v>
      </c>
      <c r="O78" s="90">
        <f t="shared" si="6"/>
        <v>520.83333333333337</v>
      </c>
      <c r="P78" s="90">
        <f t="shared" si="7"/>
        <v>0</v>
      </c>
      <c r="Q78" s="76">
        <v>4</v>
      </c>
      <c r="R78" s="76">
        <v>2</v>
      </c>
      <c r="S78" s="76" t="s">
        <v>61</v>
      </c>
      <c r="T78" s="5">
        <v>159</v>
      </c>
      <c r="U78" s="9"/>
    </row>
    <row r="79" spans="1:21" s="37" customFormat="1" ht="12" customHeight="1" x14ac:dyDescent="0.3">
      <c r="A79" s="77" t="s">
        <v>330</v>
      </c>
      <c r="B79" s="78" t="s">
        <v>331</v>
      </c>
      <c r="C79" s="84">
        <v>407</v>
      </c>
      <c r="D79" s="85">
        <v>110.8</v>
      </c>
      <c r="E79" s="86">
        <v>34</v>
      </c>
      <c r="F79" s="85">
        <v>85</v>
      </c>
      <c r="G79" s="17">
        <v>26</v>
      </c>
      <c r="H79" s="87">
        <v>287</v>
      </c>
      <c r="I79" s="88">
        <v>25000</v>
      </c>
      <c r="J79" s="88" t="s">
        <v>75</v>
      </c>
      <c r="K79" s="88"/>
      <c r="L79" s="88"/>
      <c r="M79" s="89">
        <f t="shared" si="4"/>
        <v>25000</v>
      </c>
      <c r="N79" s="4">
        <f t="shared" si="5"/>
        <v>0</v>
      </c>
      <c r="O79" s="90">
        <f t="shared" si="6"/>
        <v>735.29411764705878</v>
      </c>
      <c r="P79" s="90">
        <f t="shared" si="7"/>
        <v>0</v>
      </c>
      <c r="Q79" s="76">
        <v>3</v>
      </c>
      <c r="R79" s="76">
        <v>2</v>
      </c>
      <c r="S79" s="76" t="s">
        <v>61</v>
      </c>
      <c r="T79" s="5">
        <v>110</v>
      </c>
      <c r="U79" s="9"/>
    </row>
    <row r="80" spans="1:21" s="37" customFormat="1" ht="12" customHeight="1" x14ac:dyDescent="0.3">
      <c r="A80" s="77" t="s">
        <v>213</v>
      </c>
      <c r="B80" s="78" t="s">
        <v>214</v>
      </c>
      <c r="C80" s="84">
        <v>400</v>
      </c>
      <c r="D80" s="85">
        <v>125.6</v>
      </c>
      <c r="E80" s="86">
        <v>38</v>
      </c>
      <c r="F80" s="85">
        <v>100</v>
      </c>
      <c r="G80" s="17">
        <v>30</v>
      </c>
      <c r="H80" s="87">
        <v>200</v>
      </c>
      <c r="I80" s="88">
        <v>24000</v>
      </c>
      <c r="J80" s="88" t="s">
        <v>89</v>
      </c>
      <c r="K80" s="88"/>
      <c r="L80" s="88"/>
      <c r="M80" s="89">
        <f t="shared" si="4"/>
        <v>24000</v>
      </c>
      <c r="N80" s="4">
        <f t="shared" si="5"/>
        <v>0</v>
      </c>
      <c r="O80" s="90">
        <f t="shared" si="6"/>
        <v>631.57894736842104</v>
      </c>
      <c r="P80" s="90">
        <f t="shared" si="7"/>
        <v>0</v>
      </c>
      <c r="Q80" s="76">
        <v>3</v>
      </c>
      <c r="R80" s="76">
        <v>2</v>
      </c>
      <c r="S80" s="76" t="s">
        <v>61</v>
      </c>
      <c r="T80" s="5">
        <v>125</v>
      </c>
      <c r="U80" s="9"/>
    </row>
    <row r="81" spans="1:21" s="37" customFormat="1" ht="12" customHeight="1" x14ac:dyDescent="0.3">
      <c r="A81" s="77" t="s">
        <v>265</v>
      </c>
      <c r="B81" s="78" t="s">
        <v>266</v>
      </c>
      <c r="C81" s="84">
        <v>320</v>
      </c>
      <c r="D81" s="85">
        <v>100.8</v>
      </c>
      <c r="E81" s="86">
        <v>31</v>
      </c>
      <c r="F81" s="85">
        <v>83.2</v>
      </c>
      <c r="G81" s="17">
        <v>25</v>
      </c>
      <c r="H81" s="87">
        <v>320</v>
      </c>
      <c r="I81" s="88">
        <v>24000</v>
      </c>
      <c r="J81" s="88" t="s">
        <v>71</v>
      </c>
      <c r="K81" s="88"/>
      <c r="L81" s="88"/>
      <c r="M81" s="89">
        <f t="shared" si="4"/>
        <v>24000</v>
      </c>
      <c r="N81" s="4">
        <f t="shared" si="5"/>
        <v>0</v>
      </c>
      <c r="O81" s="90">
        <f t="shared" si="6"/>
        <v>774.19354838709683</v>
      </c>
      <c r="P81" s="90">
        <f t="shared" si="7"/>
        <v>0</v>
      </c>
      <c r="Q81" s="76">
        <v>3</v>
      </c>
      <c r="R81" s="76">
        <v>2</v>
      </c>
      <c r="S81" s="76" t="s">
        <v>61</v>
      </c>
      <c r="T81" s="5">
        <v>100</v>
      </c>
      <c r="U81" s="9"/>
    </row>
    <row r="82" spans="1:21" s="37" customFormat="1" ht="12" customHeight="1" x14ac:dyDescent="0.3">
      <c r="A82" s="77" t="s">
        <v>346</v>
      </c>
      <c r="B82" s="78" t="s">
        <v>347</v>
      </c>
      <c r="C82" s="84">
        <v>510</v>
      </c>
      <c r="D82" s="85">
        <v>81.400000000000006</v>
      </c>
      <c r="E82" s="86">
        <v>25</v>
      </c>
      <c r="F82" s="85">
        <v>60</v>
      </c>
      <c r="G82" s="17">
        <v>18</v>
      </c>
      <c r="H82" s="87">
        <v>193</v>
      </c>
      <c r="I82" s="88">
        <v>24000</v>
      </c>
      <c r="J82" s="88" t="s">
        <v>85</v>
      </c>
      <c r="K82" s="88"/>
      <c r="L82" s="88"/>
      <c r="M82" s="89">
        <f t="shared" si="4"/>
        <v>24000</v>
      </c>
      <c r="N82" s="4">
        <f t="shared" si="5"/>
        <v>0</v>
      </c>
      <c r="O82" s="90">
        <f t="shared" si="6"/>
        <v>960</v>
      </c>
      <c r="P82" s="90">
        <f t="shared" si="7"/>
        <v>0</v>
      </c>
      <c r="Q82" s="76">
        <v>3</v>
      </c>
      <c r="R82" s="76">
        <v>2</v>
      </c>
      <c r="S82" s="76" t="s">
        <v>61</v>
      </c>
      <c r="T82" s="5">
        <v>81</v>
      </c>
      <c r="U82" s="9"/>
    </row>
    <row r="83" spans="1:21" s="37" customFormat="1" ht="12" customHeight="1" x14ac:dyDescent="0.3">
      <c r="A83" s="77" t="s">
        <v>360</v>
      </c>
      <c r="B83" s="78" t="s">
        <v>361</v>
      </c>
      <c r="C83" s="84">
        <v>1155</v>
      </c>
      <c r="D83" s="85">
        <v>102.4</v>
      </c>
      <c r="E83" s="86">
        <v>31</v>
      </c>
      <c r="F83" s="85">
        <v>84.8</v>
      </c>
      <c r="G83" s="17">
        <v>26</v>
      </c>
      <c r="H83" s="87">
        <v>480</v>
      </c>
      <c r="I83" s="88">
        <v>24000</v>
      </c>
      <c r="J83" s="88" t="s">
        <v>85</v>
      </c>
      <c r="K83" s="88"/>
      <c r="L83" s="88"/>
      <c r="M83" s="89">
        <f t="shared" si="4"/>
        <v>24000</v>
      </c>
      <c r="N83" s="4">
        <f t="shared" si="5"/>
        <v>0</v>
      </c>
      <c r="O83" s="90">
        <f t="shared" si="6"/>
        <v>774.19354838709683</v>
      </c>
      <c r="P83" s="90">
        <f t="shared" si="7"/>
        <v>0</v>
      </c>
      <c r="Q83" s="76">
        <v>3</v>
      </c>
      <c r="R83" s="76">
        <v>2</v>
      </c>
      <c r="S83" s="76" t="s">
        <v>61</v>
      </c>
      <c r="T83" s="5">
        <v>102</v>
      </c>
      <c r="U83" s="9"/>
    </row>
    <row r="84" spans="1:21" s="37" customFormat="1" ht="12" customHeight="1" x14ac:dyDescent="0.3">
      <c r="A84" s="77" t="s">
        <v>376</v>
      </c>
      <c r="B84" s="78" t="s">
        <v>246</v>
      </c>
      <c r="C84" s="84">
        <v>386</v>
      </c>
      <c r="D84" s="85">
        <v>108.4</v>
      </c>
      <c r="E84" s="86">
        <v>33</v>
      </c>
      <c r="F84" s="85">
        <v>84.4</v>
      </c>
      <c r="G84" s="17">
        <v>26</v>
      </c>
      <c r="H84" s="87">
        <v>368</v>
      </c>
      <c r="I84" s="88">
        <v>24000</v>
      </c>
      <c r="J84" s="88" t="s">
        <v>104</v>
      </c>
      <c r="K84" s="88"/>
      <c r="L84" s="88"/>
      <c r="M84" s="89">
        <f t="shared" si="4"/>
        <v>24000</v>
      </c>
      <c r="N84" s="4">
        <f t="shared" si="5"/>
        <v>0</v>
      </c>
      <c r="O84" s="90">
        <f t="shared" si="6"/>
        <v>727.27272727272725</v>
      </c>
      <c r="P84" s="90">
        <f t="shared" si="7"/>
        <v>0</v>
      </c>
      <c r="Q84" s="76">
        <v>3</v>
      </c>
      <c r="R84" s="76">
        <v>2</v>
      </c>
      <c r="S84" s="76" t="s">
        <v>61</v>
      </c>
      <c r="T84" s="5">
        <v>108</v>
      </c>
      <c r="U84" s="9"/>
    </row>
    <row r="85" spans="1:21" s="37" customFormat="1" ht="12" customHeight="1" x14ac:dyDescent="0.3">
      <c r="A85" s="77" t="s">
        <v>385</v>
      </c>
      <c r="B85" s="78" t="s">
        <v>386</v>
      </c>
      <c r="C85" s="84">
        <v>720</v>
      </c>
      <c r="D85" s="85">
        <v>142.1</v>
      </c>
      <c r="E85" s="86">
        <v>43</v>
      </c>
      <c r="F85" s="85">
        <v>123</v>
      </c>
      <c r="G85" s="17">
        <v>37</v>
      </c>
      <c r="H85" s="87">
        <v>120</v>
      </c>
      <c r="I85" s="88">
        <v>24000</v>
      </c>
      <c r="J85" s="88" t="s">
        <v>83</v>
      </c>
      <c r="K85" s="88"/>
      <c r="L85" s="88"/>
      <c r="M85" s="89">
        <f t="shared" si="4"/>
        <v>24000</v>
      </c>
      <c r="N85" s="4">
        <f t="shared" si="5"/>
        <v>0</v>
      </c>
      <c r="O85" s="90">
        <f t="shared" si="6"/>
        <v>558.1395348837209</v>
      </c>
      <c r="P85" s="90">
        <f t="shared" si="7"/>
        <v>0</v>
      </c>
      <c r="Q85" s="76">
        <v>4</v>
      </c>
      <c r="R85" s="76">
        <v>2</v>
      </c>
      <c r="S85" s="76" t="s">
        <v>61</v>
      </c>
      <c r="T85" s="5">
        <v>142</v>
      </c>
      <c r="U85" s="9"/>
    </row>
    <row r="86" spans="1:21" s="37" customFormat="1" ht="12" customHeight="1" x14ac:dyDescent="0.3">
      <c r="A86" s="77" t="s">
        <v>464</v>
      </c>
      <c r="B86" s="78" t="s">
        <v>465</v>
      </c>
      <c r="C86" s="84">
        <v>535</v>
      </c>
      <c r="D86" s="85">
        <v>106.6</v>
      </c>
      <c r="E86" s="86">
        <v>32</v>
      </c>
      <c r="F86" s="85">
        <v>84.9</v>
      </c>
      <c r="G86" s="17">
        <v>26</v>
      </c>
      <c r="H86" s="87">
        <v>460</v>
      </c>
      <c r="I86" s="88">
        <v>24000</v>
      </c>
      <c r="J86" s="88" t="s">
        <v>89</v>
      </c>
      <c r="K86" s="88"/>
      <c r="L86" s="88"/>
      <c r="M86" s="89">
        <f t="shared" si="4"/>
        <v>24000</v>
      </c>
      <c r="N86" s="4">
        <f t="shared" si="5"/>
        <v>0</v>
      </c>
      <c r="O86" s="90">
        <f t="shared" si="6"/>
        <v>750</v>
      </c>
      <c r="P86" s="90">
        <f t="shared" si="7"/>
        <v>0</v>
      </c>
      <c r="Q86" s="76">
        <v>3</v>
      </c>
      <c r="R86" s="76">
        <v>2</v>
      </c>
      <c r="S86" s="76" t="s">
        <v>61</v>
      </c>
      <c r="T86" s="5" t="s">
        <v>466</v>
      </c>
      <c r="U86" s="9"/>
    </row>
    <row r="87" spans="1:21" s="37" customFormat="1" ht="12" customHeight="1" x14ac:dyDescent="0.3">
      <c r="A87" s="77" t="s">
        <v>474</v>
      </c>
      <c r="B87" s="78" t="s">
        <v>475</v>
      </c>
      <c r="C87" s="84">
        <v>302</v>
      </c>
      <c r="D87" s="85">
        <v>59.1</v>
      </c>
      <c r="E87" s="86">
        <v>18</v>
      </c>
      <c r="F87" s="85">
        <v>43.9</v>
      </c>
      <c r="G87" s="17">
        <v>13</v>
      </c>
      <c r="H87" s="87">
        <v>75</v>
      </c>
      <c r="I87" s="88">
        <v>24000</v>
      </c>
      <c r="J87" s="88" t="s">
        <v>89</v>
      </c>
      <c r="K87" s="88"/>
      <c r="L87" s="88"/>
      <c r="M87" s="89">
        <f t="shared" si="4"/>
        <v>24000</v>
      </c>
      <c r="N87" s="4">
        <f t="shared" si="5"/>
        <v>0</v>
      </c>
      <c r="O87" s="90">
        <f t="shared" si="6"/>
        <v>1333.3333333333333</v>
      </c>
      <c r="P87" s="90">
        <f t="shared" si="7"/>
        <v>0</v>
      </c>
      <c r="Q87" s="76">
        <v>2</v>
      </c>
      <c r="R87" s="76">
        <v>1</v>
      </c>
      <c r="S87" s="76" t="s">
        <v>61</v>
      </c>
      <c r="T87" s="5">
        <v>59</v>
      </c>
      <c r="U87" s="9"/>
    </row>
    <row r="88" spans="1:21" s="37" customFormat="1" ht="12" customHeight="1" x14ac:dyDescent="0.3">
      <c r="A88" s="77" t="s">
        <v>389</v>
      </c>
      <c r="B88" s="78" t="s">
        <v>229</v>
      </c>
      <c r="C88" s="84">
        <v>360</v>
      </c>
      <c r="D88" s="85">
        <v>104.9</v>
      </c>
      <c r="E88" s="86">
        <v>32</v>
      </c>
      <c r="F88" s="85">
        <v>84.9</v>
      </c>
      <c r="G88" s="17">
        <v>26</v>
      </c>
      <c r="H88" s="87">
        <v>180</v>
      </c>
      <c r="I88" s="88">
        <v>23500</v>
      </c>
      <c r="J88" s="88" t="s">
        <v>89</v>
      </c>
      <c r="K88" s="88"/>
      <c r="L88" s="88"/>
      <c r="M88" s="89">
        <f t="shared" si="4"/>
        <v>23500</v>
      </c>
      <c r="N88" s="4">
        <f t="shared" si="5"/>
        <v>0</v>
      </c>
      <c r="O88" s="90">
        <f t="shared" si="6"/>
        <v>734.375</v>
      </c>
      <c r="P88" s="90">
        <f t="shared" si="7"/>
        <v>0</v>
      </c>
      <c r="Q88" s="76">
        <v>3</v>
      </c>
      <c r="R88" s="76">
        <v>2</v>
      </c>
      <c r="S88" s="76" t="s">
        <v>61</v>
      </c>
      <c r="T88" s="5">
        <v>104</v>
      </c>
      <c r="U88" s="9"/>
    </row>
    <row r="89" spans="1:21" s="37" customFormat="1" ht="12" customHeight="1" x14ac:dyDescent="0.3">
      <c r="A89" s="77" t="s">
        <v>109</v>
      </c>
      <c r="B89" s="78" t="s">
        <v>110</v>
      </c>
      <c r="C89" s="84">
        <v>488</v>
      </c>
      <c r="D89" s="85">
        <v>142.30000000000001</v>
      </c>
      <c r="E89" s="86">
        <v>43</v>
      </c>
      <c r="F89" s="85">
        <v>120.3</v>
      </c>
      <c r="G89" s="17">
        <v>36</v>
      </c>
      <c r="H89" s="87">
        <v>132</v>
      </c>
      <c r="I89" s="88">
        <v>23000</v>
      </c>
      <c r="J89" s="88" t="s">
        <v>111</v>
      </c>
      <c r="K89" s="88"/>
      <c r="L89" s="88"/>
      <c r="M89" s="89">
        <f t="shared" si="4"/>
        <v>23000</v>
      </c>
      <c r="N89" s="4">
        <f t="shared" si="5"/>
        <v>0</v>
      </c>
      <c r="O89" s="90">
        <f t="shared" si="6"/>
        <v>534.88372093023258</v>
      </c>
      <c r="P89" s="90">
        <f t="shared" si="7"/>
        <v>0</v>
      </c>
      <c r="Q89" s="76">
        <v>4</v>
      </c>
      <c r="R89" s="76">
        <v>2</v>
      </c>
      <c r="S89" s="76" t="s">
        <v>61</v>
      </c>
      <c r="T89" s="5">
        <v>142</v>
      </c>
      <c r="U89" s="9"/>
    </row>
    <row r="90" spans="1:21" s="37" customFormat="1" ht="12" customHeight="1" x14ac:dyDescent="0.3">
      <c r="A90" s="77" t="s">
        <v>337</v>
      </c>
      <c r="B90" s="78" t="s">
        <v>338</v>
      </c>
      <c r="C90" s="84">
        <v>730</v>
      </c>
      <c r="D90" s="85">
        <v>110.9</v>
      </c>
      <c r="E90" s="86">
        <v>34</v>
      </c>
      <c r="F90" s="85">
        <v>84.9</v>
      </c>
      <c r="G90" s="17">
        <v>26</v>
      </c>
      <c r="H90" s="87">
        <v>186</v>
      </c>
      <c r="I90" s="88">
        <v>23000</v>
      </c>
      <c r="J90" s="88" t="s">
        <v>80</v>
      </c>
      <c r="K90" s="88"/>
      <c r="L90" s="88"/>
      <c r="M90" s="89">
        <f t="shared" si="4"/>
        <v>23000</v>
      </c>
      <c r="N90" s="4">
        <f t="shared" si="5"/>
        <v>0</v>
      </c>
      <c r="O90" s="90">
        <f t="shared" si="6"/>
        <v>676.47058823529414</v>
      </c>
      <c r="P90" s="90">
        <f t="shared" si="7"/>
        <v>0</v>
      </c>
      <c r="Q90" s="76">
        <v>3</v>
      </c>
      <c r="R90" s="76">
        <v>2</v>
      </c>
      <c r="S90" s="76" t="s">
        <v>61</v>
      </c>
      <c r="T90" s="5">
        <v>110</v>
      </c>
      <c r="U90" s="9"/>
    </row>
    <row r="91" spans="1:21" s="37" customFormat="1" ht="12" customHeight="1" x14ac:dyDescent="0.3">
      <c r="A91" s="77" t="s">
        <v>340</v>
      </c>
      <c r="B91" s="78" t="s">
        <v>341</v>
      </c>
      <c r="C91" s="84">
        <v>888</v>
      </c>
      <c r="D91" s="85">
        <v>115.4</v>
      </c>
      <c r="E91" s="86">
        <v>35</v>
      </c>
      <c r="F91" s="85">
        <v>84.6</v>
      </c>
      <c r="G91" s="17">
        <v>26</v>
      </c>
      <c r="H91" s="87">
        <v>735</v>
      </c>
      <c r="I91" s="88">
        <v>23000</v>
      </c>
      <c r="J91" s="88" t="s">
        <v>80</v>
      </c>
      <c r="K91" s="88">
        <v>24500</v>
      </c>
      <c r="L91" s="88" t="s">
        <v>72</v>
      </c>
      <c r="M91" s="89">
        <f t="shared" si="4"/>
        <v>-1500</v>
      </c>
      <c r="N91" s="4">
        <f t="shared" si="5"/>
        <v>1.0652173913043479</v>
      </c>
      <c r="O91" s="90">
        <f t="shared" si="6"/>
        <v>657.14285714285711</v>
      </c>
      <c r="P91" s="90">
        <f t="shared" si="7"/>
        <v>700</v>
      </c>
      <c r="Q91" s="76">
        <v>3</v>
      </c>
      <c r="R91" s="76">
        <v>2</v>
      </c>
      <c r="S91" s="76" t="s">
        <v>61</v>
      </c>
      <c r="T91" s="5" t="s">
        <v>342</v>
      </c>
      <c r="U91" s="9"/>
    </row>
    <row r="92" spans="1:21" s="37" customFormat="1" ht="12" customHeight="1" x14ac:dyDescent="0.3">
      <c r="A92" s="77" t="s">
        <v>349</v>
      </c>
      <c r="B92" s="78" t="s">
        <v>350</v>
      </c>
      <c r="C92" s="84">
        <v>438</v>
      </c>
      <c r="D92" s="85">
        <v>107.7</v>
      </c>
      <c r="E92" s="86">
        <v>33</v>
      </c>
      <c r="F92" s="85">
        <v>84.8</v>
      </c>
      <c r="G92" s="17">
        <v>26</v>
      </c>
      <c r="H92" s="87">
        <v>350</v>
      </c>
      <c r="I92" s="88">
        <v>23000</v>
      </c>
      <c r="J92" s="88" t="s">
        <v>80</v>
      </c>
      <c r="K92" s="88"/>
      <c r="L92" s="88"/>
      <c r="M92" s="89">
        <f t="shared" si="4"/>
        <v>23000</v>
      </c>
      <c r="N92" s="4">
        <f t="shared" si="5"/>
        <v>0</v>
      </c>
      <c r="O92" s="90">
        <f t="shared" si="6"/>
        <v>696.969696969697</v>
      </c>
      <c r="P92" s="90">
        <f t="shared" si="7"/>
        <v>0</v>
      </c>
      <c r="Q92" s="76">
        <v>3</v>
      </c>
      <c r="R92" s="76">
        <v>2</v>
      </c>
      <c r="S92" s="76" t="s">
        <v>61</v>
      </c>
      <c r="T92" s="5">
        <v>107</v>
      </c>
      <c r="U92" s="9"/>
    </row>
    <row r="93" spans="1:21" s="37" customFormat="1" ht="12" customHeight="1" x14ac:dyDescent="0.3">
      <c r="A93" s="77" t="s">
        <v>395</v>
      </c>
      <c r="B93" s="78" t="s">
        <v>388</v>
      </c>
      <c r="C93" s="84">
        <v>666</v>
      </c>
      <c r="D93" s="85">
        <v>102</v>
      </c>
      <c r="E93" s="86">
        <v>31</v>
      </c>
      <c r="F93" s="85">
        <v>84.9</v>
      </c>
      <c r="G93" s="17">
        <v>26</v>
      </c>
      <c r="H93" s="87">
        <v>264</v>
      </c>
      <c r="I93" s="88">
        <v>23000</v>
      </c>
      <c r="J93" s="88" t="s">
        <v>131</v>
      </c>
      <c r="K93" s="88"/>
      <c r="L93" s="88"/>
      <c r="M93" s="89">
        <f t="shared" si="4"/>
        <v>23000</v>
      </c>
      <c r="N93" s="4">
        <f t="shared" si="5"/>
        <v>0</v>
      </c>
      <c r="O93" s="90">
        <f t="shared" si="6"/>
        <v>741.93548387096769</v>
      </c>
      <c r="P93" s="90">
        <f t="shared" si="7"/>
        <v>0</v>
      </c>
      <c r="Q93" s="76">
        <v>3</v>
      </c>
      <c r="R93" s="76">
        <v>2</v>
      </c>
      <c r="S93" s="76" t="s">
        <v>61</v>
      </c>
      <c r="T93" s="5">
        <v>101</v>
      </c>
      <c r="U93" s="9"/>
    </row>
    <row r="94" spans="1:21" s="37" customFormat="1" ht="12" customHeight="1" x14ac:dyDescent="0.3">
      <c r="A94" s="77" t="s">
        <v>81</v>
      </c>
      <c r="B94" s="78" t="s">
        <v>82</v>
      </c>
      <c r="C94" s="84">
        <v>674</v>
      </c>
      <c r="D94" s="85">
        <v>82.1</v>
      </c>
      <c r="E94" s="86">
        <v>25</v>
      </c>
      <c r="F94" s="85">
        <v>60</v>
      </c>
      <c r="G94" s="17">
        <v>18</v>
      </c>
      <c r="H94" s="87">
        <v>107</v>
      </c>
      <c r="I94" s="88">
        <v>22000</v>
      </c>
      <c r="J94" s="88" t="s">
        <v>83</v>
      </c>
      <c r="K94" s="88"/>
      <c r="L94" s="88"/>
      <c r="M94" s="89">
        <f t="shared" si="4"/>
        <v>22000</v>
      </c>
      <c r="N94" s="4">
        <f t="shared" si="5"/>
        <v>0</v>
      </c>
      <c r="O94" s="90">
        <f t="shared" si="6"/>
        <v>880</v>
      </c>
      <c r="P94" s="90">
        <f t="shared" si="7"/>
        <v>0</v>
      </c>
      <c r="Q94" s="76">
        <v>3</v>
      </c>
      <c r="R94" s="76">
        <v>2</v>
      </c>
      <c r="S94" s="76" t="s">
        <v>61</v>
      </c>
      <c r="T94" s="5">
        <v>82</v>
      </c>
      <c r="U94" s="9"/>
    </row>
    <row r="95" spans="1:21" s="37" customFormat="1" ht="12" customHeight="1" x14ac:dyDescent="0.3">
      <c r="A95" s="77" t="s">
        <v>112</v>
      </c>
      <c r="B95" s="78" t="s">
        <v>113</v>
      </c>
      <c r="C95" s="84">
        <v>500</v>
      </c>
      <c r="D95" s="85">
        <v>57.6</v>
      </c>
      <c r="E95" s="86">
        <v>17</v>
      </c>
      <c r="F95" s="85">
        <v>46.7</v>
      </c>
      <c r="G95" s="17">
        <v>14</v>
      </c>
      <c r="H95" s="87">
        <v>80</v>
      </c>
      <c r="I95" s="88">
        <v>22000</v>
      </c>
      <c r="J95" s="88" t="s">
        <v>71</v>
      </c>
      <c r="K95" s="88"/>
      <c r="L95" s="88"/>
      <c r="M95" s="89">
        <f t="shared" si="4"/>
        <v>22000</v>
      </c>
      <c r="N95" s="4">
        <f t="shared" si="5"/>
        <v>0</v>
      </c>
      <c r="O95" s="90">
        <f t="shared" si="6"/>
        <v>1294.1176470588234</v>
      </c>
      <c r="P95" s="90">
        <f t="shared" si="7"/>
        <v>0</v>
      </c>
      <c r="Q95" s="76">
        <v>3</v>
      </c>
      <c r="R95" s="76">
        <v>1</v>
      </c>
      <c r="S95" s="76" t="s">
        <v>61</v>
      </c>
      <c r="T95" s="5" t="s">
        <v>116</v>
      </c>
      <c r="U95" s="9"/>
    </row>
    <row r="96" spans="1:21" s="37" customFormat="1" ht="12" customHeight="1" x14ac:dyDescent="0.3">
      <c r="A96" s="77" t="s">
        <v>142</v>
      </c>
      <c r="B96" s="78" t="s">
        <v>143</v>
      </c>
      <c r="C96" s="84">
        <v>900</v>
      </c>
      <c r="D96" s="85">
        <v>108.3</v>
      </c>
      <c r="E96" s="86">
        <v>33</v>
      </c>
      <c r="F96" s="85">
        <v>84.9</v>
      </c>
      <c r="G96" s="17">
        <v>26</v>
      </c>
      <c r="H96" s="87">
        <v>360</v>
      </c>
      <c r="I96" s="88">
        <v>22000</v>
      </c>
      <c r="J96" s="88" t="s">
        <v>80</v>
      </c>
      <c r="K96" s="88">
        <v>22000</v>
      </c>
      <c r="L96" s="88" t="s">
        <v>71</v>
      </c>
      <c r="M96" s="89">
        <f t="shared" si="4"/>
        <v>0</v>
      </c>
      <c r="N96" s="4">
        <f t="shared" si="5"/>
        <v>1</v>
      </c>
      <c r="O96" s="90">
        <f t="shared" si="6"/>
        <v>666.66666666666663</v>
      </c>
      <c r="P96" s="90">
        <f t="shared" si="7"/>
        <v>666.66666666666663</v>
      </c>
      <c r="Q96" s="76">
        <v>3</v>
      </c>
      <c r="R96" s="76">
        <v>2</v>
      </c>
      <c r="S96" s="76" t="s">
        <v>61</v>
      </c>
      <c r="T96" s="5">
        <v>108</v>
      </c>
      <c r="U96" s="9"/>
    </row>
    <row r="97" spans="1:21" s="37" customFormat="1" ht="12" customHeight="1" x14ac:dyDescent="0.3">
      <c r="A97" s="77" t="s">
        <v>107</v>
      </c>
      <c r="B97" s="78" t="s">
        <v>108</v>
      </c>
      <c r="C97" s="84">
        <v>540</v>
      </c>
      <c r="D97" s="85">
        <v>104.8</v>
      </c>
      <c r="E97" s="86">
        <v>32</v>
      </c>
      <c r="F97" s="85">
        <v>84.9</v>
      </c>
      <c r="G97" s="17">
        <v>26</v>
      </c>
      <c r="H97" s="87">
        <v>180</v>
      </c>
      <c r="I97" s="88">
        <v>21700</v>
      </c>
      <c r="J97" s="88" t="s">
        <v>89</v>
      </c>
      <c r="K97" s="88"/>
      <c r="L97" s="88"/>
      <c r="M97" s="89">
        <f t="shared" si="4"/>
        <v>21700</v>
      </c>
      <c r="N97" s="4">
        <f t="shared" si="5"/>
        <v>0</v>
      </c>
      <c r="O97" s="90">
        <f t="shared" si="6"/>
        <v>678.125</v>
      </c>
      <c r="P97" s="90">
        <f t="shared" si="7"/>
        <v>0</v>
      </c>
      <c r="Q97" s="76">
        <v>3</v>
      </c>
      <c r="R97" s="76">
        <v>2</v>
      </c>
      <c r="S97" s="76" t="s">
        <v>61</v>
      </c>
      <c r="T97" s="5">
        <v>104</v>
      </c>
      <c r="U97" s="9"/>
    </row>
    <row r="98" spans="1:21" s="37" customFormat="1" ht="12" customHeight="1" x14ac:dyDescent="0.3">
      <c r="A98" s="77" t="s">
        <v>224</v>
      </c>
      <c r="B98" s="78" t="s">
        <v>225</v>
      </c>
      <c r="C98" s="84">
        <v>446</v>
      </c>
      <c r="D98" s="85">
        <v>108.5</v>
      </c>
      <c r="E98" s="86">
        <v>33</v>
      </c>
      <c r="F98" s="85">
        <v>84.8</v>
      </c>
      <c r="G98" s="17">
        <v>26</v>
      </c>
      <c r="H98" s="87">
        <v>126</v>
      </c>
      <c r="I98" s="88">
        <v>21200</v>
      </c>
      <c r="J98" s="88" t="s">
        <v>89</v>
      </c>
      <c r="K98" s="88"/>
      <c r="L98" s="88"/>
      <c r="M98" s="89">
        <f t="shared" si="4"/>
        <v>21200</v>
      </c>
      <c r="N98" s="4">
        <f t="shared" si="5"/>
        <v>0</v>
      </c>
      <c r="O98" s="90">
        <f t="shared" si="6"/>
        <v>642.42424242424238</v>
      </c>
      <c r="P98" s="90">
        <f t="shared" si="7"/>
        <v>0</v>
      </c>
      <c r="Q98" s="76">
        <v>3</v>
      </c>
      <c r="R98" s="76">
        <v>2</v>
      </c>
      <c r="S98" s="76" t="s">
        <v>61</v>
      </c>
      <c r="T98" s="5">
        <v>108</v>
      </c>
      <c r="U98" s="9"/>
    </row>
    <row r="99" spans="1:21" s="37" customFormat="1" ht="12" customHeight="1" x14ac:dyDescent="0.3">
      <c r="A99" s="77" t="s">
        <v>311</v>
      </c>
      <c r="B99" s="78" t="s">
        <v>312</v>
      </c>
      <c r="C99" s="84">
        <v>477</v>
      </c>
      <c r="D99" s="85">
        <v>112.7</v>
      </c>
      <c r="E99" s="86">
        <v>34</v>
      </c>
      <c r="F99" s="85">
        <v>84.6</v>
      </c>
      <c r="G99" s="17">
        <v>26</v>
      </c>
      <c r="H99" s="87">
        <v>348</v>
      </c>
      <c r="I99" s="88">
        <v>21000</v>
      </c>
      <c r="J99" s="88" t="s">
        <v>310</v>
      </c>
      <c r="K99" s="88"/>
      <c r="L99" s="88"/>
      <c r="M99" s="89">
        <f t="shared" si="4"/>
        <v>21000</v>
      </c>
      <c r="N99" s="4">
        <f t="shared" si="5"/>
        <v>0</v>
      </c>
      <c r="O99" s="90">
        <f t="shared" si="6"/>
        <v>617.64705882352939</v>
      </c>
      <c r="P99" s="90">
        <f t="shared" si="7"/>
        <v>0</v>
      </c>
      <c r="Q99" s="76">
        <v>3</v>
      </c>
      <c r="R99" s="76">
        <v>2</v>
      </c>
      <c r="S99" s="76" t="s">
        <v>61</v>
      </c>
      <c r="T99" s="5">
        <v>112</v>
      </c>
      <c r="U99" s="9"/>
    </row>
    <row r="100" spans="1:21" s="37" customFormat="1" ht="12" customHeight="1" x14ac:dyDescent="0.3">
      <c r="A100" s="77" t="s">
        <v>392</v>
      </c>
      <c r="B100" s="78" t="s">
        <v>393</v>
      </c>
      <c r="C100" s="84">
        <v>345</v>
      </c>
      <c r="D100" s="85">
        <v>103.7</v>
      </c>
      <c r="E100" s="86">
        <v>31</v>
      </c>
      <c r="F100" s="85">
        <v>84.8</v>
      </c>
      <c r="G100" s="17">
        <v>26</v>
      </c>
      <c r="H100" s="87">
        <v>165</v>
      </c>
      <c r="I100" s="88">
        <v>21000</v>
      </c>
      <c r="J100" s="88" t="s">
        <v>71</v>
      </c>
      <c r="K100" s="88"/>
      <c r="L100" s="88"/>
      <c r="M100" s="89">
        <f t="shared" si="4"/>
        <v>21000</v>
      </c>
      <c r="N100" s="4">
        <f t="shared" si="5"/>
        <v>0</v>
      </c>
      <c r="O100" s="90">
        <f t="shared" si="6"/>
        <v>677.41935483870964</v>
      </c>
      <c r="P100" s="90">
        <f t="shared" si="7"/>
        <v>0</v>
      </c>
      <c r="Q100" s="76">
        <v>3</v>
      </c>
      <c r="R100" s="76">
        <v>2</v>
      </c>
      <c r="S100" s="76" t="s">
        <v>61</v>
      </c>
      <c r="T100" s="5">
        <v>103</v>
      </c>
      <c r="U100" s="9"/>
    </row>
    <row r="101" spans="1:21" s="37" customFormat="1" ht="12" customHeight="1" x14ac:dyDescent="0.3">
      <c r="A101" s="77" t="s">
        <v>404</v>
      </c>
      <c r="B101" s="78" t="s">
        <v>405</v>
      </c>
      <c r="C101" s="84">
        <v>626</v>
      </c>
      <c r="D101" s="85">
        <v>129.69999999999999</v>
      </c>
      <c r="E101" s="86">
        <v>39</v>
      </c>
      <c r="F101" s="85">
        <v>105.4</v>
      </c>
      <c r="G101" s="17">
        <v>32</v>
      </c>
      <c r="H101" s="87">
        <v>123</v>
      </c>
      <c r="I101" s="88">
        <v>21000</v>
      </c>
      <c r="J101" s="88" t="s">
        <v>71</v>
      </c>
      <c r="K101" s="88"/>
      <c r="L101" s="88"/>
      <c r="M101" s="89">
        <f t="shared" si="4"/>
        <v>21000</v>
      </c>
      <c r="N101" s="4">
        <f t="shared" si="5"/>
        <v>0</v>
      </c>
      <c r="O101" s="90">
        <f t="shared" si="6"/>
        <v>538.46153846153845</v>
      </c>
      <c r="P101" s="90">
        <f t="shared" si="7"/>
        <v>0</v>
      </c>
      <c r="Q101" s="76">
        <v>4</v>
      </c>
      <c r="R101" s="76">
        <v>2</v>
      </c>
      <c r="S101" s="76" t="s">
        <v>61</v>
      </c>
      <c r="T101" s="5">
        <v>129</v>
      </c>
      <c r="U101" s="9"/>
    </row>
    <row r="102" spans="1:21" s="37" customFormat="1" ht="12" customHeight="1" x14ac:dyDescent="0.3">
      <c r="A102" s="77" t="s">
        <v>109</v>
      </c>
      <c r="B102" s="78" t="s">
        <v>110</v>
      </c>
      <c r="C102" s="84">
        <v>488</v>
      </c>
      <c r="D102" s="85">
        <v>122.1</v>
      </c>
      <c r="E102" s="86">
        <v>37</v>
      </c>
      <c r="F102" s="85">
        <v>101.6</v>
      </c>
      <c r="G102" s="17">
        <v>31</v>
      </c>
      <c r="H102" s="87">
        <v>269</v>
      </c>
      <c r="I102" s="88">
        <v>20000</v>
      </c>
      <c r="J102" s="88" t="s">
        <v>84</v>
      </c>
      <c r="K102" s="88"/>
      <c r="L102" s="88"/>
      <c r="M102" s="89">
        <f t="shared" si="4"/>
        <v>20000</v>
      </c>
      <c r="N102" s="4">
        <f t="shared" si="5"/>
        <v>0</v>
      </c>
      <c r="O102" s="90">
        <f t="shared" si="6"/>
        <v>540.54054054054052</v>
      </c>
      <c r="P102" s="90">
        <f t="shared" si="7"/>
        <v>0</v>
      </c>
      <c r="Q102" s="76">
        <v>4</v>
      </c>
      <c r="R102" s="76">
        <v>2</v>
      </c>
      <c r="S102" s="76" t="s">
        <v>61</v>
      </c>
      <c r="T102" s="5">
        <v>122</v>
      </c>
      <c r="U102" s="9"/>
    </row>
    <row r="103" spans="1:21" s="37" customFormat="1" ht="12" customHeight="1" x14ac:dyDescent="0.3">
      <c r="A103" s="77" t="s">
        <v>208</v>
      </c>
      <c r="B103" s="78" t="s">
        <v>110</v>
      </c>
      <c r="C103" s="84">
        <v>396</v>
      </c>
      <c r="D103" s="85">
        <v>103.4</v>
      </c>
      <c r="E103" s="86">
        <v>31</v>
      </c>
      <c r="F103" s="85">
        <v>84.7</v>
      </c>
      <c r="G103" s="17">
        <v>26</v>
      </c>
      <c r="H103" s="87">
        <v>276</v>
      </c>
      <c r="I103" s="88">
        <v>20000</v>
      </c>
      <c r="J103" s="88" t="s">
        <v>84</v>
      </c>
      <c r="K103" s="88">
        <v>16000</v>
      </c>
      <c r="L103" s="88" t="s">
        <v>131</v>
      </c>
      <c r="M103" s="89">
        <f t="shared" si="4"/>
        <v>4000</v>
      </c>
      <c r="N103" s="4">
        <f t="shared" si="5"/>
        <v>0.8</v>
      </c>
      <c r="O103" s="90">
        <f t="shared" si="6"/>
        <v>645.16129032258061</v>
      </c>
      <c r="P103" s="90">
        <f t="shared" si="7"/>
        <v>516.12903225806451</v>
      </c>
      <c r="Q103" s="76">
        <v>3</v>
      </c>
      <c r="R103" s="76">
        <v>2</v>
      </c>
      <c r="S103" s="76" t="s">
        <v>61</v>
      </c>
      <c r="T103" s="5">
        <v>103</v>
      </c>
      <c r="U103" s="9"/>
    </row>
    <row r="104" spans="1:21" s="37" customFormat="1" ht="12" customHeight="1" x14ac:dyDescent="0.3">
      <c r="A104" s="77" t="s">
        <v>288</v>
      </c>
      <c r="B104" s="78" t="s">
        <v>289</v>
      </c>
      <c r="C104" s="84">
        <v>431</v>
      </c>
      <c r="D104" s="85">
        <v>94.1</v>
      </c>
      <c r="E104" s="86">
        <v>28</v>
      </c>
      <c r="F104" s="85">
        <v>68.900000000000006</v>
      </c>
      <c r="G104" s="17">
        <v>21</v>
      </c>
      <c r="H104" s="87">
        <v>250</v>
      </c>
      <c r="I104" s="88">
        <v>19500</v>
      </c>
      <c r="J104" s="88" t="s">
        <v>75</v>
      </c>
      <c r="K104" s="88"/>
      <c r="L104" s="88"/>
      <c r="M104" s="89">
        <f t="shared" si="4"/>
        <v>19500</v>
      </c>
      <c r="N104" s="4">
        <f t="shared" si="5"/>
        <v>0</v>
      </c>
      <c r="O104" s="90">
        <f t="shared" si="6"/>
        <v>696.42857142857144</v>
      </c>
      <c r="P104" s="90">
        <f t="shared" si="7"/>
        <v>0</v>
      </c>
      <c r="Q104" s="76">
        <v>3</v>
      </c>
      <c r="R104" s="76">
        <v>2</v>
      </c>
      <c r="S104" s="76" t="s">
        <v>61</v>
      </c>
      <c r="T104" s="5" t="s">
        <v>290</v>
      </c>
      <c r="U104" s="9"/>
    </row>
    <row r="105" spans="1:21" s="37" customFormat="1" ht="12" customHeight="1" x14ac:dyDescent="0.3">
      <c r="A105" s="77" t="s">
        <v>102</v>
      </c>
      <c r="B105" s="78" t="s">
        <v>103</v>
      </c>
      <c r="C105" s="84">
        <v>349</v>
      </c>
      <c r="D105" s="85">
        <v>105.9</v>
      </c>
      <c r="E105" s="86">
        <v>32</v>
      </c>
      <c r="F105" s="85">
        <v>84.6</v>
      </c>
      <c r="G105" s="17">
        <v>26</v>
      </c>
      <c r="H105" s="87">
        <v>252</v>
      </c>
      <c r="I105" s="88">
        <v>19000</v>
      </c>
      <c r="J105" s="88" t="s">
        <v>104</v>
      </c>
      <c r="K105" s="88"/>
      <c r="L105" s="88"/>
      <c r="M105" s="89">
        <f t="shared" si="4"/>
        <v>19000</v>
      </c>
      <c r="N105" s="4">
        <f t="shared" si="5"/>
        <v>0</v>
      </c>
      <c r="O105" s="90">
        <f t="shared" si="6"/>
        <v>593.75</v>
      </c>
      <c r="P105" s="90">
        <f t="shared" si="7"/>
        <v>0</v>
      </c>
      <c r="Q105" s="76">
        <v>3</v>
      </c>
      <c r="R105" s="76">
        <v>2</v>
      </c>
      <c r="S105" s="76" t="s">
        <v>61</v>
      </c>
      <c r="T105" s="5">
        <v>105</v>
      </c>
      <c r="U105" s="9"/>
    </row>
    <row r="106" spans="1:21" s="37" customFormat="1" ht="12" customHeight="1" x14ac:dyDescent="0.3">
      <c r="A106" s="77" t="s">
        <v>105</v>
      </c>
      <c r="B106" s="78" t="s">
        <v>106</v>
      </c>
      <c r="C106" s="84">
        <v>480</v>
      </c>
      <c r="D106" s="85">
        <v>60.9</v>
      </c>
      <c r="E106" s="86">
        <v>18</v>
      </c>
      <c r="F106" s="85">
        <v>55.3</v>
      </c>
      <c r="G106" s="17">
        <v>17</v>
      </c>
      <c r="H106" s="87">
        <v>480</v>
      </c>
      <c r="I106" s="88">
        <v>19000</v>
      </c>
      <c r="J106" s="88" t="s">
        <v>75</v>
      </c>
      <c r="K106" s="88"/>
      <c r="L106" s="88"/>
      <c r="M106" s="89">
        <f t="shared" si="4"/>
        <v>19000</v>
      </c>
      <c r="N106" s="4">
        <f t="shared" si="5"/>
        <v>0</v>
      </c>
      <c r="O106" s="90">
        <f t="shared" si="6"/>
        <v>1055.5555555555557</v>
      </c>
      <c r="P106" s="90">
        <f t="shared" si="7"/>
        <v>0</v>
      </c>
      <c r="Q106" s="76">
        <v>2</v>
      </c>
      <c r="R106" s="76">
        <v>1</v>
      </c>
      <c r="S106" s="76" t="s">
        <v>61</v>
      </c>
      <c r="T106" s="5">
        <v>60</v>
      </c>
      <c r="U106" s="9"/>
    </row>
    <row r="107" spans="1:21" s="37" customFormat="1" ht="12" customHeight="1" x14ac:dyDescent="0.3">
      <c r="A107" s="77" t="s">
        <v>307</v>
      </c>
      <c r="B107" s="78" t="s">
        <v>308</v>
      </c>
      <c r="C107" s="84">
        <v>539</v>
      </c>
      <c r="D107" s="85">
        <v>106.1</v>
      </c>
      <c r="E107" s="86">
        <v>32</v>
      </c>
      <c r="F107" s="85">
        <v>85</v>
      </c>
      <c r="G107" s="17">
        <v>26</v>
      </c>
      <c r="H107" s="87">
        <v>191</v>
      </c>
      <c r="I107" s="88">
        <v>19000</v>
      </c>
      <c r="J107" s="88" t="s">
        <v>131</v>
      </c>
      <c r="K107" s="88"/>
      <c r="L107" s="88"/>
      <c r="M107" s="89">
        <f t="shared" si="4"/>
        <v>19000</v>
      </c>
      <c r="N107" s="4">
        <f t="shared" si="5"/>
        <v>0</v>
      </c>
      <c r="O107" s="90">
        <f t="shared" si="6"/>
        <v>593.75</v>
      </c>
      <c r="P107" s="90">
        <f t="shared" si="7"/>
        <v>0</v>
      </c>
      <c r="Q107" s="76">
        <v>3</v>
      </c>
      <c r="R107" s="76">
        <v>2</v>
      </c>
      <c r="S107" s="76" t="s">
        <v>61</v>
      </c>
      <c r="T107" s="5">
        <v>106</v>
      </c>
      <c r="U107" s="9"/>
    </row>
    <row r="108" spans="1:21" s="37" customFormat="1" ht="12" customHeight="1" x14ac:dyDescent="0.3">
      <c r="A108" s="77" t="s">
        <v>395</v>
      </c>
      <c r="B108" s="78" t="s">
        <v>388</v>
      </c>
      <c r="C108" s="84">
        <v>666</v>
      </c>
      <c r="D108" s="85">
        <v>86.7</v>
      </c>
      <c r="E108" s="86">
        <v>26</v>
      </c>
      <c r="F108" s="85">
        <v>70.8</v>
      </c>
      <c r="G108" s="17">
        <v>21</v>
      </c>
      <c r="H108" s="87">
        <v>228</v>
      </c>
      <c r="I108" s="88">
        <v>19000</v>
      </c>
      <c r="J108" s="88" t="s">
        <v>90</v>
      </c>
      <c r="K108" s="88">
        <v>17500</v>
      </c>
      <c r="L108" s="88" t="s">
        <v>90</v>
      </c>
      <c r="M108" s="89">
        <f t="shared" si="4"/>
        <v>1500</v>
      </c>
      <c r="N108" s="4">
        <f t="shared" si="5"/>
        <v>0.92105263157894735</v>
      </c>
      <c r="O108" s="90">
        <f t="shared" si="6"/>
        <v>730.76923076923072</v>
      </c>
      <c r="P108" s="90">
        <f t="shared" si="7"/>
        <v>673.07692307692309</v>
      </c>
      <c r="Q108" s="76">
        <v>3</v>
      </c>
      <c r="R108" s="76">
        <v>1</v>
      </c>
      <c r="S108" s="76" t="s">
        <v>68</v>
      </c>
      <c r="T108" s="5">
        <v>86</v>
      </c>
      <c r="U108" s="9"/>
    </row>
    <row r="109" spans="1:21" s="37" customFormat="1" ht="12" customHeight="1" x14ac:dyDescent="0.3">
      <c r="A109" s="77" t="s">
        <v>404</v>
      </c>
      <c r="B109" s="78" t="s">
        <v>405</v>
      </c>
      <c r="C109" s="84">
        <v>626</v>
      </c>
      <c r="D109" s="85">
        <v>109</v>
      </c>
      <c r="E109" s="86">
        <v>33</v>
      </c>
      <c r="F109" s="85">
        <v>85</v>
      </c>
      <c r="G109" s="17">
        <v>26</v>
      </c>
      <c r="H109" s="87">
        <v>362</v>
      </c>
      <c r="I109" s="88">
        <v>19000</v>
      </c>
      <c r="J109" s="88" t="s">
        <v>84</v>
      </c>
      <c r="K109" s="88"/>
      <c r="L109" s="88"/>
      <c r="M109" s="89">
        <f t="shared" si="4"/>
        <v>19000</v>
      </c>
      <c r="N109" s="4">
        <f t="shared" si="5"/>
        <v>0</v>
      </c>
      <c r="O109" s="90">
        <f t="shared" si="6"/>
        <v>575.75757575757575</v>
      </c>
      <c r="P109" s="90">
        <f t="shared" si="7"/>
        <v>0</v>
      </c>
      <c r="Q109" s="76">
        <v>3</v>
      </c>
      <c r="R109" s="76">
        <v>2</v>
      </c>
      <c r="S109" s="76" t="s">
        <v>61</v>
      </c>
      <c r="T109" s="5">
        <v>108</v>
      </c>
      <c r="U109" s="9"/>
    </row>
    <row r="110" spans="1:21" s="37" customFormat="1" ht="12" customHeight="1" x14ac:dyDescent="0.3">
      <c r="A110" s="77" t="s">
        <v>168</v>
      </c>
      <c r="B110" s="78" t="s">
        <v>169</v>
      </c>
      <c r="C110" s="84">
        <v>630</v>
      </c>
      <c r="D110" s="85">
        <v>75.900000000000006</v>
      </c>
      <c r="E110" s="86">
        <v>23</v>
      </c>
      <c r="F110" s="85">
        <v>60</v>
      </c>
      <c r="G110" s="17">
        <v>18</v>
      </c>
      <c r="H110" s="87">
        <v>420</v>
      </c>
      <c r="I110" s="88">
        <v>18500</v>
      </c>
      <c r="J110" s="88" t="s">
        <v>131</v>
      </c>
      <c r="K110" s="88">
        <v>18000</v>
      </c>
      <c r="L110" s="88" t="s">
        <v>111</v>
      </c>
      <c r="M110" s="89">
        <f t="shared" si="4"/>
        <v>500</v>
      </c>
      <c r="N110" s="4">
        <f t="shared" si="5"/>
        <v>0.97297297297297303</v>
      </c>
      <c r="O110" s="90">
        <f t="shared" si="6"/>
        <v>804.3478260869565</v>
      </c>
      <c r="P110" s="90">
        <f t="shared" si="7"/>
        <v>782.60869565217388</v>
      </c>
      <c r="Q110" s="76">
        <v>3</v>
      </c>
      <c r="R110" s="76">
        <v>1</v>
      </c>
      <c r="S110" s="76" t="s">
        <v>61</v>
      </c>
      <c r="T110" s="5" t="s">
        <v>101</v>
      </c>
      <c r="U110" s="9"/>
    </row>
    <row r="111" spans="1:21" s="37" customFormat="1" ht="12" customHeight="1" x14ac:dyDescent="0.3">
      <c r="A111" s="77" t="s">
        <v>309</v>
      </c>
      <c r="B111" s="78" t="s">
        <v>178</v>
      </c>
      <c r="C111" s="84">
        <v>1558</v>
      </c>
      <c r="D111" s="85">
        <v>106.5</v>
      </c>
      <c r="E111" s="86">
        <v>32</v>
      </c>
      <c r="F111" s="85">
        <v>84.8</v>
      </c>
      <c r="G111" s="17">
        <v>26</v>
      </c>
      <c r="H111" s="87">
        <v>440</v>
      </c>
      <c r="I111" s="88">
        <v>18500</v>
      </c>
      <c r="J111" s="88" t="s">
        <v>248</v>
      </c>
      <c r="K111" s="88">
        <v>15000</v>
      </c>
      <c r="L111" s="88" t="s">
        <v>310</v>
      </c>
      <c r="M111" s="89">
        <f t="shared" si="4"/>
        <v>3500</v>
      </c>
      <c r="N111" s="4">
        <f t="shared" si="5"/>
        <v>0.81081081081081086</v>
      </c>
      <c r="O111" s="90">
        <f t="shared" si="6"/>
        <v>578.125</v>
      </c>
      <c r="P111" s="90">
        <f t="shared" si="7"/>
        <v>468.75</v>
      </c>
      <c r="Q111" s="76">
        <v>3</v>
      </c>
      <c r="R111" s="76">
        <v>2</v>
      </c>
      <c r="S111" s="76" t="s">
        <v>61</v>
      </c>
      <c r="T111" s="5">
        <v>106</v>
      </c>
      <c r="U111" s="9"/>
    </row>
    <row r="112" spans="1:21" s="37" customFormat="1" ht="12" customHeight="1" x14ac:dyDescent="0.3">
      <c r="A112" s="77" t="s">
        <v>358</v>
      </c>
      <c r="B112" s="78" t="s">
        <v>359</v>
      </c>
      <c r="C112" s="84">
        <v>467</v>
      </c>
      <c r="D112" s="85">
        <v>107.5</v>
      </c>
      <c r="E112" s="86">
        <v>33</v>
      </c>
      <c r="F112" s="85">
        <v>83.6</v>
      </c>
      <c r="G112" s="17">
        <v>25</v>
      </c>
      <c r="H112" s="87">
        <v>188</v>
      </c>
      <c r="I112" s="88">
        <v>18500</v>
      </c>
      <c r="J112" s="88" t="s">
        <v>71</v>
      </c>
      <c r="K112" s="88">
        <v>19000</v>
      </c>
      <c r="L112" s="88" t="s">
        <v>90</v>
      </c>
      <c r="M112" s="89">
        <f t="shared" si="4"/>
        <v>-500</v>
      </c>
      <c r="N112" s="4">
        <f t="shared" si="5"/>
        <v>1.027027027027027</v>
      </c>
      <c r="O112" s="90">
        <f t="shared" si="6"/>
        <v>560.60606060606062</v>
      </c>
      <c r="P112" s="90">
        <f t="shared" si="7"/>
        <v>575.75757575757575</v>
      </c>
      <c r="Q112" s="76">
        <v>3</v>
      </c>
      <c r="R112" s="76">
        <v>2</v>
      </c>
      <c r="S112" s="76" t="s">
        <v>68</v>
      </c>
      <c r="T112" s="5">
        <v>107</v>
      </c>
      <c r="U112" s="9"/>
    </row>
    <row r="113" spans="1:21" s="37" customFormat="1" ht="12" customHeight="1" x14ac:dyDescent="0.3">
      <c r="A113" s="77" t="s">
        <v>381</v>
      </c>
      <c r="B113" s="78" t="s">
        <v>382</v>
      </c>
      <c r="C113" s="84">
        <v>582</v>
      </c>
      <c r="D113" s="85">
        <v>86.4</v>
      </c>
      <c r="E113" s="86">
        <v>26</v>
      </c>
      <c r="F113" s="85">
        <v>70.5</v>
      </c>
      <c r="G113" s="17">
        <v>21</v>
      </c>
      <c r="H113" s="87">
        <v>192</v>
      </c>
      <c r="I113" s="88">
        <v>18200</v>
      </c>
      <c r="J113" s="88" t="s">
        <v>89</v>
      </c>
      <c r="K113" s="88"/>
      <c r="L113" s="88"/>
      <c r="M113" s="89">
        <f t="shared" si="4"/>
        <v>18200</v>
      </c>
      <c r="N113" s="4">
        <f t="shared" si="5"/>
        <v>0</v>
      </c>
      <c r="O113" s="90">
        <f t="shared" si="6"/>
        <v>700</v>
      </c>
      <c r="P113" s="90">
        <f t="shared" si="7"/>
        <v>0</v>
      </c>
      <c r="Q113" s="76">
        <v>3</v>
      </c>
      <c r="R113" s="76">
        <v>1</v>
      </c>
      <c r="S113" s="76" t="s">
        <v>61</v>
      </c>
      <c r="T113" s="5" t="s">
        <v>383</v>
      </c>
      <c r="U113" s="9"/>
    </row>
    <row r="114" spans="1:21" s="37" customFormat="1" ht="12" customHeight="1" x14ac:dyDescent="0.3">
      <c r="A114" s="77" t="s">
        <v>69</v>
      </c>
      <c r="B114" s="78" t="s">
        <v>70</v>
      </c>
      <c r="C114" s="84">
        <v>340</v>
      </c>
      <c r="D114" s="85">
        <v>105.9</v>
      </c>
      <c r="E114" s="86">
        <v>32</v>
      </c>
      <c r="F114" s="85">
        <v>85</v>
      </c>
      <c r="G114" s="17">
        <v>26</v>
      </c>
      <c r="H114" s="87">
        <v>164</v>
      </c>
      <c r="I114" s="88">
        <v>18000</v>
      </c>
      <c r="J114" s="88" t="s">
        <v>72</v>
      </c>
      <c r="K114" s="88"/>
      <c r="L114" s="88"/>
      <c r="M114" s="89">
        <f t="shared" si="4"/>
        <v>18000</v>
      </c>
      <c r="N114" s="4">
        <f t="shared" si="5"/>
        <v>0</v>
      </c>
      <c r="O114" s="90">
        <f t="shared" si="6"/>
        <v>562.5</v>
      </c>
      <c r="P114" s="90">
        <f t="shared" si="7"/>
        <v>0</v>
      </c>
      <c r="Q114" s="76">
        <v>3</v>
      </c>
      <c r="R114" s="76">
        <v>2</v>
      </c>
      <c r="S114" s="76" t="s">
        <v>61</v>
      </c>
      <c r="T114" s="5">
        <v>105</v>
      </c>
      <c r="U114" s="9"/>
    </row>
    <row r="115" spans="1:21" s="37" customFormat="1" ht="12" customHeight="1" x14ac:dyDescent="0.3">
      <c r="A115" s="77" t="s">
        <v>130</v>
      </c>
      <c r="B115" s="78" t="s">
        <v>79</v>
      </c>
      <c r="C115" s="84">
        <v>414</v>
      </c>
      <c r="D115" s="85">
        <v>80.3</v>
      </c>
      <c r="E115" s="86">
        <v>24</v>
      </c>
      <c r="F115" s="85">
        <v>59.4</v>
      </c>
      <c r="G115" s="17">
        <v>18</v>
      </c>
      <c r="H115" s="87">
        <v>378</v>
      </c>
      <c r="I115" s="88">
        <v>18000</v>
      </c>
      <c r="J115" s="88" t="s">
        <v>131</v>
      </c>
      <c r="K115" s="88">
        <v>17000</v>
      </c>
      <c r="L115" s="88" t="s">
        <v>71</v>
      </c>
      <c r="M115" s="89">
        <f t="shared" si="4"/>
        <v>1000</v>
      </c>
      <c r="N115" s="4">
        <f t="shared" si="5"/>
        <v>0.94444444444444442</v>
      </c>
      <c r="O115" s="90">
        <f t="shared" si="6"/>
        <v>750</v>
      </c>
      <c r="P115" s="90">
        <f t="shared" si="7"/>
        <v>708.33333333333337</v>
      </c>
      <c r="Q115" s="76">
        <v>3</v>
      </c>
      <c r="R115" s="76">
        <v>1</v>
      </c>
      <c r="S115" s="76" t="s">
        <v>61</v>
      </c>
      <c r="T115" s="5" t="s">
        <v>132</v>
      </c>
      <c r="U115" s="9"/>
    </row>
    <row r="116" spans="1:21" s="37" customFormat="1" ht="12" customHeight="1" x14ac:dyDescent="0.3">
      <c r="A116" s="77" t="s">
        <v>237</v>
      </c>
      <c r="B116" s="78" t="s">
        <v>238</v>
      </c>
      <c r="C116" s="84">
        <v>651</v>
      </c>
      <c r="D116" s="85">
        <v>105.2</v>
      </c>
      <c r="E116" s="86">
        <v>32</v>
      </c>
      <c r="F116" s="85">
        <v>85</v>
      </c>
      <c r="G116" s="17">
        <v>26</v>
      </c>
      <c r="H116" s="87">
        <v>312</v>
      </c>
      <c r="I116" s="88">
        <v>18000</v>
      </c>
      <c r="J116" s="88" t="s">
        <v>75</v>
      </c>
      <c r="K116" s="88">
        <v>19000</v>
      </c>
      <c r="L116" s="88" t="s">
        <v>83</v>
      </c>
      <c r="M116" s="89">
        <f t="shared" si="4"/>
        <v>-1000</v>
      </c>
      <c r="N116" s="4">
        <f t="shared" si="5"/>
        <v>1.0555555555555556</v>
      </c>
      <c r="O116" s="90">
        <f t="shared" si="6"/>
        <v>562.5</v>
      </c>
      <c r="P116" s="90">
        <f t="shared" si="7"/>
        <v>593.75</v>
      </c>
      <c r="Q116" s="76">
        <v>3</v>
      </c>
      <c r="R116" s="76">
        <v>2</v>
      </c>
      <c r="S116" s="76" t="s">
        <v>61</v>
      </c>
      <c r="T116" s="5">
        <v>105</v>
      </c>
      <c r="U116" s="9"/>
    </row>
    <row r="117" spans="1:21" s="37" customFormat="1" ht="12" customHeight="1" x14ac:dyDescent="0.3">
      <c r="A117" s="77" t="s">
        <v>296</v>
      </c>
      <c r="B117" s="78" t="s">
        <v>297</v>
      </c>
      <c r="C117" s="84">
        <v>1259</v>
      </c>
      <c r="D117" s="85">
        <v>105.6</v>
      </c>
      <c r="E117" s="86">
        <v>32</v>
      </c>
      <c r="F117" s="85">
        <v>84.8</v>
      </c>
      <c r="G117" s="17">
        <v>26</v>
      </c>
      <c r="H117" s="87">
        <v>718</v>
      </c>
      <c r="I117" s="88">
        <v>18000</v>
      </c>
      <c r="J117" s="88" t="s">
        <v>189</v>
      </c>
      <c r="K117" s="88">
        <v>21000</v>
      </c>
      <c r="L117" s="88" t="s">
        <v>181</v>
      </c>
      <c r="M117" s="89">
        <f t="shared" si="4"/>
        <v>-3000</v>
      </c>
      <c r="N117" s="4">
        <f t="shared" si="5"/>
        <v>1.1666666666666667</v>
      </c>
      <c r="O117" s="90">
        <f t="shared" si="6"/>
        <v>562.5</v>
      </c>
      <c r="P117" s="90">
        <f t="shared" si="7"/>
        <v>656.25</v>
      </c>
      <c r="Q117" s="76">
        <v>3</v>
      </c>
      <c r="R117" s="76">
        <v>2</v>
      </c>
      <c r="S117" s="76" t="s">
        <v>61</v>
      </c>
      <c r="T117" s="5">
        <v>105</v>
      </c>
      <c r="U117" s="9"/>
    </row>
    <row r="118" spans="1:21" s="37" customFormat="1" ht="12" customHeight="1" x14ac:dyDescent="0.3">
      <c r="A118" s="77" t="s">
        <v>112</v>
      </c>
      <c r="B118" s="78" t="s">
        <v>113</v>
      </c>
      <c r="C118" s="84">
        <v>500</v>
      </c>
      <c r="D118" s="85">
        <v>49.5</v>
      </c>
      <c r="E118" s="86">
        <v>15</v>
      </c>
      <c r="F118" s="85">
        <v>39.299999999999997</v>
      </c>
      <c r="G118" s="17">
        <v>12</v>
      </c>
      <c r="H118" s="87">
        <v>190</v>
      </c>
      <c r="I118" s="88">
        <v>17800</v>
      </c>
      <c r="J118" s="88" t="s">
        <v>75</v>
      </c>
      <c r="K118" s="88">
        <v>3000</v>
      </c>
      <c r="L118" s="88" t="s">
        <v>75</v>
      </c>
      <c r="M118" s="89">
        <f t="shared" si="4"/>
        <v>14800</v>
      </c>
      <c r="N118" s="4">
        <f t="shared" si="5"/>
        <v>0.16853932584269662</v>
      </c>
      <c r="O118" s="90">
        <f t="shared" si="6"/>
        <v>1186.6666666666667</v>
      </c>
      <c r="P118" s="90">
        <f t="shared" si="7"/>
        <v>200</v>
      </c>
      <c r="Q118" s="76">
        <v>2</v>
      </c>
      <c r="R118" s="76">
        <v>1</v>
      </c>
      <c r="S118" s="76" t="s">
        <v>61</v>
      </c>
      <c r="T118" s="5" t="s">
        <v>114</v>
      </c>
      <c r="U118" s="9"/>
    </row>
    <row r="119" spans="1:21" s="37" customFormat="1" ht="12" customHeight="1" x14ac:dyDescent="0.3">
      <c r="A119" s="77" t="s">
        <v>170</v>
      </c>
      <c r="B119" s="78" t="s">
        <v>171</v>
      </c>
      <c r="C119" s="84">
        <v>1408</v>
      </c>
      <c r="D119" s="85">
        <v>78.2</v>
      </c>
      <c r="E119" s="86">
        <v>24</v>
      </c>
      <c r="F119" s="85">
        <v>59.9</v>
      </c>
      <c r="G119" s="17">
        <v>18</v>
      </c>
      <c r="H119" s="87">
        <v>704</v>
      </c>
      <c r="I119" s="88">
        <v>17500</v>
      </c>
      <c r="J119" s="88" t="s">
        <v>172</v>
      </c>
      <c r="K119" s="88">
        <v>16500</v>
      </c>
      <c r="L119" s="88" t="s">
        <v>72</v>
      </c>
      <c r="M119" s="89">
        <f t="shared" si="4"/>
        <v>1000</v>
      </c>
      <c r="N119" s="4">
        <f t="shared" si="5"/>
        <v>0.94285714285714284</v>
      </c>
      <c r="O119" s="90">
        <f t="shared" si="6"/>
        <v>729.16666666666663</v>
      </c>
      <c r="P119" s="90">
        <f t="shared" si="7"/>
        <v>687.5</v>
      </c>
      <c r="Q119" s="76">
        <v>3</v>
      </c>
      <c r="R119" s="76">
        <v>1</v>
      </c>
      <c r="S119" s="76" t="s">
        <v>61</v>
      </c>
      <c r="T119" s="5" t="s">
        <v>173</v>
      </c>
      <c r="U119" s="9"/>
    </row>
    <row r="120" spans="1:21" s="37" customFormat="1" ht="12" customHeight="1" x14ac:dyDescent="0.3">
      <c r="A120" s="77" t="s">
        <v>239</v>
      </c>
      <c r="B120" s="78" t="s">
        <v>240</v>
      </c>
      <c r="C120" s="84">
        <v>444</v>
      </c>
      <c r="D120" s="85">
        <v>103.5</v>
      </c>
      <c r="E120" s="86">
        <v>31</v>
      </c>
      <c r="F120" s="85">
        <v>84.9</v>
      </c>
      <c r="G120" s="17">
        <v>26</v>
      </c>
      <c r="H120" s="87">
        <v>215</v>
      </c>
      <c r="I120" s="88">
        <v>17500</v>
      </c>
      <c r="J120" s="88" t="s">
        <v>71</v>
      </c>
      <c r="K120" s="88">
        <v>16000</v>
      </c>
      <c r="L120" s="88" t="s">
        <v>71</v>
      </c>
      <c r="M120" s="89">
        <f t="shared" si="4"/>
        <v>1500</v>
      </c>
      <c r="N120" s="4">
        <f t="shared" si="5"/>
        <v>0.91428571428571426</v>
      </c>
      <c r="O120" s="90">
        <f t="shared" si="6"/>
        <v>564.51612903225805</v>
      </c>
      <c r="P120" s="90">
        <f t="shared" si="7"/>
        <v>516.12903225806451</v>
      </c>
      <c r="Q120" s="76">
        <v>3</v>
      </c>
      <c r="R120" s="76">
        <v>2</v>
      </c>
      <c r="S120" s="76" t="s">
        <v>61</v>
      </c>
      <c r="T120" s="5">
        <v>103</v>
      </c>
      <c r="U120" s="9"/>
    </row>
    <row r="121" spans="1:21" s="37" customFormat="1" ht="12" customHeight="1" x14ac:dyDescent="0.3">
      <c r="A121" s="77" t="s">
        <v>142</v>
      </c>
      <c r="B121" s="78" t="s">
        <v>143</v>
      </c>
      <c r="C121" s="84">
        <v>900</v>
      </c>
      <c r="D121" s="85">
        <v>76.5</v>
      </c>
      <c r="E121" s="86">
        <v>23</v>
      </c>
      <c r="F121" s="85">
        <v>60</v>
      </c>
      <c r="G121" s="17">
        <v>18</v>
      </c>
      <c r="H121" s="87">
        <v>540</v>
      </c>
      <c r="I121" s="88">
        <v>17300</v>
      </c>
      <c r="J121" s="88" t="s">
        <v>84</v>
      </c>
      <c r="K121" s="88"/>
      <c r="L121" s="88"/>
      <c r="M121" s="89">
        <f t="shared" si="4"/>
        <v>17300</v>
      </c>
      <c r="N121" s="4">
        <f t="shared" si="5"/>
        <v>0</v>
      </c>
      <c r="O121" s="90">
        <f t="shared" si="6"/>
        <v>752.17391304347825</v>
      </c>
      <c r="P121" s="90">
        <f t="shared" si="7"/>
        <v>0</v>
      </c>
      <c r="Q121" s="76">
        <v>3</v>
      </c>
      <c r="R121" s="76">
        <v>1</v>
      </c>
      <c r="S121" s="76" t="s">
        <v>61</v>
      </c>
      <c r="T121" s="5">
        <v>76</v>
      </c>
      <c r="U121" s="9"/>
    </row>
    <row r="122" spans="1:21" s="37" customFormat="1" ht="12" customHeight="1" x14ac:dyDescent="0.3">
      <c r="A122" s="77" t="s">
        <v>373</v>
      </c>
      <c r="B122" s="78" t="s">
        <v>374</v>
      </c>
      <c r="C122" s="84">
        <v>343</v>
      </c>
      <c r="D122" s="85">
        <v>101.2</v>
      </c>
      <c r="E122" s="86">
        <v>31</v>
      </c>
      <c r="F122" s="85">
        <v>84.9</v>
      </c>
      <c r="G122" s="17">
        <v>26</v>
      </c>
      <c r="H122" s="87">
        <v>167</v>
      </c>
      <c r="I122" s="88">
        <v>17000</v>
      </c>
      <c r="J122" s="88" t="s">
        <v>104</v>
      </c>
      <c r="K122" s="88"/>
      <c r="L122" s="88"/>
      <c r="M122" s="89">
        <f t="shared" si="4"/>
        <v>17000</v>
      </c>
      <c r="N122" s="4">
        <f t="shared" si="5"/>
        <v>0</v>
      </c>
      <c r="O122" s="90">
        <f t="shared" si="6"/>
        <v>548.38709677419354</v>
      </c>
      <c r="P122" s="90">
        <f t="shared" si="7"/>
        <v>0</v>
      </c>
      <c r="Q122" s="76">
        <v>3</v>
      </c>
      <c r="R122" s="76">
        <v>2</v>
      </c>
      <c r="S122" s="76" t="s">
        <v>61</v>
      </c>
      <c r="T122" s="5">
        <v>101</v>
      </c>
      <c r="U122" s="9"/>
    </row>
    <row r="123" spans="1:21" s="37" customFormat="1" ht="12" customHeight="1" x14ac:dyDescent="0.3">
      <c r="A123" s="77" t="s">
        <v>88</v>
      </c>
      <c r="B123" s="78" t="s">
        <v>74</v>
      </c>
      <c r="C123" s="84">
        <v>444</v>
      </c>
      <c r="D123" s="85">
        <v>72.400000000000006</v>
      </c>
      <c r="E123" s="86">
        <v>22</v>
      </c>
      <c r="F123" s="85">
        <v>59.7</v>
      </c>
      <c r="G123" s="17">
        <v>18</v>
      </c>
      <c r="H123" s="87">
        <v>372</v>
      </c>
      <c r="I123" s="88">
        <v>16500</v>
      </c>
      <c r="J123" s="88" t="s">
        <v>89</v>
      </c>
      <c r="K123" s="88">
        <v>5500</v>
      </c>
      <c r="L123" s="88" t="s">
        <v>90</v>
      </c>
      <c r="M123" s="89">
        <f t="shared" si="4"/>
        <v>11000</v>
      </c>
      <c r="N123" s="4">
        <f t="shared" si="5"/>
        <v>0.33333333333333331</v>
      </c>
      <c r="O123" s="90">
        <f t="shared" si="6"/>
        <v>750</v>
      </c>
      <c r="P123" s="90">
        <f t="shared" si="7"/>
        <v>250</v>
      </c>
      <c r="Q123" s="76">
        <v>3</v>
      </c>
      <c r="R123" s="76">
        <v>1</v>
      </c>
      <c r="S123" s="76" t="s">
        <v>61</v>
      </c>
      <c r="T123" s="5" t="s">
        <v>91</v>
      </c>
      <c r="U123" s="9"/>
    </row>
    <row r="124" spans="1:21" s="37" customFormat="1" ht="12" customHeight="1" x14ac:dyDescent="0.3">
      <c r="A124" s="77" t="s">
        <v>96</v>
      </c>
      <c r="B124" s="78" t="s">
        <v>97</v>
      </c>
      <c r="C124" s="84">
        <v>460</v>
      </c>
      <c r="D124" s="85">
        <v>68</v>
      </c>
      <c r="E124" s="86">
        <v>21</v>
      </c>
      <c r="F124" s="85">
        <v>59.9</v>
      </c>
      <c r="G124" s="17">
        <v>18</v>
      </c>
      <c r="H124" s="87">
        <v>460</v>
      </c>
      <c r="I124" s="88">
        <v>16500</v>
      </c>
      <c r="J124" s="88" t="s">
        <v>75</v>
      </c>
      <c r="K124" s="88">
        <v>9500</v>
      </c>
      <c r="L124" s="88" t="s">
        <v>75</v>
      </c>
      <c r="M124" s="89">
        <f t="shared" si="4"/>
        <v>7000</v>
      </c>
      <c r="N124" s="4">
        <f t="shared" si="5"/>
        <v>0.5757575757575758</v>
      </c>
      <c r="O124" s="90">
        <f t="shared" si="6"/>
        <v>785.71428571428567</v>
      </c>
      <c r="P124" s="90">
        <f t="shared" si="7"/>
        <v>452.38095238095241</v>
      </c>
      <c r="Q124" s="76">
        <v>3</v>
      </c>
      <c r="R124" s="76">
        <v>1</v>
      </c>
      <c r="S124" s="76" t="s">
        <v>61</v>
      </c>
      <c r="T124" s="5">
        <v>68</v>
      </c>
      <c r="U124" s="9"/>
    </row>
    <row r="125" spans="1:21" s="37" customFormat="1" ht="12" customHeight="1" x14ac:dyDescent="0.3">
      <c r="A125" s="77" t="s">
        <v>207</v>
      </c>
      <c r="B125" s="78" t="s">
        <v>183</v>
      </c>
      <c r="C125" s="84">
        <v>930</v>
      </c>
      <c r="D125" s="85">
        <v>76</v>
      </c>
      <c r="E125" s="86">
        <v>23</v>
      </c>
      <c r="F125" s="85">
        <v>60</v>
      </c>
      <c r="G125" s="17">
        <v>18</v>
      </c>
      <c r="H125" s="87">
        <v>930</v>
      </c>
      <c r="I125" s="88">
        <v>16500</v>
      </c>
      <c r="J125" s="88" t="s">
        <v>72</v>
      </c>
      <c r="K125" s="88">
        <v>16500</v>
      </c>
      <c r="L125" s="88" t="s">
        <v>80</v>
      </c>
      <c r="M125" s="89">
        <f t="shared" si="4"/>
        <v>0</v>
      </c>
      <c r="N125" s="4">
        <f t="shared" si="5"/>
        <v>1</v>
      </c>
      <c r="O125" s="90">
        <f t="shared" si="6"/>
        <v>717.39130434782612</v>
      </c>
      <c r="P125" s="90">
        <f t="shared" si="7"/>
        <v>717.39130434782612</v>
      </c>
      <c r="Q125" s="76">
        <v>3</v>
      </c>
      <c r="R125" s="76">
        <v>1</v>
      </c>
      <c r="S125" s="76" t="s">
        <v>61</v>
      </c>
      <c r="T125" s="5">
        <v>76</v>
      </c>
      <c r="U125" s="9"/>
    </row>
    <row r="126" spans="1:21" s="37" customFormat="1" ht="12" customHeight="1" x14ac:dyDescent="0.3">
      <c r="A126" s="77" t="s">
        <v>296</v>
      </c>
      <c r="B126" s="78" t="s">
        <v>297</v>
      </c>
      <c r="C126" s="84">
        <v>1259</v>
      </c>
      <c r="D126" s="85">
        <v>93.7</v>
      </c>
      <c r="E126" s="86">
        <v>28</v>
      </c>
      <c r="F126" s="85">
        <v>73</v>
      </c>
      <c r="G126" s="17">
        <v>22</v>
      </c>
      <c r="H126" s="87">
        <v>256</v>
      </c>
      <c r="I126" s="88">
        <v>16500</v>
      </c>
      <c r="J126" s="88" t="s">
        <v>90</v>
      </c>
      <c r="K126" s="88"/>
      <c r="L126" s="88"/>
      <c r="M126" s="89">
        <f t="shared" si="4"/>
        <v>16500</v>
      </c>
      <c r="N126" s="4">
        <f t="shared" si="5"/>
        <v>0</v>
      </c>
      <c r="O126" s="90">
        <f t="shared" si="6"/>
        <v>589.28571428571433</v>
      </c>
      <c r="P126" s="90">
        <f t="shared" si="7"/>
        <v>0</v>
      </c>
      <c r="Q126" s="76">
        <v>3</v>
      </c>
      <c r="R126" s="76">
        <v>1</v>
      </c>
      <c r="S126" s="76" t="s">
        <v>61</v>
      </c>
      <c r="T126" s="5">
        <v>93</v>
      </c>
      <c r="U126" s="9"/>
    </row>
    <row r="127" spans="1:21" s="37" customFormat="1" ht="12" customHeight="1" x14ac:dyDescent="0.3">
      <c r="A127" s="77" t="s">
        <v>326</v>
      </c>
      <c r="B127" s="78" t="s">
        <v>327</v>
      </c>
      <c r="C127" s="84">
        <v>1329</v>
      </c>
      <c r="D127" s="85">
        <v>81.5</v>
      </c>
      <c r="E127" s="86">
        <v>25</v>
      </c>
      <c r="F127" s="85">
        <v>59.9</v>
      </c>
      <c r="G127" s="17">
        <v>18</v>
      </c>
      <c r="H127" s="87">
        <v>778</v>
      </c>
      <c r="I127" s="88">
        <v>16300</v>
      </c>
      <c r="J127" s="88" t="s">
        <v>189</v>
      </c>
      <c r="K127" s="88"/>
      <c r="L127" s="88"/>
      <c r="M127" s="89">
        <f t="shared" si="4"/>
        <v>16300</v>
      </c>
      <c r="N127" s="4">
        <f t="shared" si="5"/>
        <v>0</v>
      </c>
      <c r="O127" s="90">
        <f t="shared" si="6"/>
        <v>652</v>
      </c>
      <c r="P127" s="90">
        <f t="shared" si="7"/>
        <v>0</v>
      </c>
      <c r="Q127" s="76">
        <v>3</v>
      </c>
      <c r="R127" s="76">
        <v>2</v>
      </c>
      <c r="S127" s="76" t="s">
        <v>61</v>
      </c>
      <c r="T127" s="5">
        <v>81</v>
      </c>
      <c r="U127" s="9"/>
    </row>
    <row r="128" spans="1:21" s="37" customFormat="1" ht="12" customHeight="1" x14ac:dyDescent="0.3">
      <c r="A128" s="77" t="s">
        <v>482</v>
      </c>
      <c r="B128" s="78" t="s">
        <v>198</v>
      </c>
      <c r="C128" s="84">
        <v>438</v>
      </c>
      <c r="D128" s="85">
        <v>77.900000000000006</v>
      </c>
      <c r="E128" s="86">
        <v>24</v>
      </c>
      <c r="F128" s="85">
        <v>59.9</v>
      </c>
      <c r="G128" s="17">
        <v>18</v>
      </c>
      <c r="H128" s="87">
        <v>324</v>
      </c>
      <c r="I128" s="88">
        <v>16300</v>
      </c>
      <c r="J128" s="88" t="s">
        <v>84</v>
      </c>
      <c r="K128" s="88">
        <v>15000</v>
      </c>
      <c r="L128" s="88" t="s">
        <v>131</v>
      </c>
      <c r="M128" s="89">
        <f t="shared" si="4"/>
        <v>1300</v>
      </c>
      <c r="N128" s="4">
        <f t="shared" si="5"/>
        <v>0.92024539877300615</v>
      </c>
      <c r="O128" s="90">
        <f t="shared" si="6"/>
        <v>679.16666666666663</v>
      </c>
      <c r="P128" s="90">
        <f t="shared" si="7"/>
        <v>625</v>
      </c>
      <c r="Q128" s="76">
        <v>3</v>
      </c>
      <c r="R128" s="76">
        <v>2</v>
      </c>
      <c r="S128" s="76" t="s">
        <v>61</v>
      </c>
      <c r="T128" s="5">
        <v>77</v>
      </c>
      <c r="U128" s="9"/>
    </row>
    <row r="129" spans="1:21" s="37" customFormat="1" ht="12" customHeight="1" x14ac:dyDescent="0.3">
      <c r="A129" s="77" t="s">
        <v>129</v>
      </c>
      <c r="B129" s="78" t="s">
        <v>99</v>
      </c>
      <c r="C129" s="84">
        <v>637</v>
      </c>
      <c r="D129" s="85">
        <v>76.7</v>
      </c>
      <c r="E129" s="86">
        <v>23</v>
      </c>
      <c r="F129" s="85">
        <v>60</v>
      </c>
      <c r="G129" s="17">
        <v>18</v>
      </c>
      <c r="H129" s="87">
        <v>637</v>
      </c>
      <c r="I129" s="88">
        <v>16000</v>
      </c>
      <c r="J129" s="88" t="s">
        <v>89</v>
      </c>
      <c r="K129" s="88">
        <v>17000</v>
      </c>
      <c r="L129" s="88" t="s">
        <v>89</v>
      </c>
      <c r="M129" s="89">
        <f t="shared" si="4"/>
        <v>-1000</v>
      </c>
      <c r="N129" s="4">
        <f t="shared" si="5"/>
        <v>1.0625</v>
      </c>
      <c r="O129" s="90">
        <f t="shared" si="6"/>
        <v>695.6521739130435</v>
      </c>
      <c r="P129" s="90">
        <f t="shared" si="7"/>
        <v>739.13043478260875</v>
      </c>
      <c r="Q129" s="76">
        <v>3</v>
      </c>
      <c r="R129" s="76">
        <v>1</v>
      </c>
      <c r="S129" s="76" t="s">
        <v>61</v>
      </c>
      <c r="T129" s="5">
        <v>76</v>
      </c>
      <c r="U129" s="9"/>
    </row>
    <row r="130" spans="1:21" s="37" customFormat="1" ht="12" customHeight="1" x14ac:dyDescent="0.3">
      <c r="A130" s="77" t="s">
        <v>485</v>
      </c>
      <c r="B130" s="78" t="s">
        <v>79</v>
      </c>
      <c r="C130" s="84">
        <v>766</v>
      </c>
      <c r="D130" s="85">
        <v>80.400000000000006</v>
      </c>
      <c r="E130" s="86">
        <v>24</v>
      </c>
      <c r="F130" s="85">
        <v>59.9</v>
      </c>
      <c r="G130" s="17">
        <v>18</v>
      </c>
      <c r="H130" s="87">
        <v>691</v>
      </c>
      <c r="I130" s="88">
        <v>16000</v>
      </c>
      <c r="J130" s="88" t="s">
        <v>84</v>
      </c>
      <c r="K130" s="88">
        <v>15000</v>
      </c>
      <c r="L130" s="88" t="s">
        <v>75</v>
      </c>
      <c r="M130" s="89">
        <f t="shared" si="4"/>
        <v>1000</v>
      </c>
      <c r="N130" s="4">
        <f t="shared" si="5"/>
        <v>0.9375</v>
      </c>
      <c r="O130" s="90">
        <f t="shared" si="6"/>
        <v>666.66666666666663</v>
      </c>
      <c r="P130" s="90">
        <f t="shared" si="7"/>
        <v>625</v>
      </c>
      <c r="Q130" s="76">
        <v>3</v>
      </c>
      <c r="R130" s="76">
        <v>1</v>
      </c>
      <c r="S130" s="76" t="s">
        <v>61</v>
      </c>
      <c r="T130" s="5" t="s">
        <v>132</v>
      </c>
      <c r="U130" s="9"/>
    </row>
    <row r="131" spans="1:21" s="37" customFormat="1" ht="12" customHeight="1" x14ac:dyDescent="0.3">
      <c r="A131" s="77" t="s">
        <v>311</v>
      </c>
      <c r="B131" s="78" t="s">
        <v>312</v>
      </c>
      <c r="C131" s="84">
        <v>477</v>
      </c>
      <c r="D131" s="85">
        <v>80</v>
      </c>
      <c r="E131" s="86">
        <v>24</v>
      </c>
      <c r="F131" s="85">
        <v>59.9</v>
      </c>
      <c r="G131" s="17">
        <v>18</v>
      </c>
      <c r="H131" s="87">
        <v>129</v>
      </c>
      <c r="I131" s="88">
        <v>15700</v>
      </c>
      <c r="J131" s="88" t="s">
        <v>84</v>
      </c>
      <c r="K131" s="88"/>
      <c r="L131" s="88"/>
      <c r="M131" s="89">
        <f t="shared" si="4"/>
        <v>15700</v>
      </c>
      <c r="N131" s="4">
        <f t="shared" si="5"/>
        <v>0</v>
      </c>
      <c r="O131" s="90">
        <f t="shared" si="6"/>
        <v>654.16666666666663</v>
      </c>
      <c r="P131" s="90">
        <f t="shared" si="7"/>
        <v>0</v>
      </c>
      <c r="Q131" s="76">
        <v>3</v>
      </c>
      <c r="R131" s="76">
        <v>1</v>
      </c>
      <c r="S131" s="76" t="s">
        <v>61</v>
      </c>
      <c r="T131" s="5">
        <v>80</v>
      </c>
      <c r="U131" s="9"/>
    </row>
    <row r="132" spans="1:21" s="37" customFormat="1" ht="12" customHeight="1" x14ac:dyDescent="0.3">
      <c r="A132" s="77" t="s">
        <v>107</v>
      </c>
      <c r="B132" s="78" t="s">
        <v>108</v>
      </c>
      <c r="C132" s="84">
        <v>540</v>
      </c>
      <c r="D132" s="85">
        <v>77.5</v>
      </c>
      <c r="E132" s="86">
        <v>23</v>
      </c>
      <c r="F132" s="85">
        <v>59.9</v>
      </c>
      <c r="G132" s="17">
        <v>18</v>
      </c>
      <c r="H132" s="87">
        <v>360</v>
      </c>
      <c r="I132" s="88">
        <v>15500</v>
      </c>
      <c r="J132" s="88" t="s">
        <v>90</v>
      </c>
      <c r="K132" s="88"/>
      <c r="L132" s="88"/>
      <c r="M132" s="89">
        <f t="shared" ref="M132:M195" si="8">I132-K132</f>
        <v>15500</v>
      </c>
      <c r="N132" s="4">
        <f t="shared" ref="N132:N195" si="9">IF(ISERROR(K132/I132),"",K132/I132)</f>
        <v>0</v>
      </c>
      <c r="O132" s="90">
        <f t="shared" ref="O132:O195" si="10">I132/E132</f>
        <v>673.91304347826087</v>
      </c>
      <c r="P132" s="90">
        <f t="shared" ref="P132:P195" si="11">K132/E132</f>
        <v>0</v>
      </c>
      <c r="Q132" s="76">
        <v>3</v>
      </c>
      <c r="R132" s="76">
        <v>1</v>
      </c>
      <c r="S132" s="76" t="s">
        <v>61</v>
      </c>
      <c r="T132" s="5">
        <v>77</v>
      </c>
      <c r="U132" s="9"/>
    </row>
    <row r="133" spans="1:21" s="37" customFormat="1" ht="12" customHeight="1" x14ac:dyDescent="0.3">
      <c r="A133" s="77" t="s">
        <v>185</v>
      </c>
      <c r="B133" s="78" t="s">
        <v>186</v>
      </c>
      <c r="C133" s="84">
        <v>1390</v>
      </c>
      <c r="D133" s="85">
        <v>52.5</v>
      </c>
      <c r="E133" s="86">
        <v>16</v>
      </c>
      <c r="F133" s="85">
        <v>35</v>
      </c>
      <c r="G133" s="17">
        <v>11</v>
      </c>
      <c r="H133" s="87">
        <v>48</v>
      </c>
      <c r="I133" s="88">
        <v>15500</v>
      </c>
      <c r="J133" s="88" t="s">
        <v>89</v>
      </c>
      <c r="K133" s="88"/>
      <c r="L133" s="88"/>
      <c r="M133" s="89">
        <f t="shared" si="8"/>
        <v>15500</v>
      </c>
      <c r="N133" s="4">
        <f t="shared" si="9"/>
        <v>0</v>
      </c>
      <c r="O133" s="90">
        <f t="shared" si="10"/>
        <v>968.75</v>
      </c>
      <c r="P133" s="90">
        <f t="shared" si="11"/>
        <v>0</v>
      </c>
      <c r="Q133" s="76">
        <v>1</v>
      </c>
      <c r="R133" s="76">
        <v>1</v>
      </c>
      <c r="S133" s="76" t="s">
        <v>61</v>
      </c>
      <c r="T133" s="5">
        <v>52</v>
      </c>
      <c r="U133" s="9"/>
    </row>
    <row r="134" spans="1:21" s="37" customFormat="1" ht="12" customHeight="1" x14ac:dyDescent="0.3">
      <c r="A134" s="77" t="s">
        <v>373</v>
      </c>
      <c r="B134" s="78" t="s">
        <v>374</v>
      </c>
      <c r="C134" s="84">
        <v>343</v>
      </c>
      <c r="D134" s="85">
        <v>89.7</v>
      </c>
      <c r="E134" s="86">
        <v>27</v>
      </c>
      <c r="F134" s="85">
        <v>75.2</v>
      </c>
      <c r="G134" s="17">
        <v>23</v>
      </c>
      <c r="H134" s="87">
        <v>65</v>
      </c>
      <c r="I134" s="88">
        <v>15500</v>
      </c>
      <c r="J134" s="88" t="s">
        <v>75</v>
      </c>
      <c r="K134" s="88"/>
      <c r="L134" s="88"/>
      <c r="M134" s="89">
        <f t="shared" si="8"/>
        <v>15500</v>
      </c>
      <c r="N134" s="4">
        <f t="shared" si="9"/>
        <v>0</v>
      </c>
      <c r="O134" s="90">
        <f t="shared" si="10"/>
        <v>574.07407407407402</v>
      </c>
      <c r="P134" s="90">
        <f t="shared" si="11"/>
        <v>0</v>
      </c>
      <c r="Q134" s="76">
        <v>3</v>
      </c>
      <c r="R134" s="76">
        <v>2</v>
      </c>
      <c r="S134" s="76" t="s">
        <v>61</v>
      </c>
      <c r="T134" s="5">
        <v>89</v>
      </c>
      <c r="U134" s="9"/>
    </row>
    <row r="135" spans="1:21" s="37" customFormat="1" ht="12" customHeight="1" x14ac:dyDescent="0.3">
      <c r="A135" s="77" t="s">
        <v>309</v>
      </c>
      <c r="B135" s="78" t="s">
        <v>178</v>
      </c>
      <c r="C135" s="84">
        <v>1558</v>
      </c>
      <c r="D135" s="85">
        <v>95.9</v>
      </c>
      <c r="E135" s="86">
        <v>29</v>
      </c>
      <c r="F135" s="85">
        <v>75.599999999999994</v>
      </c>
      <c r="G135" s="17">
        <v>23</v>
      </c>
      <c r="H135" s="87">
        <v>200</v>
      </c>
      <c r="I135" s="88">
        <v>15200</v>
      </c>
      <c r="J135" s="88" t="s">
        <v>83</v>
      </c>
      <c r="K135" s="88">
        <v>16500</v>
      </c>
      <c r="L135" s="88" t="s">
        <v>248</v>
      </c>
      <c r="M135" s="89">
        <f t="shared" si="8"/>
        <v>-1300</v>
      </c>
      <c r="N135" s="4">
        <f t="shared" si="9"/>
        <v>1.0855263157894737</v>
      </c>
      <c r="O135" s="90">
        <f t="shared" si="10"/>
        <v>524.13793103448279</v>
      </c>
      <c r="P135" s="90">
        <f t="shared" si="11"/>
        <v>568.9655172413793</v>
      </c>
      <c r="Q135" s="76">
        <v>3</v>
      </c>
      <c r="R135" s="76">
        <v>2</v>
      </c>
      <c r="S135" s="76" t="s">
        <v>61</v>
      </c>
      <c r="T135" s="5">
        <v>95</v>
      </c>
      <c r="U135" s="9"/>
    </row>
    <row r="136" spans="1:21" s="37" customFormat="1" ht="12" customHeight="1" x14ac:dyDescent="0.3">
      <c r="A136" s="77" t="s">
        <v>134</v>
      </c>
      <c r="B136" s="78" t="s">
        <v>135</v>
      </c>
      <c r="C136" s="84">
        <v>360</v>
      </c>
      <c r="D136" s="85">
        <v>69.7</v>
      </c>
      <c r="E136" s="86">
        <v>21</v>
      </c>
      <c r="F136" s="85">
        <v>59.7</v>
      </c>
      <c r="G136" s="17">
        <v>18</v>
      </c>
      <c r="H136" s="87">
        <v>360</v>
      </c>
      <c r="I136" s="88">
        <v>15000</v>
      </c>
      <c r="J136" s="88" t="s">
        <v>75</v>
      </c>
      <c r="K136" s="88"/>
      <c r="L136" s="88"/>
      <c r="M136" s="89">
        <f t="shared" si="8"/>
        <v>15000</v>
      </c>
      <c r="N136" s="4">
        <f t="shared" si="9"/>
        <v>0</v>
      </c>
      <c r="O136" s="90">
        <f t="shared" si="10"/>
        <v>714.28571428571433</v>
      </c>
      <c r="P136" s="90">
        <f t="shared" si="11"/>
        <v>0</v>
      </c>
      <c r="Q136" s="76">
        <v>3</v>
      </c>
      <c r="R136" s="76">
        <v>1</v>
      </c>
      <c r="S136" s="76" t="s">
        <v>61</v>
      </c>
      <c r="T136" s="5">
        <v>69</v>
      </c>
      <c r="U136" s="9"/>
    </row>
    <row r="137" spans="1:21" s="37" customFormat="1" ht="12" customHeight="1" x14ac:dyDescent="0.3">
      <c r="A137" s="77" t="s">
        <v>184</v>
      </c>
      <c r="B137" s="78" t="s">
        <v>180</v>
      </c>
      <c r="C137" s="84">
        <v>826</v>
      </c>
      <c r="D137" s="85">
        <v>74.8</v>
      </c>
      <c r="E137" s="86">
        <v>23</v>
      </c>
      <c r="F137" s="85">
        <v>60</v>
      </c>
      <c r="G137" s="17">
        <v>18</v>
      </c>
      <c r="H137" s="87">
        <v>826</v>
      </c>
      <c r="I137" s="88">
        <v>15000</v>
      </c>
      <c r="J137" s="88" t="s">
        <v>181</v>
      </c>
      <c r="K137" s="88">
        <v>14500</v>
      </c>
      <c r="L137" s="88" t="s">
        <v>131</v>
      </c>
      <c r="M137" s="89">
        <f t="shared" si="8"/>
        <v>500</v>
      </c>
      <c r="N137" s="4">
        <f t="shared" si="9"/>
        <v>0.96666666666666667</v>
      </c>
      <c r="O137" s="90">
        <f t="shared" si="10"/>
        <v>652.17391304347825</v>
      </c>
      <c r="P137" s="90">
        <f t="shared" si="11"/>
        <v>630.43478260869563</v>
      </c>
      <c r="Q137" s="76">
        <v>3</v>
      </c>
      <c r="R137" s="76">
        <v>1</v>
      </c>
      <c r="S137" s="76" t="s">
        <v>61</v>
      </c>
      <c r="T137" s="5">
        <v>74</v>
      </c>
      <c r="U137" s="9"/>
    </row>
    <row r="138" spans="1:21" s="37" customFormat="1" ht="12" customHeight="1" x14ac:dyDescent="0.3">
      <c r="A138" s="77" t="s">
        <v>204</v>
      </c>
      <c r="B138" s="78" t="s">
        <v>180</v>
      </c>
      <c r="C138" s="84">
        <v>630</v>
      </c>
      <c r="D138" s="85">
        <v>78.8</v>
      </c>
      <c r="E138" s="86">
        <v>24</v>
      </c>
      <c r="F138" s="85">
        <v>60</v>
      </c>
      <c r="G138" s="17">
        <v>18</v>
      </c>
      <c r="H138" s="87">
        <v>630</v>
      </c>
      <c r="I138" s="88">
        <v>15000</v>
      </c>
      <c r="J138" s="88" t="s">
        <v>131</v>
      </c>
      <c r="K138" s="88">
        <v>16000</v>
      </c>
      <c r="L138" s="88" t="s">
        <v>84</v>
      </c>
      <c r="M138" s="89">
        <f t="shared" si="8"/>
        <v>-1000</v>
      </c>
      <c r="N138" s="4">
        <f t="shared" si="9"/>
        <v>1.0666666666666667</v>
      </c>
      <c r="O138" s="90">
        <f t="shared" si="10"/>
        <v>625</v>
      </c>
      <c r="P138" s="90">
        <f t="shared" si="11"/>
        <v>666.66666666666663</v>
      </c>
      <c r="Q138" s="76">
        <v>3</v>
      </c>
      <c r="R138" s="76">
        <v>1</v>
      </c>
      <c r="S138" s="76" t="s">
        <v>61</v>
      </c>
      <c r="T138" s="5">
        <v>78</v>
      </c>
      <c r="U138" s="9"/>
    </row>
    <row r="139" spans="1:21" s="37" customFormat="1" ht="12" customHeight="1" x14ac:dyDescent="0.3">
      <c r="A139" s="77" t="s">
        <v>307</v>
      </c>
      <c r="B139" s="78" t="s">
        <v>308</v>
      </c>
      <c r="C139" s="84">
        <v>539</v>
      </c>
      <c r="D139" s="85">
        <v>79.099999999999994</v>
      </c>
      <c r="E139" s="86">
        <v>24</v>
      </c>
      <c r="F139" s="85">
        <v>60</v>
      </c>
      <c r="G139" s="17">
        <v>18</v>
      </c>
      <c r="H139" s="87">
        <v>232</v>
      </c>
      <c r="I139" s="88">
        <v>14700</v>
      </c>
      <c r="J139" s="88" t="s">
        <v>111</v>
      </c>
      <c r="K139" s="88"/>
      <c r="L139" s="88"/>
      <c r="M139" s="89">
        <f t="shared" si="8"/>
        <v>14700</v>
      </c>
      <c r="N139" s="4">
        <f t="shared" si="9"/>
        <v>0</v>
      </c>
      <c r="O139" s="90">
        <f t="shared" si="10"/>
        <v>612.5</v>
      </c>
      <c r="P139" s="90">
        <f t="shared" si="11"/>
        <v>0</v>
      </c>
      <c r="Q139" s="76">
        <v>3</v>
      </c>
      <c r="R139" s="76">
        <v>1</v>
      </c>
      <c r="S139" s="76" t="s">
        <v>61</v>
      </c>
      <c r="T139" s="5">
        <v>79</v>
      </c>
      <c r="U139" s="9"/>
    </row>
    <row r="140" spans="1:21" s="37" customFormat="1" ht="12" customHeight="1" x14ac:dyDescent="0.3">
      <c r="A140" s="77" t="s">
        <v>337</v>
      </c>
      <c r="B140" s="78" t="s">
        <v>338</v>
      </c>
      <c r="C140" s="84">
        <v>730</v>
      </c>
      <c r="D140" s="85">
        <v>78.3</v>
      </c>
      <c r="E140" s="86">
        <v>24</v>
      </c>
      <c r="F140" s="85">
        <v>59.9</v>
      </c>
      <c r="G140" s="17">
        <v>18</v>
      </c>
      <c r="H140" s="87">
        <v>366</v>
      </c>
      <c r="I140" s="88">
        <v>14500</v>
      </c>
      <c r="J140" s="88" t="s">
        <v>248</v>
      </c>
      <c r="K140" s="88">
        <v>15200</v>
      </c>
      <c r="L140" s="88" t="s">
        <v>84</v>
      </c>
      <c r="M140" s="89">
        <f t="shared" si="8"/>
        <v>-700</v>
      </c>
      <c r="N140" s="4">
        <f t="shared" si="9"/>
        <v>1.0482758620689656</v>
      </c>
      <c r="O140" s="90">
        <f t="shared" si="10"/>
        <v>604.16666666666663</v>
      </c>
      <c r="P140" s="90">
        <f t="shared" si="11"/>
        <v>633.33333333333337</v>
      </c>
      <c r="Q140" s="76">
        <v>3</v>
      </c>
      <c r="R140" s="76">
        <v>1</v>
      </c>
      <c r="S140" s="76" t="s">
        <v>61</v>
      </c>
      <c r="T140" s="5" t="s">
        <v>173</v>
      </c>
      <c r="U140" s="9"/>
    </row>
    <row r="141" spans="1:21" s="37" customFormat="1" ht="12" customHeight="1" x14ac:dyDescent="0.3">
      <c r="A141" s="77" t="s">
        <v>389</v>
      </c>
      <c r="B141" s="78" t="s">
        <v>229</v>
      </c>
      <c r="C141" s="84">
        <v>360</v>
      </c>
      <c r="D141" s="85">
        <v>76</v>
      </c>
      <c r="E141" s="86">
        <v>23</v>
      </c>
      <c r="F141" s="85">
        <v>60</v>
      </c>
      <c r="G141" s="17">
        <v>18</v>
      </c>
      <c r="H141" s="87">
        <v>180</v>
      </c>
      <c r="I141" s="88">
        <v>14500</v>
      </c>
      <c r="J141" s="88" t="s">
        <v>83</v>
      </c>
      <c r="K141" s="88">
        <v>15000</v>
      </c>
      <c r="L141" s="88" t="s">
        <v>83</v>
      </c>
      <c r="M141" s="89">
        <f t="shared" si="8"/>
        <v>-500</v>
      </c>
      <c r="N141" s="4">
        <f t="shared" si="9"/>
        <v>1.0344827586206897</v>
      </c>
      <c r="O141" s="90">
        <f t="shared" si="10"/>
        <v>630.43478260869563</v>
      </c>
      <c r="P141" s="90">
        <f t="shared" si="11"/>
        <v>652.17391304347825</v>
      </c>
      <c r="Q141" s="76">
        <v>3</v>
      </c>
      <c r="R141" s="76">
        <v>1</v>
      </c>
      <c r="S141" s="76" t="s">
        <v>61</v>
      </c>
      <c r="T141" s="5">
        <v>75</v>
      </c>
      <c r="U141" s="9"/>
    </row>
    <row r="142" spans="1:21" s="37" customFormat="1" ht="12" customHeight="1" x14ac:dyDescent="0.3">
      <c r="A142" s="77" t="s">
        <v>120</v>
      </c>
      <c r="B142" s="78" t="s">
        <v>121</v>
      </c>
      <c r="C142" s="84">
        <v>400</v>
      </c>
      <c r="D142" s="85">
        <v>70.099999999999994</v>
      </c>
      <c r="E142" s="86">
        <v>21</v>
      </c>
      <c r="F142" s="85">
        <v>59.9</v>
      </c>
      <c r="G142" s="17">
        <v>18</v>
      </c>
      <c r="H142" s="87">
        <v>60</v>
      </c>
      <c r="I142" s="88">
        <v>14000</v>
      </c>
      <c r="J142" s="88" t="s">
        <v>71</v>
      </c>
      <c r="K142" s="88"/>
      <c r="L142" s="88"/>
      <c r="M142" s="89">
        <f t="shared" si="8"/>
        <v>14000</v>
      </c>
      <c r="N142" s="4">
        <f t="shared" si="9"/>
        <v>0</v>
      </c>
      <c r="O142" s="90">
        <f t="shared" si="10"/>
        <v>666.66666666666663</v>
      </c>
      <c r="P142" s="90">
        <f t="shared" si="11"/>
        <v>0</v>
      </c>
      <c r="Q142" s="76">
        <v>3</v>
      </c>
      <c r="R142" s="76">
        <v>1</v>
      </c>
      <c r="S142" s="76" t="s">
        <v>61</v>
      </c>
      <c r="T142" s="5">
        <v>70</v>
      </c>
      <c r="U142" s="9"/>
    </row>
    <row r="143" spans="1:21" s="37" customFormat="1" ht="12" customHeight="1" x14ac:dyDescent="0.3">
      <c r="A143" s="77" t="s">
        <v>360</v>
      </c>
      <c r="B143" s="78" t="s">
        <v>361</v>
      </c>
      <c r="C143" s="84">
        <v>1155</v>
      </c>
      <c r="D143" s="85">
        <v>83.1</v>
      </c>
      <c r="E143" s="86">
        <v>25</v>
      </c>
      <c r="F143" s="85">
        <v>59.8</v>
      </c>
      <c r="G143" s="17">
        <v>18</v>
      </c>
      <c r="H143" s="87">
        <v>435</v>
      </c>
      <c r="I143" s="88">
        <v>14000</v>
      </c>
      <c r="J143" s="88" t="s">
        <v>80</v>
      </c>
      <c r="K143" s="88">
        <v>12000</v>
      </c>
      <c r="L143" s="88" t="s">
        <v>71</v>
      </c>
      <c r="M143" s="89">
        <f t="shared" si="8"/>
        <v>2000</v>
      </c>
      <c r="N143" s="4">
        <f t="shared" si="9"/>
        <v>0.8571428571428571</v>
      </c>
      <c r="O143" s="90">
        <f t="shared" si="10"/>
        <v>560</v>
      </c>
      <c r="P143" s="90">
        <f t="shared" si="11"/>
        <v>480</v>
      </c>
      <c r="Q143" s="76">
        <v>3</v>
      </c>
      <c r="R143" s="76">
        <v>1</v>
      </c>
      <c r="S143" s="76" t="s">
        <v>68</v>
      </c>
      <c r="T143" s="5">
        <v>83</v>
      </c>
      <c r="U143" s="9"/>
    </row>
    <row r="144" spans="1:21" s="37" customFormat="1" ht="12" customHeight="1" x14ac:dyDescent="0.3">
      <c r="A144" s="77" t="s">
        <v>377</v>
      </c>
      <c r="B144" s="78" t="s">
        <v>108</v>
      </c>
      <c r="C144" s="84">
        <v>498</v>
      </c>
      <c r="D144" s="85">
        <v>77.099999999999994</v>
      </c>
      <c r="E144" s="86">
        <v>23</v>
      </c>
      <c r="F144" s="85">
        <v>59.9</v>
      </c>
      <c r="G144" s="17">
        <v>18</v>
      </c>
      <c r="H144" s="87">
        <v>448</v>
      </c>
      <c r="I144" s="88">
        <v>14000</v>
      </c>
      <c r="J144" s="88" t="s">
        <v>89</v>
      </c>
      <c r="K144" s="88">
        <v>14500</v>
      </c>
      <c r="L144" s="88" t="s">
        <v>84</v>
      </c>
      <c r="M144" s="89">
        <f t="shared" si="8"/>
        <v>-500</v>
      </c>
      <c r="N144" s="4">
        <f t="shared" si="9"/>
        <v>1.0357142857142858</v>
      </c>
      <c r="O144" s="90">
        <f t="shared" si="10"/>
        <v>608.695652173913</v>
      </c>
      <c r="P144" s="90">
        <f t="shared" si="11"/>
        <v>630.43478260869563</v>
      </c>
      <c r="Q144" s="76">
        <v>3</v>
      </c>
      <c r="R144" s="76">
        <v>1</v>
      </c>
      <c r="S144" s="76" t="s">
        <v>61</v>
      </c>
      <c r="T144" s="5">
        <v>77</v>
      </c>
      <c r="U144" s="9"/>
    </row>
    <row r="145" spans="1:21" s="37" customFormat="1" ht="12" customHeight="1" x14ac:dyDescent="0.3">
      <c r="A145" s="77" t="s">
        <v>385</v>
      </c>
      <c r="B145" s="78" t="s">
        <v>386</v>
      </c>
      <c r="C145" s="84">
        <v>720</v>
      </c>
      <c r="D145" s="85">
        <v>90.2</v>
      </c>
      <c r="E145" s="86">
        <v>27</v>
      </c>
      <c r="F145" s="85">
        <v>74.099999999999994</v>
      </c>
      <c r="G145" s="17">
        <v>22</v>
      </c>
      <c r="H145" s="87">
        <v>240</v>
      </c>
      <c r="I145" s="88">
        <v>14000</v>
      </c>
      <c r="J145" s="88" t="s">
        <v>104</v>
      </c>
      <c r="K145" s="88"/>
      <c r="L145" s="88"/>
      <c r="M145" s="89">
        <f t="shared" si="8"/>
        <v>14000</v>
      </c>
      <c r="N145" s="4">
        <f t="shared" si="9"/>
        <v>0</v>
      </c>
      <c r="O145" s="90">
        <f t="shared" si="10"/>
        <v>518.51851851851848</v>
      </c>
      <c r="P145" s="90">
        <f t="shared" si="11"/>
        <v>0</v>
      </c>
      <c r="Q145" s="76">
        <v>3</v>
      </c>
      <c r="R145" s="76">
        <v>2</v>
      </c>
      <c r="S145" s="76" t="s">
        <v>61</v>
      </c>
      <c r="T145" s="5">
        <v>90</v>
      </c>
      <c r="U145" s="9"/>
    </row>
    <row r="146" spans="1:21" s="37" customFormat="1" ht="12" customHeight="1" x14ac:dyDescent="0.3">
      <c r="A146" s="77" t="s">
        <v>98</v>
      </c>
      <c r="B146" s="78" t="s">
        <v>99</v>
      </c>
      <c r="C146" s="84">
        <v>561</v>
      </c>
      <c r="D146" s="85">
        <v>75.400000000000006</v>
      </c>
      <c r="E146" s="86">
        <v>23</v>
      </c>
      <c r="F146" s="85">
        <v>58.4</v>
      </c>
      <c r="G146" s="17">
        <v>18</v>
      </c>
      <c r="H146" s="87">
        <v>531</v>
      </c>
      <c r="I146" s="88">
        <v>13500</v>
      </c>
      <c r="J146" s="88" t="s">
        <v>72</v>
      </c>
      <c r="K146" s="88"/>
      <c r="L146" s="88"/>
      <c r="M146" s="89">
        <f t="shared" si="8"/>
        <v>13500</v>
      </c>
      <c r="N146" s="4">
        <f t="shared" si="9"/>
        <v>0</v>
      </c>
      <c r="O146" s="90">
        <f t="shared" si="10"/>
        <v>586.95652173913038</v>
      </c>
      <c r="P146" s="90">
        <f t="shared" si="11"/>
        <v>0</v>
      </c>
      <c r="Q146" s="76">
        <v>2</v>
      </c>
      <c r="R146" s="76">
        <v>1</v>
      </c>
      <c r="S146" s="76" t="s">
        <v>61</v>
      </c>
      <c r="T146" s="5" t="s">
        <v>100</v>
      </c>
      <c r="U146" s="9"/>
    </row>
    <row r="147" spans="1:21" s="37" customFormat="1" ht="12" customHeight="1" x14ac:dyDescent="0.3">
      <c r="A147" s="77" t="s">
        <v>224</v>
      </c>
      <c r="B147" s="78" t="s">
        <v>225</v>
      </c>
      <c r="C147" s="84">
        <v>446</v>
      </c>
      <c r="D147" s="85">
        <v>64</v>
      </c>
      <c r="E147" s="86">
        <v>19</v>
      </c>
      <c r="F147" s="85">
        <v>48.4</v>
      </c>
      <c r="G147" s="17">
        <v>15</v>
      </c>
      <c r="H147" s="87">
        <v>56</v>
      </c>
      <c r="I147" s="88">
        <v>13500</v>
      </c>
      <c r="J147" s="88" t="s">
        <v>89</v>
      </c>
      <c r="K147" s="88"/>
      <c r="L147" s="88"/>
      <c r="M147" s="89">
        <f t="shared" si="8"/>
        <v>13500</v>
      </c>
      <c r="N147" s="4">
        <f t="shared" si="9"/>
        <v>0</v>
      </c>
      <c r="O147" s="90">
        <f t="shared" si="10"/>
        <v>710.52631578947364</v>
      </c>
      <c r="P147" s="90">
        <f t="shared" si="11"/>
        <v>0</v>
      </c>
      <c r="Q147" s="76">
        <v>2</v>
      </c>
      <c r="R147" s="76">
        <v>1</v>
      </c>
      <c r="S147" s="76" t="s">
        <v>61</v>
      </c>
      <c r="T147" s="5">
        <v>64</v>
      </c>
      <c r="U147" s="9"/>
    </row>
    <row r="148" spans="1:21" s="37" customFormat="1" ht="12" customHeight="1" x14ac:dyDescent="0.3">
      <c r="A148" s="77" t="s">
        <v>281</v>
      </c>
      <c r="B148" s="78" t="s">
        <v>282</v>
      </c>
      <c r="C148" s="84">
        <v>496</v>
      </c>
      <c r="D148" s="85">
        <v>98.3</v>
      </c>
      <c r="E148" s="86">
        <v>30</v>
      </c>
      <c r="F148" s="85">
        <v>77.599999999999994</v>
      </c>
      <c r="G148" s="17">
        <v>23</v>
      </c>
      <c r="H148" s="87">
        <v>100</v>
      </c>
      <c r="I148" s="88">
        <v>13500</v>
      </c>
      <c r="J148" s="88" t="s">
        <v>83</v>
      </c>
      <c r="K148" s="88">
        <v>13000</v>
      </c>
      <c r="L148" s="88" t="s">
        <v>84</v>
      </c>
      <c r="M148" s="89">
        <f t="shared" si="8"/>
        <v>500</v>
      </c>
      <c r="N148" s="4">
        <f t="shared" si="9"/>
        <v>0.96296296296296291</v>
      </c>
      <c r="O148" s="90">
        <f t="shared" si="10"/>
        <v>450</v>
      </c>
      <c r="P148" s="90">
        <f t="shared" si="11"/>
        <v>433.33333333333331</v>
      </c>
      <c r="Q148" s="76">
        <v>3</v>
      </c>
      <c r="R148" s="76">
        <v>2</v>
      </c>
      <c r="S148" s="76" t="s">
        <v>61</v>
      </c>
      <c r="T148" s="5" t="s">
        <v>283</v>
      </c>
      <c r="U148" s="9"/>
    </row>
    <row r="149" spans="1:21" s="37" customFormat="1" ht="12" customHeight="1" x14ac:dyDescent="0.3">
      <c r="A149" s="77" t="s">
        <v>73</v>
      </c>
      <c r="B149" s="78" t="s">
        <v>74</v>
      </c>
      <c r="C149" s="84">
        <v>410</v>
      </c>
      <c r="D149" s="85">
        <v>71.8</v>
      </c>
      <c r="E149" s="86">
        <v>22</v>
      </c>
      <c r="F149" s="85">
        <v>60</v>
      </c>
      <c r="G149" s="17">
        <v>18</v>
      </c>
      <c r="H149" s="87">
        <v>410</v>
      </c>
      <c r="I149" s="88">
        <v>13000</v>
      </c>
      <c r="J149" s="88" t="s">
        <v>75</v>
      </c>
      <c r="K149" s="88"/>
      <c r="L149" s="88"/>
      <c r="M149" s="89">
        <f t="shared" si="8"/>
        <v>13000</v>
      </c>
      <c r="N149" s="4">
        <f t="shared" si="9"/>
        <v>0</v>
      </c>
      <c r="O149" s="90">
        <f t="shared" si="10"/>
        <v>590.90909090909088</v>
      </c>
      <c r="P149" s="90">
        <f t="shared" si="11"/>
        <v>0</v>
      </c>
      <c r="Q149" s="76">
        <v>3</v>
      </c>
      <c r="R149" s="76">
        <v>1</v>
      </c>
      <c r="S149" s="76" t="s">
        <v>61</v>
      </c>
      <c r="T149" s="5">
        <v>71</v>
      </c>
      <c r="U149" s="9"/>
    </row>
    <row r="150" spans="1:21" s="37" customFormat="1" ht="12" customHeight="1" x14ac:dyDescent="0.3">
      <c r="A150" s="77" t="s">
        <v>222</v>
      </c>
      <c r="B150" s="78" t="s">
        <v>223</v>
      </c>
      <c r="C150" s="84">
        <v>302</v>
      </c>
      <c r="D150" s="85">
        <v>102.9</v>
      </c>
      <c r="E150" s="86">
        <v>31</v>
      </c>
      <c r="F150" s="85">
        <v>84.9</v>
      </c>
      <c r="G150" s="17">
        <v>26</v>
      </c>
      <c r="H150" s="87">
        <v>302</v>
      </c>
      <c r="I150" s="88">
        <v>13000</v>
      </c>
      <c r="J150" s="88" t="s">
        <v>89</v>
      </c>
      <c r="K150" s="88"/>
      <c r="L150" s="88"/>
      <c r="M150" s="89">
        <f t="shared" si="8"/>
        <v>13000</v>
      </c>
      <c r="N150" s="4">
        <f t="shared" si="9"/>
        <v>0</v>
      </c>
      <c r="O150" s="90">
        <f t="shared" si="10"/>
        <v>419.35483870967744</v>
      </c>
      <c r="P150" s="90">
        <f t="shared" si="11"/>
        <v>0</v>
      </c>
      <c r="Q150" s="76">
        <v>3</v>
      </c>
      <c r="R150" s="76">
        <v>2</v>
      </c>
      <c r="S150" s="76" t="s">
        <v>61</v>
      </c>
      <c r="T150" s="5">
        <v>102</v>
      </c>
      <c r="U150" s="9"/>
    </row>
    <row r="151" spans="1:21" s="37" customFormat="1" ht="12" customHeight="1" x14ac:dyDescent="0.3">
      <c r="A151" s="77" t="s">
        <v>298</v>
      </c>
      <c r="B151" s="78" t="s">
        <v>299</v>
      </c>
      <c r="C151" s="84">
        <v>488</v>
      </c>
      <c r="D151" s="85">
        <v>79.400000000000006</v>
      </c>
      <c r="E151" s="86">
        <v>24</v>
      </c>
      <c r="F151" s="85">
        <v>59.8</v>
      </c>
      <c r="G151" s="17">
        <v>18</v>
      </c>
      <c r="H151" s="87">
        <v>238</v>
      </c>
      <c r="I151" s="88">
        <v>13000</v>
      </c>
      <c r="J151" s="88" t="s">
        <v>71</v>
      </c>
      <c r="K151" s="88"/>
      <c r="L151" s="88"/>
      <c r="M151" s="89">
        <f t="shared" si="8"/>
        <v>13000</v>
      </c>
      <c r="N151" s="4">
        <f t="shared" si="9"/>
        <v>0</v>
      </c>
      <c r="O151" s="90">
        <f t="shared" si="10"/>
        <v>541.66666666666663</v>
      </c>
      <c r="P151" s="90">
        <f t="shared" si="11"/>
        <v>0</v>
      </c>
      <c r="Q151" s="76">
        <v>3</v>
      </c>
      <c r="R151" s="76">
        <v>1</v>
      </c>
      <c r="S151" s="76" t="s">
        <v>61</v>
      </c>
      <c r="T151" s="5">
        <v>79</v>
      </c>
      <c r="U151" s="9"/>
    </row>
    <row r="152" spans="1:21" s="37" customFormat="1" ht="12" customHeight="1" x14ac:dyDescent="0.3">
      <c r="A152" s="77" t="s">
        <v>309</v>
      </c>
      <c r="B152" s="78" t="s">
        <v>178</v>
      </c>
      <c r="C152" s="84">
        <v>1558</v>
      </c>
      <c r="D152" s="85">
        <v>78.599999999999994</v>
      </c>
      <c r="E152" s="86">
        <v>24</v>
      </c>
      <c r="F152" s="85">
        <v>59.6</v>
      </c>
      <c r="G152" s="17">
        <v>18</v>
      </c>
      <c r="H152" s="87">
        <v>840</v>
      </c>
      <c r="I152" s="88">
        <v>13000</v>
      </c>
      <c r="J152" s="88" t="s">
        <v>89</v>
      </c>
      <c r="K152" s="88">
        <v>15000</v>
      </c>
      <c r="L152" s="88" t="s">
        <v>189</v>
      </c>
      <c r="M152" s="89">
        <f t="shared" si="8"/>
        <v>-2000</v>
      </c>
      <c r="N152" s="4">
        <f t="shared" si="9"/>
        <v>1.1538461538461537</v>
      </c>
      <c r="O152" s="90">
        <f t="shared" si="10"/>
        <v>541.66666666666663</v>
      </c>
      <c r="P152" s="90">
        <f t="shared" si="11"/>
        <v>625</v>
      </c>
      <c r="Q152" s="76">
        <v>3</v>
      </c>
      <c r="R152" s="76">
        <v>1</v>
      </c>
      <c r="S152" s="76" t="s">
        <v>61</v>
      </c>
      <c r="T152" s="5">
        <v>78</v>
      </c>
      <c r="U152" s="9"/>
    </row>
    <row r="153" spans="1:21" s="37" customFormat="1" ht="12" customHeight="1" x14ac:dyDescent="0.3">
      <c r="A153" s="77" t="s">
        <v>202</v>
      </c>
      <c r="B153" s="78" t="s">
        <v>203</v>
      </c>
      <c r="C153" s="84">
        <v>531</v>
      </c>
      <c r="D153" s="85">
        <v>82.3</v>
      </c>
      <c r="E153" s="86">
        <v>25</v>
      </c>
      <c r="F153" s="85">
        <v>59</v>
      </c>
      <c r="G153" s="17">
        <v>18</v>
      </c>
      <c r="H153" s="87">
        <v>531</v>
      </c>
      <c r="I153" s="88">
        <v>12700</v>
      </c>
      <c r="J153" s="88" t="s">
        <v>131</v>
      </c>
      <c r="K153" s="88">
        <v>11000</v>
      </c>
      <c r="L153" s="88" t="s">
        <v>85</v>
      </c>
      <c r="M153" s="89">
        <f t="shared" si="8"/>
        <v>1700</v>
      </c>
      <c r="N153" s="4">
        <f t="shared" si="9"/>
        <v>0.86614173228346458</v>
      </c>
      <c r="O153" s="90">
        <f t="shared" si="10"/>
        <v>508</v>
      </c>
      <c r="P153" s="90">
        <f t="shared" si="11"/>
        <v>440</v>
      </c>
      <c r="Q153" s="76">
        <v>2</v>
      </c>
      <c r="R153" s="76">
        <v>1</v>
      </c>
      <c r="S153" s="76" t="s">
        <v>68</v>
      </c>
      <c r="T153" s="5">
        <v>82</v>
      </c>
      <c r="U153" s="9"/>
    </row>
    <row r="154" spans="1:21" s="37" customFormat="1" ht="12" customHeight="1" x14ac:dyDescent="0.3">
      <c r="A154" s="77" t="s">
        <v>69</v>
      </c>
      <c r="B154" s="78" t="s">
        <v>70</v>
      </c>
      <c r="C154" s="84">
        <v>340</v>
      </c>
      <c r="D154" s="85">
        <v>78.8</v>
      </c>
      <c r="E154" s="86">
        <v>24</v>
      </c>
      <c r="F154" s="85">
        <v>59.9</v>
      </c>
      <c r="G154" s="17">
        <v>18</v>
      </c>
      <c r="H154" s="87">
        <v>176</v>
      </c>
      <c r="I154" s="88">
        <v>12500</v>
      </c>
      <c r="J154" s="88" t="s">
        <v>71</v>
      </c>
      <c r="K154" s="88">
        <v>13000</v>
      </c>
      <c r="L154" s="88" t="s">
        <v>71</v>
      </c>
      <c r="M154" s="89">
        <f t="shared" si="8"/>
        <v>-500</v>
      </c>
      <c r="N154" s="4">
        <f t="shared" si="9"/>
        <v>1.04</v>
      </c>
      <c r="O154" s="90">
        <f t="shared" si="10"/>
        <v>520.83333333333337</v>
      </c>
      <c r="P154" s="90">
        <f t="shared" si="11"/>
        <v>541.66666666666663</v>
      </c>
      <c r="Q154" s="76">
        <v>3</v>
      </c>
      <c r="R154" s="76">
        <v>1</v>
      </c>
      <c r="S154" s="76" t="s">
        <v>61</v>
      </c>
      <c r="T154" s="5">
        <v>78</v>
      </c>
      <c r="U154" s="9"/>
    </row>
    <row r="155" spans="1:21" s="37" customFormat="1" ht="12" customHeight="1" x14ac:dyDescent="0.3">
      <c r="A155" s="77" t="s">
        <v>337</v>
      </c>
      <c r="B155" s="78" t="s">
        <v>338</v>
      </c>
      <c r="C155" s="84">
        <v>730</v>
      </c>
      <c r="D155" s="85">
        <v>64.8</v>
      </c>
      <c r="E155" s="86">
        <v>20</v>
      </c>
      <c r="F155" s="85">
        <v>49.6</v>
      </c>
      <c r="G155" s="17">
        <v>15</v>
      </c>
      <c r="H155" s="87">
        <v>50</v>
      </c>
      <c r="I155" s="88">
        <v>12500</v>
      </c>
      <c r="J155" s="88" t="s">
        <v>71</v>
      </c>
      <c r="K155" s="88"/>
      <c r="L155" s="88"/>
      <c r="M155" s="89">
        <f t="shared" si="8"/>
        <v>12500</v>
      </c>
      <c r="N155" s="4">
        <f t="shared" si="9"/>
        <v>0</v>
      </c>
      <c r="O155" s="90">
        <f t="shared" si="10"/>
        <v>625</v>
      </c>
      <c r="P155" s="90">
        <f t="shared" si="11"/>
        <v>0</v>
      </c>
      <c r="Q155" s="76">
        <v>2</v>
      </c>
      <c r="R155" s="76">
        <v>1</v>
      </c>
      <c r="S155" s="76" t="s">
        <v>61</v>
      </c>
      <c r="T155" s="5">
        <v>64</v>
      </c>
      <c r="U155" s="9"/>
    </row>
    <row r="156" spans="1:21" s="37" customFormat="1" ht="12" customHeight="1" x14ac:dyDescent="0.3">
      <c r="A156" s="77" t="s">
        <v>392</v>
      </c>
      <c r="B156" s="78" t="s">
        <v>393</v>
      </c>
      <c r="C156" s="84">
        <v>345</v>
      </c>
      <c r="D156" s="85">
        <v>74.3</v>
      </c>
      <c r="E156" s="86">
        <v>22</v>
      </c>
      <c r="F156" s="85">
        <v>59.8</v>
      </c>
      <c r="G156" s="17">
        <v>18</v>
      </c>
      <c r="H156" s="87">
        <v>180</v>
      </c>
      <c r="I156" s="88">
        <v>12500</v>
      </c>
      <c r="J156" s="88" t="s">
        <v>131</v>
      </c>
      <c r="K156" s="88"/>
      <c r="L156" s="88"/>
      <c r="M156" s="89">
        <f t="shared" si="8"/>
        <v>12500</v>
      </c>
      <c r="N156" s="4">
        <f t="shared" si="9"/>
        <v>0</v>
      </c>
      <c r="O156" s="90">
        <f t="shared" si="10"/>
        <v>568.18181818181813</v>
      </c>
      <c r="P156" s="90">
        <f t="shared" si="11"/>
        <v>0</v>
      </c>
      <c r="Q156" s="76">
        <v>3</v>
      </c>
      <c r="R156" s="76">
        <v>1</v>
      </c>
      <c r="S156" s="76" t="s">
        <v>61</v>
      </c>
      <c r="T156" s="5">
        <v>74</v>
      </c>
      <c r="U156" s="9"/>
    </row>
    <row r="157" spans="1:21" s="37" customFormat="1" ht="12" customHeight="1" x14ac:dyDescent="0.3">
      <c r="A157" s="77" t="s">
        <v>237</v>
      </c>
      <c r="B157" s="78" t="s">
        <v>238</v>
      </c>
      <c r="C157" s="84">
        <v>651</v>
      </c>
      <c r="D157" s="85">
        <v>77.599999999999994</v>
      </c>
      <c r="E157" s="86">
        <v>23</v>
      </c>
      <c r="F157" s="85">
        <v>59.4</v>
      </c>
      <c r="G157" s="17">
        <v>18</v>
      </c>
      <c r="H157" s="87">
        <v>299</v>
      </c>
      <c r="I157" s="88">
        <v>12200</v>
      </c>
      <c r="J157" s="88" t="s">
        <v>89</v>
      </c>
      <c r="K157" s="88"/>
      <c r="L157" s="88"/>
      <c r="M157" s="89">
        <f t="shared" si="8"/>
        <v>12200</v>
      </c>
      <c r="N157" s="4">
        <f t="shared" si="9"/>
        <v>0</v>
      </c>
      <c r="O157" s="90">
        <f t="shared" si="10"/>
        <v>530.43478260869563</v>
      </c>
      <c r="P157" s="90">
        <f t="shared" si="11"/>
        <v>0</v>
      </c>
      <c r="Q157" s="76">
        <v>3</v>
      </c>
      <c r="R157" s="76">
        <v>1</v>
      </c>
      <c r="S157" s="76" t="s">
        <v>61</v>
      </c>
      <c r="T157" s="5">
        <v>77</v>
      </c>
      <c r="U157" s="9"/>
    </row>
    <row r="158" spans="1:21" s="37" customFormat="1" ht="12" customHeight="1" x14ac:dyDescent="0.3">
      <c r="A158" s="77" t="s">
        <v>281</v>
      </c>
      <c r="B158" s="78" t="s">
        <v>282</v>
      </c>
      <c r="C158" s="84">
        <v>496</v>
      </c>
      <c r="D158" s="85">
        <v>80.2</v>
      </c>
      <c r="E158" s="86">
        <v>24</v>
      </c>
      <c r="F158" s="85">
        <v>59.9</v>
      </c>
      <c r="G158" s="17">
        <v>18</v>
      </c>
      <c r="H158" s="87">
        <v>376</v>
      </c>
      <c r="I158" s="88">
        <v>12000</v>
      </c>
      <c r="J158" s="88" t="s">
        <v>172</v>
      </c>
      <c r="K158" s="88"/>
      <c r="L158" s="88"/>
      <c r="M158" s="89">
        <f t="shared" si="8"/>
        <v>12000</v>
      </c>
      <c r="N158" s="4">
        <f t="shared" si="9"/>
        <v>0</v>
      </c>
      <c r="O158" s="90">
        <f t="shared" si="10"/>
        <v>500</v>
      </c>
      <c r="P158" s="90">
        <f t="shared" si="11"/>
        <v>0</v>
      </c>
      <c r="Q158" s="76">
        <v>3</v>
      </c>
      <c r="R158" s="76">
        <v>1</v>
      </c>
      <c r="S158" s="76" t="s">
        <v>61</v>
      </c>
      <c r="T158" s="5">
        <v>80</v>
      </c>
      <c r="U158" s="9"/>
    </row>
    <row r="159" spans="1:21" s="37" customFormat="1" ht="12" customHeight="1" x14ac:dyDescent="0.3">
      <c r="A159" s="77" t="s">
        <v>326</v>
      </c>
      <c r="B159" s="78" t="s">
        <v>327</v>
      </c>
      <c r="C159" s="84">
        <v>1329</v>
      </c>
      <c r="D159" s="85">
        <v>62.9</v>
      </c>
      <c r="E159" s="86">
        <v>19</v>
      </c>
      <c r="F159" s="85">
        <v>46.2</v>
      </c>
      <c r="G159" s="17">
        <v>14</v>
      </c>
      <c r="H159" s="87">
        <v>329</v>
      </c>
      <c r="I159" s="88">
        <v>11500</v>
      </c>
      <c r="J159" s="88" t="s">
        <v>85</v>
      </c>
      <c r="K159" s="88">
        <v>11000</v>
      </c>
      <c r="L159" s="88" t="s">
        <v>248</v>
      </c>
      <c r="M159" s="89">
        <f t="shared" si="8"/>
        <v>500</v>
      </c>
      <c r="N159" s="4">
        <f t="shared" si="9"/>
        <v>0.95652173913043481</v>
      </c>
      <c r="O159" s="90">
        <f t="shared" si="10"/>
        <v>605.26315789473688</v>
      </c>
      <c r="P159" s="90">
        <f t="shared" si="11"/>
        <v>578.9473684210526</v>
      </c>
      <c r="Q159" s="76">
        <v>2</v>
      </c>
      <c r="R159" s="76">
        <v>1</v>
      </c>
      <c r="S159" s="76" t="s">
        <v>68</v>
      </c>
      <c r="T159" s="5">
        <v>62</v>
      </c>
      <c r="U159" s="9"/>
    </row>
    <row r="160" spans="1:21" s="37" customFormat="1" ht="12" customHeight="1" x14ac:dyDescent="0.3">
      <c r="A160" s="77" t="s">
        <v>358</v>
      </c>
      <c r="B160" s="78" t="s">
        <v>359</v>
      </c>
      <c r="C160" s="84">
        <v>467</v>
      </c>
      <c r="D160" s="85">
        <v>77.2</v>
      </c>
      <c r="E160" s="86">
        <v>23</v>
      </c>
      <c r="F160" s="85">
        <v>60</v>
      </c>
      <c r="G160" s="17">
        <v>18</v>
      </c>
      <c r="H160" s="87">
        <v>222</v>
      </c>
      <c r="I160" s="88">
        <v>11500</v>
      </c>
      <c r="J160" s="88" t="s">
        <v>219</v>
      </c>
      <c r="K160" s="88"/>
      <c r="L160" s="88"/>
      <c r="M160" s="89">
        <f t="shared" si="8"/>
        <v>11500</v>
      </c>
      <c r="N160" s="4">
        <f t="shared" si="9"/>
        <v>0</v>
      </c>
      <c r="O160" s="90">
        <f t="shared" si="10"/>
        <v>500</v>
      </c>
      <c r="P160" s="90">
        <f t="shared" si="11"/>
        <v>0</v>
      </c>
      <c r="Q160" s="76">
        <v>3</v>
      </c>
      <c r="R160" s="76">
        <v>1</v>
      </c>
      <c r="S160" s="76" t="s">
        <v>68</v>
      </c>
      <c r="T160" s="5">
        <v>77</v>
      </c>
      <c r="U160" s="9"/>
    </row>
    <row r="161" spans="1:21" s="37" customFormat="1" ht="12" customHeight="1" x14ac:dyDescent="0.3">
      <c r="A161" s="77" t="s">
        <v>120</v>
      </c>
      <c r="B161" s="78" t="s">
        <v>121</v>
      </c>
      <c r="C161" s="84">
        <v>400</v>
      </c>
      <c r="D161" s="85">
        <v>58.7</v>
      </c>
      <c r="E161" s="86">
        <v>18</v>
      </c>
      <c r="F161" s="85">
        <v>49.3</v>
      </c>
      <c r="G161" s="17">
        <v>15</v>
      </c>
      <c r="H161" s="87">
        <v>140</v>
      </c>
      <c r="I161" s="88">
        <v>11000</v>
      </c>
      <c r="J161" s="88" t="s">
        <v>89</v>
      </c>
      <c r="K161" s="88">
        <v>4000</v>
      </c>
      <c r="L161" s="88" t="s">
        <v>75</v>
      </c>
      <c r="M161" s="89">
        <f t="shared" si="8"/>
        <v>7000</v>
      </c>
      <c r="N161" s="4">
        <f t="shared" si="9"/>
        <v>0.36363636363636365</v>
      </c>
      <c r="O161" s="90">
        <f t="shared" si="10"/>
        <v>611.11111111111109</v>
      </c>
      <c r="P161" s="90">
        <f t="shared" si="11"/>
        <v>222.22222222222223</v>
      </c>
      <c r="Q161" s="76">
        <v>2</v>
      </c>
      <c r="R161" s="76">
        <v>1</v>
      </c>
      <c r="S161" s="76" t="s">
        <v>61</v>
      </c>
      <c r="T161" s="5">
        <v>58</v>
      </c>
      <c r="U161" s="9"/>
    </row>
    <row r="162" spans="1:21" s="37" customFormat="1" ht="12" customHeight="1" x14ac:dyDescent="0.3">
      <c r="A162" s="77" t="s">
        <v>472</v>
      </c>
      <c r="B162" s="78" t="s">
        <v>473</v>
      </c>
      <c r="C162" s="84">
        <v>593</v>
      </c>
      <c r="D162" s="85">
        <v>67.7</v>
      </c>
      <c r="E162" s="86">
        <v>20</v>
      </c>
      <c r="F162" s="85">
        <v>54.8</v>
      </c>
      <c r="G162" s="17">
        <v>17</v>
      </c>
      <c r="H162" s="87">
        <v>593</v>
      </c>
      <c r="I162" s="88">
        <v>10900</v>
      </c>
      <c r="J162" s="88" t="s">
        <v>90</v>
      </c>
      <c r="K162" s="88">
        <v>10000</v>
      </c>
      <c r="L162" s="88" t="s">
        <v>85</v>
      </c>
      <c r="M162" s="89">
        <f t="shared" si="8"/>
        <v>900</v>
      </c>
      <c r="N162" s="4">
        <f t="shared" si="9"/>
        <v>0.91743119266055051</v>
      </c>
      <c r="O162" s="90">
        <f t="shared" si="10"/>
        <v>545</v>
      </c>
      <c r="P162" s="90">
        <f t="shared" si="11"/>
        <v>500</v>
      </c>
      <c r="Q162" s="76">
        <v>2</v>
      </c>
      <c r="R162" s="76">
        <v>1</v>
      </c>
      <c r="S162" s="76" t="s">
        <v>68</v>
      </c>
      <c r="T162" s="5">
        <v>67</v>
      </c>
      <c r="U162" s="9"/>
    </row>
    <row r="163" spans="1:21" s="37" customFormat="1" ht="12" customHeight="1" x14ac:dyDescent="0.3">
      <c r="A163" s="77" t="s">
        <v>377</v>
      </c>
      <c r="B163" s="78" t="s">
        <v>108</v>
      </c>
      <c r="C163" s="84">
        <v>498</v>
      </c>
      <c r="D163" s="85">
        <v>64.3</v>
      </c>
      <c r="E163" s="86">
        <v>19</v>
      </c>
      <c r="F163" s="85">
        <v>49.5</v>
      </c>
      <c r="G163" s="17">
        <v>15</v>
      </c>
      <c r="H163" s="87">
        <v>50</v>
      </c>
      <c r="I163" s="88">
        <v>10800</v>
      </c>
      <c r="J163" s="88" t="s">
        <v>83</v>
      </c>
      <c r="K163" s="88"/>
      <c r="L163" s="88"/>
      <c r="M163" s="89">
        <f t="shared" si="8"/>
        <v>10800</v>
      </c>
      <c r="N163" s="4">
        <f t="shared" si="9"/>
        <v>0</v>
      </c>
      <c r="O163" s="90">
        <f t="shared" si="10"/>
        <v>568.42105263157896</v>
      </c>
      <c r="P163" s="90">
        <f t="shared" si="11"/>
        <v>0</v>
      </c>
      <c r="Q163" s="76">
        <v>2</v>
      </c>
      <c r="R163" s="76">
        <v>1</v>
      </c>
      <c r="S163" s="76" t="s">
        <v>61</v>
      </c>
      <c r="T163" s="5">
        <v>64</v>
      </c>
      <c r="U163" s="9"/>
    </row>
    <row r="164" spans="1:21" s="37" customFormat="1" ht="12" customHeight="1" x14ac:dyDescent="0.3">
      <c r="A164" s="77" t="s">
        <v>322</v>
      </c>
      <c r="B164" s="78" t="s">
        <v>323</v>
      </c>
      <c r="C164" s="84">
        <v>603</v>
      </c>
      <c r="D164" s="85">
        <v>80.3</v>
      </c>
      <c r="E164" s="86">
        <v>24</v>
      </c>
      <c r="F164" s="85">
        <v>60</v>
      </c>
      <c r="G164" s="17">
        <v>18</v>
      </c>
      <c r="H164" s="87">
        <v>450</v>
      </c>
      <c r="I164" s="88">
        <v>10500</v>
      </c>
      <c r="J164" s="88" t="s">
        <v>248</v>
      </c>
      <c r="K164" s="88">
        <v>11000</v>
      </c>
      <c r="L164" s="88" t="s">
        <v>310</v>
      </c>
      <c r="M164" s="89">
        <f t="shared" si="8"/>
        <v>-500</v>
      </c>
      <c r="N164" s="4">
        <f t="shared" si="9"/>
        <v>1.0476190476190477</v>
      </c>
      <c r="O164" s="90">
        <f t="shared" si="10"/>
        <v>437.5</v>
      </c>
      <c r="P164" s="90">
        <f t="shared" si="11"/>
        <v>458.33333333333331</v>
      </c>
      <c r="Q164" s="76">
        <v>3</v>
      </c>
      <c r="R164" s="76">
        <v>1</v>
      </c>
      <c r="S164" s="76" t="s">
        <v>68</v>
      </c>
      <c r="T164" s="5" t="s">
        <v>132</v>
      </c>
      <c r="U164" s="9"/>
    </row>
    <row r="165" spans="1:21" s="37" customFormat="1" ht="12" customHeight="1" x14ac:dyDescent="0.3">
      <c r="A165" s="77" t="s">
        <v>410</v>
      </c>
      <c r="B165" s="78" t="s">
        <v>411</v>
      </c>
      <c r="C165" s="84">
        <v>499</v>
      </c>
      <c r="D165" s="85">
        <v>113</v>
      </c>
      <c r="E165" s="86">
        <v>34</v>
      </c>
      <c r="F165" s="85">
        <v>84.7</v>
      </c>
      <c r="G165" s="17">
        <v>26</v>
      </c>
      <c r="H165" s="87">
        <v>177</v>
      </c>
      <c r="I165" s="88">
        <v>10500</v>
      </c>
      <c r="J165" s="88" t="s">
        <v>83</v>
      </c>
      <c r="K165" s="88"/>
      <c r="L165" s="88"/>
      <c r="M165" s="89">
        <f t="shared" si="8"/>
        <v>10500</v>
      </c>
      <c r="N165" s="4">
        <f t="shared" si="9"/>
        <v>0</v>
      </c>
      <c r="O165" s="90">
        <f t="shared" si="10"/>
        <v>308.8235294117647</v>
      </c>
      <c r="P165" s="90">
        <f t="shared" si="11"/>
        <v>0</v>
      </c>
      <c r="Q165" s="76">
        <v>3</v>
      </c>
      <c r="R165" s="76">
        <v>2</v>
      </c>
      <c r="S165" s="76" t="s">
        <v>68</v>
      </c>
      <c r="T165" s="5">
        <v>112</v>
      </c>
      <c r="U165" s="9"/>
    </row>
    <row r="166" spans="1:21" s="37" customFormat="1" ht="12" customHeight="1" x14ac:dyDescent="0.3">
      <c r="A166" s="77" t="s">
        <v>315</v>
      </c>
      <c r="B166" s="78" t="s">
        <v>316</v>
      </c>
      <c r="C166" s="84">
        <v>838</v>
      </c>
      <c r="D166" s="85">
        <v>79.2</v>
      </c>
      <c r="E166" s="86">
        <v>24</v>
      </c>
      <c r="F166" s="85">
        <v>58.1</v>
      </c>
      <c r="G166" s="17">
        <v>18</v>
      </c>
      <c r="H166" s="87">
        <v>749</v>
      </c>
      <c r="I166" s="88">
        <v>10400</v>
      </c>
      <c r="J166" s="88" t="s">
        <v>83</v>
      </c>
      <c r="K166" s="88">
        <v>11000</v>
      </c>
      <c r="L166" s="88" t="s">
        <v>80</v>
      </c>
      <c r="M166" s="89">
        <f t="shared" si="8"/>
        <v>-600</v>
      </c>
      <c r="N166" s="4">
        <f t="shared" si="9"/>
        <v>1.0576923076923077</v>
      </c>
      <c r="O166" s="90">
        <f t="shared" si="10"/>
        <v>433.33333333333331</v>
      </c>
      <c r="P166" s="90">
        <f t="shared" si="11"/>
        <v>458.33333333333331</v>
      </c>
      <c r="Q166" s="76">
        <v>3</v>
      </c>
      <c r="R166" s="76">
        <v>1</v>
      </c>
      <c r="S166" s="76" t="s">
        <v>68</v>
      </c>
      <c r="T166" s="5">
        <v>79</v>
      </c>
      <c r="U166" s="9"/>
    </row>
    <row r="167" spans="1:21" s="37" customFormat="1" ht="12" customHeight="1" x14ac:dyDescent="0.3">
      <c r="A167" s="77" t="s">
        <v>230</v>
      </c>
      <c r="B167" s="78" t="s">
        <v>164</v>
      </c>
      <c r="C167" s="84">
        <v>440</v>
      </c>
      <c r="D167" s="85">
        <v>76.3</v>
      </c>
      <c r="E167" s="86">
        <v>23</v>
      </c>
      <c r="F167" s="85">
        <v>60</v>
      </c>
      <c r="G167" s="17">
        <v>18</v>
      </c>
      <c r="H167" s="87">
        <v>178</v>
      </c>
      <c r="I167" s="88">
        <v>9500</v>
      </c>
      <c r="J167" s="88" t="s">
        <v>104</v>
      </c>
      <c r="K167" s="88"/>
      <c r="L167" s="88"/>
      <c r="M167" s="89">
        <f t="shared" si="8"/>
        <v>9500</v>
      </c>
      <c r="N167" s="4">
        <f t="shared" si="9"/>
        <v>0</v>
      </c>
      <c r="O167" s="90">
        <f t="shared" si="10"/>
        <v>413.04347826086956</v>
      </c>
      <c r="P167" s="90">
        <f t="shared" si="11"/>
        <v>0</v>
      </c>
      <c r="Q167" s="76">
        <v>3</v>
      </c>
      <c r="R167" s="76">
        <v>1</v>
      </c>
      <c r="S167" s="76" t="s">
        <v>68</v>
      </c>
      <c r="T167" s="5">
        <v>76</v>
      </c>
      <c r="U167" s="9"/>
    </row>
    <row r="168" spans="1:21" s="37" customFormat="1" ht="12" customHeight="1" x14ac:dyDescent="0.3">
      <c r="A168" s="77" t="s">
        <v>353</v>
      </c>
      <c r="B168" s="78" t="s">
        <v>354</v>
      </c>
      <c r="C168" s="84">
        <v>422</v>
      </c>
      <c r="D168" s="85">
        <v>80</v>
      </c>
      <c r="E168" s="86">
        <v>24</v>
      </c>
      <c r="F168" s="85">
        <v>60</v>
      </c>
      <c r="G168" s="17">
        <v>18</v>
      </c>
      <c r="H168" s="87">
        <v>422</v>
      </c>
      <c r="I168" s="88">
        <v>9000</v>
      </c>
      <c r="J168" s="88" t="s">
        <v>72</v>
      </c>
      <c r="K168" s="88">
        <v>9000</v>
      </c>
      <c r="L168" s="88" t="s">
        <v>85</v>
      </c>
      <c r="M168" s="89">
        <f t="shared" si="8"/>
        <v>0</v>
      </c>
      <c r="N168" s="4">
        <f t="shared" si="9"/>
        <v>1</v>
      </c>
      <c r="O168" s="90">
        <f t="shared" si="10"/>
        <v>375</v>
      </c>
      <c r="P168" s="90">
        <f t="shared" si="11"/>
        <v>375</v>
      </c>
      <c r="Q168" s="76">
        <v>3</v>
      </c>
      <c r="R168" s="76">
        <v>1</v>
      </c>
      <c r="S168" s="76" t="s">
        <v>68</v>
      </c>
      <c r="T168" s="5">
        <v>79</v>
      </c>
      <c r="U168" s="9"/>
    </row>
    <row r="169" spans="1:21" s="37" customFormat="1" ht="12" customHeight="1" x14ac:dyDescent="0.3">
      <c r="A169" s="77" t="s">
        <v>410</v>
      </c>
      <c r="B169" s="78" t="s">
        <v>411</v>
      </c>
      <c r="C169" s="84">
        <v>499</v>
      </c>
      <c r="D169" s="85">
        <v>80</v>
      </c>
      <c r="E169" s="86">
        <v>24</v>
      </c>
      <c r="F169" s="85">
        <v>59.9</v>
      </c>
      <c r="G169" s="17">
        <v>18</v>
      </c>
      <c r="H169" s="87">
        <v>322</v>
      </c>
      <c r="I169" s="88">
        <v>7500</v>
      </c>
      <c r="J169" s="88" t="s">
        <v>181</v>
      </c>
      <c r="K169" s="88"/>
      <c r="L169" s="88"/>
      <c r="M169" s="89">
        <f t="shared" si="8"/>
        <v>7500</v>
      </c>
      <c r="N169" s="4">
        <f t="shared" si="9"/>
        <v>0</v>
      </c>
      <c r="O169" s="90">
        <f t="shared" si="10"/>
        <v>312.5</v>
      </c>
      <c r="P169" s="90">
        <f t="shared" si="11"/>
        <v>0</v>
      </c>
      <c r="Q169" s="76">
        <v>3</v>
      </c>
      <c r="R169" s="76">
        <v>1</v>
      </c>
      <c r="S169" s="76" t="s">
        <v>68</v>
      </c>
      <c r="T169" s="5">
        <v>79</v>
      </c>
      <c r="U169" s="9"/>
    </row>
    <row r="170" spans="1:21" s="37" customFormat="1" ht="12" customHeight="1" x14ac:dyDescent="0.3">
      <c r="A170" s="77" t="s">
        <v>286</v>
      </c>
      <c r="B170" s="78" t="s">
        <v>287</v>
      </c>
      <c r="C170" s="84">
        <v>720</v>
      </c>
      <c r="D170" s="85">
        <v>58.6</v>
      </c>
      <c r="E170" s="86">
        <v>18</v>
      </c>
      <c r="F170" s="85">
        <v>44.9</v>
      </c>
      <c r="G170" s="17">
        <v>14</v>
      </c>
      <c r="H170" s="87">
        <v>240</v>
      </c>
      <c r="I170" s="88">
        <v>6500</v>
      </c>
      <c r="J170" s="88" t="s">
        <v>84</v>
      </c>
      <c r="K170" s="88"/>
      <c r="L170" s="88"/>
      <c r="M170" s="89">
        <f t="shared" si="8"/>
        <v>6500</v>
      </c>
      <c r="N170" s="4">
        <f t="shared" si="9"/>
        <v>0</v>
      </c>
      <c r="O170" s="90">
        <f t="shared" si="10"/>
        <v>361.11111111111109</v>
      </c>
      <c r="P170" s="90">
        <f t="shared" si="11"/>
        <v>0</v>
      </c>
      <c r="Q170" s="76">
        <v>2</v>
      </c>
      <c r="R170" s="76">
        <v>1</v>
      </c>
      <c r="S170" s="76" t="s">
        <v>68</v>
      </c>
      <c r="T170" s="5">
        <v>58</v>
      </c>
      <c r="U170" s="9"/>
    </row>
    <row r="171" spans="1:21" s="37" customFormat="1" ht="12" customHeight="1" x14ac:dyDescent="0.3">
      <c r="A171" s="77" t="s">
        <v>284</v>
      </c>
      <c r="B171" s="78" t="s">
        <v>285</v>
      </c>
      <c r="C171" s="84">
        <v>1350</v>
      </c>
      <c r="D171" s="85">
        <v>58.6</v>
      </c>
      <c r="E171" s="86">
        <v>18</v>
      </c>
      <c r="F171" s="85">
        <v>44.9</v>
      </c>
      <c r="G171" s="17">
        <v>14</v>
      </c>
      <c r="H171" s="87">
        <v>450</v>
      </c>
      <c r="I171" s="88">
        <v>6200</v>
      </c>
      <c r="J171" s="88" t="s">
        <v>181</v>
      </c>
      <c r="K171" s="88">
        <v>8000</v>
      </c>
      <c r="L171" s="88" t="s">
        <v>131</v>
      </c>
      <c r="M171" s="89">
        <f t="shared" si="8"/>
        <v>-1800</v>
      </c>
      <c r="N171" s="4">
        <f t="shared" si="9"/>
        <v>1.2903225806451613</v>
      </c>
      <c r="O171" s="90">
        <f t="shared" si="10"/>
        <v>344.44444444444446</v>
      </c>
      <c r="P171" s="90">
        <f t="shared" si="11"/>
        <v>444.44444444444446</v>
      </c>
      <c r="Q171" s="76">
        <v>2</v>
      </c>
      <c r="R171" s="76">
        <v>1</v>
      </c>
      <c r="S171" s="76" t="s">
        <v>68</v>
      </c>
      <c r="T171" s="5">
        <v>58</v>
      </c>
      <c r="U171" s="9"/>
    </row>
    <row r="172" spans="1:21" s="37" customFormat="1" ht="12" customHeight="1" x14ac:dyDescent="0.3">
      <c r="A172" s="77" t="s">
        <v>286</v>
      </c>
      <c r="B172" s="78" t="s">
        <v>287</v>
      </c>
      <c r="C172" s="84">
        <v>720</v>
      </c>
      <c r="D172" s="85">
        <v>50.4</v>
      </c>
      <c r="E172" s="86">
        <v>15</v>
      </c>
      <c r="F172" s="85">
        <v>38.6</v>
      </c>
      <c r="G172" s="17">
        <v>12</v>
      </c>
      <c r="H172" s="87">
        <v>480</v>
      </c>
      <c r="I172" s="88">
        <v>5400</v>
      </c>
      <c r="J172" s="88" t="s">
        <v>84</v>
      </c>
      <c r="K172" s="88"/>
      <c r="L172" s="88"/>
      <c r="M172" s="89">
        <f t="shared" si="8"/>
        <v>5400</v>
      </c>
      <c r="N172" s="4">
        <f t="shared" si="9"/>
        <v>0</v>
      </c>
      <c r="O172" s="90">
        <f t="shared" si="10"/>
        <v>360</v>
      </c>
      <c r="P172" s="90">
        <f t="shared" si="11"/>
        <v>0</v>
      </c>
      <c r="Q172" s="76">
        <v>2</v>
      </c>
      <c r="R172" s="76">
        <v>1</v>
      </c>
      <c r="S172" s="76" t="s">
        <v>68</v>
      </c>
      <c r="T172" s="5">
        <v>50</v>
      </c>
      <c r="U172" s="9"/>
    </row>
    <row r="173" spans="1:21" s="37" customFormat="1" ht="12" customHeight="1" x14ac:dyDescent="0.3">
      <c r="A173" s="77" t="s">
        <v>284</v>
      </c>
      <c r="B173" s="78" t="s">
        <v>285</v>
      </c>
      <c r="C173" s="84">
        <v>1350</v>
      </c>
      <c r="D173" s="85">
        <v>50.4</v>
      </c>
      <c r="E173" s="86">
        <v>15</v>
      </c>
      <c r="F173" s="85">
        <v>38.6</v>
      </c>
      <c r="G173" s="17">
        <v>12</v>
      </c>
      <c r="H173" s="87">
        <v>900</v>
      </c>
      <c r="I173" s="88">
        <v>5300</v>
      </c>
      <c r="J173" s="88" t="s">
        <v>85</v>
      </c>
      <c r="K173" s="88">
        <v>5000</v>
      </c>
      <c r="L173" s="88" t="s">
        <v>72</v>
      </c>
      <c r="M173" s="89">
        <f t="shared" si="8"/>
        <v>300</v>
      </c>
      <c r="N173" s="4">
        <f t="shared" si="9"/>
        <v>0.94339622641509435</v>
      </c>
      <c r="O173" s="90">
        <f t="shared" si="10"/>
        <v>353.33333333333331</v>
      </c>
      <c r="P173" s="90">
        <f t="shared" si="11"/>
        <v>333.33333333333331</v>
      </c>
      <c r="Q173" s="76">
        <v>2</v>
      </c>
      <c r="R173" s="76">
        <v>1</v>
      </c>
      <c r="S173" s="76" t="s">
        <v>68</v>
      </c>
      <c r="T173" s="5">
        <v>50</v>
      </c>
      <c r="U173" s="9"/>
    </row>
    <row r="174" spans="1:21" s="37" customFormat="1" ht="12" customHeight="1" x14ac:dyDescent="0.3">
      <c r="A174" s="77" t="s">
        <v>59</v>
      </c>
      <c r="B174" s="78" t="s">
        <v>60</v>
      </c>
      <c r="C174" s="84">
        <v>205</v>
      </c>
      <c r="D174" s="85">
        <v>71.400000000000006</v>
      </c>
      <c r="E174" s="86">
        <v>22</v>
      </c>
      <c r="F174" s="85">
        <v>60</v>
      </c>
      <c r="G174" s="17">
        <v>18</v>
      </c>
      <c r="H174" s="87">
        <v>205</v>
      </c>
      <c r="I174" s="88"/>
      <c r="J174" s="88"/>
      <c r="K174" s="88"/>
      <c r="L174" s="88"/>
      <c r="M174" s="89">
        <f t="shared" si="8"/>
        <v>0</v>
      </c>
      <c r="N174" s="4" t="str">
        <f t="shared" si="9"/>
        <v/>
      </c>
      <c r="O174" s="90">
        <f t="shared" si="10"/>
        <v>0</v>
      </c>
      <c r="P174" s="90">
        <f t="shared" si="11"/>
        <v>0</v>
      </c>
      <c r="Q174" s="76">
        <v>3</v>
      </c>
      <c r="R174" s="76">
        <v>1</v>
      </c>
      <c r="S174" s="76" t="s">
        <v>61</v>
      </c>
      <c r="T174" s="5">
        <v>71</v>
      </c>
      <c r="U174" s="9"/>
    </row>
    <row r="175" spans="1:21" s="37" customFormat="1" ht="12" customHeight="1" x14ac:dyDescent="0.3">
      <c r="A175" s="77" t="s">
        <v>64</v>
      </c>
      <c r="B175" s="78" t="s">
        <v>65</v>
      </c>
      <c r="C175" s="84">
        <v>433</v>
      </c>
      <c r="D175" s="85">
        <v>101.4</v>
      </c>
      <c r="E175" s="86">
        <v>31</v>
      </c>
      <c r="F175" s="85">
        <v>84.9</v>
      </c>
      <c r="G175" s="17">
        <v>26</v>
      </c>
      <c r="H175" s="87">
        <v>283</v>
      </c>
      <c r="I175" s="88"/>
      <c r="J175" s="88"/>
      <c r="K175" s="88"/>
      <c r="L175" s="88"/>
      <c r="M175" s="89">
        <f t="shared" si="8"/>
        <v>0</v>
      </c>
      <c r="N175" s="4" t="str">
        <f t="shared" si="9"/>
        <v/>
      </c>
      <c r="O175" s="90">
        <f t="shared" si="10"/>
        <v>0</v>
      </c>
      <c r="P175" s="90">
        <f t="shared" si="11"/>
        <v>0</v>
      </c>
      <c r="Q175" s="76">
        <v>3</v>
      </c>
      <c r="R175" s="76">
        <v>2</v>
      </c>
      <c r="S175" s="76" t="s">
        <v>61</v>
      </c>
      <c r="T175" s="5">
        <v>101</v>
      </c>
      <c r="U175" s="9"/>
    </row>
    <row r="176" spans="1:21" s="37" customFormat="1" ht="12" customHeight="1" x14ac:dyDescent="0.3">
      <c r="A176" s="77" t="s">
        <v>64</v>
      </c>
      <c r="B176" s="78" t="s">
        <v>65</v>
      </c>
      <c r="C176" s="84">
        <v>433</v>
      </c>
      <c r="D176" s="85">
        <v>119.3</v>
      </c>
      <c r="E176" s="86">
        <v>36</v>
      </c>
      <c r="F176" s="85">
        <v>102.1</v>
      </c>
      <c r="G176" s="17">
        <v>31</v>
      </c>
      <c r="H176" s="87">
        <v>30</v>
      </c>
      <c r="I176" s="88"/>
      <c r="J176" s="88"/>
      <c r="K176" s="88"/>
      <c r="L176" s="88"/>
      <c r="M176" s="89">
        <f t="shared" si="8"/>
        <v>0</v>
      </c>
      <c r="N176" s="4" t="str">
        <f t="shared" si="9"/>
        <v/>
      </c>
      <c r="O176" s="90">
        <f t="shared" si="10"/>
        <v>0</v>
      </c>
      <c r="P176" s="90">
        <f t="shared" si="11"/>
        <v>0</v>
      </c>
      <c r="Q176" s="76">
        <v>4</v>
      </c>
      <c r="R176" s="76">
        <v>2</v>
      </c>
      <c r="S176" s="76" t="s">
        <v>61</v>
      </c>
      <c r="T176" s="5">
        <v>119</v>
      </c>
      <c r="U176" s="9"/>
    </row>
    <row r="177" spans="1:21" s="37" customFormat="1" ht="12" customHeight="1" x14ac:dyDescent="0.3">
      <c r="A177" s="77" t="s">
        <v>64</v>
      </c>
      <c r="B177" s="78" t="s">
        <v>65</v>
      </c>
      <c r="C177" s="84">
        <v>433</v>
      </c>
      <c r="D177" s="85">
        <v>153.6</v>
      </c>
      <c r="E177" s="86">
        <v>46</v>
      </c>
      <c r="F177" s="85">
        <v>133.1</v>
      </c>
      <c r="G177" s="17">
        <v>40</v>
      </c>
      <c r="H177" s="87">
        <v>60</v>
      </c>
      <c r="I177" s="88"/>
      <c r="J177" s="88"/>
      <c r="K177" s="88"/>
      <c r="L177" s="88"/>
      <c r="M177" s="89">
        <f t="shared" si="8"/>
        <v>0</v>
      </c>
      <c r="N177" s="4" t="str">
        <f t="shared" si="9"/>
        <v/>
      </c>
      <c r="O177" s="90">
        <f t="shared" si="10"/>
        <v>0</v>
      </c>
      <c r="P177" s="90">
        <f t="shared" si="11"/>
        <v>0</v>
      </c>
      <c r="Q177" s="76">
        <v>4</v>
      </c>
      <c r="R177" s="76">
        <v>2</v>
      </c>
      <c r="S177" s="76" t="s">
        <v>61</v>
      </c>
      <c r="T177" s="5">
        <v>153</v>
      </c>
      <c r="U177" s="9"/>
    </row>
    <row r="178" spans="1:21" s="37" customFormat="1" ht="12" customHeight="1" x14ac:dyDescent="0.3">
      <c r="A178" s="77" t="s">
        <v>64</v>
      </c>
      <c r="B178" s="78" t="s">
        <v>65</v>
      </c>
      <c r="C178" s="84">
        <v>433</v>
      </c>
      <c r="D178" s="85">
        <v>180.1</v>
      </c>
      <c r="E178" s="86">
        <v>54</v>
      </c>
      <c r="F178" s="85">
        <v>157.30000000000001</v>
      </c>
      <c r="G178" s="17">
        <v>48</v>
      </c>
      <c r="H178" s="87">
        <v>30</v>
      </c>
      <c r="I178" s="88"/>
      <c r="J178" s="88"/>
      <c r="K178" s="88"/>
      <c r="L178" s="88"/>
      <c r="M178" s="89">
        <f t="shared" si="8"/>
        <v>0</v>
      </c>
      <c r="N178" s="4" t="str">
        <f t="shared" si="9"/>
        <v/>
      </c>
      <c r="O178" s="90">
        <f t="shared" si="10"/>
        <v>0</v>
      </c>
      <c r="P178" s="90">
        <f t="shared" si="11"/>
        <v>0</v>
      </c>
      <c r="Q178" s="76">
        <v>5</v>
      </c>
      <c r="R178" s="76">
        <v>2</v>
      </c>
      <c r="S178" s="76" t="s">
        <v>61</v>
      </c>
      <c r="T178" s="5">
        <v>180</v>
      </c>
      <c r="U178" s="9"/>
    </row>
    <row r="179" spans="1:21" s="37" customFormat="1" ht="12" customHeight="1" x14ac:dyDescent="0.3">
      <c r="A179" s="77" t="s">
        <v>64</v>
      </c>
      <c r="B179" s="78" t="s">
        <v>65</v>
      </c>
      <c r="C179" s="84">
        <v>433</v>
      </c>
      <c r="D179" s="85">
        <v>218.9</v>
      </c>
      <c r="E179" s="86">
        <v>66</v>
      </c>
      <c r="F179" s="85">
        <v>193</v>
      </c>
      <c r="G179" s="17">
        <v>58</v>
      </c>
      <c r="H179" s="87">
        <v>30</v>
      </c>
      <c r="I179" s="88"/>
      <c r="J179" s="88"/>
      <c r="K179" s="88"/>
      <c r="L179" s="88"/>
      <c r="M179" s="89">
        <f t="shared" si="8"/>
        <v>0</v>
      </c>
      <c r="N179" s="4" t="str">
        <f t="shared" si="9"/>
        <v/>
      </c>
      <c r="O179" s="90">
        <f t="shared" si="10"/>
        <v>0</v>
      </c>
      <c r="P179" s="90">
        <f t="shared" si="11"/>
        <v>0</v>
      </c>
      <c r="Q179" s="76">
        <v>5</v>
      </c>
      <c r="R179" s="76">
        <v>2</v>
      </c>
      <c r="S179" s="76" t="s">
        <v>61</v>
      </c>
      <c r="T179" s="5">
        <v>218</v>
      </c>
      <c r="U179" s="9"/>
    </row>
    <row r="180" spans="1:21" s="37" customFormat="1" ht="12" customHeight="1" x14ac:dyDescent="0.3">
      <c r="A180" s="77" t="s">
        <v>66</v>
      </c>
      <c r="B180" s="78" t="s">
        <v>67</v>
      </c>
      <c r="C180" s="84">
        <v>283</v>
      </c>
      <c r="D180" s="85">
        <v>83.6</v>
      </c>
      <c r="E180" s="86">
        <v>25</v>
      </c>
      <c r="F180" s="85">
        <v>59.4</v>
      </c>
      <c r="G180" s="17">
        <v>18</v>
      </c>
      <c r="H180" s="87">
        <v>172</v>
      </c>
      <c r="I180" s="88"/>
      <c r="J180" s="88"/>
      <c r="K180" s="88"/>
      <c r="L180" s="88"/>
      <c r="M180" s="89">
        <f t="shared" si="8"/>
        <v>0</v>
      </c>
      <c r="N180" s="4" t="str">
        <f t="shared" si="9"/>
        <v/>
      </c>
      <c r="O180" s="90">
        <f t="shared" si="10"/>
        <v>0</v>
      </c>
      <c r="P180" s="90">
        <f t="shared" si="11"/>
        <v>0</v>
      </c>
      <c r="Q180" s="76">
        <v>3</v>
      </c>
      <c r="R180" s="76">
        <v>1</v>
      </c>
      <c r="S180" s="76" t="s">
        <v>68</v>
      </c>
      <c r="T180" s="5">
        <v>83</v>
      </c>
      <c r="U180" s="9"/>
    </row>
    <row r="181" spans="1:21" s="37" customFormat="1" ht="12" customHeight="1" x14ac:dyDescent="0.3">
      <c r="A181" s="77" t="s">
        <v>66</v>
      </c>
      <c r="B181" s="78" t="s">
        <v>67</v>
      </c>
      <c r="C181" s="84">
        <v>283</v>
      </c>
      <c r="D181" s="85">
        <v>102.1</v>
      </c>
      <c r="E181" s="86">
        <v>31</v>
      </c>
      <c r="F181" s="85">
        <v>72.900000000000006</v>
      </c>
      <c r="G181" s="17">
        <v>22</v>
      </c>
      <c r="H181" s="87">
        <v>31</v>
      </c>
      <c r="I181" s="88"/>
      <c r="J181" s="88"/>
      <c r="K181" s="88"/>
      <c r="L181" s="88"/>
      <c r="M181" s="89">
        <f t="shared" si="8"/>
        <v>0</v>
      </c>
      <c r="N181" s="4" t="str">
        <f t="shared" si="9"/>
        <v/>
      </c>
      <c r="O181" s="90">
        <f t="shared" si="10"/>
        <v>0</v>
      </c>
      <c r="P181" s="90">
        <f t="shared" si="11"/>
        <v>0</v>
      </c>
      <c r="Q181" s="76">
        <v>3</v>
      </c>
      <c r="R181" s="76">
        <v>1</v>
      </c>
      <c r="S181" s="76" t="s">
        <v>61</v>
      </c>
      <c r="T181" s="5">
        <v>102</v>
      </c>
      <c r="U181" s="9"/>
    </row>
    <row r="182" spans="1:21" s="37" customFormat="1" ht="12" customHeight="1" x14ac:dyDescent="0.3">
      <c r="A182" s="77" t="s">
        <v>66</v>
      </c>
      <c r="B182" s="78" t="s">
        <v>67</v>
      </c>
      <c r="C182" s="84">
        <v>283</v>
      </c>
      <c r="D182" s="85">
        <v>106.9</v>
      </c>
      <c r="E182" s="86">
        <v>32</v>
      </c>
      <c r="F182" s="85">
        <v>84.4</v>
      </c>
      <c r="G182" s="17">
        <v>26</v>
      </c>
      <c r="H182" s="87">
        <v>80</v>
      </c>
      <c r="I182" s="88"/>
      <c r="J182" s="88"/>
      <c r="K182" s="88"/>
      <c r="L182" s="88"/>
      <c r="M182" s="89">
        <f t="shared" si="8"/>
        <v>0</v>
      </c>
      <c r="N182" s="4" t="str">
        <f t="shared" si="9"/>
        <v/>
      </c>
      <c r="O182" s="90">
        <f t="shared" si="10"/>
        <v>0</v>
      </c>
      <c r="P182" s="90">
        <f t="shared" si="11"/>
        <v>0</v>
      </c>
      <c r="Q182" s="76">
        <v>3</v>
      </c>
      <c r="R182" s="76">
        <v>2</v>
      </c>
      <c r="S182" s="76" t="s">
        <v>61</v>
      </c>
      <c r="T182" s="5">
        <v>106</v>
      </c>
      <c r="U182" s="9"/>
    </row>
    <row r="183" spans="1:21" s="37" customFormat="1" ht="12" customHeight="1" x14ac:dyDescent="0.3">
      <c r="A183" s="77" t="s">
        <v>76</v>
      </c>
      <c r="B183" s="78" t="s">
        <v>77</v>
      </c>
      <c r="C183" s="84">
        <v>270</v>
      </c>
      <c r="D183" s="85">
        <v>65.5</v>
      </c>
      <c r="E183" s="86">
        <v>20</v>
      </c>
      <c r="F183" s="85">
        <v>59.2</v>
      </c>
      <c r="G183" s="17">
        <v>18</v>
      </c>
      <c r="H183" s="87">
        <v>270</v>
      </c>
      <c r="I183" s="88"/>
      <c r="J183" s="88"/>
      <c r="K183" s="88"/>
      <c r="L183" s="88"/>
      <c r="M183" s="89">
        <f t="shared" si="8"/>
        <v>0</v>
      </c>
      <c r="N183" s="4" t="str">
        <f t="shared" si="9"/>
        <v/>
      </c>
      <c r="O183" s="90">
        <f t="shared" si="10"/>
        <v>0</v>
      </c>
      <c r="P183" s="90">
        <f t="shared" si="11"/>
        <v>0</v>
      </c>
      <c r="Q183" s="76">
        <v>2</v>
      </c>
      <c r="R183" s="76">
        <v>1</v>
      </c>
      <c r="S183" s="76" t="s">
        <v>61</v>
      </c>
      <c r="T183" s="5">
        <v>65</v>
      </c>
      <c r="U183" s="9"/>
    </row>
    <row r="184" spans="1:21" s="37" customFormat="1" ht="12" customHeight="1" x14ac:dyDescent="0.3">
      <c r="A184" s="77" t="s">
        <v>78</v>
      </c>
      <c r="B184" s="78" t="s">
        <v>79</v>
      </c>
      <c r="C184" s="84">
        <v>508</v>
      </c>
      <c r="D184" s="85">
        <v>161.19999999999999</v>
      </c>
      <c r="E184" s="86">
        <v>49</v>
      </c>
      <c r="F184" s="85">
        <v>134.5</v>
      </c>
      <c r="G184" s="17">
        <v>41</v>
      </c>
      <c r="H184" s="87">
        <v>76</v>
      </c>
      <c r="I184" s="88"/>
      <c r="J184" s="88"/>
      <c r="K184" s="88"/>
      <c r="L184" s="88"/>
      <c r="M184" s="89">
        <f t="shared" si="8"/>
        <v>0</v>
      </c>
      <c r="N184" s="4" t="str">
        <f t="shared" si="9"/>
        <v/>
      </c>
      <c r="O184" s="90">
        <f t="shared" si="10"/>
        <v>0</v>
      </c>
      <c r="P184" s="90">
        <f t="shared" si="11"/>
        <v>0</v>
      </c>
      <c r="Q184" s="76">
        <v>4</v>
      </c>
      <c r="R184" s="76">
        <v>2</v>
      </c>
      <c r="S184" s="76" t="s">
        <v>61</v>
      </c>
      <c r="T184" s="5">
        <v>161</v>
      </c>
      <c r="U184" s="9"/>
    </row>
    <row r="185" spans="1:21" s="37" customFormat="1" ht="12" customHeight="1" x14ac:dyDescent="0.3">
      <c r="A185" s="77" t="s">
        <v>86</v>
      </c>
      <c r="B185" s="78" t="s">
        <v>87</v>
      </c>
      <c r="C185" s="84">
        <v>300</v>
      </c>
      <c r="D185" s="85">
        <v>70.8</v>
      </c>
      <c r="E185" s="86">
        <v>21</v>
      </c>
      <c r="F185" s="85">
        <v>59</v>
      </c>
      <c r="G185" s="17">
        <v>18</v>
      </c>
      <c r="H185" s="87">
        <v>300</v>
      </c>
      <c r="I185" s="88"/>
      <c r="J185" s="88"/>
      <c r="K185" s="88"/>
      <c r="L185" s="88"/>
      <c r="M185" s="89">
        <f t="shared" si="8"/>
        <v>0</v>
      </c>
      <c r="N185" s="4" t="str">
        <f t="shared" si="9"/>
        <v/>
      </c>
      <c r="O185" s="90">
        <f t="shared" si="10"/>
        <v>0</v>
      </c>
      <c r="P185" s="90">
        <f t="shared" si="11"/>
        <v>0</v>
      </c>
      <c r="Q185" s="76">
        <v>3</v>
      </c>
      <c r="R185" s="76">
        <v>1</v>
      </c>
      <c r="S185" s="76" t="s">
        <v>61</v>
      </c>
      <c r="T185" s="5">
        <v>70</v>
      </c>
      <c r="U185" s="9"/>
    </row>
    <row r="186" spans="1:21" s="37" customFormat="1" ht="12" customHeight="1" x14ac:dyDescent="0.3">
      <c r="A186" s="77" t="s">
        <v>95</v>
      </c>
      <c r="B186" s="78" t="s">
        <v>79</v>
      </c>
      <c r="C186" s="84">
        <v>390</v>
      </c>
      <c r="D186" s="85">
        <v>77.3</v>
      </c>
      <c r="E186" s="86">
        <v>23</v>
      </c>
      <c r="F186" s="85">
        <v>59.4</v>
      </c>
      <c r="G186" s="17">
        <v>18</v>
      </c>
      <c r="H186" s="87">
        <v>240</v>
      </c>
      <c r="I186" s="88"/>
      <c r="J186" s="88"/>
      <c r="K186" s="88"/>
      <c r="L186" s="88"/>
      <c r="M186" s="89">
        <f t="shared" si="8"/>
        <v>0</v>
      </c>
      <c r="N186" s="4" t="str">
        <f t="shared" si="9"/>
        <v/>
      </c>
      <c r="O186" s="90">
        <f t="shared" si="10"/>
        <v>0</v>
      </c>
      <c r="P186" s="90">
        <f t="shared" si="11"/>
        <v>0</v>
      </c>
      <c r="Q186" s="76">
        <v>3</v>
      </c>
      <c r="R186" s="76">
        <v>1</v>
      </c>
      <c r="S186" s="76" t="s">
        <v>61</v>
      </c>
      <c r="T186" s="5">
        <v>77</v>
      </c>
      <c r="U186" s="9"/>
    </row>
    <row r="187" spans="1:21" s="37" customFormat="1" ht="12" customHeight="1" x14ac:dyDescent="0.3">
      <c r="A187" s="77" t="s">
        <v>109</v>
      </c>
      <c r="B187" s="78" t="s">
        <v>110</v>
      </c>
      <c r="C187" s="84">
        <v>488</v>
      </c>
      <c r="D187" s="85">
        <v>159.80000000000001</v>
      </c>
      <c r="E187" s="86">
        <v>48</v>
      </c>
      <c r="F187" s="85">
        <v>134.9</v>
      </c>
      <c r="G187" s="17">
        <v>41</v>
      </c>
      <c r="H187" s="87">
        <v>72</v>
      </c>
      <c r="I187" s="88"/>
      <c r="J187" s="88"/>
      <c r="K187" s="88"/>
      <c r="L187" s="88"/>
      <c r="M187" s="89">
        <f t="shared" si="8"/>
        <v>0</v>
      </c>
      <c r="N187" s="4" t="str">
        <f t="shared" si="9"/>
        <v/>
      </c>
      <c r="O187" s="90">
        <f t="shared" si="10"/>
        <v>0</v>
      </c>
      <c r="P187" s="90">
        <f t="shared" si="11"/>
        <v>0</v>
      </c>
      <c r="Q187" s="76">
        <v>4</v>
      </c>
      <c r="R187" s="76">
        <v>2</v>
      </c>
      <c r="S187" s="76" t="s">
        <v>61</v>
      </c>
      <c r="T187" s="5">
        <v>159</v>
      </c>
      <c r="U187" s="9"/>
    </row>
    <row r="188" spans="1:21" s="37" customFormat="1" ht="12" customHeight="1" x14ac:dyDescent="0.3">
      <c r="A188" s="77" t="s">
        <v>118</v>
      </c>
      <c r="B188" s="78" t="s">
        <v>119</v>
      </c>
      <c r="C188" s="84">
        <v>355</v>
      </c>
      <c r="D188" s="85">
        <v>138.80000000000001</v>
      </c>
      <c r="E188" s="86">
        <v>42</v>
      </c>
      <c r="F188" s="85">
        <v>119.6</v>
      </c>
      <c r="G188" s="17">
        <v>36</v>
      </c>
      <c r="H188" s="87">
        <v>78</v>
      </c>
      <c r="I188" s="88"/>
      <c r="J188" s="88"/>
      <c r="K188" s="88"/>
      <c r="L188" s="88"/>
      <c r="M188" s="89">
        <f t="shared" si="8"/>
        <v>0</v>
      </c>
      <c r="N188" s="4" t="str">
        <f t="shared" si="9"/>
        <v/>
      </c>
      <c r="O188" s="90">
        <f t="shared" si="10"/>
        <v>0</v>
      </c>
      <c r="P188" s="90">
        <f t="shared" si="11"/>
        <v>0</v>
      </c>
      <c r="Q188" s="76">
        <v>4</v>
      </c>
      <c r="R188" s="76">
        <v>2</v>
      </c>
      <c r="S188" s="76" t="s">
        <v>61</v>
      </c>
      <c r="T188" s="5">
        <v>138</v>
      </c>
      <c r="U188" s="9"/>
    </row>
    <row r="189" spans="1:21" s="37" customFormat="1" ht="12" customHeight="1" x14ac:dyDescent="0.3">
      <c r="A189" s="77" t="s">
        <v>118</v>
      </c>
      <c r="B189" s="78" t="s">
        <v>119</v>
      </c>
      <c r="C189" s="84">
        <v>355</v>
      </c>
      <c r="D189" s="85">
        <v>155</v>
      </c>
      <c r="E189" s="86">
        <v>47</v>
      </c>
      <c r="F189" s="85">
        <v>134.6</v>
      </c>
      <c r="G189" s="17">
        <v>41</v>
      </c>
      <c r="H189" s="87">
        <v>100</v>
      </c>
      <c r="I189" s="88"/>
      <c r="J189" s="88"/>
      <c r="K189" s="88"/>
      <c r="L189" s="88"/>
      <c r="M189" s="89">
        <f t="shared" si="8"/>
        <v>0</v>
      </c>
      <c r="N189" s="4" t="str">
        <f t="shared" si="9"/>
        <v/>
      </c>
      <c r="O189" s="90">
        <f t="shared" si="10"/>
        <v>0</v>
      </c>
      <c r="P189" s="90">
        <f t="shared" si="11"/>
        <v>0</v>
      </c>
      <c r="Q189" s="76">
        <v>4</v>
      </c>
      <c r="R189" s="76">
        <v>2</v>
      </c>
      <c r="S189" s="76" t="s">
        <v>61</v>
      </c>
      <c r="T189" s="5">
        <v>154</v>
      </c>
      <c r="U189" s="9"/>
    </row>
    <row r="190" spans="1:21" s="37" customFormat="1" ht="12" customHeight="1" x14ac:dyDescent="0.3">
      <c r="A190" s="77" t="s">
        <v>118</v>
      </c>
      <c r="B190" s="78" t="s">
        <v>119</v>
      </c>
      <c r="C190" s="84">
        <v>355</v>
      </c>
      <c r="D190" s="85">
        <v>162.80000000000001</v>
      </c>
      <c r="E190" s="86">
        <v>49</v>
      </c>
      <c r="F190" s="85">
        <v>141.80000000000001</v>
      </c>
      <c r="G190" s="17">
        <v>43</v>
      </c>
      <c r="H190" s="87">
        <v>177</v>
      </c>
      <c r="I190" s="88"/>
      <c r="J190" s="88"/>
      <c r="K190" s="88"/>
      <c r="L190" s="88"/>
      <c r="M190" s="89">
        <f t="shared" si="8"/>
        <v>0</v>
      </c>
      <c r="N190" s="4" t="str">
        <f t="shared" si="9"/>
        <v/>
      </c>
      <c r="O190" s="90">
        <f t="shared" si="10"/>
        <v>0</v>
      </c>
      <c r="P190" s="90">
        <f t="shared" si="11"/>
        <v>0</v>
      </c>
      <c r="Q190" s="76">
        <v>4</v>
      </c>
      <c r="R190" s="76">
        <v>2</v>
      </c>
      <c r="S190" s="76" t="s">
        <v>61</v>
      </c>
      <c r="T190" s="5">
        <v>162</v>
      </c>
      <c r="U190" s="9"/>
    </row>
    <row r="191" spans="1:21" s="37" customFormat="1" ht="12" customHeight="1" x14ac:dyDescent="0.3">
      <c r="A191" s="77" t="s">
        <v>120</v>
      </c>
      <c r="B191" s="78" t="s">
        <v>121</v>
      </c>
      <c r="C191" s="84">
        <v>400</v>
      </c>
      <c r="D191" s="85">
        <v>39.6</v>
      </c>
      <c r="E191" s="86">
        <v>12</v>
      </c>
      <c r="F191" s="85">
        <v>30.2</v>
      </c>
      <c r="G191" s="17">
        <v>9</v>
      </c>
      <c r="H191" s="87">
        <v>100</v>
      </c>
      <c r="I191" s="88"/>
      <c r="J191" s="88"/>
      <c r="K191" s="88"/>
      <c r="L191" s="88"/>
      <c r="M191" s="89">
        <f t="shared" si="8"/>
        <v>0</v>
      </c>
      <c r="N191" s="4" t="str">
        <f t="shared" si="9"/>
        <v/>
      </c>
      <c r="O191" s="90">
        <f t="shared" si="10"/>
        <v>0</v>
      </c>
      <c r="P191" s="90">
        <f t="shared" si="11"/>
        <v>0</v>
      </c>
      <c r="Q191" s="76">
        <v>1</v>
      </c>
      <c r="R191" s="76">
        <v>1</v>
      </c>
      <c r="S191" s="76" t="s">
        <v>61</v>
      </c>
      <c r="T191" s="5">
        <v>39</v>
      </c>
      <c r="U191" s="9"/>
    </row>
    <row r="192" spans="1:21" s="37" customFormat="1" ht="12" customHeight="1" x14ac:dyDescent="0.3">
      <c r="A192" s="77" t="s">
        <v>120</v>
      </c>
      <c r="B192" s="78" t="s">
        <v>121</v>
      </c>
      <c r="C192" s="84">
        <v>400</v>
      </c>
      <c r="D192" s="85">
        <v>49.8</v>
      </c>
      <c r="E192" s="86">
        <v>15</v>
      </c>
      <c r="F192" s="85">
        <v>39.200000000000003</v>
      </c>
      <c r="G192" s="17">
        <v>12</v>
      </c>
      <c r="H192" s="87">
        <v>100</v>
      </c>
      <c r="I192" s="88"/>
      <c r="J192" s="88"/>
      <c r="K192" s="88">
        <v>3500</v>
      </c>
      <c r="L192" s="88" t="s">
        <v>71</v>
      </c>
      <c r="M192" s="89">
        <f t="shared" si="8"/>
        <v>-3500</v>
      </c>
      <c r="N192" s="4" t="str">
        <f t="shared" si="9"/>
        <v/>
      </c>
      <c r="O192" s="90">
        <f t="shared" si="10"/>
        <v>0</v>
      </c>
      <c r="P192" s="90">
        <f t="shared" si="11"/>
        <v>233.33333333333334</v>
      </c>
      <c r="Q192" s="76">
        <v>2</v>
      </c>
      <c r="R192" s="76">
        <v>1</v>
      </c>
      <c r="S192" s="76" t="s">
        <v>61</v>
      </c>
      <c r="T192" s="5">
        <v>49</v>
      </c>
      <c r="U192" s="9"/>
    </row>
    <row r="193" spans="1:21" s="37" customFormat="1" ht="12" customHeight="1" x14ac:dyDescent="0.3">
      <c r="A193" s="77" t="s">
        <v>136</v>
      </c>
      <c r="B193" s="78" t="s">
        <v>137</v>
      </c>
      <c r="C193" s="84">
        <v>296</v>
      </c>
      <c r="D193" s="85">
        <v>103.7</v>
      </c>
      <c r="E193" s="86">
        <v>31</v>
      </c>
      <c r="F193" s="85">
        <v>85</v>
      </c>
      <c r="G193" s="17">
        <v>26</v>
      </c>
      <c r="H193" s="87">
        <v>233</v>
      </c>
      <c r="I193" s="88"/>
      <c r="J193" s="88"/>
      <c r="K193" s="88"/>
      <c r="L193" s="88"/>
      <c r="M193" s="89">
        <f t="shared" si="8"/>
        <v>0</v>
      </c>
      <c r="N193" s="4" t="str">
        <f t="shared" si="9"/>
        <v/>
      </c>
      <c r="O193" s="90">
        <f t="shared" si="10"/>
        <v>0</v>
      </c>
      <c r="P193" s="90">
        <f t="shared" si="11"/>
        <v>0</v>
      </c>
      <c r="Q193" s="76">
        <v>3</v>
      </c>
      <c r="R193" s="76">
        <v>2</v>
      </c>
      <c r="S193" s="76" t="s">
        <v>61</v>
      </c>
      <c r="T193" s="5">
        <v>103</v>
      </c>
      <c r="U193" s="9"/>
    </row>
    <row r="194" spans="1:21" s="37" customFormat="1" ht="12" customHeight="1" x14ac:dyDescent="0.3">
      <c r="A194" s="77" t="s">
        <v>136</v>
      </c>
      <c r="B194" s="78" t="s">
        <v>137</v>
      </c>
      <c r="C194" s="84">
        <v>296</v>
      </c>
      <c r="D194" s="85">
        <v>164.2</v>
      </c>
      <c r="E194" s="86">
        <v>50</v>
      </c>
      <c r="F194" s="85">
        <v>134.6</v>
      </c>
      <c r="G194" s="17">
        <v>41</v>
      </c>
      <c r="H194" s="87">
        <v>44</v>
      </c>
      <c r="I194" s="88"/>
      <c r="J194" s="88"/>
      <c r="K194" s="88"/>
      <c r="L194" s="88"/>
      <c r="M194" s="89">
        <f t="shared" si="8"/>
        <v>0</v>
      </c>
      <c r="N194" s="4" t="str">
        <f t="shared" si="9"/>
        <v/>
      </c>
      <c r="O194" s="90">
        <f t="shared" si="10"/>
        <v>0</v>
      </c>
      <c r="P194" s="90">
        <f t="shared" si="11"/>
        <v>0</v>
      </c>
      <c r="Q194" s="76">
        <v>4</v>
      </c>
      <c r="R194" s="76">
        <v>2</v>
      </c>
      <c r="S194" s="76" t="s">
        <v>61</v>
      </c>
      <c r="T194" s="5">
        <v>164</v>
      </c>
      <c r="U194" s="9"/>
    </row>
    <row r="195" spans="1:21" s="37" customFormat="1" ht="12" customHeight="1" x14ac:dyDescent="0.3">
      <c r="A195" s="77" t="s">
        <v>138</v>
      </c>
      <c r="B195" s="78" t="s">
        <v>139</v>
      </c>
      <c r="C195" s="84">
        <v>480</v>
      </c>
      <c r="D195" s="85">
        <v>58.5</v>
      </c>
      <c r="E195" s="86">
        <v>18</v>
      </c>
      <c r="F195" s="85">
        <v>50.5</v>
      </c>
      <c r="G195" s="17">
        <v>15</v>
      </c>
      <c r="H195" s="87">
        <v>80</v>
      </c>
      <c r="I195" s="88"/>
      <c r="J195" s="88"/>
      <c r="K195" s="88"/>
      <c r="L195" s="88"/>
      <c r="M195" s="89">
        <f t="shared" si="8"/>
        <v>0</v>
      </c>
      <c r="N195" s="4" t="str">
        <f t="shared" si="9"/>
        <v/>
      </c>
      <c r="O195" s="90">
        <f t="shared" si="10"/>
        <v>0</v>
      </c>
      <c r="P195" s="90">
        <f t="shared" si="11"/>
        <v>0</v>
      </c>
      <c r="Q195" s="76">
        <v>2</v>
      </c>
      <c r="R195" s="76">
        <v>1</v>
      </c>
      <c r="S195" s="76" t="s">
        <v>61</v>
      </c>
      <c r="T195" s="5">
        <v>58</v>
      </c>
      <c r="U195" s="9"/>
    </row>
    <row r="196" spans="1:21" s="37" customFormat="1" ht="12" customHeight="1" x14ac:dyDescent="0.3">
      <c r="A196" s="77" t="s">
        <v>138</v>
      </c>
      <c r="B196" s="78" t="s">
        <v>139</v>
      </c>
      <c r="C196" s="84">
        <v>480</v>
      </c>
      <c r="D196" s="85">
        <v>67.099999999999994</v>
      </c>
      <c r="E196" s="86">
        <v>20</v>
      </c>
      <c r="F196" s="85">
        <v>58.6</v>
      </c>
      <c r="G196" s="17">
        <v>18</v>
      </c>
      <c r="H196" s="87">
        <v>200</v>
      </c>
      <c r="I196" s="88"/>
      <c r="J196" s="88"/>
      <c r="K196" s="88"/>
      <c r="L196" s="88"/>
      <c r="M196" s="89">
        <f t="shared" ref="M196:M259" si="12">I196-K196</f>
        <v>0</v>
      </c>
      <c r="N196" s="4" t="str">
        <f t="shared" ref="N196:N259" si="13">IF(ISERROR(K196/I196),"",K196/I196)</f>
        <v/>
      </c>
      <c r="O196" s="90">
        <f t="shared" ref="O196:O259" si="14">I196/E196</f>
        <v>0</v>
      </c>
      <c r="P196" s="90">
        <f t="shared" ref="P196:P259" si="15">K196/E196</f>
        <v>0</v>
      </c>
      <c r="Q196" s="76">
        <v>3</v>
      </c>
      <c r="R196" s="76">
        <v>1</v>
      </c>
      <c r="S196" s="76" t="s">
        <v>61</v>
      </c>
      <c r="T196" s="5">
        <v>67</v>
      </c>
      <c r="U196" s="9"/>
    </row>
    <row r="197" spans="1:21" s="37" customFormat="1" ht="12" customHeight="1" x14ac:dyDescent="0.3">
      <c r="A197" s="77" t="s">
        <v>138</v>
      </c>
      <c r="B197" s="78" t="s">
        <v>139</v>
      </c>
      <c r="C197" s="84">
        <v>480</v>
      </c>
      <c r="D197" s="85">
        <v>72</v>
      </c>
      <c r="E197" s="86">
        <v>22</v>
      </c>
      <c r="F197" s="85">
        <v>63.2</v>
      </c>
      <c r="G197" s="17">
        <v>19</v>
      </c>
      <c r="H197" s="87">
        <v>200</v>
      </c>
      <c r="I197" s="88"/>
      <c r="J197" s="88"/>
      <c r="K197" s="88"/>
      <c r="L197" s="88"/>
      <c r="M197" s="89">
        <f t="shared" si="12"/>
        <v>0</v>
      </c>
      <c r="N197" s="4" t="str">
        <f t="shared" si="13"/>
        <v/>
      </c>
      <c r="O197" s="90">
        <f t="shared" si="14"/>
        <v>0</v>
      </c>
      <c r="P197" s="90">
        <f t="shared" si="15"/>
        <v>0</v>
      </c>
      <c r="Q197" s="76">
        <v>3</v>
      </c>
      <c r="R197" s="76">
        <v>1</v>
      </c>
      <c r="S197" s="76" t="s">
        <v>61</v>
      </c>
      <c r="T197" s="5">
        <v>71</v>
      </c>
      <c r="U197" s="9"/>
    </row>
    <row r="198" spans="1:21" s="37" customFormat="1" ht="12" customHeight="1" x14ac:dyDescent="0.3">
      <c r="A198" s="77" t="s">
        <v>140</v>
      </c>
      <c r="B198" s="78" t="s">
        <v>141</v>
      </c>
      <c r="C198" s="84">
        <v>265</v>
      </c>
      <c r="D198" s="85">
        <v>92.2</v>
      </c>
      <c r="E198" s="86">
        <v>28</v>
      </c>
      <c r="F198" s="85">
        <v>70.7</v>
      </c>
      <c r="G198" s="17">
        <v>21</v>
      </c>
      <c r="H198" s="87">
        <v>90</v>
      </c>
      <c r="I198" s="88"/>
      <c r="J198" s="88"/>
      <c r="K198" s="88"/>
      <c r="L198" s="88"/>
      <c r="M198" s="89">
        <f t="shared" si="12"/>
        <v>0</v>
      </c>
      <c r="N198" s="4" t="str">
        <f t="shared" si="13"/>
        <v/>
      </c>
      <c r="O198" s="90">
        <f t="shared" si="14"/>
        <v>0</v>
      </c>
      <c r="P198" s="90">
        <f t="shared" si="15"/>
        <v>0</v>
      </c>
      <c r="Q198" s="76">
        <v>3</v>
      </c>
      <c r="R198" s="76">
        <v>2</v>
      </c>
      <c r="S198" s="76" t="s">
        <v>61</v>
      </c>
      <c r="T198" s="5">
        <v>92</v>
      </c>
      <c r="U198" s="9"/>
    </row>
    <row r="199" spans="1:21" s="37" customFormat="1" ht="12" customHeight="1" x14ac:dyDescent="0.3">
      <c r="A199" s="77" t="s">
        <v>140</v>
      </c>
      <c r="B199" s="78" t="s">
        <v>141</v>
      </c>
      <c r="C199" s="84">
        <v>265</v>
      </c>
      <c r="D199" s="85">
        <v>111.1</v>
      </c>
      <c r="E199" s="86">
        <v>34</v>
      </c>
      <c r="F199" s="85">
        <v>84.8</v>
      </c>
      <c r="G199" s="17">
        <v>26</v>
      </c>
      <c r="H199" s="87">
        <v>175</v>
      </c>
      <c r="I199" s="88"/>
      <c r="J199" s="88"/>
      <c r="K199" s="88"/>
      <c r="L199" s="88"/>
      <c r="M199" s="89">
        <f t="shared" si="12"/>
        <v>0</v>
      </c>
      <c r="N199" s="4" t="str">
        <f t="shared" si="13"/>
        <v/>
      </c>
      <c r="O199" s="90">
        <f t="shared" si="14"/>
        <v>0</v>
      </c>
      <c r="P199" s="90">
        <f t="shared" si="15"/>
        <v>0</v>
      </c>
      <c r="Q199" s="76">
        <v>3</v>
      </c>
      <c r="R199" s="76">
        <v>2</v>
      </c>
      <c r="S199" s="76" t="s">
        <v>61</v>
      </c>
      <c r="T199" s="5">
        <v>111</v>
      </c>
      <c r="U199" s="9"/>
    </row>
    <row r="200" spans="1:21" s="37" customFormat="1" ht="12" customHeight="1" x14ac:dyDescent="0.3">
      <c r="A200" s="77" t="s">
        <v>144</v>
      </c>
      <c r="B200" s="78" t="s">
        <v>145</v>
      </c>
      <c r="C200" s="84">
        <v>538</v>
      </c>
      <c r="D200" s="85">
        <v>122.2</v>
      </c>
      <c r="E200" s="86">
        <v>37</v>
      </c>
      <c r="F200" s="85">
        <v>99.2</v>
      </c>
      <c r="G200" s="17">
        <v>30</v>
      </c>
      <c r="H200" s="87">
        <v>72</v>
      </c>
      <c r="I200" s="88"/>
      <c r="J200" s="88"/>
      <c r="K200" s="88"/>
      <c r="L200" s="88"/>
      <c r="M200" s="89">
        <f t="shared" si="12"/>
        <v>0</v>
      </c>
      <c r="N200" s="4" t="str">
        <f t="shared" si="13"/>
        <v/>
      </c>
      <c r="O200" s="90">
        <f t="shared" si="14"/>
        <v>0</v>
      </c>
      <c r="P200" s="90">
        <f t="shared" si="15"/>
        <v>0</v>
      </c>
      <c r="Q200" s="76">
        <v>4</v>
      </c>
      <c r="R200" s="76">
        <v>2</v>
      </c>
      <c r="S200" s="76" t="s">
        <v>61</v>
      </c>
      <c r="T200" s="5">
        <v>122</v>
      </c>
      <c r="U200" s="9"/>
    </row>
    <row r="201" spans="1:21" s="37" customFormat="1" ht="12" customHeight="1" x14ac:dyDescent="0.3">
      <c r="A201" s="77" t="s">
        <v>144</v>
      </c>
      <c r="B201" s="78" t="s">
        <v>145</v>
      </c>
      <c r="C201" s="84">
        <v>538</v>
      </c>
      <c r="D201" s="85">
        <v>155</v>
      </c>
      <c r="E201" s="86">
        <v>47</v>
      </c>
      <c r="F201" s="85">
        <v>129.4</v>
      </c>
      <c r="G201" s="17">
        <v>39</v>
      </c>
      <c r="H201" s="87">
        <v>62</v>
      </c>
      <c r="I201" s="88"/>
      <c r="J201" s="88"/>
      <c r="K201" s="88"/>
      <c r="L201" s="88"/>
      <c r="M201" s="89">
        <f t="shared" si="12"/>
        <v>0</v>
      </c>
      <c r="N201" s="4" t="str">
        <f t="shared" si="13"/>
        <v/>
      </c>
      <c r="O201" s="90">
        <f t="shared" si="14"/>
        <v>0</v>
      </c>
      <c r="P201" s="90">
        <f t="shared" si="15"/>
        <v>0</v>
      </c>
      <c r="Q201" s="76">
        <v>4</v>
      </c>
      <c r="R201" s="76">
        <v>2</v>
      </c>
      <c r="S201" s="76" t="s">
        <v>61</v>
      </c>
      <c r="T201" s="5">
        <v>155</v>
      </c>
      <c r="U201" s="9"/>
    </row>
    <row r="202" spans="1:21" s="37" customFormat="1" ht="12" customHeight="1" x14ac:dyDescent="0.3">
      <c r="A202" s="77" t="s">
        <v>146</v>
      </c>
      <c r="B202" s="78" t="s">
        <v>147</v>
      </c>
      <c r="C202" s="84">
        <v>432</v>
      </c>
      <c r="D202" s="85">
        <v>87.4</v>
      </c>
      <c r="E202" s="86">
        <v>26</v>
      </c>
      <c r="F202" s="85">
        <v>59.1</v>
      </c>
      <c r="G202" s="17">
        <v>18</v>
      </c>
      <c r="H202" s="87">
        <v>299</v>
      </c>
      <c r="I202" s="88"/>
      <c r="J202" s="88"/>
      <c r="K202" s="88"/>
      <c r="L202" s="88"/>
      <c r="M202" s="89">
        <f t="shared" si="12"/>
        <v>0</v>
      </c>
      <c r="N202" s="4" t="str">
        <f t="shared" si="13"/>
        <v/>
      </c>
      <c r="O202" s="90">
        <f t="shared" si="14"/>
        <v>0</v>
      </c>
      <c r="P202" s="90">
        <f t="shared" si="15"/>
        <v>0</v>
      </c>
      <c r="Q202" s="76">
        <v>3</v>
      </c>
      <c r="R202" s="76">
        <v>1</v>
      </c>
      <c r="S202" s="76" t="s">
        <v>61</v>
      </c>
      <c r="T202" s="5">
        <v>87</v>
      </c>
      <c r="U202" s="9"/>
    </row>
    <row r="203" spans="1:21" s="37" customFormat="1" ht="12" customHeight="1" x14ac:dyDescent="0.3">
      <c r="A203" s="77" t="s">
        <v>150</v>
      </c>
      <c r="B203" s="78" t="s">
        <v>151</v>
      </c>
      <c r="C203" s="84">
        <v>252</v>
      </c>
      <c r="D203" s="85">
        <v>25.7</v>
      </c>
      <c r="E203" s="86">
        <v>8</v>
      </c>
      <c r="F203" s="85">
        <v>25.7</v>
      </c>
      <c r="G203" s="17">
        <v>8</v>
      </c>
      <c r="H203" s="87">
        <v>66</v>
      </c>
      <c r="I203" s="88"/>
      <c r="J203" s="88"/>
      <c r="K203" s="88"/>
      <c r="L203" s="88"/>
      <c r="M203" s="89">
        <f t="shared" si="12"/>
        <v>0</v>
      </c>
      <c r="N203" s="4" t="str">
        <f t="shared" si="13"/>
        <v/>
      </c>
      <c r="O203" s="90">
        <f t="shared" si="14"/>
        <v>0</v>
      </c>
      <c r="P203" s="90">
        <f t="shared" si="15"/>
        <v>0</v>
      </c>
      <c r="Q203" s="76">
        <v>1</v>
      </c>
      <c r="R203" s="76">
        <v>1</v>
      </c>
      <c r="S203" s="76" t="s">
        <v>61</v>
      </c>
      <c r="T203" s="5" t="s">
        <v>152</v>
      </c>
      <c r="U203" s="9"/>
    </row>
    <row r="204" spans="1:21" s="37" customFormat="1" ht="12" customHeight="1" x14ac:dyDescent="0.3">
      <c r="A204" s="77" t="s">
        <v>150</v>
      </c>
      <c r="B204" s="78" t="s">
        <v>151</v>
      </c>
      <c r="C204" s="84">
        <v>252</v>
      </c>
      <c r="D204" s="85">
        <v>38.9</v>
      </c>
      <c r="E204" s="86">
        <v>12</v>
      </c>
      <c r="F204" s="85">
        <v>38.9</v>
      </c>
      <c r="G204" s="17">
        <v>12</v>
      </c>
      <c r="H204" s="87">
        <v>181</v>
      </c>
      <c r="I204" s="88"/>
      <c r="J204" s="88"/>
      <c r="K204" s="88"/>
      <c r="L204" s="88"/>
      <c r="M204" s="89">
        <f t="shared" si="12"/>
        <v>0</v>
      </c>
      <c r="N204" s="4" t="str">
        <f t="shared" si="13"/>
        <v/>
      </c>
      <c r="O204" s="90">
        <f t="shared" si="14"/>
        <v>0</v>
      </c>
      <c r="P204" s="90">
        <f t="shared" si="15"/>
        <v>0</v>
      </c>
      <c r="Q204" s="76">
        <v>2</v>
      </c>
      <c r="R204" s="76">
        <v>1</v>
      </c>
      <c r="S204" s="76" t="s">
        <v>61</v>
      </c>
      <c r="T204" s="5">
        <v>38</v>
      </c>
      <c r="U204" s="9"/>
    </row>
    <row r="205" spans="1:21" s="37" customFormat="1" ht="12" customHeight="1" x14ac:dyDescent="0.3">
      <c r="A205" s="77" t="s">
        <v>154</v>
      </c>
      <c r="B205" s="78" t="s">
        <v>110</v>
      </c>
      <c r="C205" s="84">
        <v>244</v>
      </c>
      <c r="D205" s="85">
        <v>78.900000000000006</v>
      </c>
      <c r="E205" s="86">
        <v>24</v>
      </c>
      <c r="F205" s="85">
        <v>59.7</v>
      </c>
      <c r="G205" s="17">
        <v>18</v>
      </c>
      <c r="H205" s="87">
        <v>162</v>
      </c>
      <c r="I205" s="88"/>
      <c r="J205" s="88"/>
      <c r="K205" s="88"/>
      <c r="L205" s="88"/>
      <c r="M205" s="89">
        <f t="shared" si="12"/>
        <v>0</v>
      </c>
      <c r="N205" s="4" t="str">
        <f t="shared" si="13"/>
        <v/>
      </c>
      <c r="O205" s="90">
        <f t="shared" si="14"/>
        <v>0</v>
      </c>
      <c r="P205" s="90">
        <f t="shared" si="15"/>
        <v>0</v>
      </c>
      <c r="Q205" s="76">
        <v>2</v>
      </c>
      <c r="R205" s="76">
        <v>1</v>
      </c>
      <c r="S205" s="76" t="s">
        <v>68</v>
      </c>
      <c r="T205" s="5">
        <v>78</v>
      </c>
      <c r="U205" s="9"/>
    </row>
    <row r="206" spans="1:21" s="37" customFormat="1" ht="12" customHeight="1" x14ac:dyDescent="0.3">
      <c r="A206" s="77" t="s">
        <v>154</v>
      </c>
      <c r="B206" s="78" t="s">
        <v>110</v>
      </c>
      <c r="C206" s="84">
        <v>244</v>
      </c>
      <c r="D206" s="85">
        <v>111.8</v>
      </c>
      <c r="E206" s="86">
        <v>34</v>
      </c>
      <c r="F206" s="85">
        <v>84.7</v>
      </c>
      <c r="G206" s="17">
        <v>26</v>
      </c>
      <c r="H206" s="87">
        <v>82</v>
      </c>
      <c r="I206" s="88"/>
      <c r="J206" s="88"/>
      <c r="K206" s="88"/>
      <c r="L206" s="88"/>
      <c r="M206" s="89">
        <f t="shared" si="12"/>
        <v>0</v>
      </c>
      <c r="N206" s="4" t="str">
        <f t="shared" si="13"/>
        <v/>
      </c>
      <c r="O206" s="90">
        <f t="shared" si="14"/>
        <v>0</v>
      </c>
      <c r="P206" s="90">
        <f t="shared" si="15"/>
        <v>0</v>
      </c>
      <c r="Q206" s="76">
        <v>3</v>
      </c>
      <c r="R206" s="76">
        <v>2</v>
      </c>
      <c r="S206" s="76" t="s">
        <v>68</v>
      </c>
      <c r="T206" s="5">
        <v>111</v>
      </c>
      <c r="U206" s="9"/>
    </row>
    <row r="207" spans="1:21" s="37" customFormat="1" ht="12" customHeight="1" x14ac:dyDescent="0.3">
      <c r="A207" s="77" t="s">
        <v>155</v>
      </c>
      <c r="B207" s="78" t="s">
        <v>156</v>
      </c>
      <c r="C207" s="84">
        <v>223</v>
      </c>
      <c r="D207" s="85">
        <v>78.5</v>
      </c>
      <c r="E207" s="86">
        <v>24</v>
      </c>
      <c r="F207" s="85">
        <v>60</v>
      </c>
      <c r="G207" s="17">
        <v>18</v>
      </c>
      <c r="H207" s="87">
        <v>121</v>
      </c>
      <c r="I207" s="88"/>
      <c r="J207" s="88"/>
      <c r="K207" s="88"/>
      <c r="L207" s="88"/>
      <c r="M207" s="89">
        <f t="shared" si="12"/>
        <v>0</v>
      </c>
      <c r="N207" s="4" t="str">
        <f t="shared" si="13"/>
        <v/>
      </c>
      <c r="O207" s="90">
        <f t="shared" si="14"/>
        <v>0</v>
      </c>
      <c r="P207" s="90">
        <f t="shared" si="15"/>
        <v>0</v>
      </c>
      <c r="Q207" s="76">
        <v>3</v>
      </c>
      <c r="R207" s="76">
        <v>1</v>
      </c>
      <c r="S207" s="76" t="s">
        <v>68</v>
      </c>
      <c r="T207" s="5">
        <v>78</v>
      </c>
      <c r="U207" s="9"/>
    </row>
    <row r="208" spans="1:21" s="37" customFormat="1" ht="12" customHeight="1" x14ac:dyDescent="0.3">
      <c r="A208" s="77" t="s">
        <v>155</v>
      </c>
      <c r="B208" s="78" t="s">
        <v>156</v>
      </c>
      <c r="C208" s="84">
        <v>223</v>
      </c>
      <c r="D208" s="85">
        <v>105.8</v>
      </c>
      <c r="E208" s="86">
        <v>32</v>
      </c>
      <c r="F208" s="85">
        <v>84.9</v>
      </c>
      <c r="G208" s="17">
        <v>26</v>
      </c>
      <c r="H208" s="87">
        <v>102</v>
      </c>
      <c r="I208" s="88"/>
      <c r="J208" s="88"/>
      <c r="K208" s="88"/>
      <c r="L208" s="88"/>
      <c r="M208" s="89">
        <f t="shared" si="12"/>
        <v>0</v>
      </c>
      <c r="N208" s="4" t="str">
        <f t="shared" si="13"/>
        <v/>
      </c>
      <c r="O208" s="90">
        <f t="shared" si="14"/>
        <v>0</v>
      </c>
      <c r="P208" s="90">
        <f t="shared" si="15"/>
        <v>0</v>
      </c>
      <c r="Q208" s="76">
        <v>3</v>
      </c>
      <c r="R208" s="76">
        <v>2</v>
      </c>
      <c r="S208" s="76" t="s">
        <v>68</v>
      </c>
      <c r="T208" s="5">
        <v>105</v>
      </c>
      <c r="U208" s="9"/>
    </row>
    <row r="209" spans="1:21" s="37" customFormat="1" ht="12" customHeight="1" x14ac:dyDescent="0.3">
      <c r="A209" s="77" t="s">
        <v>157</v>
      </c>
      <c r="B209" s="78" t="s">
        <v>158</v>
      </c>
      <c r="C209" s="84">
        <v>651</v>
      </c>
      <c r="D209" s="85">
        <v>198.4</v>
      </c>
      <c r="E209" s="86">
        <v>60</v>
      </c>
      <c r="F209" s="85">
        <v>166.7</v>
      </c>
      <c r="G209" s="17">
        <v>50</v>
      </c>
      <c r="H209" s="87">
        <v>150</v>
      </c>
      <c r="I209" s="88"/>
      <c r="J209" s="88"/>
      <c r="K209" s="88"/>
      <c r="L209" s="88"/>
      <c r="M209" s="89">
        <f t="shared" si="12"/>
        <v>0</v>
      </c>
      <c r="N209" s="4" t="str">
        <f t="shared" si="13"/>
        <v/>
      </c>
      <c r="O209" s="90">
        <f t="shared" si="14"/>
        <v>0</v>
      </c>
      <c r="P209" s="90">
        <f t="shared" si="15"/>
        <v>0</v>
      </c>
      <c r="Q209" s="76">
        <v>4</v>
      </c>
      <c r="R209" s="76">
        <v>2</v>
      </c>
      <c r="S209" s="76" t="s">
        <v>61</v>
      </c>
      <c r="T209" s="5">
        <v>198</v>
      </c>
      <c r="U209" s="9"/>
    </row>
    <row r="210" spans="1:21" s="37" customFormat="1" ht="12" customHeight="1" x14ac:dyDescent="0.3">
      <c r="A210" s="77" t="s">
        <v>161</v>
      </c>
      <c r="B210" s="78" t="s">
        <v>162</v>
      </c>
      <c r="C210" s="84">
        <v>280</v>
      </c>
      <c r="D210" s="85">
        <v>57.6</v>
      </c>
      <c r="E210" s="86">
        <v>17</v>
      </c>
      <c r="F210" s="85">
        <v>51.8</v>
      </c>
      <c r="G210" s="17">
        <v>16</v>
      </c>
      <c r="H210" s="87">
        <v>260</v>
      </c>
      <c r="I210" s="88"/>
      <c r="J210" s="88"/>
      <c r="K210" s="88"/>
      <c r="L210" s="88"/>
      <c r="M210" s="89">
        <f t="shared" si="12"/>
        <v>0</v>
      </c>
      <c r="N210" s="4" t="str">
        <f t="shared" si="13"/>
        <v/>
      </c>
      <c r="O210" s="90">
        <f t="shared" si="14"/>
        <v>0</v>
      </c>
      <c r="P210" s="90">
        <f t="shared" si="15"/>
        <v>0</v>
      </c>
      <c r="Q210" s="76">
        <v>3</v>
      </c>
      <c r="R210" s="76">
        <v>1</v>
      </c>
      <c r="S210" s="76" t="s">
        <v>61</v>
      </c>
      <c r="T210" s="5">
        <v>57</v>
      </c>
      <c r="U210" s="9"/>
    </row>
    <row r="211" spans="1:21" s="37" customFormat="1" ht="12" customHeight="1" x14ac:dyDescent="0.3">
      <c r="A211" s="77" t="s">
        <v>166</v>
      </c>
      <c r="B211" s="78" t="s">
        <v>167</v>
      </c>
      <c r="C211" s="84">
        <v>200</v>
      </c>
      <c r="D211" s="85">
        <v>44.7</v>
      </c>
      <c r="E211" s="86">
        <v>14</v>
      </c>
      <c r="F211" s="85">
        <v>37.4</v>
      </c>
      <c r="G211" s="17">
        <v>11</v>
      </c>
      <c r="H211" s="87">
        <v>200</v>
      </c>
      <c r="I211" s="88"/>
      <c r="J211" s="88"/>
      <c r="K211" s="88"/>
      <c r="L211" s="88"/>
      <c r="M211" s="89">
        <f t="shared" si="12"/>
        <v>0</v>
      </c>
      <c r="N211" s="4" t="str">
        <f t="shared" si="13"/>
        <v/>
      </c>
      <c r="O211" s="90">
        <f t="shared" si="14"/>
        <v>0</v>
      </c>
      <c r="P211" s="90">
        <f t="shared" si="15"/>
        <v>0</v>
      </c>
      <c r="Q211" s="76">
        <v>2</v>
      </c>
      <c r="R211" s="76">
        <v>1</v>
      </c>
      <c r="S211" s="76" t="s">
        <v>61</v>
      </c>
      <c r="T211" s="5">
        <v>44</v>
      </c>
      <c r="U211" s="9"/>
    </row>
    <row r="212" spans="1:21" s="37" customFormat="1" ht="12" customHeight="1" x14ac:dyDescent="0.3">
      <c r="A212" s="77" t="s">
        <v>175</v>
      </c>
      <c r="B212" s="78" t="s">
        <v>176</v>
      </c>
      <c r="C212" s="84">
        <v>419</v>
      </c>
      <c r="D212" s="85">
        <v>161.30000000000001</v>
      </c>
      <c r="E212" s="86">
        <v>49</v>
      </c>
      <c r="F212" s="85">
        <v>134.9</v>
      </c>
      <c r="G212" s="17">
        <v>41</v>
      </c>
      <c r="H212" s="87">
        <v>120</v>
      </c>
      <c r="I212" s="88"/>
      <c r="J212" s="88"/>
      <c r="K212" s="88"/>
      <c r="L212" s="88"/>
      <c r="M212" s="89">
        <f t="shared" si="12"/>
        <v>0</v>
      </c>
      <c r="N212" s="4" t="str">
        <f t="shared" si="13"/>
        <v/>
      </c>
      <c r="O212" s="90">
        <f t="shared" si="14"/>
        <v>0</v>
      </c>
      <c r="P212" s="90">
        <f t="shared" si="15"/>
        <v>0</v>
      </c>
      <c r="Q212" s="76">
        <v>4</v>
      </c>
      <c r="R212" s="76">
        <v>2</v>
      </c>
      <c r="S212" s="76" t="s">
        <v>61</v>
      </c>
      <c r="T212" s="5">
        <v>161</v>
      </c>
      <c r="U212" s="9"/>
    </row>
    <row r="213" spans="1:21" s="37" customFormat="1" ht="12" customHeight="1" x14ac:dyDescent="0.3">
      <c r="A213" s="77" t="s">
        <v>177</v>
      </c>
      <c r="B213" s="78" t="s">
        <v>178</v>
      </c>
      <c r="C213" s="84">
        <v>208</v>
      </c>
      <c r="D213" s="85">
        <v>122.6</v>
      </c>
      <c r="E213" s="86">
        <v>37</v>
      </c>
      <c r="F213" s="85">
        <v>99.1</v>
      </c>
      <c r="G213" s="17">
        <v>30</v>
      </c>
      <c r="H213" s="87">
        <v>118</v>
      </c>
      <c r="I213" s="88"/>
      <c r="J213" s="88"/>
      <c r="K213" s="88"/>
      <c r="L213" s="88"/>
      <c r="M213" s="89">
        <f t="shared" si="12"/>
        <v>0</v>
      </c>
      <c r="N213" s="4" t="str">
        <f t="shared" si="13"/>
        <v/>
      </c>
      <c r="O213" s="90">
        <f t="shared" si="14"/>
        <v>0</v>
      </c>
      <c r="P213" s="90">
        <f t="shared" si="15"/>
        <v>0</v>
      </c>
      <c r="Q213" s="76">
        <v>3</v>
      </c>
      <c r="R213" s="76">
        <v>2</v>
      </c>
      <c r="S213" s="76" t="s">
        <v>61</v>
      </c>
      <c r="T213" s="5">
        <v>122</v>
      </c>
      <c r="U213" s="9"/>
    </row>
    <row r="214" spans="1:21" s="37" customFormat="1" ht="12" customHeight="1" x14ac:dyDescent="0.3">
      <c r="A214" s="77" t="s">
        <v>177</v>
      </c>
      <c r="B214" s="78" t="s">
        <v>178</v>
      </c>
      <c r="C214" s="84">
        <v>208</v>
      </c>
      <c r="D214" s="85">
        <v>157.9</v>
      </c>
      <c r="E214" s="86">
        <v>48</v>
      </c>
      <c r="F214" s="85">
        <v>134.6</v>
      </c>
      <c r="G214" s="17">
        <v>41</v>
      </c>
      <c r="H214" s="87">
        <v>90</v>
      </c>
      <c r="I214" s="88"/>
      <c r="J214" s="88"/>
      <c r="K214" s="88"/>
      <c r="L214" s="88"/>
      <c r="M214" s="89">
        <f t="shared" si="12"/>
        <v>0</v>
      </c>
      <c r="N214" s="4" t="str">
        <f t="shared" si="13"/>
        <v/>
      </c>
      <c r="O214" s="90">
        <f t="shared" si="14"/>
        <v>0</v>
      </c>
      <c r="P214" s="90">
        <f t="shared" si="15"/>
        <v>0</v>
      </c>
      <c r="Q214" s="76">
        <v>4</v>
      </c>
      <c r="R214" s="76">
        <v>2</v>
      </c>
      <c r="S214" s="76" t="s">
        <v>61</v>
      </c>
      <c r="T214" s="5">
        <v>157</v>
      </c>
      <c r="U214" s="9"/>
    </row>
    <row r="215" spans="1:21" s="37" customFormat="1" ht="12" customHeight="1" x14ac:dyDescent="0.3">
      <c r="A215" s="77" t="s">
        <v>182</v>
      </c>
      <c r="B215" s="78" t="s">
        <v>183</v>
      </c>
      <c r="C215" s="84">
        <v>216</v>
      </c>
      <c r="D215" s="85">
        <v>128.80000000000001</v>
      </c>
      <c r="E215" s="86">
        <v>39</v>
      </c>
      <c r="F215" s="85">
        <v>108</v>
      </c>
      <c r="G215" s="17">
        <v>33</v>
      </c>
      <c r="H215" s="87">
        <v>216</v>
      </c>
      <c r="I215" s="88"/>
      <c r="J215" s="88"/>
      <c r="K215" s="88"/>
      <c r="L215" s="88"/>
      <c r="M215" s="89">
        <f t="shared" si="12"/>
        <v>0</v>
      </c>
      <c r="N215" s="4" t="str">
        <f t="shared" si="13"/>
        <v/>
      </c>
      <c r="O215" s="90">
        <f t="shared" si="14"/>
        <v>0</v>
      </c>
      <c r="P215" s="90">
        <f t="shared" si="15"/>
        <v>0</v>
      </c>
      <c r="Q215" s="76">
        <v>4</v>
      </c>
      <c r="R215" s="76">
        <v>2</v>
      </c>
      <c r="S215" s="76" t="s">
        <v>61</v>
      </c>
      <c r="T215" s="5">
        <v>128</v>
      </c>
      <c r="U215" s="9"/>
    </row>
    <row r="216" spans="1:21" s="37" customFormat="1" ht="12" customHeight="1" x14ac:dyDescent="0.3">
      <c r="A216" s="77" t="s">
        <v>185</v>
      </c>
      <c r="B216" s="78" t="s">
        <v>186</v>
      </c>
      <c r="C216" s="84">
        <v>1390</v>
      </c>
      <c r="D216" s="85">
        <v>142</v>
      </c>
      <c r="E216" s="86">
        <v>43</v>
      </c>
      <c r="F216" s="85">
        <v>116.5</v>
      </c>
      <c r="G216" s="17">
        <v>35</v>
      </c>
      <c r="H216" s="87">
        <v>40</v>
      </c>
      <c r="I216" s="88"/>
      <c r="J216" s="88"/>
      <c r="K216" s="88"/>
      <c r="L216" s="88"/>
      <c r="M216" s="89">
        <f t="shared" si="12"/>
        <v>0</v>
      </c>
      <c r="N216" s="4" t="str">
        <f t="shared" si="13"/>
        <v/>
      </c>
      <c r="O216" s="90">
        <f t="shared" si="14"/>
        <v>0</v>
      </c>
      <c r="P216" s="90">
        <f t="shared" si="15"/>
        <v>0</v>
      </c>
      <c r="Q216" s="76">
        <v>4</v>
      </c>
      <c r="R216" s="76">
        <v>2</v>
      </c>
      <c r="S216" s="76" t="s">
        <v>61</v>
      </c>
      <c r="T216" s="5">
        <v>141</v>
      </c>
      <c r="U216" s="9"/>
    </row>
    <row r="217" spans="1:21" s="37" customFormat="1" ht="12" customHeight="1" x14ac:dyDescent="0.3">
      <c r="A217" s="77" t="s">
        <v>196</v>
      </c>
      <c r="B217" s="78" t="s">
        <v>178</v>
      </c>
      <c r="C217" s="84">
        <v>294</v>
      </c>
      <c r="D217" s="85">
        <v>132</v>
      </c>
      <c r="E217" s="86">
        <v>40</v>
      </c>
      <c r="F217" s="85">
        <v>109</v>
      </c>
      <c r="G217" s="17">
        <v>33</v>
      </c>
      <c r="H217" s="87">
        <v>246</v>
      </c>
      <c r="I217" s="88"/>
      <c r="J217" s="88"/>
      <c r="K217" s="88"/>
      <c r="L217" s="88"/>
      <c r="M217" s="89">
        <f t="shared" si="12"/>
        <v>0</v>
      </c>
      <c r="N217" s="4" t="str">
        <f t="shared" si="13"/>
        <v/>
      </c>
      <c r="O217" s="90">
        <f t="shared" si="14"/>
        <v>0</v>
      </c>
      <c r="P217" s="90">
        <f t="shared" si="15"/>
        <v>0</v>
      </c>
      <c r="Q217" s="76">
        <v>3</v>
      </c>
      <c r="R217" s="76">
        <v>2</v>
      </c>
      <c r="S217" s="76" t="s">
        <v>61</v>
      </c>
      <c r="T217" s="5">
        <v>132</v>
      </c>
      <c r="U217" s="9"/>
    </row>
    <row r="218" spans="1:21" s="37" customFormat="1" ht="12" customHeight="1" x14ac:dyDescent="0.3">
      <c r="A218" s="77" t="s">
        <v>196</v>
      </c>
      <c r="B218" s="78" t="s">
        <v>178</v>
      </c>
      <c r="C218" s="84">
        <v>294</v>
      </c>
      <c r="D218" s="85">
        <v>176.1</v>
      </c>
      <c r="E218" s="86">
        <v>53</v>
      </c>
      <c r="F218" s="85">
        <v>144.4</v>
      </c>
      <c r="G218" s="17">
        <v>44</v>
      </c>
      <c r="H218" s="87">
        <v>48</v>
      </c>
      <c r="I218" s="88"/>
      <c r="J218" s="88"/>
      <c r="K218" s="88"/>
      <c r="L218" s="88"/>
      <c r="M218" s="89">
        <f t="shared" si="12"/>
        <v>0</v>
      </c>
      <c r="N218" s="4" t="str">
        <f t="shared" si="13"/>
        <v/>
      </c>
      <c r="O218" s="90">
        <f t="shared" si="14"/>
        <v>0</v>
      </c>
      <c r="P218" s="90">
        <f t="shared" si="15"/>
        <v>0</v>
      </c>
      <c r="Q218" s="76">
        <v>4</v>
      </c>
      <c r="R218" s="76">
        <v>2</v>
      </c>
      <c r="S218" s="76" t="s">
        <v>61</v>
      </c>
      <c r="T218" s="5">
        <v>176</v>
      </c>
      <c r="U218" s="9"/>
    </row>
    <row r="219" spans="1:21" s="37" customFormat="1" ht="12" customHeight="1" x14ac:dyDescent="0.3">
      <c r="A219" s="77" t="s">
        <v>200</v>
      </c>
      <c r="B219" s="78" t="s">
        <v>201</v>
      </c>
      <c r="C219" s="84">
        <v>428</v>
      </c>
      <c r="D219" s="85">
        <v>77.7</v>
      </c>
      <c r="E219" s="86">
        <v>24</v>
      </c>
      <c r="F219" s="85">
        <v>59.6</v>
      </c>
      <c r="G219" s="17">
        <v>18</v>
      </c>
      <c r="H219" s="87">
        <v>428</v>
      </c>
      <c r="I219" s="88"/>
      <c r="J219" s="88"/>
      <c r="K219" s="88"/>
      <c r="L219" s="88"/>
      <c r="M219" s="89">
        <f t="shared" si="12"/>
        <v>0</v>
      </c>
      <c r="N219" s="4" t="str">
        <f t="shared" si="13"/>
        <v/>
      </c>
      <c r="O219" s="90">
        <f t="shared" si="14"/>
        <v>0</v>
      </c>
      <c r="P219" s="90">
        <f t="shared" si="15"/>
        <v>0</v>
      </c>
      <c r="Q219" s="76">
        <v>2</v>
      </c>
      <c r="R219" s="76">
        <v>1</v>
      </c>
      <c r="S219" s="76" t="s">
        <v>61</v>
      </c>
      <c r="T219" s="5">
        <v>77</v>
      </c>
      <c r="U219" s="9"/>
    </row>
    <row r="220" spans="1:21" s="37" customFormat="1" ht="12" customHeight="1" x14ac:dyDescent="0.3">
      <c r="A220" s="77" t="s">
        <v>205</v>
      </c>
      <c r="B220" s="78" t="s">
        <v>99</v>
      </c>
      <c r="C220" s="84">
        <v>297</v>
      </c>
      <c r="D220" s="85">
        <v>120.5</v>
      </c>
      <c r="E220" s="86">
        <v>36</v>
      </c>
      <c r="F220" s="85">
        <v>99.9</v>
      </c>
      <c r="G220" s="17">
        <v>30</v>
      </c>
      <c r="H220" s="87">
        <v>90</v>
      </c>
      <c r="I220" s="88"/>
      <c r="J220" s="88"/>
      <c r="K220" s="88"/>
      <c r="L220" s="88"/>
      <c r="M220" s="89">
        <f t="shared" si="12"/>
        <v>0</v>
      </c>
      <c r="N220" s="4" t="str">
        <f t="shared" si="13"/>
        <v/>
      </c>
      <c r="O220" s="90">
        <f t="shared" si="14"/>
        <v>0</v>
      </c>
      <c r="P220" s="90">
        <f t="shared" si="15"/>
        <v>0</v>
      </c>
      <c r="Q220" s="76">
        <v>4</v>
      </c>
      <c r="R220" s="76">
        <v>2</v>
      </c>
      <c r="S220" s="76" t="s">
        <v>61</v>
      </c>
      <c r="T220" s="5">
        <v>120</v>
      </c>
      <c r="U220" s="9"/>
    </row>
    <row r="221" spans="1:21" s="37" customFormat="1" ht="12" customHeight="1" x14ac:dyDescent="0.3">
      <c r="A221" s="77" t="s">
        <v>205</v>
      </c>
      <c r="B221" s="78" t="s">
        <v>99</v>
      </c>
      <c r="C221" s="84">
        <v>297</v>
      </c>
      <c r="D221" s="85">
        <v>158.1</v>
      </c>
      <c r="E221" s="86">
        <v>48</v>
      </c>
      <c r="F221" s="85">
        <v>135</v>
      </c>
      <c r="G221" s="17">
        <v>41</v>
      </c>
      <c r="H221" s="87">
        <v>207</v>
      </c>
      <c r="I221" s="88"/>
      <c r="J221" s="88"/>
      <c r="K221" s="88"/>
      <c r="L221" s="88"/>
      <c r="M221" s="89">
        <f t="shared" si="12"/>
        <v>0</v>
      </c>
      <c r="N221" s="4" t="str">
        <f t="shared" si="13"/>
        <v/>
      </c>
      <c r="O221" s="90">
        <f t="shared" si="14"/>
        <v>0</v>
      </c>
      <c r="P221" s="90">
        <f t="shared" si="15"/>
        <v>0</v>
      </c>
      <c r="Q221" s="76">
        <v>4</v>
      </c>
      <c r="R221" s="76">
        <v>2</v>
      </c>
      <c r="S221" s="76" t="s">
        <v>61</v>
      </c>
      <c r="T221" s="5">
        <v>158</v>
      </c>
      <c r="U221" s="9"/>
    </row>
    <row r="222" spans="1:21" s="37" customFormat="1" ht="12" customHeight="1" x14ac:dyDescent="0.3">
      <c r="A222" s="77" t="s">
        <v>211</v>
      </c>
      <c r="B222" s="78" t="s">
        <v>212</v>
      </c>
      <c r="C222" s="84">
        <v>248</v>
      </c>
      <c r="D222" s="85">
        <v>97.1</v>
      </c>
      <c r="E222" s="86">
        <v>29</v>
      </c>
      <c r="F222" s="85">
        <v>74.7</v>
      </c>
      <c r="G222" s="17">
        <v>23</v>
      </c>
      <c r="H222" s="87">
        <v>64</v>
      </c>
      <c r="I222" s="88"/>
      <c r="J222" s="88"/>
      <c r="K222" s="88"/>
      <c r="L222" s="88"/>
      <c r="M222" s="89">
        <f t="shared" si="12"/>
        <v>0</v>
      </c>
      <c r="N222" s="4" t="str">
        <f t="shared" si="13"/>
        <v/>
      </c>
      <c r="O222" s="90">
        <f t="shared" si="14"/>
        <v>0</v>
      </c>
      <c r="P222" s="90">
        <f t="shared" si="15"/>
        <v>0</v>
      </c>
      <c r="Q222" s="76">
        <v>3</v>
      </c>
      <c r="R222" s="76">
        <v>2</v>
      </c>
      <c r="S222" s="76" t="s">
        <v>61</v>
      </c>
      <c r="T222" s="5">
        <v>97</v>
      </c>
      <c r="U222" s="9"/>
    </row>
    <row r="223" spans="1:21" s="37" customFormat="1" ht="12" customHeight="1" x14ac:dyDescent="0.3">
      <c r="A223" s="77" t="s">
        <v>211</v>
      </c>
      <c r="B223" s="78" t="s">
        <v>212</v>
      </c>
      <c r="C223" s="84">
        <v>248</v>
      </c>
      <c r="D223" s="85">
        <v>110.1</v>
      </c>
      <c r="E223" s="86">
        <v>33</v>
      </c>
      <c r="F223" s="85">
        <v>85</v>
      </c>
      <c r="G223" s="17">
        <v>26</v>
      </c>
      <c r="H223" s="87">
        <v>184</v>
      </c>
      <c r="I223" s="88"/>
      <c r="J223" s="88"/>
      <c r="K223" s="88"/>
      <c r="L223" s="88"/>
      <c r="M223" s="89">
        <f t="shared" si="12"/>
        <v>0</v>
      </c>
      <c r="N223" s="4" t="str">
        <f t="shared" si="13"/>
        <v/>
      </c>
      <c r="O223" s="90">
        <f t="shared" si="14"/>
        <v>0</v>
      </c>
      <c r="P223" s="90">
        <f t="shared" si="15"/>
        <v>0</v>
      </c>
      <c r="Q223" s="76">
        <v>3</v>
      </c>
      <c r="R223" s="76">
        <v>2</v>
      </c>
      <c r="S223" s="76" t="s">
        <v>61</v>
      </c>
      <c r="T223" s="5">
        <v>110</v>
      </c>
      <c r="U223" s="9"/>
    </row>
    <row r="224" spans="1:21" s="37" customFormat="1" ht="12" customHeight="1" x14ac:dyDescent="0.3">
      <c r="A224" s="77" t="s">
        <v>213</v>
      </c>
      <c r="B224" s="78" t="s">
        <v>214</v>
      </c>
      <c r="C224" s="84">
        <v>400</v>
      </c>
      <c r="D224" s="85">
        <v>74.099999999999994</v>
      </c>
      <c r="E224" s="86">
        <v>22</v>
      </c>
      <c r="F224" s="85">
        <v>58.6</v>
      </c>
      <c r="G224" s="17">
        <v>18</v>
      </c>
      <c r="H224" s="87">
        <v>32</v>
      </c>
      <c r="I224" s="88"/>
      <c r="J224" s="88"/>
      <c r="K224" s="88"/>
      <c r="L224" s="88"/>
      <c r="M224" s="89">
        <f t="shared" si="12"/>
        <v>0</v>
      </c>
      <c r="N224" s="4" t="str">
        <f t="shared" si="13"/>
        <v/>
      </c>
      <c r="O224" s="90">
        <f t="shared" si="14"/>
        <v>0</v>
      </c>
      <c r="P224" s="90">
        <f t="shared" si="15"/>
        <v>0</v>
      </c>
      <c r="Q224" s="76">
        <v>3</v>
      </c>
      <c r="R224" s="76">
        <v>1</v>
      </c>
      <c r="S224" s="76" t="s">
        <v>61</v>
      </c>
      <c r="T224" s="5">
        <v>74</v>
      </c>
      <c r="U224" s="9"/>
    </row>
    <row r="225" spans="1:21" s="37" customFormat="1" ht="12" customHeight="1" x14ac:dyDescent="0.3">
      <c r="A225" s="77" t="s">
        <v>213</v>
      </c>
      <c r="B225" s="78" t="s">
        <v>214</v>
      </c>
      <c r="C225" s="84">
        <v>400</v>
      </c>
      <c r="D225" s="85">
        <v>102.8</v>
      </c>
      <c r="E225" s="86">
        <v>31</v>
      </c>
      <c r="F225" s="85">
        <v>81.2</v>
      </c>
      <c r="G225" s="17">
        <v>25</v>
      </c>
      <c r="H225" s="87">
        <v>68</v>
      </c>
      <c r="I225" s="88"/>
      <c r="J225" s="88"/>
      <c r="K225" s="88"/>
      <c r="L225" s="88"/>
      <c r="M225" s="89">
        <f t="shared" si="12"/>
        <v>0</v>
      </c>
      <c r="N225" s="4" t="str">
        <f t="shared" si="13"/>
        <v/>
      </c>
      <c r="O225" s="90">
        <f t="shared" si="14"/>
        <v>0</v>
      </c>
      <c r="P225" s="90">
        <f t="shared" si="15"/>
        <v>0</v>
      </c>
      <c r="Q225" s="76">
        <v>3</v>
      </c>
      <c r="R225" s="76">
        <v>2</v>
      </c>
      <c r="S225" s="76" t="s">
        <v>61</v>
      </c>
      <c r="T225" s="5">
        <v>102</v>
      </c>
      <c r="U225" s="9"/>
    </row>
    <row r="226" spans="1:21" s="37" customFormat="1" ht="12" customHeight="1" x14ac:dyDescent="0.3">
      <c r="A226" s="77" t="s">
        <v>215</v>
      </c>
      <c r="B226" s="78" t="s">
        <v>216</v>
      </c>
      <c r="C226" s="84">
        <v>821</v>
      </c>
      <c r="D226" s="85">
        <v>78.7</v>
      </c>
      <c r="E226" s="86">
        <v>24</v>
      </c>
      <c r="F226" s="85">
        <v>59.9</v>
      </c>
      <c r="G226" s="17">
        <v>18</v>
      </c>
      <c r="H226" s="87">
        <v>32</v>
      </c>
      <c r="I226" s="88"/>
      <c r="J226" s="88"/>
      <c r="K226" s="88"/>
      <c r="L226" s="88"/>
      <c r="M226" s="89">
        <f t="shared" si="12"/>
        <v>0</v>
      </c>
      <c r="N226" s="4" t="str">
        <f t="shared" si="13"/>
        <v/>
      </c>
      <c r="O226" s="90">
        <f t="shared" si="14"/>
        <v>0</v>
      </c>
      <c r="P226" s="90">
        <f t="shared" si="15"/>
        <v>0</v>
      </c>
      <c r="Q226" s="76">
        <v>3</v>
      </c>
      <c r="R226" s="76">
        <v>2</v>
      </c>
      <c r="S226" s="76" t="s">
        <v>61</v>
      </c>
      <c r="T226" s="5">
        <v>78</v>
      </c>
      <c r="U226" s="9"/>
    </row>
    <row r="227" spans="1:21" s="37" customFormat="1" ht="12" customHeight="1" x14ac:dyDescent="0.3">
      <c r="A227" s="77" t="s">
        <v>224</v>
      </c>
      <c r="B227" s="78" t="s">
        <v>225</v>
      </c>
      <c r="C227" s="84">
        <v>446</v>
      </c>
      <c r="D227" s="85">
        <v>91.5</v>
      </c>
      <c r="E227" s="86">
        <v>28</v>
      </c>
      <c r="F227" s="85">
        <v>70.2</v>
      </c>
      <c r="G227" s="17">
        <v>21</v>
      </c>
      <c r="H227" s="87">
        <v>84</v>
      </c>
      <c r="I227" s="88"/>
      <c r="J227" s="88"/>
      <c r="K227" s="88"/>
      <c r="L227" s="88"/>
      <c r="M227" s="89">
        <f t="shared" si="12"/>
        <v>0</v>
      </c>
      <c r="N227" s="4" t="str">
        <f t="shared" si="13"/>
        <v/>
      </c>
      <c r="O227" s="90">
        <f t="shared" si="14"/>
        <v>0</v>
      </c>
      <c r="P227" s="90">
        <f t="shared" si="15"/>
        <v>0</v>
      </c>
      <c r="Q227" s="76">
        <v>3</v>
      </c>
      <c r="R227" s="76">
        <v>2</v>
      </c>
      <c r="S227" s="76" t="s">
        <v>61</v>
      </c>
      <c r="T227" s="5">
        <v>91</v>
      </c>
      <c r="U227" s="9"/>
    </row>
    <row r="228" spans="1:21" s="37" customFormat="1" ht="12" customHeight="1" x14ac:dyDescent="0.3">
      <c r="A228" s="77" t="s">
        <v>228</v>
      </c>
      <c r="B228" s="78" t="s">
        <v>229</v>
      </c>
      <c r="C228" s="84">
        <v>230</v>
      </c>
      <c r="D228" s="85">
        <v>85.1</v>
      </c>
      <c r="E228" s="86">
        <v>26</v>
      </c>
      <c r="F228" s="85">
        <v>59.9</v>
      </c>
      <c r="G228" s="17">
        <v>18</v>
      </c>
      <c r="H228" s="87">
        <v>230</v>
      </c>
      <c r="I228" s="88"/>
      <c r="J228" s="88"/>
      <c r="K228" s="88"/>
      <c r="L228" s="88"/>
      <c r="M228" s="89">
        <f t="shared" si="12"/>
        <v>0</v>
      </c>
      <c r="N228" s="4" t="str">
        <f t="shared" si="13"/>
        <v/>
      </c>
      <c r="O228" s="90">
        <f t="shared" si="14"/>
        <v>0</v>
      </c>
      <c r="P228" s="90">
        <f t="shared" si="15"/>
        <v>0</v>
      </c>
      <c r="Q228" s="76">
        <v>3</v>
      </c>
      <c r="R228" s="76">
        <v>1</v>
      </c>
      <c r="S228" s="76" t="s">
        <v>68</v>
      </c>
      <c r="T228" s="5">
        <v>85</v>
      </c>
      <c r="U228" s="9"/>
    </row>
    <row r="229" spans="1:21" s="37" customFormat="1" ht="12" customHeight="1" x14ac:dyDescent="0.3">
      <c r="A229" s="77" t="s">
        <v>230</v>
      </c>
      <c r="B229" s="78" t="s">
        <v>164</v>
      </c>
      <c r="C229" s="84">
        <v>440</v>
      </c>
      <c r="D229" s="85">
        <v>108.4</v>
      </c>
      <c r="E229" s="86">
        <v>33</v>
      </c>
      <c r="F229" s="85">
        <v>84.9</v>
      </c>
      <c r="G229" s="17">
        <v>26</v>
      </c>
      <c r="H229" s="87">
        <v>172</v>
      </c>
      <c r="I229" s="88"/>
      <c r="J229" s="88"/>
      <c r="K229" s="88">
        <v>18000</v>
      </c>
      <c r="L229" s="88" t="s">
        <v>90</v>
      </c>
      <c r="M229" s="89">
        <f t="shared" si="12"/>
        <v>-18000</v>
      </c>
      <c r="N229" s="4" t="str">
        <f t="shared" si="13"/>
        <v/>
      </c>
      <c r="O229" s="90">
        <f t="shared" si="14"/>
        <v>0</v>
      </c>
      <c r="P229" s="90">
        <f t="shared" si="15"/>
        <v>545.4545454545455</v>
      </c>
      <c r="Q229" s="76">
        <v>3</v>
      </c>
      <c r="R229" s="76">
        <v>2</v>
      </c>
      <c r="S229" s="76" t="s">
        <v>61</v>
      </c>
      <c r="T229" s="5">
        <v>108</v>
      </c>
      <c r="U229" s="9"/>
    </row>
    <row r="230" spans="1:21" s="37" customFormat="1" ht="12" customHeight="1" x14ac:dyDescent="0.3">
      <c r="A230" s="77" t="s">
        <v>230</v>
      </c>
      <c r="B230" s="78" t="s">
        <v>164</v>
      </c>
      <c r="C230" s="84">
        <v>440</v>
      </c>
      <c r="D230" s="85">
        <v>157.6</v>
      </c>
      <c r="E230" s="86">
        <v>48</v>
      </c>
      <c r="F230" s="85">
        <v>129.69999999999999</v>
      </c>
      <c r="G230" s="17">
        <v>39</v>
      </c>
      <c r="H230" s="87">
        <v>72</v>
      </c>
      <c r="I230" s="88"/>
      <c r="J230" s="88"/>
      <c r="K230" s="88"/>
      <c r="L230" s="88"/>
      <c r="M230" s="89">
        <f t="shared" si="12"/>
        <v>0</v>
      </c>
      <c r="N230" s="4" t="str">
        <f t="shared" si="13"/>
        <v/>
      </c>
      <c r="O230" s="90">
        <f t="shared" si="14"/>
        <v>0</v>
      </c>
      <c r="P230" s="90">
        <f t="shared" si="15"/>
        <v>0</v>
      </c>
      <c r="Q230" s="76">
        <v>4</v>
      </c>
      <c r="R230" s="76">
        <v>2</v>
      </c>
      <c r="S230" s="76" t="s">
        <v>61</v>
      </c>
      <c r="T230" s="5">
        <v>157</v>
      </c>
      <c r="U230" s="9"/>
    </row>
    <row r="231" spans="1:21" s="37" customFormat="1" ht="12" customHeight="1" x14ac:dyDescent="0.3">
      <c r="A231" s="77" t="s">
        <v>231</v>
      </c>
      <c r="B231" s="78" t="s">
        <v>232</v>
      </c>
      <c r="C231" s="84">
        <v>258</v>
      </c>
      <c r="D231" s="85">
        <v>69</v>
      </c>
      <c r="E231" s="86">
        <v>21</v>
      </c>
      <c r="F231" s="85">
        <v>47.3</v>
      </c>
      <c r="G231" s="17">
        <v>14</v>
      </c>
      <c r="H231" s="87">
        <v>87</v>
      </c>
      <c r="I231" s="88"/>
      <c r="J231" s="88"/>
      <c r="K231" s="88"/>
      <c r="L231" s="88"/>
      <c r="M231" s="89">
        <f t="shared" si="12"/>
        <v>0</v>
      </c>
      <c r="N231" s="4" t="str">
        <f t="shared" si="13"/>
        <v/>
      </c>
      <c r="O231" s="90">
        <f t="shared" si="14"/>
        <v>0</v>
      </c>
      <c r="P231" s="90">
        <f t="shared" si="15"/>
        <v>0</v>
      </c>
      <c r="Q231" s="76">
        <v>2</v>
      </c>
      <c r="R231" s="76">
        <v>1</v>
      </c>
      <c r="S231" s="76" t="s">
        <v>68</v>
      </c>
      <c r="T231" s="5">
        <v>68</v>
      </c>
      <c r="U231" s="9"/>
    </row>
    <row r="232" spans="1:21" s="37" customFormat="1" ht="12" customHeight="1" x14ac:dyDescent="0.3">
      <c r="A232" s="77" t="s">
        <v>231</v>
      </c>
      <c r="B232" s="78" t="s">
        <v>232</v>
      </c>
      <c r="C232" s="84">
        <v>258</v>
      </c>
      <c r="D232" s="85">
        <v>93.6</v>
      </c>
      <c r="E232" s="86">
        <v>28</v>
      </c>
      <c r="F232" s="85">
        <v>77.8</v>
      </c>
      <c r="G232" s="17">
        <v>24</v>
      </c>
      <c r="H232" s="87">
        <v>38</v>
      </c>
      <c r="I232" s="88"/>
      <c r="J232" s="88"/>
      <c r="K232" s="88"/>
      <c r="L232" s="88"/>
      <c r="M232" s="89">
        <f t="shared" si="12"/>
        <v>0</v>
      </c>
      <c r="N232" s="4" t="str">
        <f t="shared" si="13"/>
        <v/>
      </c>
      <c r="O232" s="90">
        <f t="shared" si="14"/>
        <v>0</v>
      </c>
      <c r="P232" s="90">
        <f t="shared" si="15"/>
        <v>0</v>
      </c>
      <c r="Q232" s="76">
        <v>3</v>
      </c>
      <c r="R232" s="76">
        <v>1</v>
      </c>
      <c r="S232" s="76" t="s">
        <v>68</v>
      </c>
      <c r="T232" s="5">
        <v>93</v>
      </c>
      <c r="U232" s="9"/>
    </row>
    <row r="233" spans="1:21" s="37" customFormat="1" ht="12" customHeight="1" x14ac:dyDescent="0.3">
      <c r="A233" s="77" t="s">
        <v>231</v>
      </c>
      <c r="B233" s="78" t="s">
        <v>232</v>
      </c>
      <c r="C233" s="84">
        <v>258</v>
      </c>
      <c r="D233" s="85">
        <v>102.2</v>
      </c>
      <c r="E233" s="86">
        <v>31</v>
      </c>
      <c r="F233" s="85">
        <v>84.9</v>
      </c>
      <c r="G233" s="17">
        <v>26</v>
      </c>
      <c r="H233" s="87">
        <v>38</v>
      </c>
      <c r="I233" s="88"/>
      <c r="J233" s="88"/>
      <c r="K233" s="88"/>
      <c r="L233" s="88"/>
      <c r="M233" s="89">
        <f t="shared" si="12"/>
        <v>0</v>
      </c>
      <c r="N233" s="4" t="str">
        <f t="shared" si="13"/>
        <v/>
      </c>
      <c r="O233" s="90">
        <f t="shared" si="14"/>
        <v>0</v>
      </c>
      <c r="P233" s="90">
        <f t="shared" si="15"/>
        <v>0</v>
      </c>
      <c r="Q233" s="76">
        <v>3</v>
      </c>
      <c r="R233" s="76">
        <v>2</v>
      </c>
      <c r="S233" s="76" t="s">
        <v>68</v>
      </c>
      <c r="T233" s="5">
        <v>102</v>
      </c>
      <c r="U233" s="9"/>
    </row>
    <row r="234" spans="1:21" s="37" customFormat="1" ht="12" customHeight="1" x14ac:dyDescent="0.3">
      <c r="A234" s="77" t="s">
        <v>231</v>
      </c>
      <c r="B234" s="78" t="s">
        <v>232</v>
      </c>
      <c r="C234" s="84">
        <v>258</v>
      </c>
      <c r="D234" s="85">
        <v>139.9</v>
      </c>
      <c r="E234" s="86">
        <v>42</v>
      </c>
      <c r="F234" s="85">
        <v>119.8</v>
      </c>
      <c r="G234" s="17">
        <v>36</v>
      </c>
      <c r="H234" s="87">
        <v>76</v>
      </c>
      <c r="I234" s="88"/>
      <c r="J234" s="88"/>
      <c r="K234" s="88"/>
      <c r="L234" s="88"/>
      <c r="M234" s="89">
        <f t="shared" si="12"/>
        <v>0</v>
      </c>
      <c r="N234" s="4" t="str">
        <f t="shared" si="13"/>
        <v/>
      </c>
      <c r="O234" s="90">
        <f t="shared" si="14"/>
        <v>0</v>
      </c>
      <c r="P234" s="90">
        <f t="shared" si="15"/>
        <v>0</v>
      </c>
      <c r="Q234" s="76">
        <v>4</v>
      </c>
      <c r="R234" s="76">
        <v>2</v>
      </c>
      <c r="S234" s="76" t="s">
        <v>61</v>
      </c>
      <c r="T234" s="5">
        <v>139</v>
      </c>
      <c r="U234" s="9"/>
    </row>
    <row r="235" spans="1:21" s="37" customFormat="1" ht="12" customHeight="1" x14ac:dyDescent="0.3">
      <c r="A235" s="77" t="s">
        <v>233</v>
      </c>
      <c r="B235" s="78" t="s">
        <v>234</v>
      </c>
      <c r="C235" s="84">
        <v>323</v>
      </c>
      <c r="D235" s="85">
        <v>86.9</v>
      </c>
      <c r="E235" s="86">
        <v>26</v>
      </c>
      <c r="F235" s="85">
        <v>59.9</v>
      </c>
      <c r="G235" s="17">
        <v>18</v>
      </c>
      <c r="H235" s="87">
        <v>38</v>
      </c>
      <c r="I235" s="88"/>
      <c r="J235" s="88"/>
      <c r="K235" s="88"/>
      <c r="L235" s="88"/>
      <c r="M235" s="89">
        <f t="shared" si="12"/>
        <v>0</v>
      </c>
      <c r="N235" s="4" t="str">
        <f t="shared" si="13"/>
        <v/>
      </c>
      <c r="O235" s="90">
        <f t="shared" si="14"/>
        <v>0</v>
      </c>
      <c r="P235" s="90">
        <f t="shared" si="15"/>
        <v>0</v>
      </c>
      <c r="Q235" s="76">
        <v>3</v>
      </c>
      <c r="R235" s="76">
        <v>1</v>
      </c>
      <c r="S235" s="76" t="s">
        <v>61</v>
      </c>
      <c r="T235" s="5">
        <v>86</v>
      </c>
      <c r="U235" s="9"/>
    </row>
    <row r="236" spans="1:21" s="37" customFormat="1" ht="12" customHeight="1" x14ac:dyDescent="0.3">
      <c r="A236" s="77" t="s">
        <v>233</v>
      </c>
      <c r="B236" s="78" t="s">
        <v>234</v>
      </c>
      <c r="C236" s="84">
        <v>323</v>
      </c>
      <c r="D236" s="85">
        <v>116.7</v>
      </c>
      <c r="E236" s="86">
        <v>35</v>
      </c>
      <c r="F236" s="85">
        <v>85</v>
      </c>
      <c r="G236" s="17">
        <v>26</v>
      </c>
      <c r="H236" s="87">
        <v>202</v>
      </c>
      <c r="I236" s="88"/>
      <c r="J236" s="88"/>
      <c r="K236" s="88"/>
      <c r="L236" s="88"/>
      <c r="M236" s="89">
        <f t="shared" si="12"/>
        <v>0</v>
      </c>
      <c r="N236" s="4" t="str">
        <f t="shared" si="13"/>
        <v/>
      </c>
      <c r="O236" s="90">
        <f t="shared" si="14"/>
        <v>0</v>
      </c>
      <c r="P236" s="90">
        <f t="shared" si="15"/>
        <v>0</v>
      </c>
      <c r="Q236" s="76">
        <v>3</v>
      </c>
      <c r="R236" s="76">
        <v>2</v>
      </c>
      <c r="S236" s="76" t="s">
        <v>61</v>
      </c>
      <c r="T236" s="5">
        <v>116</v>
      </c>
      <c r="U236" s="9"/>
    </row>
    <row r="237" spans="1:21" s="37" customFormat="1" ht="12" customHeight="1" x14ac:dyDescent="0.3">
      <c r="A237" s="77" t="s">
        <v>233</v>
      </c>
      <c r="B237" s="78" t="s">
        <v>234</v>
      </c>
      <c r="C237" s="84">
        <v>323</v>
      </c>
      <c r="D237" s="85">
        <v>151.30000000000001</v>
      </c>
      <c r="E237" s="86">
        <v>46</v>
      </c>
      <c r="F237" s="85">
        <v>114</v>
      </c>
      <c r="G237" s="17">
        <v>34</v>
      </c>
      <c r="H237" s="87">
        <v>51</v>
      </c>
      <c r="I237" s="88"/>
      <c r="J237" s="88"/>
      <c r="K237" s="88"/>
      <c r="L237" s="88"/>
      <c r="M237" s="89">
        <f t="shared" si="12"/>
        <v>0</v>
      </c>
      <c r="N237" s="4" t="str">
        <f t="shared" si="13"/>
        <v/>
      </c>
      <c r="O237" s="90">
        <f t="shared" si="14"/>
        <v>0</v>
      </c>
      <c r="P237" s="90">
        <f t="shared" si="15"/>
        <v>0</v>
      </c>
      <c r="Q237" s="76">
        <v>4</v>
      </c>
      <c r="R237" s="76">
        <v>2</v>
      </c>
      <c r="S237" s="76" t="s">
        <v>61</v>
      </c>
      <c r="T237" s="5">
        <v>151</v>
      </c>
      <c r="U237" s="9"/>
    </row>
    <row r="238" spans="1:21" s="37" customFormat="1" ht="12" customHeight="1" x14ac:dyDescent="0.3">
      <c r="A238" s="77" t="s">
        <v>233</v>
      </c>
      <c r="B238" s="78" t="s">
        <v>234</v>
      </c>
      <c r="C238" s="84">
        <v>323</v>
      </c>
      <c r="D238" s="85">
        <v>180.2</v>
      </c>
      <c r="E238" s="86">
        <v>55</v>
      </c>
      <c r="F238" s="85">
        <v>138.30000000000001</v>
      </c>
      <c r="G238" s="17">
        <v>42</v>
      </c>
      <c r="H238" s="87">
        <v>32</v>
      </c>
      <c r="I238" s="88"/>
      <c r="J238" s="88"/>
      <c r="K238" s="88"/>
      <c r="L238" s="88"/>
      <c r="M238" s="89">
        <f t="shared" si="12"/>
        <v>0</v>
      </c>
      <c r="N238" s="4" t="str">
        <f t="shared" si="13"/>
        <v/>
      </c>
      <c r="O238" s="90">
        <f t="shared" si="14"/>
        <v>0</v>
      </c>
      <c r="P238" s="90">
        <f t="shared" si="15"/>
        <v>0</v>
      </c>
      <c r="Q238" s="76">
        <v>4</v>
      </c>
      <c r="R238" s="76">
        <v>2</v>
      </c>
      <c r="S238" s="76" t="s">
        <v>61</v>
      </c>
      <c r="T238" s="5">
        <v>180</v>
      </c>
      <c r="U238" s="9"/>
    </row>
    <row r="239" spans="1:21" s="37" customFormat="1" ht="12" customHeight="1" x14ac:dyDescent="0.3">
      <c r="A239" s="77" t="s">
        <v>235</v>
      </c>
      <c r="B239" s="78" t="s">
        <v>236</v>
      </c>
      <c r="C239" s="84">
        <v>224</v>
      </c>
      <c r="D239" s="85">
        <v>140.5</v>
      </c>
      <c r="E239" s="86">
        <v>42</v>
      </c>
      <c r="F239" s="85">
        <v>111.1</v>
      </c>
      <c r="G239" s="17">
        <v>34</v>
      </c>
      <c r="H239" s="87">
        <v>152</v>
      </c>
      <c r="I239" s="88"/>
      <c r="J239" s="88"/>
      <c r="K239" s="88"/>
      <c r="L239" s="88"/>
      <c r="M239" s="89">
        <f t="shared" si="12"/>
        <v>0</v>
      </c>
      <c r="N239" s="4" t="str">
        <f t="shared" si="13"/>
        <v/>
      </c>
      <c r="O239" s="90">
        <f t="shared" si="14"/>
        <v>0</v>
      </c>
      <c r="P239" s="90">
        <f t="shared" si="15"/>
        <v>0</v>
      </c>
      <c r="Q239" s="76">
        <v>4</v>
      </c>
      <c r="R239" s="76">
        <v>2</v>
      </c>
      <c r="S239" s="76" t="s">
        <v>61</v>
      </c>
      <c r="T239" s="5">
        <v>140</v>
      </c>
      <c r="U239" s="9"/>
    </row>
    <row r="240" spans="1:21" s="37" customFormat="1" ht="12" customHeight="1" x14ac:dyDescent="0.3">
      <c r="A240" s="77" t="s">
        <v>235</v>
      </c>
      <c r="B240" s="78" t="s">
        <v>236</v>
      </c>
      <c r="C240" s="84">
        <v>224</v>
      </c>
      <c r="D240" s="85">
        <v>171.4</v>
      </c>
      <c r="E240" s="86">
        <v>52</v>
      </c>
      <c r="F240" s="85">
        <v>140</v>
      </c>
      <c r="G240" s="17">
        <v>42</v>
      </c>
      <c r="H240" s="87">
        <v>72</v>
      </c>
      <c r="I240" s="88"/>
      <c r="J240" s="88"/>
      <c r="K240" s="88"/>
      <c r="L240" s="88"/>
      <c r="M240" s="89">
        <f t="shared" si="12"/>
        <v>0</v>
      </c>
      <c r="N240" s="4" t="str">
        <f t="shared" si="13"/>
        <v/>
      </c>
      <c r="O240" s="90">
        <f t="shared" si="14"/>
        <v>0</v>
      </c>
      <c r="P240" s="90">
        <f t="shared" si="15"/>
        <v>0</v>
      </c>
      <c r="Q240" s="76">
        <v>4</v>
      </c>
      <c r="R240" s="76">
        <v>2</v>
      </c>
      <c r="S240" s="76" t="s">
        <v>61</v>
      </c>
      <c r="T240" s="5">
        <v>171</v>
      </c>
      <c r="U240" s="9"/>
    </row>
    <row r="241" spans="1:21" s="37" customFormat="1" ht="12" customHeight="1" x14ac:dyDescent="0.3">
      <c r="A241" s="77" t="s">
        <v>237</v>
      </c>
      <c r="B241" s="78" t="s">
        <v>238</v>
      </c>
      <c r="C241" s="84">
        <v>651</v>
      </c>
      <c r="D241" s="85">
        <v>159.80000000000001</v>
      </c>
      <c r="E241" s="86">
        <v>48</v>
      </c>
      <c r="F241" s="85">
        <v>134.69999999999999</v>
      </c>
      <c r="G241" s="17">
        <v>41</v>
      </c>
      <c r="H241" s="87">
        <v>40</v>
      </c>
      <c r="I241" s="88"/>
      <c r="J241" s="88"/>
      <c r="K241" s="88"/>
      <c r="L241" s="88"/>
      <c r="M241" s="89">
        <f t="shared" si="12"/>
        <v>0</v>
      </c>
      <c r="N241" s="4" t="str">
        <f t="shared" si="13"/>
        <v/>
      </c>
      <c r="O241" s="90">
        <f t="shared" si="14"/>
        <v>0</v>
      </c>
      <c r="P241" s="90">
        <f t="shared" si="15"/>
        <v>0</v>
      </c>
      <c r="Q241" s="76">
        <v>4</v>
      </c>
      <c r="R241" s="76">
        <v>2</v>
      </c>
      <c r="S241" s="76" t="s">
        <v>61</v>
      </c>
      <c r="T241" s="5">
        <v>159</v>
      </c>
      <c r="U241" s="9"/>
    </row>
    <row r="242" spans="1:21" s="37" customFormat="1" ht="12" customHeight="1" x14ac:dyDescent="0.3">
      <c r="A242" s="77" t="s">
        <v>239</v>
      </c>
      <c r="B242" s="78" t="s">
        <v>240</v>
      </c>
      <c r="C242" s="84">
        <v>444</v>
      </c>
      <c r="D242" s="85">
        <v>90.6</v>
      </c>
      <c r="E242" s="86">
        <v>27</v>
      </c>
      <c r="F242" s="85">
        <v>73.8</v>
      </c>
      <c r="G242" s="17">
        <v>22</v>
      </c>
      <c r="H242" s="87">
        <v>147</v>
      </c>
      <c r="I242" s="88"/>
      <c r="J242" s="88"/>
      <c r="K242" s="88"/>
      <c r="L242" s="88"/>
      <c r="M242" s="89">
        <f t="shared" si="12"/>
        <v>0</v>
      </c>
      <c r="N242" s="4" t="str">
        <f t="shared" si="13"/>
        <v/>
      </c>
      <c r="O242" s="90">
        <f t="shared" si="14"/>
        <v>0</v>
      </c>
      <c r="P242" s="90">
        <f t="shared" si="15"/>
        <v>0</v>
      </c>
      <c r="Q242" s="76">
        <v>3</v>
      </c>
      <c r="R242" s="76">
        <v>1</v>
      </c>
      <c r="S242" s="76" t="s">
        <v>61</v>
      </c>
      <c r="T242" s="5">
        <v>90</v>
      </c>
      <c r="U242" s="9"/>
    </row>
    <row r="243" spans="1:21" s="37" customFormat="1" ht="12" customHeight="1" x14ac:dyDescent="0.3">
      <c r="A243" s="77" t="s">
        <v>239</v>
      </c>
      <c r="B243" s="78" t="s">
        <v>240</v>
      </c>
      <c r="C243" s="84">
        <v>444</v>
      </c>
      <c r="D243" s="85">
        <v>151.1</v>
      </c>
      <c r="E243" s="86">
        <v>46</v>
      </c>
      <c r="F243" s="85">
        <v>130.1</v>
      </c>
      <c r="G243" s="17">
        <v>39</v>
      </c>
      <c r="H243" s="87">
        <v>82</v>
      </c>
      <c r="I243" s="88"/>
      <c r="J243" s="88"/>
      <c r="K243" s="88"/>
      <c r="L243" s="88"/>
      <c r="M243" s="89">
        <f t="shared" si="12"/>
        <v>0</v>
      </c>
      <c r="N243" s="4" t="str">
        <f t="shared" si="13"/>
        <v/>
      </c>
      <c r="O243" s="90">
        <f t="shared" si="14"/>
        <v>0</v>
      </c>
      <c r="P243" s="90">
        <f t="shared" si="15"/>
        <v>0</v>
      </c>
      <c r="Q243" s="76">
        <v>4</v>
      </c>
      <c r="R243" s="76">
        <v>2</v>
      </c>
      <c r="S243" s="76" t="s">
        <v>61</v>
      </c>
      <c r="T243" s="5">
        <v>151</v>
      </c>
      <c r="U243" s="9"/>
    </row>
    <row r="244" spans="1:21" s="37" customFormat="1" ht="12" customHeight="1" x14ac:dyDescent="0.3">
      <c r="A244" s="77" t="s">
        <v>241</v>
      </c>
      <c r="B244" s="78" t="s">
        <v>242</v>
      </c>
      <c r="C244" s="84">
        <v>858</v>
      </c>
      <c r="D244" s="85">
        <v>151.1</v>
      </c>
      <c r="E244" s="86">
        <v>46</v>
      </c>
      <c r="F244" s="85">
        <v>123.8</v>
      </c>
      <c r="G244" s="17">
        <v>37</v>
      </c>
      <c r="H244" s="87">
        <v>302</v>
      </c>
      <c r="I244" s="88"/>
      <c r="J244" s="88"/>
      <c r="K244" s="88"/>
      <c r="L244" s="88"/>
      <c r="M244" s="89">
        <f t="shared" si="12"/>
        <v>0</v>
      </c>
      <c r="N244" s="4" t="str">
        <f t="shared" si="13"/>
        <v/>
      </c>
      <c r="O244" s="90">
        <f t="shared" si="14"/>
        <v>0</v>
      </c>
      <c r="P244" s="90">
        <f t="shared" si="15"/>
        <v>0</v>
      </c>
      <c r="Q244" s="76">
        <v>4</v>
      </c>
      <c r="R244" s="76">
        <v>2</v>
      </c>
      <c r="S244" s="76" t="s">
        <v>61</v>
      </c>
      <c r="T244" s="5">
        <v>151</v>
      </c>
      <c r="U244" s="9"/>
    </row>
    <row r="245" spans="1:21" s="37" customFormat="1" ht="12" customHeight="1" x14ac:dyDescent="0.3">
      <c r="A245" s="77" t="s">
        <v>241</v>
      </c>
      <c r="B245" s="78" t="s">
        <v>242</v>
      </c>
      <c r="C245" s="84">
        <v>858</v>
      </c>
      <c r="D245" s="85">
        <v>188.1</v>
      </c>
      <c r="E245" s="86">
        <v>57</v>
      </c>
      <c r="F245" s="85">
        <v>156.80000000000001</v>
      </c>
      <c r="G245" s="17">
        <v>47</v>
      </c>
      <c r="H245" s="87">
        <v>36</v>
      </c>
      <c r="I245" s="88"/>
      <c r="J245" s="88"/>
      <c r="K245" s="88"/>
      <c r="L245" s="88"/>
      <c r="M245" s="89">
        <f t="shared" si="12"/>
        <v>0</v>
      </c>
      <c r="N245" s="4" t="str">
        <f t="shared" si="13"/>
        <v/>
      </c>
      <c r="O245" s="90">
        <f t="shared" si="14"/>
        <v>0</v>
      </c>
      <c r="P245" s="90">
        <f t="shared" si="15"/>
        <v>0</v>
      </c>
      <c r="Q245" s="76">
        <v>5</v>
      </c>
      <c r="R245" s="76">
        <v>2</v>
      </c>
      <c r="S245" s="76" t="s">
        <v>61</v>
      </c>
      <c r="T245" s="5" t="s">
        <v>244</v>
      </c>
      <c r="U245" s="9"/>
    </row>
    <row r="246" spans="1:21" s="37" customFormat="1" ht="12" customHeight="1" x14ac:dyDescent="0.3">
      <c r="A246" s="77" t="s">
        <v>245</v>
      </c>
      <c r="B246" s="78" t="s">
        <v>246</v>
      </c>
      <c r="C246" s="84">
        <v>992</v>
      </c>
      <c r="D246" s="85">
        <v>167.3</v>
      </c>
      <c r="E246" s="86">
        <v>51</v>
      </c>
      <c r="F246" s="85">
        <v>134.1</v>
      </c>
      <c r="G246" s="17">
        <v>41</v>
      </c>
      <c r="H246" s="87">
        <v>91</v>
      </c>
      <c r="I246" s="88"/>
      <c r="J246" s="88"/>
      <c r="K246" s="88"/>
      <c r="L246" s="88"/>
      <c r="M246" s="89">
        <f t="shared" si="12"/>
        <v>0</v>
      </c>
      <c r="N246" s="4" t="str">
        <f t="shared" si="13"/>
        <v/>
      </c>
      <c r="O246" s="90">
        <f t="shared" si="14"/>
        <v>0</v>
      </c>
      <c r="P246" s="90">
        <f t="shared" si="15"/>
        <v>0</v>
      </c>
      <c r="Q246" s="76">
        <v>4</v>
      </c>
      <c r="R246" s="76">
        <v>2</v>
      </c>
      <c r="S246" s="76" t="s">
        <v>61</v>
      </c>
      <c r="T246" s="5">
        <v>167</v>
      </c>
      <c r="U246" s="9"/>
    </row>
    <row r="247" spans="1:21" s="37" customFormat="1" ht="12" customHeight="1" x14ac:dyDescent="0.3">
      <c r="A247" s="77" t="s">
        <v>252</v>
      </c>
      <c r="B247" s="78" t="s">
        <v>253</v>
      </c>
      <c r="C247" s="84">
        <v>263</v>
      </c>
      <c r="D247" s="85">
        <v>141.6</v>
      </c>
      <c r="E247" s="86">
        <v>43</v>
      </c>
      <c r="F247" s="85">
        <v>121.5</v>
      </c>
      <c r="G247" s="17">
        <v>37</v>
      </c>
      <c r="H247" s="87">
        <v>65</v>
      </c>
      <c r="I247" s="88"/>
      <c r="J247" s="88"/>
      <c r="K247" s="88"/>
      <c r="L247" s="88"/>
      <c r="M247" s="89">
        <f t="shared" si="12"/>
        <v>0</v>
      </c>
      <c r="N247" s="4" t="str">
        <f t="shared" si="13"/>
        <v/>
      </c>
      <c r="O247" s="90">
        <f t="shared" si="14"/>
        <v>0</v>
      </c>
      <c r="P247" s="90">
        <f t="shared" si="15"/>
        <v>0</v>
      </c>
      <c r="Q247" s="76">
        <v>4</v>
      </c>
      <c r="R247" s="76">
        <v>2</v>
      </c>
      <c r="S247" s="76" t="s">
        <v>61</v>
      </c>
      <c r="T247" s="5">
        <v>141</v>
      </c>
      <c r="U247" s="9"/>
    </row>
    <row r="248" spans="1:21" s="37" customFormat="1" ht="12" customHeight="1" x14ac:dyDescent="0.3">
      <c r="A248" s="77" t="s">
        <v>252</v>
      </c>
      <c r="B248" s="78" t="s">
        <v>253</v>
      </c>
      <c r="C248" s="84">
        <v>263</v>
      </c>
      <c r="D248" s="85">
        <v>154.5</v>
      </c>
      <c r="E248" s="86">
        <v>47</v>
      </c>
      <c r="F248" s="85">
        <v>133.1</v>
      </c>
      <c r="G248" s="17">
        <v>40</v>
      </c>
      <c r="H248" s="87">
        <v>83</v>
      </c>
      <c r="I248" s="88"/>
      <c r="J248" s="88"/>
      <c r="K248" s="88"/>
      <c r="L248" s="88"/>
      <c r="M248" s="89">
        <f t="shared" si="12"/>
        <v>0</v>
      </c>
      <c r="N248" s="4" t="str">
        <f t="shared" si="13"/>
        <v/>
      </c>
      <c r="O248" s="90">
        <f t="shared" si="14"/>
        <v>0</v>
      </c>
      <c r="P248" s="90">
        <f t="shared" si="15"/>
        <v>0</v>
      </c>
      <c r="Q248" s="76">
        <v>4</v>
      </c>
      <c r="R248" s="76">
        <v>2</v>
      </c>
      <c r="S248" s="76" t="s">
        <v>61</v>
      </c>
      <c r="T248" s="5" t="s">
        <v>254</v>
      </c>
      <c r="U248" s="9"/>
    </row>
    <row r="249" spans="1:21" s="37" customFormat="1" ht="12" customHeight="1" x14ac:dyDescent="0.3">
      <c r="A249" s="77" t="s">
        <v>252</v>
      </c>
      <c r="B249" s="78" t="s">
        <v>253</v>
      </c>
      <c r="C249" s="84">
        <v>263</v>
      </c>
      <c r="D249" s="85">
        <v>178.8</v>
      </c>
      <c r="E249" s="86">
        <v>54</v>
      </c>
      <c r="F249" s="85">
        <v>155.1</v>
      </c>
      <c r="G249" s="17">
        <v>47</v>
      </c>
      <c r="H249" s="87">
        <v>42</v>
      </c>
      <c r="I249" s="88"/>
      <c r="J249" s="88"/>
      <c r="K249" s="88"/>
      <c r="L249" s="88"/>
      <c r="M249" s="89">
        <f t="shared" si="12"/>
        <v>0</v>
      </c>
      <c r="N249" s="4" t="str">
        <f t="shared" si="13"/>
        <v/>
      </c>
      <c r="O249" s="90">
        <f t="shared" si="14"/>
        <v>0</v>
      </c>
      <c r="P249" s="90">
        <f t="shared" si="15"/>
        <v>0</v>
      </c>
      <c r="Q249" s="76">
        <v>5</v>
      </c>
      <c r="R249" s="76">
        <v>2</v>
      </c>
      <c r="S249" s="76" t="s">
        <v>61</v>
      </c>
      <c r="T249" s="5">
        <v>178</v>
      </c>
      <c r="U249" s="9"/>
    </row>
    <row r="250" spans="1:21" s="37" customFormat="1" ht="12" customHeight="1" x14ac:dyDescent="0.3">
      <c r="A250" s="77" t="s">
        <v>260</v>
      </c>
      <c r="B250" s="78" t="s">
        <v>261</v>
      </c>
      <c r="C250" s="84">
        <v>498</v>
      </c>
      <c r="D250" s="85">
        <v>194.6</v>
      </c>
      <c r="E250" s="86">
        <v>59</v>
      </c>
      <c r="F250" s="85">
        <v>156</v>
      </c>
      <c r="G250" s="17">
        <v>47</v>
      </c>
      <c r="H250" s="87">
        <v>56</v>
      </c>
      <c r="I250" s="88"/>
      <c r="J250" s="88"/>
      <c r="K250" s="88"/>
      <c r="L250" s="88"/>
      <c r="M250" s="89">
        <f t="shared" si="12"/>
        <v>0</v>
      </c>
      <c r="N250" s="4" t="str">
        <f t="shared" si="13"/>
        <v/>
      </c>
      <c r="O250" s="90">
        <f t="shared" si="14"/>
        <v>0</v>
      </c>
      <c r="P250" s="90">
        <f t="shared" si="15"/>
        <v>0</v>
      </c>
      <c r="Q250" s="76">
        <v>5</v>
      </c>
      <c r="R250" s="76">
        <v>2</v>
      </c>
      <c r="S250" s="76" t="s">
        <v>61</v>
      </c>
      <c r="T250" s="5">
        <v>194</v>
      </c>
      <c r="U250" s="9"/>
    </row>
    <row r="251" spans="1:21" s="37" customFormat="1" ht="12" customHeight="1" x14ac:dyDescent="0.3">
      <c r="A251" s="77" t="s">
        <v>267</v>
      </c>
      <c r="B251" s="78" t="s">
        <v>253</v>
      </c>
      <c r="C251" s="84">
        <v>270</v>
      </c>
      <c r="D251" s="85">
        <v>102.9</v>
      </c>
      <c r="E251" s="86">
        <v>31</v>
      </c>
      <c r="F251" s="85">
        <v>85</v>
      </c>
      <c r="G251" s="17">
        <v>26</v>
      </c>
      <c r="H251" s="87">
        <v>108</v>
      </c>
      <c r="I251" s="88"/>
      <c r="J251" s="88"/>
      <c r="K251" s="88"/>
      <c r="L251" s="88"/>
      <c r="M251" s="89">
        <f t="shared" si="12"/>
        <v>0</v>
      </c>
      <c r="N251" s="4" t="str">
        <f t="shared" si="13"/>
        <v/>
      </c>
      <c r="O251" s="90">
        <f t="shared" si="14"/>
        <v>0</v>
      </c>
      <c r="P251" s="90">
        <f t="shared" si="15"/>
        <v>0</v>
      </c>
      <c r="Q251" s="76">
        <v>3</v>
      </c>
      <c r="R251" s="76">
        <v>2</v>
      </c>
      <c r="S251" s="76" t="s">
        <v>68</v>
      </c>
      <c r="T251" s="5">
        <v>102</v>
      </c>
      <c r="U251" s="9"/>
    </row>
    <row r="252" spans="1:21" s="37" customFormat="1" ht="12" customHeight="1" x14ac:dyDescent="0.3">
      <c r="A252" s="77" t="s">
        <v>267</v>
      </c>
      <c r="B252" s="78" t="s">
        <v>253</v>
      </c>
      <c r="C252" s="84">
        <v>270</v>
      </c>
      <c r="D252" s="85">
        <v>150.19999999999999</v>
      </c>
      <c r="E252" s="86">
        <v>45</v>
      </c>
      <c r="F252" s="85">
        <v>124.1</v>
      </c>
      <c r="G252" s="17">
        <v>38</v>
      </c>
      <c r="H252" s="87">
        <v>53</v>
      </c>
      <c r="I252" s="88"/>
      <c r="J252" s="88"/>
      <c r="K252" s="88"/>
      <c r="L252" s="88"/>
      <c r="M252" s="89">
        <f t="shared" si="12"/>
        <v>0</v>
      </c>
      <c r="N252" s="4" t="str">
        <f t="shared" si="13"/>
        <v/>
      </c>
      <c r="O252" s="90">
        <f t="shared" si="14"/>
        <v>0</v>
      </c>
      <c r="P252" s="90">
        <f t="shared" si="15"/>
        <v>0</v>
      </c>
      <c r="Q252" s="76">
        <v>4</v>
      </c>
      <c r="R252" s="76">
        <v>2</v>
      </c>
      <c r="S252" s="76" t="s">
        <v>68</v>
      </c>
      <c r="T252" s="5">
        <v>150</v>
      </c>
      <c r="U252" s="9"/>
    </row>
    <row r="253" spans="1:21" s="37" customFormat="1" ht="12" customHeight="1" x14ac:dyDescent="0.3">
      <c r="A253" s="77" t="s">
        <v>267</v>
      </c>
      <c r="B253" s="78" t="s">
        <v>253</v>
      </c>
      <c r="C253" s="84">
        <v>270</v>
      </c>
      <c r="D253" s="85">
        <v>166</v>
      </c>
      <c r="E253" s="86">
        <v>50</v>
      </c>
      <c r="F253" s="85">
        <v>137.1</v>
      </c>
      <c r="G253" s="17">
        <v>41</v>
      </c>
      <c r="H253" s="87">
        <v>40</v>
      </c>
      <c r="I253" s="88"/>
      <c r="J253" s="88"/>
      <c r="K253" s="88"/>
      <c r="L253" s="88"/>
      <c r="M253" s="89">
        <f t="shared" si="12"/>
        <v>0</v>
      </c>
      <c r="N253" s="4" t="str">
        <f t="shared" si="13"/>
        <v/>
      </c>
      <c r="O253" s="90">
        <f t="shared" si="14"/>
        <v>0</v>
      </c>
      <c r="P253" s="90">
        <f t="shared" si="15"/>
        <v>0</v>
      </c>
      <c r="Q253" s="76">
        <v>4</v>
      </c>
      <c r="R253" s="76">
        <v>2</v>
      </c>
      <c r="S253" s="76" t="s">
        <v>61</v>
      </c>
      <c r="T253" s="5">
        <v>165</v>
      </c>
      <c r="U253" s="9"/>
    </row>
    <row r="254" spans="1:21" s="37" customFormat="1" ht="12" customHeight="1" x14ac:dyDescent="0.3">
      <c r="A254" s="77" t="s">
        <v>268</v>
      </c>
      <c r="B254" s="78" t="s">
        <v>269</v>
      </c>
      <c r="C254" s="84">
        <v>268</v>
      </c>
      <c r="D254" s="85">
        <v>83.3</v>
      </c>
      <c r="E254" s="86">
        <v>25</v>
      </c>
      <c r="F254" s="85">
        <v>59.9</v>
      </c>
      <c r="G254" s="17">
        <v>18</v>
      </c>
      <c r="H254" s="87">
        <v>172</v>
      </c>
      <c r="I254" s="88"/>
      <c r="J254" s="88"/>
      <c r="K254" s="88"/>
      <c r="L254" s="88"/>
      <c r="M254" s="89">
        <f t="shared" si="12"/>
        <v>0</v>
      </c>
      <c r="N254" s="4" t="str">
        <f t="shared" si="13"/>
        <v/>
      </c>
      <c r="O254" s="90">
        <f t="shared" si="14"/>
        <v>0</v>
      </c>
      <c r="P254" s="90">
        <f t="shared" si="15"/>
        <v>0</v>
      </c>
      <c r="Q254" s="76">
        <v>3</v>
      </c>
      <c r="R254" s="76">
        <v>1</v>
      </c>
      <c r="S254" s="76" t="s">
        <v>68</v>
      </c>
      <c r="T254" s="5">
        <v>83</v>
      </c>
      <c r="U254" s="9"/>
    </row>
    <row r="255" spans="1:21" s="37" customFormat="1" ht="12" customHeight="1" x14ac:dyDescent="0.3">
      <c r="A255" s="77" t="s">
        <v>268</v>
      </c>
      <c r="B255" s="78" t="s">
        <v>269</v>
      </c>
      <c r="C255" s="84">
        <v>268</v>
      </c>
      <c r="D255" s="85">
        <v>107.3</v>
      </c>
      <c r="E255" s="86">
        <v>32</v>
      </c>
      <c r="F255" s="85">
        <v>84.8</v>
      </c>
      <c r="G255" s="17">
        <v>26</v>
      </c>
      <c r="H255" s="87">
        <v>48</v>
      </c>
      <c r="I255" s="88"/>
      <c r="J255" s="88"/>
      <c r="K255" s="88"/>
      <c r="L255" s="88"/>
      <c r="M255" s="89">
        <f t="shared" si="12"/>
        <v>0</v>
      </c>
      <c r="N255" s="4" t="str">
        <f t="shared" si="13"/>
        <v/>
      </c>
      <c r="O255" s="90">
        <f t="shared" si="14"/>
        <v>0</v>
      </c>
      <c r="P255" s="90">
        <f t="shared" si="15"/>
        <v>0</v>
      </c>
      <c r="Q255" s="76">
        <v>3</v>
      </c>
      <c r="R255" s="76">
        <v>2</v>
      </c>
      <c r="S255" s="76" t="s">
        <v>61</v>
      </c>
      <c r="T255" s="5">
        <v>107</v>
      </c>
      <c r="U255" s="9"/>
    </row>
    <row r="256" spans="1:21" s="37" customFormat="1" ht="12" customHeight="1" x14ac:dyDescent="0.3">
      <c r="A256" s="77" t="s">
        <v>268</v>
      </c>
      <c r="B256" s="78" t="s">
        <v>269</v>
      </c>
      <c r="C256" s="84">
        <v>268</v>
      </c>
      <c r="D256" s="85">
        <v>136.5</v>
      </c>
      <c r="E256" s="86">
        <v>41</v>
      </c>
      <c r="F256" s="85">
        <v>111.8</v>
      </c>
      <c r="G256" s="17">
        <v>34</v>
      </c>
      <c r="H256" s="87">
        <v>48</v>
      </c>
      <c r="I256" s="88"/>
      <c r="J256" s="88"/>
      <c r="K256" s="88"/>
      <c r="L256" s="88"/>
      <c r="M256" s="89">
        <f t="shared" si="12"/>
        <v>0</v>
      </c>
      <c r="N256" s="4" t="str">
        <f t="shared" si="13"/>
        <v/>
      </c>
      <c r="O256" s="90">
        <f t="shared" si="14"/>
        <v>0</v>
      </c>
      <c r="P256" s="90">
        <f t="shared" si="15"/>
        <v>0</v>
      </c>
      <c r="Q256" s="76">
        <v>4</v>
      </c>
      <c r="R256" s="76">
        <v>2</v>
      </c>
      <c r="S256" s="76" t="s">
        <v>61</v>
      </c>
      <c r="T256" s="5">
        <v>136</v>
      </c>
      <c r="U256" s="9"/>
    </row>
    <row r="257" spans="1:21" s="37" customFormat="1" ht="12" customHeight="1" x14ac:dyDescent="0.3">
      <c r="A257" s="77" t="s">
        <v>270</v>
      </c>
      <c r="B257" s="78" t="s">
        <v>156</v>
      </c>
      <c r="C257" s="84">
        <v>346</v>
      </c>
      <c r="D257" s="85">
        <v>103.5</v>
      </c>
      <c r="E257" s="86">
        <v>31</v>
      </c>
      <c r="F257" s="85">
        <v>85</v>
      </c>
      <c r="G257" s="17">
        <v>26</v>
      </c>
      <c r="H257" s="87">
        <v>244</v>
      </c>
      <c r="I257" s="88"/>
      <c r="J257" s="88"/>
      <c r="K257" s="88"/>
      <c r="L257" s="88"/>
      <c r="M257" s="89">
        <f t="shared" si="12"/>
        <v>0</v>
      </c>
      <c r="N257" s="4" t="str">
        <f t="shared" si="13"/>
        <v/>
      </c>
      <c r="O257" s="90">
        <f t="shared" si="14"/>
        <v>0</v>
      </c>
      <c r="P257" s="90">
        <f t="shared" si="15"/>
        <v>0</v>
      </c>
      <c r="Q257" s="76">
        <v>3</v>
      </c>
      <c r="R257" s="76">
        <v>2</v>
      </c>
      <c r="S257" s="76" t="s">
        <v>61</v>
      </c>
      <c r="T257" s="5">
        <v>103</v>
      </c>
      <c r="U257" s="9"/>
    </row>
    <row r="258" spans="1:21" s="37" customFormat="1" ht="12" customHeight="1" x14ac:dyDescent="0.3">
      <c r="A258" s="77" t="s">
        <v>270</v>
      </c>
      <c r="B258" s="78" t="s">
        <v>156</v>
      </c>
      <c r="C258" s="84">
        <v>346</v>
      </c>
      <c r="D258" s="85">
        <v>160.19999999999999</v>
      </c>
      <c r="E258" s="86">
        <v>48</v>
      </c>
      <c r="F258" s="85">
        <v>137</v>
      </c>
      <c r="G258" s="17">
        <v>41</v>
      </c>
      <c r="H258" s="87">
        <v>52</v>
      </c>
      <c r="I258" s="88"/>
      <c r="J258" s="88"/>
      <c r="K258" s="88"/>
      <c r="L258" s="88"/>
      <c r="M258" s="89">
        <f t="shared" si="12"/>
        <v>0</v>
      </c>
      <c r="N258" s="4" t="str">
        <f t="shared" si="13"/>
        <v/>
      </c>
      <c r="O258" s="90">
        <f t="shared" si="14"/>
        <v>0</v>
      </c>
      <c r="P258" s="90">
        <f t="shared" si="15"/>
        <v>0</v>
      </c>
      <c r="Q258" s="76">
        <v>4</v>
      </c>
      <c r="R258" s="76">
        <v>2</v>
      </c>
      <c r="S258" s="76" t="s">
        <v>61</v>
      </c>
      <c r="T258" s="5">
        <v>160</v>
      </c>
      <c r="U258" s="9"/>
    </row>
    <row r="259" spans="1:21" s="37" customFormat="1" ht="12" customHeight="1" x14ac:dyDescent="0.3">
      <c r="A259" s="77" t="s">
        <v>270</v>
      </c>
      <c r="B259" s="78" t="s">
        <v>156</v>
      </c>
      <c r="C259" s="84">
        <v>346</v>
      </c>
      <c r="D259" s="85">
        <v>183.1</v>
      </c>
      <c r="E259" s="86">
        <v>55</v>
      </c>
      <c r="F259" s="85">
        <v>157</v>
      </c>
      <c r="G259" s="17">
        <v>47</v>
      </c>
      <c r="H259" s="87">
        <v>50</v>
      </c>
      <c r="I259" s="88"/>
      <c r="J259" s="88"/>
      <c r="K259" s="88"/>
      <c r="L259" s="88"/>
      <c r="M259" s="89">
        <f t="shared" si="12"/>
        <v>0</v>
      </c>
      <c r="N259" s="4" t="str">
        <f t="shared" si="13"/>
        <v/>
      </c>
      <c r="O259" s="90">
        <f t="shared" si="14"/>
        <v>0</v>
      </c>
      <c r="P259" s="90">
        <f t="shared" si="15"/>
        <v>0</v>
      </c>
      <c r="Q259" s="76">
        <v>4</v>
      </c>
      <c r="R259" s="76">
        <v>2</v>
      </c>
      <c r="S259" s="76" t="s">
        <v>61</v>
      </c>
      <c r="T259" s="5">
        <v>183</v>
      </c>
      <c r="U259" s="9"/>
    </row>
    <row r="260" spans="1:21" s="37" customFormat="1" ht="12" customHeight="1" x14ac:dyDescent="0.3">
      <c r="A260" s="77" t="s">
        <v>271</v>
      </c>
      <c r="B260" s="78" t="s">
        <v>272</v>
      </c>
      <c r="C260" s="84">
        <v>218</v>
      </c>
      <c r="D260" s="85">
        <v>84.3</v>
      </c>
      <c r="E260" s="86">
        <v>25</v>
      </c>
      <c r="F260" s="85">
        <v>60</v>
      </c>
      <c r="G260" s="17">
        <v>18</v>
      </c>
      <c r="H260" s="87">
        <v>102</v>
      </c>
      <c r="I260" s="88"/>
      <c r="J260" s="88"/>
      <c r="K260" s="88"/>
      <c r="L260" s="88"/>
      <c r="M260" s="89">
        <f t="shared" ref="M260:M323" si="16">I260-K260</f>
        <v>0</v>
      </c>
      <c r="N260" s="4" t="str">
        <f t="shared" ref="N260:N323" si="17">IF(ISERROR(K260/I260),"",K260/I260)</f>
        <v/>
      </c>
      <c r="O260" s="90">
        <f t="shared" ref="O260:O323" si="18">I260/E260</f>
        <v>0</v>
      </c>
      <c r="P260" s="90">
        <f t="shared" ref="P260:P323" si="19">K260/E260</f>
        <v>0</v>
      </c>
      <c r="Q260" s="76">
        <v>3</v>
      </c>
      <c r="R260" s="76">
        <v>1</v>
      </c>
      <c r="S260" s="76" t="s">
        <v>68</v>
      </c>
      <c r="T260" s="5">
        <v>84</v>
      </c>
      <c r="U260" s="9"/>
    </row>
    <row r="261" spans="1:21" s="37" customFormat="1" ht="12" customHeight="1" x14ac:dyDescent="0.3">
      <c r="A261" s="77" t="s">
        <v>271</v>
      </c>
      <c r="B261" s="78" t="s">
        <v>272</v>
      </c>
      <c r="C261" s="84">
        <v>218</v>
      </c>
      <c r="D261" s="85">
        <v>105.8</v>
      </c>
      <c r="E261" s="86">
        <v>32</v>
      </c>
      <c r="F261" s="85">
        <v>85</v>
      </c>
      <c r="G261" s="17">
        <v>26</v>
      </c>
      <c r="H261" s="87">
        <v>48</v>
      </c>
      <c r="I261" s="88"/>
      <c r="J261" s="88"/>
      <c r="K261" s="88"/>
      <c r="L261" s="88"/>
      <c r="M261" s="89">
        <f t="shared" si="16"/>
        <v>0</v>
      </c>
      <c r="N261" s="4" t="str">
        <f t="shared" si="17"/>
        <v/>
      </c>
      <c r="O261" s="90">
        <f t="shared" si="18"/>
        <v>0</v>
      </c>
      <c r="P261" s="90">
        <f t="shared" si="19"/>
        <v>0</v>
      </c>
      <c r="Q261" s="76">
        <v>3</v>
      </c>
      <c r="R261" s="76">
        <v>2</v>
      </c>
      <c r="S261" s="76" t="s">
        <v>61</v>
      </c>
      <c r="T261" s="5">
        <v>105</v>
      </c>
      <c r="U261" s="9"/>
    </row>
    <row r="262" spans="1:21" s="37" customFormat="1" ht="12" customHeight="1" x14ac:dyDescent="0.3">
      <c r="A262" s="77" t="s">
        <v>271</v>
      </c>
      <c r="B262" s="78" t="s">
        <v>272</v>
      </c>
      <c r="C262" s="84">
        <v>218</v>
      </c>
      <c r="D262" s="85">
        <v>129.69999999999999</v>
      </c>
      <c r="E262" s="86">
        <v>39</v>
      </c>
      <c r="F262" s="85">
        <v>105.6</v>
      </c>
      <c r="G262" s="17">
        <v>32</v>
      </c>
      <c r="H262" s="87">
        <v>44</v>
      </c>
      <c r="I262" s="88"/>
      <c r="J262" s="88"/>
      <c r="K262" s="88"/>
      <c r="L262" s="88"/>
      <c r="M262" s="89">
        <f t="shared" si="16"/>
        <v>0</v>
      </c>
      <c r="N262" s="4" t="str">
        <f t="shared" si="17"/>
        <v/>
      </c>
      <c r="O262" s="90">
        <f t="shared" si="18"/>
        <v>0</v>
      </c>
      <c r="P262" s="90">
        <f t="shared" si="19"/>
        <v>0</v>
      </c>
      <c r="Q262" s="76">
        <v>4</v>
      </c>
      <c r="R262" s="76">
        <v>2</v>
      </c>
      <c r="S262" s="76" t="s">
        <v>61</v>
      </c>
      <c r="T262" s="5">
        <v>129</v>
      </c>
      <c r="U262" s="9"/>
    </row>
    <row r="263" spans="1:21" s="37" customFormat="1" ht="12" customHeight="1" x14ac:dyDescent="0.3">
      <c r="A263" s="77" t="s">
        <v>273</v>
      </c>
      <c r="B263" s="78" t="s">
        <v>274</v>
      </c>
      <c r="C263" s="84">
        <v>1319</v>
      </c>
      <c r="D263" s="85">
        <v>79.599999999999994</v>
      </c>
      <c r="E263" s="86">
        <v>24</v>
      </c>
      <c r="F263" s="85">
        <v>59.7</v>
      </c>
      <c r="G263" s="17">
        <v>18</v>
      </c>
      <c r="H263" s="87">
        <v>433</v>
      </c>
      <c r="I263" s="88"/>
      <c r="J263" s="88"/>
      <c r="K263" s="88"/>
      <c r="L263" s="88"/>
      <c r="M263" s="89">
        <f t="shared" si="16"/>
        <v>0</v>
      </c>
      <c r="N263" s="4" t="str">
        <f t="shared" si="17"/>
        <v/>
      </c>
      <c r="O263" s="90">
        <f t="shared" si="18"/>
        <v>0</v>
      </c>
      <c r="P263" s="90">
        <f t="shared" si="19"/>
        <v>0</v>
      </c>
      <c r="Q263" s="76">
        <v>3</v>
      </c>
      <c r="R263" s="76">
        <v>2</v>
      </c>
      <c r="S263" s="76" t="s">
        <v>61</v>
      </c>
      <c r="T263" s="5" t="s">
        <v>275</v>
      </c>
      <c r="U263" s="9"/>
    </row>
    <row r="264" spans="1:21" s="37" customFormat="1" ht="12" customHeight="1" x14ac:dyDescent="0.3">
      <c r="A264" s="77" t="s">
        <v>273</v>
      </c>
      <c r="B264" s="78" t="s">
        <v>274</v>
      </c>
      <c r="C264" s="84">
        <v>1319</v>
      </c>
      <c r="D264" s="85">
        <v>99.5</v>
      </c>
      <c r="E264" s="86">
        <v>30</v>
      </c>
      <c r="F264" s="85">
        <v>74.900000000000006</v>
      </c>
      <c r="G264" s="17">
        <v>23</v>
      </c>
      <c r="H264" s="87">
        <v>200</v>
      </c>
      <c r="I264" s="88"/>
      <c r="J264" s="88"/>
      <c r="K264" s="88"/>
      <c r="L264" s="88"/>
      <c r="M264" s="89">
        <f t="shared" si="16"/>
        <v>0</v>
      </c>
      <c r="N264" s="4" t="str">
        <f t="shared" si="17"/>
        <v/>
      </c>
      <c r="O264" s="90">
        <f t="shared" si="18"/>
        <v>0</v>
      </c>
      <c r="P264" s="90">
        <f t="shared" si="19"/>
        <v>0</v>
      </c>
      <c r="Q264" s="76">
        <v>3</v>
      </c>
      <c r="R264" s="76">
        <v>2</v>
      </c>
      <c r="S264" s="76" t="s">
        <v>61</v>
      </c>
      <c r="T264" s="5" t="s">
        <v>278</v>
      </c>
      <c r="U264" s="9"/>
    </row>
    <row r="265" spans="1:21" s="37" customFormat="1" ht="12" customHeight="1" x14ac:dyDescent="0.3">
      <c r="A265" s="77" t="s">
        <v>273</v>
      </c>
      <c r="B265" s="78" t="s">
        <v>274</v>
      </c>
      <c r="C265" s="84">
        <v>1319</v>
      </c>
      <c r="D265" s="85">
        <v>111.7</v>
      </c>
      <c r="E265" s="86">
        <v>34</v>
      </c>
      <c r="F265" s="85">
        <v>84.8</v>
      </c>
      <c r="G265" s="17">
        <v>26</v>
      </c>
      <c r="H265" s="87">
        <v>412</v>
      </c>
      <c r="I265" s="88"/>
      <c r="J265" s="88"/>
      <c r="K265" s="88"/>
      <c r="L265" s="88"/>
      <c r="M265" s="89">
        <f t="shared" si="16"/>
        <v>0</v>
      </c>
      <c r="N265" s="4" t="str">
        <f t="shared" si="17"/>
        <v/>
      </c>
      <c r="O265" s="90">
        <f t="shared" si="18"/>
        <v>0</v>
      </c>
      <c r="P265" s="90">
        <f t="shared" si="19"/>
        <v>0</v>
      </c>
      <c r="Q265" s="76">
        <v>3</v>
      </c>
      <c r="R265" s="76">
        <v>2</v>
      </c>
      <c r="S265" s="76" t="s">
        <v>61</v>
      </c>
      <c r="T265" s="5" t="s">
        <v>220</v>
      </c>
      <c r="U265" s="9"/>
    </row>
    <row r="266" spans="1:21" s="37" customFormat="1" ht="12" customHeight="1" x14ac:dyDescent="0.3">
      <c r="A266" s="77" t="s">
        <v>279</v>
      </c>
      <c r="B266" s="78" t="s">
        <v>280</v>
      </c>
      <c r="C266" s="84">
        <v>712</v>
      </c>
      <c r="D266" s="85">
        <v>151</v>
      </c>
      <c r="E266" s="86">
        <v>46</v>
      </c>
      <c r="F266" s="85">
        <v>122.3</v>
      </c>
      <c r="G266" s="17">
        <v>37</v>
      </c>
      <c r="H266" s="87">
        <v>76</v>
      </c>
      <c r="I266" s="88"/>
      <c r="J266" s="88"/>
      <c r="K266" s="88"/>
      <c r="L266" s="88"/>
      <c r="M266" s="89">
        <f t="shared" si="16"/>
        <v>0</v>
      </c>
      <c r="N266" s="4" t="str">
        <f t="shared" si="17"/>
        <v/>
      </c>
      <c r="O266" s="90">
        <f t="shared" si="18"/>
        <v>0</v>
      </c>
      <c r="P266" s="90">
        <f t="shared" si="19"/>
        <v>0</v>
      </c>
      <c r="Q266" s="76">
        <v>4</v>
      </c>
      <c r="R266" s="76">
        <v>2</v>
      </c>
      <c r="S266" s="76" t="s">
        <v>68</v>
      </c>
      <c r="T266" s="5">
        <v>150</v>
      </c>
      <c r="U266" s="9"/>
    </row>
    <row r="267" spans="1:21" s="37" customFormat="1" ht="12" customHeight="1" x14ac:dyDescent="0.3">
      <c r="A267" s="77" t="s">
        <v>279</v>
      </c>
      <c r="B267" s="78" t="s">
        <v>280</v>
      </c>
      <c r="C267" s="84">
        <v>712</v>
      </c>
      <c r="D267" s="85">
        <v>164.9</v>
      </c>
      <c r="E267" s="86">
        <v>50</v>
      </c>
      <c r="F267" s="85">
        <v>135.69999999999999</v>
      </c>
      <c r="G267" s="17">
        <v>41</v>
      </c>
      <c r="H267" s="87">
        <v>204</v>
      </c>
      <c r="I267" s="88"/>
      <c r="J267" s="88"/>
      <c r="K267" s="88">
        <v>50000</v>
      </c>
      <c r="L267" s="88" t="s">
        <v>71</v>
      </c>
      <c r="M267" s="89">
        <f t="shared" si="16"/>
        <v>-50000</v>
      </c>
      <c r="N267" s="4" t="str">
        <f t="shared" si="17"/>
        <v/>
      </c>
      <c r="O267" s="90">
        <f t="shared" si="18"/>
        <v>0</v>
      </c>
      <c r="P267" s="90">
        <f t="shared" si="19"/>
        <v>1000</v>
      </c>
      <c r="Q267" s="76">
        <v>4</v>
      </c>
      <c r="R267" s="76">
        <v>2</v>
      </c>
      <c r="S267" s="76" t="s">
        <v>68</v>
      </c>
      <c r="T267" s="5">
        <v>164</v>
      </c>
      <c r="U267" s="9"/>
    </row>
    <row r="268" spans="1:21" s="37" customFormat="1" ht="12" customHeight="1" x14ac:dyDescent="0.3">
      <c r="A268" s="77" t="s">
        <v>279</v>
      </c>
      <c r="B268" s="78" t="s">
        <v>280</v>
      </c>
      <c r="C268" s="84">
        <v>712</v>
      </c>
      <c r="D268" s="85">
        <v>197.3</v>
      </c>
      <c r="E268" s="86">
        <v>60</v>
      </c>
      <c r="F268" s="85">
        <v>164.1</v>
      </c>
      <c r="G268" s="17">
        <v>50</v>
      </c>
      <c r="H268" s="87">
        <v>130</v>
      </c>
      <c r="I268" s="88"/>
      <c r="J268" s="88"/>
      <c r="K268" s="88"/>
      <c r="L268" s="88"/>
      <c r="M268" s="89">
        <f t="shared" si="16"/>
        <v>0</v>
      </c>
      <c r="N268" s="4" t="str">
        <f t="shared" si="17"/>
        <v/>
      </c>
      <c r="O268" s="90">
        <f t="shared" si="18"/>
        <v>0</v>
      </c>
      <c r="P268" s="90">
        <f t="shared" si="19"/>
        <v>0</v>
      </c>
      <c r="Q268" s="76">
        <v>4</v>
      </c>
      <c r="R268" s="76">
        <v>2</v>
      </c>
      <c r="S268" s="76" t="s">
        <v>68</v>
      </c>
      <c r="T268" s="5">
        <v>197</v>
      </c>
      <c r="U268" s="9"/>
    </row>
    <row r="269" spans="1:21" s="37" customFormat="1" ht="12" customHeight="1" x14ac:dyDescent="0.3">
      <c r="A269" s="77" t="s">
        <v>288</v>
      </c>
      <c r="B269" s="78" t="s">
        <v>289</v>
      </c>
      <c r="C269" s="84">
        <v>431</v>
      </c>
      <c r="D269" s="85">
        <v>110</v>
      </c>
      <c r="E269" s="86">
        <v>33</v>
      </c>
      <c r="F269" s="85">
        <v>85</v>
      </c>
      <c r="G269" s="17">
        <v>26</v>
      </c>
      <c r="H269" s="87">
        <v>55</v>
      </c>
      <c r="I269" s="88"/>
      <c r="J269" s="88"/>
      <c r="K269" s="88"/>
      <c r="L269" s="88"/>
      <c r="M269" s="89">
        <f t="shared" si="16"/>
        <v>0</v>
      </c>
      <c r="N269" s="4" t="str">
        <f t="shared" si="17"/>
        <v/>
      </c>
      <c r="O269" s="90">
        <f t="shared" si="18"/>
        <v>0</v>
      </c>
      <c r="P269" s="90">
        <f t="shared" si="19"/>
        <v>0</v>
      </c>
      <c r="Q269" s="76">
        <v>3</v>
      </c>
      <c r="R269" s="76">
        <v>2</v>
      </c>
      <c r="S269" s="76" t="s">
        <v>61</v>
      </c>
      <c r="T269" s="5" t="s">
        <v>292</v>
      </c>
      <c r="U269" s="9"/>
    </row>
    <row r="270" spans="1:21" s="37" customFormat="1" ht="12" customHeight="1" x14ac:dyDescent="0.3">
      <c r="A270" s="77" t="s">
        <v>296</v>
      </c>
      <c r="B270" s="78" t="s">
        <v>297</v>
      </c>
      <c r="C270" s="84">
        <v>1259</v>
      </c>
      <c r="D270" s="85">
        <v>124</v>
      </c>
      <c r="E270" s="86">
        <v>37</v>
      </c>
      <c r="F270" s="85">
        <v>102</v>
      </c>
      <c r="G270" s="17">
        <v>31</v>
      </c>
      <c r="H270" s="87">
        <v>111</v>
      </c>
      <c r="I270" s="88"/>
      <c r="J270" s="88"/>
      <c r="K270" s="88"/>
      <c r="L270" s="88"/>
      <c r="M270" s="89">
        <f t="shared" si="16"/>
        <v>0</v>
      </c>
      <c r="N270" s="4" t="str">
        <f t="shared" si="17"/>
        <v/>
      </c>
      <c r="O270" s="90">
        <f t="shared" si="18"/>
        <v>0</v>
      </c>
      <c r="P270" s="90">
        <f t="shared" si="19"/>
        <v>0</v>
      </c>
      <c r="Q270" s="76">
        <v>3</v>
      </c>
      <c r="R270" s="76">
        <v>2</v>
      </c>
      <c r="S270" s="76" t="s">
        <v>61</v>
      </c>
      <c r="T270" s="5">
        <v>123</v>
      </c>
      <c r="U270" s="9"/>
    </row>
    <row r="271" spans="1:21" s="37" customFormat="1" ht="12" customHeight="1" x14ac:dyDescent="0.3">
      <c r="A271" s="77" t="s">
        <v>296</v>
      </c>
      <c r="B271" s="78" t="s">
        <v>297</v>
      </c>
      <c r="C271" s="84">
        <v>1259</v>
      </c>
      <c r="D271" s="85">
        <v>217.1</v>
      </c>
      <c r="E271" s="86">
        <v>66</v>
      </c>
      <c r="F271" s="85">
        <v>188.6</v>
      </c>
      <c r="G271" s="17">
        <v>57</v>
      </c>
      <c r="H271" s="87">
        <v>36</v>
      </c>
      <c r="I271" s="88"/>
      <c r="J271" s="88"/>
      <c r="K271" s="88"/>
      <c r="L271" s="88"/>
      <c r="M271" s="89">
        <f t="shared" si="16"/>
        <v>0</v>
      </c>
      <c r="N271" s="4" t="str">
        <f t="shared" si="17"/>
        <v/>
      </c>
      <c r="O271" s="90">
        <f t="shared" si="18"/>
        <v>0</v>
      </c>
      <c r="P271" s="90">
        <f t="shared" si="19"/>
        <v>0</v>
      </c>
      <c r="Q271" s="76">
        <v>5</v>
      </c>
      <c r="R271" s="76">
        <v>2</v>
      </c>
      <c r="S271" s="76" t="s">
        <v>61</v>
      </c>
      <c r="T271" s="5">
        <v>217</v>
      </c>
      <c r="U271" s="9"/>
    </row>
    <row r="272" spans="1:21" s="37" customFormat="1" ht="12" customHeight="1" x14ac:dyDescent="0.3">
      <c r="A272" s="77" t="s">
        <v>298</v>
      </c>
      <c r="B272" s="78" t="s">
        <v>299</v>
      </c>
      <c r="C272" s="84">
        <v>488</v>
      </c>
      <c r="D272" s="85">
        <v>93.4</v>
      </c>
      <c r="E272" s="86">
        <v>28</v>
      </c>
      <c r="F272" s="85">
        <v>72.599999999999994</v>
      </c>
      <c r="G272" s="17">
        <v>22</v>
      </c>
      <c r="H272" s="87">
        <v>36</v>
      </c>
      <c r="I272" s="88"/>
      <c r="J272" s="88"/>
      <c r="K272" s="88"/>
      <c r="L272" s="88"/>
      <c r="M272" s="89">
        <f t="shared" si="16"/>
        <v>0</v>
      </c>
      <c r="N272" s="4" t="str">
        <f t="shared" si="17"/>
        <v/>
      </c>
      <c r="O272" s="90">
        <f t="shared" si="18"/>
        <v>0</v>
      </c>
      <c r="P272" s="90">
        <f t="shared" si="19"/>
        <v>0</v>
      </c>
      <c r="Q272" s="76">
        <v>3</v>
      </c>
      <c r="R272" s="76">
        <v>2</v>
      </c>
      <c r="S272" s="76" t="s">
        <v>61</v>
      </c>
      <c r="T272" s="5" t="s">
        <v>300</v>
      </c>
      <c r="U272" s="9"/>
    </row>
    <row r="273" spans="1:21" s="37" customFormat="1" ht="12" customHeight="1" x14ac:dyDescent="0.3">
      <c r="A273" s="77" t="s">
        <v>298</v>
      </c>
      <c r="B273" s="78" t="s">
        <v>299</v>
      </c>
      <c r="C273" s="84">
        <v>488</v>
      </c>
      <c r="D273" s="85">
        <v>107.5</v>
      </c>
      <c r="E273" s="86">
        <v>33</v>
      </c>
      <c r="F273" s="85">
        <v>84.8</v>
      </c>
      <c r="G273" s="17">
        <v>26</v>
      </c>
      <c r="H273" s="87">
        <v>180</v>
      </c>
      <c r="I273" s="88"/>
      <c r="J273" s="88"/>
      <c r="K273" s="88"/>
      <c r="L273" s="88"/>
      <c r="M273" s="89">
        <f t="shared" si="16"/>
        <v>0</v>
      </c>
      <c r="N273" s="4" t="str">
        <f t="shared" si="17"/>
        <v/>
      </c>
      <c r="O273" s="90">
        <f t="shared" si="18"/>
        <v>0</v>
      </c>
      <c r="P273" s="90">
        <f t="shared" si="19"/>
        <v>0</v>
      </c>
      <c r="Q273" s="76">
        <v>3</v>
      </c>
      <c r="R273" s="76">
        <v>2</v>
      </c>
      <c r="S273" s="76" t="s">
        <v>61</v>
      </c>
      <c r="T273" s="5">
        <v>107</v>
      </c>
      <c r="U273" s="9"/>
    </row>
    <row r="274" spans="1:21" s="37" customFormat="1" ht="12" customHeight="1" x14ac:dyDescent="0.3">
      <c r="A274" s="77" t="s">
        <v>301</v>
      </c>
      <c r="B274" s="78" t="s">
        <v>242</v>
      </c>
      <c r="C274" s="84">
        <v>206</v>
      </c>
      <c r="D274" s="85">
        <v>73.5</v>
      </c>
      <c r="E274" s="86">
        <v>22</v>
      </c>
      <c r="F274" s="85">
        <v>45.5</v>
      </c>
      <c r="G274" s="17">
        <v>14</v>
      </c>
      <c r="H274" s="87">
        <v>109</v>
      </c>
      <c r="I274" s="88"/>
      <c r="J274" s="88"/>
      <c r="K274" s="88"/>
      <c r="L274" s="88"/>
      <c r="M274" s="89">
        <f t="shared" si="16"/>
        <v>0</v>
      </c>
      <c r="N274" s="4" t="str">
        <f t="shared" si="17"/>
        <v/>
      </c>
      <c r="O274" s="90">
        <f t="shared" si="18"/>
        <v>0</v>
      </c>
      <c r="P274" s="90">
        <f t="shared" si="19"/>
        <v>0</v>
      </c>
      <c r="Q274" s="76">
        <v>2</v>
      </c>
      <c r="R274" s="76">
        <v>1</v>
      </c>
      <c r="S274" s="76" t="s">
        <v>61</v>
      </c>
      <c r="T274" s="5" t="s">
        <v>304</v>
      </c>
      <c r="U274" s="9"/>
    </row>
    <row r="275" spans="1:21" s="37" customFormat="1" ht="12" customHeight="1" x14ac:dyDescent="0.3">
      <c r="A275" s="77" t="s">
        <v>307</v>
      </c>
      <c r="B275" s="78" t="s">
        <v>308</v>
      </c>
      <c r="C275" s="84">
        <v>539</v>
      </c>
      <c r="D275" s="85">
        <v>95.6</v>
      </c>
      <c r="E275" s="86">
        <v>29</v>
      </c>
      <c r="F275" s="85">
        <v>75.099999999999994</v>
      </c>
      <c r="G275" s="17">
        <v>23</v>
      </c>
      <c r="H275" s="87">
        <v>116</v>
      </c>
      <c r="I275" s="88"/>
      <c r="J275" s="88"/>
      <c r="K275" s="88"/>
      <c r="L275" s="88"/>
      <c r="M275" s="89">
        <f t="shared" si="16"/>
        <v>0</v>
      </c>
      <c r="N275" s="4" t="str">
        <f t="shared" si="17"/>
        <v/>
      </c>
      <c r="O275" s="90">
        <f t="shared" si="18"/>
        <v>0</v>
      </c>
      <c r="P275" s="90">
        <f t="shared" si="19"/>
        <v>0</v>
      </c>
      <c r="Q275" s="76">
        <v>3</v>
      </c>
      <c r="R275" s="76">
        <v>1</v>
      </c>
      <c r="S275" s="76" t="s">
        <v>61</v>
      </c>
      <c r="T275" s="5">
        <v>95</v>
      </c>
      <c r="U275" s="9"/>
    </row>
    <row r="276" spans="1:21" s="37" customFormat="1" ht="12" customHeight="1" x14ac:dyDescent="0.3">
      <c r="A276" s="77" t="s">
        <v>309</v>
      </c>
      <c r="B276" s="78" t="s">
        <v>178</v>
      </c>
      <c r="C276" s="84">
        <v>1558</v>
      </c>
      <c r="D276" s="85">
        <v>145.19999999999999</v>
      </c>
      <c r="E276" s="86">
        <v>44</v>
      </c>
      <c r="F276" s="85">
        <v>119.1</v>
      </c>
      <c r="G276" s="17">
        <v>36</v>
      </c>
      <c r="H276" s="87">
        <v>78</v>
      </c>
      <c r="I276" s="88"/>
      <c r="J276" s="88"/>
      <c r="K276" s="88"/>
      <c r="L276" s="88"/>
      <c r="M276" s="89">
        <f t="shared" si="16"/>
        <v>0</v>
      </c>
      <c r="N276" s="4" t="str">
        <f t="shared" si="17"/>
        <v/>
      </c>
      <c r="O276" s="90">
        <f t="shared" si="18"/>
        <v>0</v>
      </c>
      <c r="P276" s="90">
        <f t="shared" si="19"/>
        <v>0</v>
      </c>
      <c r="Q276" s="76">
        <v>4</v>
      </c>
      <c r="R276" s="76">
        <v>2</v>
      </c>
      <c r="S276" s="76" t="s">
        <v>61</v>
      </c>
      <c r="T276" s="5">
        <v>145</v>
      </c>
      <c r="U276" s="9"/>
    </row>
    <row r="277" spans="1:21" s="37" customFormat="1" ht="12" customHeight="1" x14ac:dyDescent="0.3">
      <c r="A277" s="77" t="s">
        <v>315</v>
      </c>
      <c r="B277" s="78" t="s">
        <v>316</v>
      </c>
      <c r="C277" s="84">
        <v>838</v>
      </c>
      <c r="D277" s="85">
        <v>53.2</v>
      </c>
      <c r="E277" s="86">
        <v>16</v>
      </c>
      <c r="F277" s="85">
        <v>37.700000000000003</v>
      </c>
      <c r="G277" s="17">
        <v>11</v>
      </c>
      <c r="H277" s="87">
        <v>89</v>
      </c>
      <c r="I277" s="88"/>
      <c r="J277" s="88"/>
      <c r="K277" s="88"/>
      <c r="L277" s="88"/>
      <c r="M277" s="89">
        <f t="shared" si="16"/>
        <v>0</v>
      </c>
      <c r="N277" s="4" t="str">
        <f t="shared" si="17"/>
        <v/>
      </c>
      <c r="O277" s="90">
        <f t="shared" si="18"/>
        <v>0</v>
      </c>
      <c r="P277" s="90">
        <f t="shared" si="19"/>
        <v>0</v>
      </c>
      <c r="Q277" s="76">
        <v>2</v>
      </c>
      <c r="R277" s="76">
        <v>1</v>
      </c>
      <c r="S277" s="76" t="s">
        <v>68</v>
      </c>
      <c r="T277" s="5">
        <v>53</v>
      </c>
      <c r="U277" s="9"/>
    </row>
    <row r="278" spans="1:21" s="37" customFormat="1" ht="12" customHeight="1" x14ac:dyDescent="0.3">
      <c r="A278" s="77" t="s">
        <v>317</v>
      </c>
      <c r="B278" s="78" t="s">
        <v>318</v>
      </c>
      <c r="C278" s="84">
        <v>225</v>
      </c>
      <c r="D278" s="85">
        <v>112.6</v>
      </c>
      <c r="E278" s="86">
        <v>34</v>
      </c>
      <c r="F278" s="85">
        <v>85</v>
      </c>
      <c r="G278" s="17">
        <v>26</v>
      </c>
      <c r="H278" s="87">
        <v>95</v>
      </c>
      <c r="I278" s="88"/>
      <c r="J278" s="88"/>
      <c r="K278" s="88"/>
      <c r="L278" s="88"/>
      <c r="M278" s="89">
        <f t="shared" si="16"/>
        <v>0</v>
      </c>
      <c r="N278" s="4" t="str">
        <f t="shared" si="17"/>
        <v/>
      </c>
      <c r="O278" s="90">
        <f t="shared" si="18"/>
        <v>0</v>
      </c>
      <c r="P278" s="90">
        <f t="shared" si="19"/>
        <v>0</v>
      </c>
      <c r="Q278" s="76">
        <v>4</v>
      </c>
      <c r="R278" s="76">
        <v>2</v>
      </c>
      <c r="S278" s="76" t="s">
        <v>61</v>
      </c>
      <c r="T278" s="5" t="s">
        <v>247</v>
      </c>
      <c r="U278" s="9"/>
    </row>
    <row r="279" spans="1:21" s="37" customFormat="1" ht="12" customHeight="1" x14ac:dyDescent="0.3">
      <c r="A279" s="77" t="s">
        <v>321</v>
      </c>
      <c r="B279" s="78" t="s">
        <v>145</v>
      </c>
      <c r="C279" s="84">
        <v>473</v>
      </c>
      <c r="D279" s="85">
        <v>101.7</v>
      </c>
      <c r="E279" s="86">
        <v>31</v>
      </c>
      <c r="F279" s="85">
        <v>84.8</v>
      </c>
      <c r="G279" s="17">
        <v>26</v>
      </c>
      <c r="H279" s="87">
        <v>155</v>
      </c>
      <c r="I279" s="88"/>
      <c r="J279" s="88"/>
      <c r="K279" s="88"/>
      <c r="L279" s="88"/>
      <c r="M279" s="89">
        <f t="shared" si="16"/>
        <v>0</v>
      </c>
      <c r="N279" s="4" t="str">
        <f t="shared" si="17"/>
        <v/>
      </c>
      <c r="O279" s="90">
        <f t="shared" si="18"/>
        <v>0</v>
      </c>
      <c r="P279" s="90">
        <f t="shared" si="19"/>
        <v>0</v>
      </c>
      <c r="Q279" s="76">
        <v>3</v>
      </c>
      <c r="R279" s="76">
        <v>2</v>
      </c>
      <c r="S279" s="76" t="s">
        <v>61</v>
      </c>
      <c r="T279" s="5">
        <v>101</v>
      </c>
      <c r="U279" s="9"/>
    </row>
    <row r="280" spans="1:21" s="37" customFormat="1" ht="12" customHeight="1" x14ac:dyDescent="0.3">
      <c r="A280" s="77" t="s">
        <v>321</v>
      </c>
      <c r="B280" s="78" t="s">
        <v>145</v>
      </c>
      <c r="C280" s="84">
        <v>473</v>
      </c>
      <c r="D280" s="85">
        <v>161.69999999999999</v>
      </c>
      <c r="E280" s="86">
        <v>49</v>
      </c>
      <c r="F280" s="85">
        <v>134.80000000000001</v>
      </c>
      <c r="G280" s="17">
        <v>41</v>
      </c>
      <c r="H280" s="87">
        <v>86</v>
      </c>
      <c r="I280" s="88"/>
      <c r="J280" s="88"/>
      <c r="K280" s="88"/>
      <c r="L280" s="88"/>
      <c r="M280" s="89">
        <f t="shared" si="16"/>
        <v>0</v>
      </c>
      <c r="N280" s="4" t="str">
        <f t="shared" si="17"/>
        <v/>
      </c>
      <c r="O280" s="90">
        <f t="shared" si="18"/>
        <v>0</v>
      </c>
      <c r="P280" s="90">
        <f t="shared" si="19"/>
        <v>0</v>
      </c>
      <c r="Q280" s="76">
        <v>4</v>
      </c>
      <c r="R280" s="76">
        <v>2</v>
      </c>
      <c r="S280" s="76" t="s">
        <v>61</v>
      </c>
      <c r="T280" s="5">
        <v>161</v>
      </c>
      <c r="U280" s="9"/>
    </row>
    <row r="281" spans="1:21" s="37" customFormat="1" ht="12" customHeight="1" x14ac:dyDescent="0.3">
      <c r="A281" s="77" t="s">
        <v>321</v>
      </c>
      <c r="B281" s="78" t="s">
        <v>145</v>
      </c>
      <c r="C281" s="84">
        <v>473</v>
      </c>
      <c r="D281" s="85">
        <v>214.4</v>
      </c>
      <c r="E281" s="86">
        <v>65</v>
      </c>
      <c r="F281" s="85">
        <v>178.7</v>
      </c>
      <c r="G281" s="17">
        <v>54</v>
      </c>
      <c r="H281" s="87">
        <v>79</v>
      </c>
      <c r="I281" s="88"/>
      <c r="J281" s="88"/>
      <c r="K281" s="88"/>
      <c r="L281" s="88"/>
      <c r="M281" s="89">
        <f t="shared" si="16"/>
        <v>0</v>
      </c>
      <c r="N281" s="4" t="str">
        <f t="shared" si="17"/>
        <v/>
      </c>
      <c r="O281" s="90">
        <f t="shared" si="18"/>
        <v>0</v>
      </c>
      <c r="P281" s="90">
        <f t="shared" si="19"/>
        <v>0</v>
      </c>
      <c r="Q281" s="76">
        <v>5</v>
      </c>
      <c r="R281" s="76">
        <v>2</v>
      </c>
      <c r="S281" s="76" t="s">
        <v>61</v>
      </c>
      <c r="T281" s="5">
        <v>214</v>
      </c>
      <c r="U281" s="9"/>
    </row>
    <row r="282" spans="1:21" s="37" customFormat="1" ht="12" customHeight="1" x14ac:dyDescent="0.3">
      <c r="A282" s="77" t="s">
        <v>324</v>
      </c>
      <c r="B282" s="78" t="s">
        <v>318</v>
      </c>
      <c r="C282" s="84">
        <v>398</v>
      </c>
      <c r="D282" s="85">
        <v>153.19999999999999</v>
      </c>
      <c r="E282" s="86">
        <v>46</v>
      </c>
      <c r="F282" s="85">
        <v>123.6</v>
      </c>
      <c r="G282" s="17">
        <v>37</v>
      </c>
      <c r="H282" s="87">
        <v>58</v>
      </c>
      <c r="I282" s="88"/>
      <c r="J282" s="88"/>
      <c r="K282" s="88"/>
      <c r="L282" s="88"/>
      <c r="M282" s="89">
        <f t="shared" si="16"/>
        <v>0</v>
      </c>
      <c r="N282" s="4" t="str">
        <f t="shared" si="17"/>
        <v/>
      </c>
      <c r="O282" s="90">
        <f t="shared" si="18"/>
        <v>0</v>
      </c>
      <c r="P282" s="90">
        <f t="shared" si="19"/>
        <v>0</v>
      </c>
      <c r="Q282" s="76">
        <v>4</v>
      </c>
      <c r="R282" s="76">
        <v>2</v>
      </c>
      <c r="S282" s="76" t="s">
        <v>61</v>
      </c>
      <c r="T282" s="5">
        <v>153</v>
      </c>
      <c r="U282" s="9"/>
    </row>
    <row r="283" spans="1:21" s="37" customFormat="1" ht="12" customHeight="1" x14ac:dyDescent="0.3">
      <c r="A283" s="77" t="s">
        <v>326</v>
      </c>
      <c r="B283" s="78" t="s">
        <v>327</v>
      </c>
      <c r="C283" s="84">
        <v>1329</v>
      </c>
      <c r="D283" s="85">
        <v>67.8</v>
      </c>
      <c r="E283" s="86">
        <v>20</v>
      </c>
      <c r="F283" s="85">
        <v>49.8</v>
      </c>
      <c r="G283" s="17">
        <v>15</v>
      </c>
      <c r="H283" s="87">
        <v>30</v>
      </c>
      <c r="I283" s="88"/>
      <c r="J283" s="88"/>
      <c r="K283" s="88"/>
      <c r="L283" s="88"/>
      <c r="M283" s="89">
        <f t="shared" si="16"/>
        <v>0</v>
      </c>
      <c r="N283" s="4" t="str">
        <f t="shared" si="17"/>
        <v/>
      </c>
      <c r="O283" s="90">
        <f t="shared" si="18"/>
        <v>0</v>
      </c>
      <c r="P283" s="90">
        <f t="shared" si="19"/>
        <v>0</v>
      </c>
      <c r="Q283" s="76">
        <v>2</v>
      </c>
      <c r="R283" s="76">
        <v>1</v>
      </c>
      <c r="S283" s="76" t="s">
        <v>68</v>
      </c>
      <c r="T283" s="5">
        <v>67</v>
      </c>
      <c r="U283" s="9"/>
    </row>
    <row r="284" spans="1:21" s="37" customFormat="1" ht="12" customHeight="1" x14ac:dyDescent="0.3">
      <c r="A284" s="77" t="s">
        <v>328</v>
      </c>
      <c r="B284" s="78" t="s">
        <v>329</v>
      </c>
      <c r="C284" s="84">
        <v>396</v>
      </c>
      <c r="D284" s="85">
        <v>111.9</v>
      </c>
      <c r="E284" s="86">
        <v>34</v>
      </c>
      <c r="F284" s="85">
        <v>84.3</v>
      </c>
      <c r="G284" s="17">
        <v>25</v>
      </c>
      <c r="H284" s="87">
        <v>142</v>
      </c>
      <c r="I284" s="88"/>
      <c r="J284" s="88"/>
      <c r="K284" s="88"/>
      <c r="L284" s="88"/>
      <c r="M284" s="89">
        <f t="shared" si="16"/>
        <v>0</v>
      </c>
      <c r="N284" s="4" t="str">
        <f t="shared" si="17"/>
        <v/>
      </c>
      <c r="O284" s="90">
        <f t="shared" si="18"/>
        <v>0</v>
      </c>
      <c r="P284" s="90">
        <f t="shared" si="19"/>
        <v>0</v>
      </c>
      <c r="Q284" s="76">
        <v>4</v>
      </c>
      <c r="R284" s="76">
        <v>2</v>
      </c>
      <c r="S284" s="76" t="s">
        <v>61</v>
      </c>
      <c r="T284" s="5" t="s">
        <v>220</v>
      </c>
      <c r="U284" s="9"/>
    </row>
    <row r="285" spans="1:21" s="37" customFormat="1" ht="12" customHeight="1" x14ac:dyDescent="0.3">
      <c r="A285" s="77" t="s">
        <v>332</v>
      </c>
      <c r="B285" s="78" t="s">
        <v>201</v>
      </c>
      <c r="C285" s="84">
        <v>279</v>
      </c>
      <c r="D285" s="85">
        <v>74.599999999999994</v>
      </c>
      <c r="E285" s="86">
        <v>23</v>
      </c>
      <c r="F285" s="85">
        <v>59.5</v>
      </c>
      <c r="G285" s="17">
        <v>18</v>
      </c>
      <c r="H285" s="87">
        <v>51</v>
      </c>
      <c r="I285" s="88"/>
      <c r="J285" s="88"/>
      <c r="K285" s="88"/>
      <c r="L285" s="88"/>
      <c r="M285" s="89">
        <f t="shared" si="16"/>
        <v>0</v>
      </c>
      <c r="N285" s="4" t="str">
        <f t="shared" si="17"/>
        <v/>
      </c>
      <c r="O285" s="90">
        <f t="shared" si="18"/>
        <v>0</v>
      </c>
      <c r="P285" s="90">
        <f t="shared" si="19"/>
        <v>0</v>
      </c>
      <c r="Q285" s="76">
        <v>3</v>
      </c>
      <c r="R285" s="76">
        <v>1</v>
      </c>
      <c r="S285" s="76" t="s">
        <v>61</v>
      </c>
      <c r="T285" s="5" t="s">
        <v>334</v>
      </c>
      <c r="U285" s="9"/>
    </row>
    <row r="286" spans="1:21" s="37" customFormat="1" ht="12" customHeight="1" x14ac:dyDescent="0.3">
      <c r="A286" s="77" t="s">
        <v>332</v>
      </c>
      <c r="B286" s="78" t="s">
        <v>201</v>
      </c>
      <c r="C286" s="84">
        <v>279</v>
      </c>
      <c r="D286" s="85">
        <v>103.6</v>
      </c>
      <c r="E286" s="86">
        <v>31</v>
      </c>
      <c r="F286" s="85">
        <v>84.5</v>
      </c>
      <c r="G286" s="17">
        <v>26</v>
      </c>
      <c r="H286" s="87">
        <v>126</v>
      </c>
      <c r="I286" s="88"/>
      <c r="J286" s="88"/>
      <c r="K286" s="88"/>
      <c r="L286" s="88"/>
      <c r="M286" s="89">
        <f t="shared" si="16"/>
        <v>0</v>
      </c>
      <c r="N286" s="4" t="str">
        <f t="shared" si="17"/>
        <v/>
      </c>
      <c r="O286" s="90">
        <f t="shared" si="18"/>
        <v>0</v>
      </c>
      <c r="P286" s="90">
        <f t="shared" si="19"/>
        <v>0</v>
      </c>
      <c r="Q286" s="76">
        <v>3</v>
      </c>
      <c r="R286" s="76">
        <v>2</v>
      </c>
      <c r="S286" s="76" t="s">
        <v>61</v>
      </c>
      <c r="T286" s="5" t="s">
        <v>227</v>
      </c>
      <c r="U286" s="9"/>
    </row>
    <row r="287" spans="1:21" s="37" customFormat="1" ht="12" customHeight="1" x14ac:dyDescent="0.3">
      <c r="A287" s="77" t="s">
        <v>344</v>
      </c>
      <c r="B287" s="78" t="s">
        <v>345</v>
      </c>
      <c r="C287" s="84">
        <v>270</v>
      </c>
      <c r="D287" s="85">
        <v>100.5</v>
      </c>
      <c r="E287" s="86">
        <v>30</v>
      </c>
      <c r="F287" s="85">
        <v>83.2</v>
      </c>
      <c r="G287" s="17">
        <v>25</v>
      </c>
      <c r="H287" s="87">
        <v>270</v>
      </c>
      <c r="I287" s="88"/>
      <c r="J287" s="88"/>
      <c r="K287" s="88"/>
      <c r="L287" s="88"/>
      <c r="M287" s="89">
        <f t="shared" si="16"/>
        <v>0</v>
      </c>
      <c r="N287" s="4" t="str">
        <f t="shared" si="17"/>
        <v/>
      </c>
      <c r="O287" s="90">
        <f t="shared" si="18"/>
        <v>0</v>
      </c>
      <c r="P287" s="90">
        <f t="shared" si="19"/>
        <v>0</v>
      </c>
      <c r="Q287" s="76">
        <v>3</v>
      </c>
      <c r="R287" s="76">
        <v>2</v>
      </c>
      <c r="S287" s="76" t="s">
        <v>61</v>
      </c>
      <c r="T287" s="5">
        <v>100</v>
      </c>
      <c r="U287" s="9"/>
    </row>
    <row r="288" spans="1:21" s="37" customFormat="1" ht="12" customHeight="1" x14ac:dyDescent="0.3">
      <c r="A288" s="77" t="s">
        <v>355</v>
      </c>
      <c r="B288" s="78" t="s">
        <v>356</v>
      </c>
      <c r="C288" s="84">
        <v>326</v>
      </c>
      <c r="D288" s="85">
        <v>77.5</v>
      </c>
      <c r="E288" s="86">
        <v>23</v>
      </c>
      <c r="F288" s="85">
        <v>59.8</v>
      </c>
      <c r="G288" s="17">
        <v>18</v>
      </c>
      <c r="H288" s="87">
        <v>57</v>
      </c>
      <c r="I288" s="88"/>
      <c r="J288" s="88"/>
      <c r="K288" s="88"/>
      <c r="L288" s="88"/>
      <c r="M288" s="89">
        <f t="shared" si="16"/>
        <v>0</v>
      </c>
      <c r="N288" s="4" t="str">
        <f t="shared" si="17"/>
        <v/>
      </c>
      <c r="O288" s="90">
        <f t="shared" si="18"/>
        <v>0</v>
      </c>
      <c r="P288" s="90">
        <f t="shared" si="19"/>
        <v>0</v>
      </c>
      <c r="Q288" s="76">
        <v>3</v>
      </c>
      <c r="R288" s="76">
        <v>2</v>
      </c>
      <c r="S288" s="76" t="s">
        <v>61</v>
      </c>
      <c r="T288" s="5" t="s">
        <v>357</v>
      </c>
      <c r="U288" s="9"/>
    </row>
    <row r="289" spans="1:21" s="37" customFormat="1" ht="12" customHeight="1" x14ac:dyDescent="0.3">
      <c r="A289" s="77" t="s">
        <v>358</v>
      </c>
      <c r="B289" s="78" t="s">
        <v>359</v>
      </c>
      <c r="C289" s="84">
        <v>467</v>
      </c>
      <c r="D289" s="85">
        <v>91.1</v>
      </c>
      <c r="E289" s="86">
        <v>28</v>
      </c>
      <c r="F289" s="85">
        <v>70.8</v>
      </c>
      <c r="G289" s="17">
        <v>21</v>
      </c>
      <c r="H289" s="87">
        <v>57</v>
      </c>
      <c r="I289" s="88"/>
      <c r="J289" s="88"/>
      <c r="K289" s="88"/>
      <c r="L289" s="88"/>
      <c r="M289" s="89">
        <f t="shared" si="16"/>
        <v>0</v>
      </c>
      <c r="N289" s="4" t="str">
        <f t="shared" si="17"/>
        <v/>
      </c>
      <c r="O289" s="90">
        <f t="shared" si="18"/>
        <v>0</v>
      </c>
      <c r="P289" s="90">
        <f t="shared" si="19"/>
        <v>0</v>
      </c>
      <c r="Q289" s="76">
        <v>3</v>
      </c>
      <c r="R289" s="76">
        <v>1</v>
      </c>
      <c r="S289" s="76" t="s">
        <v>68</v>
      </c>
      <c r="T289" s="5">
        <v>91</v>
      </c>
      <c r="U289" s="9"/>
    </row>
    <row r="290" spans="1:21" s="37" customFormat="1" ht="12" customHeight="1" x14ac:dyDescent="0.3">
      <c r="A290" s="77" t="s">
        <v>360</v>
      </c>
      <c r="B290" s="78" t="s">
        <v>361</v>
      </c>
      <c r="C290" s="84">
        <v>1155</v>
      </c>
      <c r="D290" s="85">
        <v>127.5</v>
      </c>
      <c r="E290" s="86">
        <v>39</v>
      </c>
      <c r="F290" s="85">
        <v>108</v>
      </c>
      <c r="G290" s="17">
        <v>33</v>
      </c>
      <c r="H290" s="87">
        <v>240</v>
      </c>
      <c r="I290" s="88"/>
      <c r="J290" s="88"/>
      <c r="K290" s="88"/>
      <c r="L290" s="88"/>
      <c r="M290" s="89">
        <f t="shared" si="16"/>
        <v>0</v>
      </c>
      <c r="N290" s="4" t="str">
        <f t="shared" si="17"/>
        <v/>
      </c>
      <c r="O290" s="90">
        <f t="shared" si="18"/>
        <v>0</v>
      </c>
      <c r="P290" s="90">
        <f t="shared" si="19"/>
        <v>0</v>
      </c>
      <c r="Q290" s="76">
        <v>4</v>
      </c>
      <c r="R290" s="76">
        <v>2</v>
      </c>
      <c r="S290" s="76" t="s">
        <v>61</v>
      </c>
      <c r="T290" s="5">
        <v>127</v>
      </c>
      <c r="U290" s="9"/>
    </row>
    <row r="291" spans="1:21" s="37" customFormat="1" ht="12" customHeight="1" x14ac:dyDescent="0.3">
      <c r="A291" s="77" t="s">
        <v>362</v>
      </c>
      <c r="B291" s="78" t="s">
        <v>363</v>
      </c>
      <c r="C291" s="84">
        <v>1230</v>
      </c>
      <c r="D291" s="85">
        <v>45.9</v>
      </c>
      <c r="E291" s="86">
        <v>14</v>
      </c>
      <c r="F291" s="85">
        <v>45.9</v>
      </c>
      <c r="G291" s="17">
        <v>14</v>
      </c>
      <c r="H291" s="87">
        <v>100</v>
      </c>
      <c r="I291" s="88"/>
      <c r="J291" s="88"/>
      <c r="K291" s="88"/>
      <c r="L291" s="88"/>
      <c r="M291" s="89">
        <f t="shared" si="16"/>
        <v>0</v>
      </c>
      <c r="N291" s="4" t="str">
        <f t="shared" si="17"/>
        <v/>
      </c>
      <c r="O291" s="90">
        <f t="shared" si="18"/>
        <v>0</v>
      </c>
      <c r="P291" s="90">
        <f t="shared" si="19"/>
        <v>0</v>
      </c>
      <c r="Q291" s="76">
        <v>2</v>
      </c>
      <c r="R291" s="76">
        <v>1</v>
      </c>
      <c r="S291" s="76" t="s">
        <v>61</v>
      </c>
      <c r="T291" s="5" t="s">
        <v>365</v>
      </c>
      <c r="U291" s="9"/>
    </row>
    <row r="292" spans="1:21" s="37" customFormat="1" ht="12" customHeight="1" x14ac:dyDescent="0.3">
      <c r="A292" s="77" t="s">
        <v>362</v>
      </c>
      <c r="B292" s="78" t="s">
        <v>363</v>
      </c>
      <c r="C292" s="84">
        <v>1230</v>
      </c>
      <c r="D292" s="85">
        <v>54.1</v>
      </c>
      <c r="E292" s="86">
        <v>16</v>
      </c>
      <c r="F292" s="85">
        <v>54.1</v>
      </c>
      <c r="G292" s="17">
        <v>16</v>
      </c>
      <c r="H292" s="87">
        <v>185</v>
      </c>
      <c r="I292" s="88"/>
      <c r="J292" s="88"/>
      <c r="K292" s="88"/>
      <c r="L292" s="88"/>
      <c r="M292" s="89">
        <f t="shared" si="16"/>
        <v>0</v>
      </c>
      <c r="N292" s="4" t="str">
        <f t="shared" si="17"/>
        <v/>
      </c>
      <c r="O292" s="90">
        <f t="shared" si="18"/>
        <v>0</v>
      </c>
      <c r="P292" s="90">
        <f t="shared" si="19"/>
        <v>0</v>
      </c>
      <c r="Q292" s="76">
        <v>3</v>
      </c>
      <c r="R292" s="76">
        <v>1</v>
      </c>
      <c r="S292" s="76" t="s">
        <v>61</v>
      </c>
      <c r="T292" s="5" t="s">
        <v>369</v>
      </c>
      <c r="U292" s="9"/>
    </row>
    <row r="293" spans="1:21" s="37" customFormat="1" ht="12" customHeight="1" x14ac:dyDescent="0.3">
      <c r="A293" s="77" t="s">
        <v>362</v>
      </c>
      <c r="B293" s="78" t="s">
        <v>363</v>
      </c>
      <c r="C293" s="84">
        <v>1230</v>
      </c>
      <c r="D293" s="85">
        <v>65.2</v>
      </c>
      <c r="E293" s="86">
        <v>20</v>
      </c>
      <c r="F293" s="85">
        <v>65.2</v>
      </c>
      <c r="G293" s="17">
        <v>20</v>
      </c>
      <c r="H293" s="87">
        <v>185</v>
      </c>
      <c r="I293" s="88"/>
      <c r="J293" s="88"/>
      <c r="K293" s="88"/>
      <c r="L293" s="88"/>
      <c r="M293" s="89">
        <f t="shared" si="16"/>
        <v>0</v>
      </c>
      <c r="N293" s="4" t="str">
        <f t="shared" si="17"/>
        <v/>
      </c>
      <c r="O293" s="90">
        <f t="shared" si="18"/>
        <v>0</v>
      </c>
      <c r="P293" s="90">
        <f t="shared" si="19"/>
        <v>0</v>
      </c>
      <c r="Q293" s="76">
        <v>3</v>
      </c>
      <c r="R293" s="76">
        <v>1</v>
      </c>
      <c r="S293" s="76" t="s">
        <v>61</v>
      </c>
      <c r="T293" s="5" t="s">
        <v>371</v>
      </c>
      <c r="U293" s="9"/>
    </row>
    <row r="294" spans="1:21" s="37" customFormat="1" ht="12" customHeight="1" x14ac:dyDescent="0.3">
      <c r="A294" s="77" t="s">
        <v>362</v>
      </c>
      <c r="B294" s="78" t="s">
        <v>363</v>
      </c>
      <c r="C294" s="84">
        <v>1230</v>
      </c>
      <c r="D294" s="85">
        <v>75.400000000000006</v>
      </c>
      <c r="E294" s="86">
        <v>23</v>
      </c>
      <c r="F294" s="85">
        <v>75.400000000000006</v>
      </c>
      <c r="G294" s="17">
        <v>23</v>
      </c>
      <c r="H294" s="87">
        <v>60</v>
      </c>
      <c r="I294" s="88"/>
      <c r="J294" s="88"/>
      <c r="K294" s="88"/>
      <c r="L294" s="88"/>
      <c r="M294" s="89">
        <f t="shared" si="16"/>
        <v>0</v>
      </c>
      <c r="N294" s="4" t="str">
        <f t="shared" si="17"/>
        <v/>
      </c>
      <c r="O294" s="90">
        <f t="shared" si="18"/>
        <v>0</v>
      </c>
      <c r="P294" s="90">
        <f t="shared" si="19"/>
        <v>0</v>
      </c>
      <c r="Q294" s="76">
        <v>3</v>
      </c>
      <c r="R294" s="76">
        <v>1</v>
      </c>
      <c r="S294" s="76" t="s">
        <v>61</v>
      </c>
      <c r="T294" s="5">
        <v>75</v>
      </c>
      <c r="U294" s="9"/>
    </row>
    <row r="295" spans="1:21" s="37" customFormat="1" ht="12" customHeight="1" x14ac:dyDescent="0.3">
      <c r="A295" s="77" t="s">
        <v>362</v>
      </c>
      <c r="B295" s="78" t="s">
        <v>363</v>
      </c>
      <c r="C295" s="84">
        <v>1230</v>
      </c>
      <c r="D295" s="85">
        <v>84.3</v>
      </c>
      <c r="E295" s="86">
        <v>26</v>
      </c>
      <c r="F295" s="85">
        <v>84.3</v>
      </c>
      <c r="G295" s="17">
        <v>26</v>
      </c>
      <c r="H295" s="87">
        <v>60</v>
      </c>
      <c r="I295" s="88"/>
      <c r="J295" s="88"/>
      <c r="K295" s="88"/>
      <c r="L295" s="88"/>
      <c r="M295" s="89">
        <f t="shared" si="16"/>
        <v>0</v>
      </c>
      <c r="N295" s="4" t="str">
        <f t="shared" si="17"/>
        <v/>
      </c>
      <c r="O295" s="90">
        <f t="shared" si="18"/>
        <v>0</v>
      </c>
      <c r="P295" s="90">
        <f t="shared" si="19"/>
        <v>0</v>
      </c>
      <c r="Q295" s="76">
        <v>3</v>
      </c>
      <c r="R295" s="76">
        <v>1</v>
      </c>
      <c r="S295" s="76" t="s">
        <v>61</v>
      </c>
      <c r="T295" s="5">
        <v>84</v>
      </c>
      <c r="U295" s="9"/>
    </row>
    <row r="296" spans="1:21" s="37" customFormat="1" ht="12" customHeight="1" x14ac:dyDescent="0.3">
      <c r="A296" s="77" t="s">
        <v>378</v>
      </c>
      <c r="B296" s="78" t="s">
        <v>379</v>
      </c>
      <c r="C296" s="84">
        <v>370</v>
      </c>
      <c r="D296" s="85">
        <v>91.4</v>
      </c>
      <c r="E296" s="86">
        <v>28</v>
      </c>
      <c r="F296" s="85">
        <v>74.5</v>
      </c>
      <c r="G296" s="17">
        <v>23</v>
      </c>
      <c r="H296" s="87">
        <v>114</v>
      </c>
      <c r="I296" s="88"/>
      <c r="J296" s="88"/>
      <c r="K296" s="88"/>
      <c r="L296" s="88"/>
      <c r="M296" s="89">
        <f t="shared" si="16"/>
        <v>0</v>
      </c>
      <c r="N296" s="4" t="str">
        <f t="shared" si="17"/>
        <v/>
      </c>
      <c r="O296" s="90">
        <f t="shared" si="18"/>
        <v>0</v>
      </c>
      <c r="P296" s="90">
        <f t="shared" si="19"/>
        <v>0</v>
      </c>
      <c r="Q296" s="76">
        <v>3</v>
      </c>
      <c r="R296" s="76">
        <v>2</v>
      </c>
      <c r="S296" s="76" t="s">
        <v>61</v>
      </c>
      <c r="T296" s="5">
        <v>91</v>
      </c>
      <c r="U296" s="9"/>
    </row>
    <row r="297" spans="1:21" s="37" customFormat="1" ht="12" customHeight="1" x14ac:dyDescent="0.3">
      <c r="A297" s="77" t="s">
        <v>381</v>
      </c>
      <c r="B297" s="78" t="s">
        <v>382</v>
      </c>
      <c r="C297" s="84">
        <v>582</v>
      </c>
      <c r="D297" s="85">
        <v>100.9</v>
      </c>
      <c r="E297" s="86">
        <v>31</v>
      </c>
      <c r="F297" s="85">
        <v>84.4</v>
      </c>
      <c r="G297" s="17">
        <v>26</v>
      </c>
      <c r="H297" s="87">
        <v>375</v>
      </c>
      <c r="I297" s="88"/>
      <c r="J297" s="88"/>
      <c r="K297" s="88"/>
      <c r="L297" s="88"/>
      <c r="M297" s="89">
        <f t="shared" si="16"/>
        <v>0</v>
      </c>
      <c r="N297" s="4" t="str">
        <f t="shared" si="17"/>
        <v/>
      </c>
      <c r="O297" s="90">
        <f t="shared" si="18"/>
        <v>0</v>
      </c>
      <c r="P297" s="90">
        <f t="shared" si="19"/>
        <v>0</v>
      </c>
      <c r="Q297" s="76">
        <v>3</v>
      </c>
      <c r="R297" s="76">
        <v>2</v>
      </c>
      <c r="S297" s="76" t="s">
        <v>61</v>
      </c>
      <c r="T297" s="5">
        <v>100</v>
      </c>
      <c r="U297" s="9"/>
    </row>
    <row r="298" spans="1:21" s="37" customFormat="1" ht="12" customHeight="1" x14ac:dyDescent="0.3">
      <c r="A298" s="77" t="s">
        <v>385</v>
      </c>
      <c r="B298" s="78" t="s">
        <v>386</v>
      </c>
      <c r="C298" s="84">
        <v>720</v>
      </c>
      <c r="D298" s="85">
        <v>101.5</v>
      </c>
      <c r="E298" s="86">
        <v>31</v>
      </c>
      <c r="F298" s="85">
        <v>84.7</v>
      </c>
      <c r="G298" s="17">
        <v>26</v>
      </c>
      <c r="H298" s="87">
        <v>360</v>
      </c>
      <c r="I298" s="88"/>
      <c r="J298" s="88"/>
      <c r="K298" s="88"/>
      <c r="L298" s="88"/>
      <c r="M298" s="89">
        <f t="shared" si="16"/>
        <v>0</v>
      </c>
      <c r="N298" s="4" t="str">
        <f t="shared" si="17"/>
        <v/>
      </c>
      <c r="O298" s="90">
        <f t="shared" si="18"/>
        <v>0</v>
      </c>
      <c r="P298" s="90">
        <f t="shared" si="19"/>
        <v>0</v>
      </c>
      <c r="Q298" s="76">
        <v>3</v>
      </c>
      <c r="R298" s="76">
        <v>2</v>
      </c>
      <c r="S298" s="76" t="s">
        <v>61</v>
      </c>
      <c r="T298" s="5">
        <v>101</v>
      </c>
      <c r="U298" s="9"/>
    </row>
    <row r="299" spans="1:21" s="37" customFormat="1" ht="12" customHeight="1" x14ac:dyDescent="0.3">
      <c r="A299" s="77" t="s">
        <v>387</v>
      </c>
      <c r="B299" s="78" t="s">
        <v>388</v>
      </c>
      <c r="C299" s="84">
        <v>230</v>
      </c>
      <c r="D299" s="85">
        <v>71.3</v>
      </c>
      <c r="E299" s="86">
        <v>22</v>
      </c>
      <c r="F299" s="85">
        <v>59.9</v>
      </c>
      <c r="G299" s="17">
        <v>18</v>
      </c>
      <c r="H299" s="87">
        <v>230</v>
      </c>
      <c r="I299" s="88"/>
      <c r="J299" s="88"/>
      <c r="K299" s="88"/>
      <c r="L299" s="88"/>
      <c r="M299" s="89">
        <f t="shared" si="16"/>
        <v>0</v>
      </c>
      <c r="N299" s="4" t="str">
        <f t="shared" si="17"/>
        <v/>
      </c>
      <c r="O299" s="90">
        <f t="shared" si="18"/>
        <v>0</v>
      </c>
      <c r="P299" s="90">
        <f t="shared" si="19"/>
        <v>0</v>
      </c>
      <c r="Q299" s="76">
        <v>3</v>
      </c>
      <c r="R299" s="76">
        <v>1</v>
      </c>
      <c r="S299" s="76" t="s">
        <v>61</v>
      </c>
      <c r="T299" s="5">
        <v>71</v>
      </c>
      <c r="U299" s="9"/>
    </row>
    <row r="300" spans="1:21" s="37" customFormat="1" ht="12" customHeight="1" x14ac:dyDescent="0.3">
      <c r="A300" s="77" t="s">
        <v>390</v>
      </c>
      <c r="B300" s="78" t="s">
        <v>253</v>
      </c>
      <c r="C300" s="84">
        <v>200</v>
      </c>
      <c r="D300" s="85">
        <v>165.3</v>
      </c>
      <c r="E300" s="86">
        <v>50</v>
      </c>
      <c r="F300" s="85">
        <v>131.9</v>
      </c>
      <c r="G300" s="17">
        <v>40</v>
      </c>
      <c r="H300" s="87">
        <v>160</v>
      </c>
      <c r="I300" s="88"/>
      <c r="J300" s="88"/>
      <c r="K300" s="88"/>
      <c r="L300" s="88"/>
      <c r="M300" s="89">
        <f t="shared" si="16"/>
        <v>0</v>
      </c>
      <c r="N300" s="4" t="str">
        <f t="shared" si="17"/>
        <v/>
      </c>
      <c r="O300" s="90">
        <f t="shared" si="18"/>
        <v>0</v>
      </c>
      <c r="P300" s="90">
        <f t="shared" si="19"/>
        <v>0</v>
      </c>
      <c r="Q300" s="76">
        <v>4</v>
      </c>
      <c r="R300" s="76">
        <v>2</v>
      </c>
      <c r="S300" s="76" t="s">
        <v>61</v>
      </c>
      <c r="T300" s="5">
        <v>165</v>
      </c>
      <c r="U300" s="9"/>
    </row>
    <row r="301" spans="1:21" s="37" customFormat="1" ht="12" customHeight="1" x14ac:dyDescent="0.3">
      <c r="A301" s="77" t="s">
        <v>390</v>
      </c>
      <c r="B301" s="78" t="s">
        <v>253</v>
      </c>
      <c r="C301" s="84">
        <v>200</v>
      </c>
      <c r="D301" s="85">
        <v>192.6</v>
      </c>
      <c r="E301" s="86">
        <v>58</v>
      </c>
      <c r="F301" s="85">
        <v>154.5</v>
      </c>
      <c r="G301" s="17">
        <v>47</v>
      </c>
      <c r="H301" s="87">
        <v>40</v>
      </c>
      <c r="I301" s="88"/>
      <c r="J301" s="88"/>
      <c r="K301" s="88"/>
      <c r="L301" s="88"/>
      <c r="M301" s="89">
        <f t="shared" si="16"/>
        <v>0</v>
      </c>
      <c r="N301" s="4" t="str">
        <f t="shared" si="17"/>
        <v/>
      </c>
      <c r="O301" s="90">
        <f t="shared" si="18"/>
        <v>0</v>
      </c>
      <c r="P301" s="90">
        <f t="shared" si="19"/>
        <v>0</v>
      </c>
      <c r="Q301" s="76">
        <v>4</v>
      </c>
      <c r="R301" s="76">
        <v>2</v>
      </c>
      <c r="S301" s="76" t="s">
        <v>61</v>
      </c>
      <c r="T301" s="5">
        <v>192</v>
      </c>
      <c r="U301" s="9"/>
    </row>
    <row r="302" spans="1:21" s="37" customFormat="1" ht="12" customHeight="1" x14ac:dyDescent="0.3">
      <c r="A302" s="77" t="s">
        <v>391</v>
      </c>
      <c r="B302" s="78" t="s">
        <v>388</v>
      </c>
      <c r="C302" s="84">
        <v>240</v>
      </c>
      <c r="D302" s="85">
        <v>102.6</v>
      </c>
      <c r="E302" s="86">
        <v>31</v>
      </c>
      <c r="F302" s="85">
        <v>85</v>
      </c>
      <c r="G302" s="17">
        <v>26</v>
      </c>
      <c r="H302" s="87">
        <v>240</v>
      </c>
      <c r="I302" s="88"/>
      <c r="J302" s="88"/>
      <c r="K302" s="88"/>
      <c r="L302" s="88"/>
      <c r="M302" s="89">
        <f t="shared" si="16"/>
        <v>0</v>
      </c>
      <c r="N302" s="4" t="str">
        <f t="shared" si="17"/>
        <v/>
      </c>
      <c r="O302" s="90">
        <f t="shared" si="18"/>
        <v>0</v>
      </c>
      <c r="P302" s="90">
        <f t="shared" si="19"/>
        <v>0</v>
      </c>
      <c r="Q302" s="76">
        <v>3</v>
      </c>
      <c r="R302" s="76">
        <v>2</v>
      </c>
      <c r="S302" s="76" t="s">
        <v>61</v>
      </c>
      <c r="T302" s="5">
        <v>102</v>
      </c>
      <c r="U302" s="9"/>
    </row>
    <row r="303" spans="1:21" s="37" customFormat="1" ht="12" customHeight="1" x14ac:dyDescent="0.3">
      <c r="A303" s="77" t="s">
        <v>394</v>
      </c>
      <c r="B303" s="78" t="s">
        <v>74</v>
      </c>
      <c r="C303" s="84">
        <v>224</v>
      </c>
      <c r="D303" s="85">
        <v>84.4</v>
      </c>
      <c r="E303" s="86">
        <v>26</v>
      </c>
      <c r="F303" s="85">
        <v>59.9</v>
      </c>
      <c r="G303" s="17">
        <v>18</v>
      </c>
      <c r="H303" s="87">
        <v>224</v>
      </c>
      <c r="I303" s="88"/>
      <c r="J303" s="88"/>
      <c r="K303" s="88"/>
      <c r="L303" s="88"/>
      <c r="M303" s="89">
        <f t="shared" si="16"/>
        <v>0</v>
      </c>
      <c r="N303" s="4" t="str">
        <f t="shared" si="17"/>
        <v/>
      </c>
      <c r="O303" s="90">
        <f t="shared" si="18"/>
        <v>0</v>
      </c>
      <c r="P303" s="90">
        <f t="shared" si="19"/>
        <v>0</v>
      </c>
      <c r="Q303" s="76">
        <v>3</v>
      </c>
      <c r="R303" s="76">
        <v>1</v>
      </c>
      <c r="S303" s="76" t="s">
        <v>61</v>
      </c>
      <c r="T303" s="5">
        <v>84</v>
      </c>
      <c r="U303" s="9"/>
    </row>
    <row r="304" spans="1:21" s="37" customFormat="1" ht="12" customHeight="1" x14ac:dyDescent="0.3">
      <c r="A304" s="77" t="s">
        <v>396</v>
      </c>
      <c r="B304" s="78" t="s">
        <v>156</v>
      </c>
      <c r="C304" s="84">
        <v>235</v>
      </c>
      <c r="D304" s="85">
        <v>73</v>
      </c>
      <c r="E304" s="86">
        <v>22</v>
      </c>
      <c r="F304" s="85">
        <v>59.5</v>
      </c>
      <c r="G304" s="17">
        <v>18</v>
      </c>
      <c r="H304" s="87">
        <v>85</v>
      </c>
      <c r="I304" s="88"/>
      <c r="J304" s="88"/>
      <c r="K304" s="88"/>
      <c r="L304" s="88"/>
      <c r="M304" s="89">
        <f t="shared" si="16"/>
        <v>0</v>
      </c>
      <c r="N304" s="4" t="str">
        <f t="shared" si="17"/>
        <v/>
      </c>
      <c r="O304" s="90">
        <f t="shared" si="18"/>
        <v>0</v>
      </c>
      <c r="P304" s="90">
        <f t="shared" si="19"/>
        <v>0</v>
      </c>
      <c r="Q304" s="76">
        <v>2</v>
      </c>
      <c r="R304" s="76">
        <v>1</v>
      </c>
      <c r="S304" s="76" t="s">
        <v>68</v>
      </c>
      <c r="T304" s="5">
        <v>72</v>
      </c>
      <c r="U304" s="9"/>
    </row>
    <row r="305" spans="1:21" s="37" customFormat="1" ht="12" customHeight="1" x14ac:dyDescent="0.3">
      <c r="A305" s="77" t="s">
        <v>396</v>
      </c>
      <c r="B305" s="78" t="s">
        <v>156</v>
      </c>
      <c r="C305" s="84">
        <v>235</v>
      </c>
      <c r="D305" s="85">
        <v>102</v>
      </c>
      <c r="E305" s="86">
        <v>31</v>
      </c>
      <c r="F305" s="85">
        <v>83.1</v>
      </c>
      <c r="G305" s="17">
        <v>25</v>
      </c>
      <c r="H305" s="87">
        <v>74</v>
      </c>
      <c r="I305" s="88"/>
      <c r="J305" s="88"/>
      <c r="K305" s="88"/>
      <c r="L305" s="88"/>
      <c r="M305" s="89">
        <f t="shared" si="16"/>
        <v>0</v>
      </c>
      <c r="N305" s="4" t="str">
        <f t="shared" si="17"/>
        <v/>
      </c>
      <c r="O305" s="90">
        <f t="shared" si="18"/>
        <v>0</v>
      </c>
      <c r="P305" s="90">
        <f t="shared" si="19"/>
        <v>0</v>
      </c>
      <c r="Q305" s="76">
        <v>3</v>
      </c>
      <c r="R305" s="76">
        <v>2</v>
      </c>
      <c r="S305" s="76" t="s">
        <v>61</v>
      </c>
      <c r="T305" s="5">
        <v>102</v>
      </c>
      <c r="U305" s="9"/>
    </row>
    <row r="306" spans="1:21" s="37" customFormat="1" ht="12" customHeight="1" x14ac:dyDescent="0.3">
      <c r="A306" s="77" t="s">
        <v>396</v>
      </c>
      <c r="B306" s="78" t="s">
        <v>156</v>
      </c>
      <c r="C306" s="84">
        <v>235</v>
      </c>
      <c r="D306" s="85">
        <v>140.80000000000001</v>
      </c>
      <c r="E306" s="86">
        <v>43</v>
      </c>
      <c r="F306" s="85">
        <v>114.7</v>
      </c>
      <c r="G306" s="17">
        <v>35</v>
      </c>
      <c r="H306" s="87">
        <v>57</v>
      </c>
      <c r="I306" s="88"/>
      <c r="J306" s="88"/>
      <c r="K306" s="88"/>
      <c r="L306" s="88"/>
      <c r="M306" s="89">
        <f t="shared" si="16"/>
        <v>0</v>
      </c>
      <c r="N306" s="4" t="str">
        <f t="shared" si="17"/>
        <v/>
      </c>
      <c r="O306" s="90">
        <f t="shared" si="18"/>
        <v>0</v>
      </c>
      <c r="P306" s="90">
        <f t="shared" si="19"/>
        <v>0</v>
      </c>
      <c r="Q306" s="76">
        <v>4</v>
      </c>
      <c r="R306" s="76">
        <v>2</v>
      </c>
      <c r="S306" s="76" t="s">
        <v>61</v>
      </c>
      <c r="T306" s="5">
        <v>140</v>
      </c>
      <c r="U306" s="9"/>
    </row>
    <row r="307" spans="1:21" s="37" customFormat="1" ht="12" customHeight="1" x14ac:dyDescent="0.3">
      <c r="A307" s="77" t="s">
        <v>397</v>
      </c>
      <c r="B307" s="78" t="s">
        <v>398</v>
      </c>
      <c r="C307" s="84">
        <v>1248</v>
      </c>
      <c r="D307" s="85">
        <v>78.400000000000006</v>
      </c>
      <c r="E307" s="86">
        <v>24</v>
      </c>
      <c r="F307" s="85">
        <v>59.9</v>
      </c>
      <c r="G307" s="17">
        <v>18</v>
      </c>
      <c r="H307" s="87">
        <v>98</v>
      </c>
      <c r="I307" s="88"/>
      <c r="J307" s="88"/>
      <c r="K307" s="88"/>
      <c r="L307" s="88"/>
      <c r="M307" s="89">
        <f t="shared" si="16"/>
        <v>0</v>
      </c>
      <c r="N307" s="4" t="str">
        <f t="shared" si="17"/>
        <v/>
      </c>
      <c r="O307" s="90">
        <f t="shared" si="18"/>
        <v>0</v>
      </c>
      <c r="P307" s="90">
        <f t="shared" si="19"/>
        <v>0</v>
      </c>
      <c r="Q307" s="76">
        <v>3</v>
      </c>
      <c r="R307" s="76">
        <v>2</v>
      </c>
      <c r="S307" s="76" t="s">
        <v>61</v>
      </c>
      <c r="T307" s="5">
        <v>78</v>
      </c>
      <c r="U307" s="9"/>
    </row>
    <row r="308" spans="1:21" s="37" customFormat="1" ht="12" customHeight="1" x14ac:dyDescent="0.3">
      <c r="A308" s="77" t="s">
        <v>397</v>
      </c>
      <c r="B308" s="78" t="s">
        <v>398</v>
      </c>
      <c r="C308" s="84">
        <v>1248</v>
      </c>
      <c r="D308" s="85">
        <v>91.1</v>
      </c>
      <c r="E308" s="86">
        <v>28</v>
      </c>
      <c r="F308" s="85">
        <v>70.599999999999994</v>
      </c>
      <c r="G308" s="17">
        <v>21</v>
      </c>
      <c r="H308" s="87">
        <v>170</v>
      </c>
      <c r="I308" s="88"/>
      <c r="J308" s="88"/>
      <c r="K308" s="88"/>
      <c r="L308" s="88"/>
      <c r="M308" s="89">
        <f t="shared" si="16"/>
        <v>0</v>
      </c>
      <c r="N308" s="4" t="str">
        <f t="shared" si="17"/>
        <v/>
      </c>
      <c r="O308" s="90">
        <f t="shared" si="18"/>
        <v>0</v>
      </c>
      <c r="P308" s="90">
        <f t="shared" si="19"/>
        <v>0</v>
      </c>
      <c r="Q308" s="76">
        <v>3</v>
      </c>
      <c r="R308" s="76">
        <v>2</v>
      </c>
      <c r="S308" s="76" t="s">
        <v>61</v>
      </c>
      <c r="T308" s="5">
        <v>91</v>
      </c>
      <c r="U308" s="9"/>
    </row>
    <row r="309" spans="1:21" s="37" customFormat="1" ht="12" customHeight="1" x14ac:dyDescent="0.3">
      <c r="A309" s="77" t="s">
        <v>397</v>
      </c>
      <c r="B309" s="78" t="s">
        <v>398</v>
      </c>
      <c r="C309" s="84">
        <v>1248</v>
      </c>
      <c r="D309" s="85">
        <v>101.8</v>
      </c>
      <c r="E309" s="86">
        <v>31</v>
      </c>
      <c r="F309" s="85">
        <v>78.599999999999994</v>
      </c>
      <c r="G309" s="17">
        <v>24</v>
      </c>
      <c r="H309" s="87">
        <v>183</v>
      </c>
      <c r="I309" s="88"/>
      <c r="J309" s="88"/>
      <c r="K309" s="88"/>
      <c r="L309" s="88"/>
      <c r="M309" s="89">
        <f t="shared" si="16"/>
        <v>0</v>
      </c>
      <c r="N309" s="4" t="str">
        <f t="shared" si="17"/>
        <v/>
      </c>
      <c r="O309" s="90">
        <f t="shared" si="18"/>
        <v>0</v>
      </c>
      <c r="P309" s="90">
        <f t="shared" si="19"/>
        <v>0</v>
      </c>
      <c r="Q309" s="76">
        <v>3</v>
      </c>
      <c r="R309" s="76">
        <v>2</v>
      </c>
      <c r="S309" s="76" t="s">
        <v>61</v>
      </c>
      <c r="T309" s="5" t="s">
        <v>399</v>
      </c>
      <c r="U309" s="9"/>
    </row>
    <row r="310" spans="1:21" s="37" customFormat="1" ht="12" customHeight="1" x14ac:dyDescent="0.3">
      <c r="A310" s="77" t="s">
        <v>397</v>
      </c>
      <c r="B310" s="78" t="s">
        <v>398</v>
      </c>
      <c r="C310" s="84">
        <v>1248</v>
      </c>
      <c r="D310" s="85">
        <v>110.1</v>
      </c>
      <c r="E310" s="86">
        <v>33</v>
      </c>
      <c r="F310" s="85">
        <v>85</v>
      </c>
      <c r="G310" s="17">
        <v>26</v>
      </c>
      <c r="H310" s="87">
        <v>329</v>
      </c>
      <c r="I310" s="88"/>
      <c r="J310" s="88"/>
      <c r="K310" s="88"/>
      <c r="L310" s="88"/>
      <c r="M310" s="89">
        <f t="shared" si="16"/>
        <v>0</v>
      </c>
      <c r="N310" s="4" t="str">
        <f t="shared" si="17"/>
        <v/>
      </c>
      <c r="O310" s="90">
        <f t="shared" si="18"/>
        <v>0</v>
      </c>
      <c r="P310" s="90">
        <f t="shared" si="19"/>
        <v>0</v>
      </c>
      <c r="Q310" s="76">
        <v>4</v>
      </c>
      <c r="R310" s="76">
        <v>2</v>
      </c>
      <c r="S310" s="76" t="s">
        <v>61</v>
      </c>
      <c r="T310" s="5" t="s">
        <v>292</v>
      </c>
      <c r="U310" s="9"/>
    </row>
    <row r="311" spans="1:21" s="37" customFormat="1" ht="12" customHeight="1" x14ac:dyDescent="0.3">
      <c r="A311" s="77" t="s">
        <v>397</v>
      </c>
      <c r="B311" s="78" t="s">
        <v>398</v>
      </c>
      <c r="C311" s="84">
        <v>1248</v>
      </c>
      <c r="D311" s="85">
        <v>131.19999999999999</v>
      </c>
      <c r="E311" s="86">
        <v>40</v>
      </c>
      <c r="F311" s="85">
        <v>101.7</v>
      </c>
      <c r="G311" s="17">
        <v>31</v>
      </c>
      <c r="H311" s="87">
        <v>34</v>
      </c>
      <c r="I311" s="88"/>
      <c r="J311" s="88"/>
      <c r="K311" s="88"/>
      <c r="L311" s="88"/>
      <c r="M311" s="89">
        <f t="shared" si="16"/>
        <v>0</v>
      </c>
      <c r="N311" s="4" t="str">
        <f t="shared" si="17"/>
        <v/>
      </c>
      <c r="O311" s="90">
        <f t="shared" si="18"/>
        <v>0</v>
      </c>
      <c r="P311" s="90">
        <f t="shared" si="19"/>
        <v>0</v>
      </c>
      <c r="Q311" s="76">
        <v>3</v>
      </c>
      <c r="R311" s="76">
        <v>2</v>
      </c>
      <c r="S311" s="76" t="s">
        <v>61</v>
      </c>
      <c r="T311" s="5" t="s">
        <v>403</v>
      </c>
      <c r="U311" s="9"/>
    </row>
    <row r="312" spans="1:21" s="37" customFormat="1" ht="12" customHeight="1" x14ac:dyDescent="0.3">
      <c r="A312" s="77" t="s">
        <v>404</v>
      </c>
      <c r="B312" s="78" t="s">
        <v>405</v>
      </c>
      <c r="C312" s="84">
        <v>626</v>
      </c>
      <c r="D312" s="85">
        <v>80.099999999999994</v>
      </c>
      <c r="E312" s="86">
        <v>24</v>
      </c>
      <c r="F312" s="85">
        <v>59.9</v>
      </c>
      <c r="G312" s="17">
        <v>18</v>
      </c>
      <c r="H312" s="87">
        <v>141</v>
      </c>
      <c r="I312" s="88"/>
      <c r="J312" s="88"/>
      <c r="K312" s="88"/>
      <c r="L312" s="88"/>
      <c r="M312" s="89">
        <f t="shared" si="16"/>
        <v>0</v>
      </c>
      <c r="N312" s="4" t="str">
        <f t="shared" si="17"/>
        <v/>
      </c>
      <c r="O312" s="90">
        <f t="shared" si="18"/>
        <v>0</v>
      </c>
      <c r="P312" s="90">
        <f t="shared" si="19"/>
        <v>0</v>
      </c>
      <c r="Q312" s="76">
        <v>3</v>
      </c>
      <c r="R312" s="76">
        <v>1</v>
      </c>
      <c r="S312" s="76" t="s">
        <v>61</v>
      </c>
      <c r="T312" s="5">
        <v>80</v>
      </c>
      <c r="U312" s="9"/>
    </row>
    <row r="313" spans="1:21" s="37" customFormat="1" ht="12" customHeight="1" x14ac:dyDescent="0.3">
      <c r="A313" s="77" t="s">
        <v>406</v>
      </c>
      <c r="B313" s="78" t="s">
        <v>407</v>
      </c>
      <c r="C313" s="84">
        <v>260</v>
      </c>
      <c r="D313" s="85">
        <v>100.5</v>
      </c>
      <c r="E313" s="86">
        <v>30</v>
      </c>
      <c r="F313" s="85">
        <v>78.3</v>
      </c>
      <c r="G313" s="17">
        <v>24</v>
      </c>
      <c r="H313" s="87">
        <v>36</v>
      </c>
      <c r="I313" s="88"/>
      <c r="J313" s="88"/>
      <c r="K313" s="88"/>
      <c r="L313" s="88"/>
      <c r="M313" s="89">
        <f t="shared" si="16"/>
        <v>0</v>
      </c>
      <c r="N313" s="4" t="str">
        <f t="shared" si="17"/>
        <v/>
      </c>
      <c r="O313" s="90">
        <f t="shared" si="18"/>
        <v>0</v>
      </c>
      <c r="P313" s="90">
        <f t="shared" si="19"/>
        <v>0</v>
      </c>
      <c r="Q313" s="76">
        <v>3</v>
      </c>
      <c r="R313" s="76">
        <v>2</v>
      </c>
      <c r="S313" s="76" t="s">
        <v>61</v>
      </c>
      <c r="T313" s="5">
        <v>100</v>
      </c>
      <c r="U313" s="9"/>
    </row>
    <row r="314" spans="1:21" s="37" customFormat="1" ht="12" customHeight="1" x14ac:dyDescent="0.3">
      <c r="A314" s="77" t="s">
        <v>406</v>
      </c>
      <c r="B314" s="78" t="s">
        <v>407</v>
      </c>
      <c r="C314" s="84">
        <v>260</v>
      </c>
      <c r="D314" s="85">
        <v>109.8</v>
      </c>
      <c r="E314" s="86">
        <v>33</v>
      </c>
      <c r="F314" s="85">
        <v>85</v>
      </c>
      <c r="G314" s="17">
        <v>26</v>
      </c>
      <c r="H314" s="87">
        <v>155</v>
      </c>
      <c r="I314" s="88"/>
      <c r="J314" s="88"/>
      <c r="K314" s="88"/>
      <c r="L314" s="88"/>
      <c r="M314" s="89">
        <f t="shared" si="16"/>
        <v>0</v>
      </c>
      <c r="N314" s="4" t="str">
        <f t="shared" si="17"/>
        <v/>
      </c>
      <c r="O314" s="90">
        <f t="shared" si="18"/>
        <v>0</v>
      </c>
      <c r="P314" s="90">
        <f t="shared" si="19"/>
        <v>0</v>
      </c>
      <c r="Q314" s="76">
        <v>3</v>
      </c>
      <c r="R314" s="76">
        <v>2</v>
      </c>
      <c r="S314" s="76" t="s">
        <v>61</v>
      </c>
      <c r="T314" s="5" t="s">
        <v>124</v>
      </c>
      <c r="U314" s="9"/>
    </row>
    <row r="315" spans="1:21" s="37" customFormat="1" ht="12" customHeight="1" x14ac:dyDescent="0.3">
      <c r="A315" s="77" t="s">
        <v>406</v>
      </c>
      <c r="B315" s="78" t="s">
        <v>407</v>
      </c>
      <c r="C315" s="84">
        <v>260</v>
      </c>
      <c r="D315" s="85">
        <v>153</v>
      </c>
      <c r="E315" s="86">
        <v>46</v>
      </c>
      <c r="F315" s="85">
        <v>118.9</v>
      </c>
      <c r="G315" s="17">
        <v>36</v>
      </c>
      <c r="H315" s="87">
        <v>48</v>
      </c>
      <c r="I315" s="88"/>
      <c r="J315" s="88"/>
      <c r="K315" s="88"/>
      <c r="L315" s="88"/>
      <c r="M315" s="89">
        <f t="shared" si="16"/>
        <v>0</v>
      </c>
      <c r="N315" s="4" t="str">
        <f t="shared" si="17"/>
        <v/>
      </c>
      <c r="O315" s="90">
        <f t="shared" si="18"/>
        <v>0</v>
      </c>
      <c r="P315" s="90">
        <f t="shared" si="19"/>
        <v>0</v>
      </c>
      <c r="Q315" s="76">
        <v>4</v>
      </c>
      <c r="R315" s="76">
        <v>2</v>
      </c>
      <c r="S315" s="76" t="s">
        <v>61</v>
      </c>
      <c r="T315" s="5">
        <v>153</v>
      </c>
      <c r="U315" s="9"/>
    </row>
    <row r="316" spans="1:21" s="37" customFormat="1" ht="12" customHeight="1" x14ac:dyDescent="0.3">
      <c r="A316" s="77" t="s">
        <v>408</v>
      </c>
      <c r="B316" s="78" t="s">
        <v>409</v>
      </c>
      <c r="C316" s="84">
        <v>240</v>
      </c>
      <c r="D316" s="85">
        <v>69.900000000000006</v>
      </c>
      <c r="E316" s="86">
        <v>21</v>
      </c>
      <c r="F316" s="85">
        <v>59.8</v>
      </c>
      <c r="G316" s="17">
        <v>18</v>
      </c>
      <c r="H316" s="87">
        <v>240</v>
      </c>
      <c r="I316" s="88"/>
      <c r="J316" s="88"/>
      <c r="K316" s="88"/>
      <c r="L316" s="88"/>
      <c r="M316" s="89">
        <f t="shared" si="16"/>
        <v>0</v>
      </c>
      <c r="N316" s="4" t="str">
        <f t="shared" si="17"/>
        <v/>
      </c>
      <c r="O316" s="90">
        <f t="shared" si="18"/>
        <v>0</v>
      </c>
      <c r="P316" s="90">
        <f t="shared" si="19"/>
        <v>0</v>
      </c>
      <c r="Q316" s="76">
        <v>3</v>
      </c>
      <c r="R316" s="76">
        <v>1</v>
      </c>
      <c r="S316" s="76" t="s">
        <v>61</v>
      </c>
      <c r="T316" s="5">
        <v>69</v>
      </c>
      <c r="U316" s="9"/>
    </row>
    <row r="317" spans="1:21" s="37" customFormat="1" ht="12" customHeight="1" x14ac:dyDescent="0.3">
      <c r="A317" s="77" t="s">
        <v>412</v>
      </c>
      <c r="B317" s="78" t="s">
        <v>413</v>
      </c>
      <c r="C317" s="84">
        <v>502</v>
      </c>
      <c r="D317" s="85">
        <v>97.4</v>
      </c>
      <c r="E317" s="86">
        <v>29</v>
      </c>
      <c r="F317" s="85">
        <v>74.900000000000006</v>
      </c>
      <c r="G317" s="17">
        <v>23</v>
      </c>
      <c r="H317" s="87">
        <v>70</v>
      </c>
      <c r="I317" s="88"/>
      <c r="J317" s="88"/>
      <c r="K317" s="88"/>
      <c r="L317" s="88"/>
      <c r="M317" s="89">
        <f t="shared" si="16"/>
        <v>0</v>
      </c>
      <c r="N317" s="4" t="str">
        <f t="shared" si="17"/>
        <v/>
      </c>
      <c r="O317" s="90">
        <f t="shared" si="18"/>
        <v>0</v>
      </c>
      <c r="P317" s="90">
        <f t="shared" si="19"/>
        <v>0</v>
      </c>
      <c r="Q317" s="76">
        <v>3</v>
      </c>
      <c r="R317" s="76">
        <v>2</v>
      </c>
      <c r="S317" s="76" t="s">
        <v>61</v>
      </c>
      <c r="T317" s="5">
        <v>97</v>
      </c>
      <c r="U317" s="9"/>
    </row>
    <row r="318" spans="1:21" s="37" customFormat="1" ht="12" customHeight="1" x14ac:dyDescent="0.3">
      <c r="A318" s="77" t="s">
        <v>414</v>
      </c>
      <c r="B318" s="78" t="s">
        <v>415</v>
      </c>
      <c r="C318" s="84">
        <v>481</v>
      </c>
      <c r="D318" s="85">
        <v>115.9</v>
      </c>
      <c r="E318" s="86">
        <v>35</v>
      </c>
      <c r="F318" s="85">
        <v>85</v>
      </c>
      <c r="G318" s="17">
        <v>26</v>
      </c>
      <c r="H318" s="87">
        <v>201</v>
      </c>
      <c r="I318" s="88"/>
      <c r="J318" s="88"/>
      <c r="K318" s="88"/>
      <c r="L318" s="88"/>
      <c r="M318" s="89">
        <f t="shared" si="16"/>
        <v>0</v>
      </c>
      <c r="N318" s="4" t="str">
        <f t="shared" si="17"/>
        <v/>
      </c>
      <c r="O318" s="90">
        <f t="shared" si="18"/>
        <v>0</v>
      </c>
      <c r="P318" s="90">
        <f t="shared" si="19"/>
        <v>0</v>
      </c>
      <c r="Q318" s="76">
        <v>3</v>
      </c>
      <c r="R318" s="76">
        <v>2</v>
      </c>
      <c r="S318" s="76" t="s">
        <v>61</v>
      </c>
      <c r="T318" s="5" t="s">
        <v>343</v>
      </c>
      <c r="U318" s="9"/>
    </row>
    <row r="319" spans="1:21" s="37" customFormat="1" ht="12" customHeight="1" x14ac:dyDescent="0.3">
      <c r="A319" s="77" t="s">
        <v>422</v>
      </c>
      <c r="B319" s="78" t="s">
        <v>423</v>
      </c>
      <c r="C319" s="84">
        <v>269</v>
      </c>
      <c r="D319" s="85">
        <v>151.6</v>
      </c>
      <c r="E319" s="86">
        <v>46</v>
      </c>
      <c r="F319" s="85">
        <v>121.8</v>
      </c>
      <c r="G319" s="17">
        <v>37</v>
      </c>
      <c r="H319" s="87">
        <v>88</v>
      </c>
      <c r="I319" s="88"/>
      <c r="J319" s="88"/>
      <c r="K319" s="88"/>
      <c r="L319" s="88"/>
      <c r="M319" s="89">
        <f t="shared" si="16"/>
        <v>0</v>
      </c>
      <c r="N319" s="4" t="str">
        <f t="shared" si="17"/>
        <v/>
      </c>
      <c r="O319" s="90">
        <f t="shared" si="18"/>
        <v>0</v>
      </c>
      <c r="P319" s="90">
        <f t="shared" si="19"/>
        <v>0</v>
      </c>
      <c r="Q319" s="76">
        <v>4</v>
      </c>
      <c r="R319" s="76">
        <v>2</v>
      </c>
      <c r="S319" s="76" t="s">
        <v>61</v>
      </c>
      <c r="T319" s="5">
        <v>151</v>
      </c>
      <c r="U319" s="9"/>
    </row>
    <row r="320" spans="1:21" s="37" customFormat="1" ht="12" customHeight="1" x14ac:dyDescent="0.3">
      <c r="A320" s="77" t="s">
        <v>422</v>
      </c>
      <c r="B320" s="78" t="s">
        <v>423</v>
      </c>
      <c r="C320" s="84">
        <v>269</v>
      </c>
      <c r="D320" s="85">
        <v>177.6</v>
      </c>
      <c r="E320" s="86">
        <v>54</v>
      </c>
      <c r="F320" s="85">
        <v>145.4</v>
      </c>
      <c r="G320" s="17">
        <v>44</v>
      </c>
      <c r="H320" s="87">
        <v>121</v>
      </c>
      <c r="I320" s="88"/>
      <c r="J320" s="88"/>
      <c r="K320" s="88"/>
      <c r="L320" s="88"/>
      <c r="M320" s="89">
        <f t="shared" si="16"/>
        <v>0</v>
      </c>
      <c r="N320" s="4" t="str">
        <f t="shared" si="17"/>
        <v/>
      </c>
      <c r="O320" s="90">
        <f t="shared" si="18"/>
        <v>0</v>
      </c>
      <c r="P320" s="90">
        <f t="shared" si="19"/>
        <v>0</v>
      </c>
      <c r="Q320" s="76">
        <v>4</v>
      </c>
      <c r="R320" s="76">
        <v>2</v>
      </c>
      <c r="S320" s="76" t="s">
        <v>61</v>
      </c>
      <c r="T320" s="5">
        <v>177</v>
      </c>
      <c r="U320" s="9"/>
    </row>
    <row r="321" spans="1:22" s="37" customFormat="1" ht="12" customHeight="1" x14ac:dyDescent="0.3">
      <c r="A321" s="77" t="s">
        <v>448</v>
      </c>
      <c r="B321" s="78" t="s">
        <v>449</v>
      </c>
      <c r="C321" s="84">
        <v>888</v>
      </c>
      <c r="D321" s="85">
        <v>214.5</v>
      </c>
      <c r="E321" s="86">
        <v>65</v>
      </c>
      <c r="F321" s="85">
        <v>179.1</v>
      </c>
      <c r="G321" s="17">
        <v>54</v>
      </c>
      <c r="H321" s="87">
        <v>57</v>
      </c>
      <c r="I321" s="88"/>
      <c r="J321" s="88"/>
      <c r="K321" s="88"/>
      <c r="L321" s="88"/>
      <c r="M321" s="89">
        <f t="shared" si="16"/>
        <v>0</v>
      </c>
      <c r="N321" s="4" t="str">
        <f t="shared" si="17"/>
        <v/>
      </c>
      <c r="O321" s="90">
        <f t="shared" si="18"/>
        <v>0</v>
      </c>
      <c r="P321" s="90">
        <f t="shared" si="19"/>
        <v>0</v>
      </c>
      <c r="Q321" s="76">
        <v>4</v>
      </c>
      <c r="R321" s="76">
        <v>3</v>
      </c>
      <c r="S321" s="76" t="s">
        <v>61</v>
      </c>
      <c r="T321" s="5" t="s">
        <v>452</v>
      </c>
      <c r="U321" s="9"/>
    </row>
    <row r="322" spans="1:22" s="37" customFormat="1" ht="12" customHeight="1" x14ac:dyDescent="0.3">
      <c r="A322" s="77" t="s">
        <v>454</v>
      </c>
      <c r="B322" s="78" t="s">
        <v>455</v>
      </c>
      <c r="C322" s="84">
        <v>392</v>
      </c>
      <c r="D322" s="85">
        <v>116.8</v>
      </c>
      <c r="E322" s="86">
        <v>35</v>
      </c>
      <c r="F322" s="85">
        <v>84.9</v>
      </c>
      <c r="G322" s="17">
        <v>26</v>
      </c>
      <c r="H322" s="87">
        <v>125</v>
      </c>
      <c r="I322" s="88"/>
      <c r="J322" s="88"/>
      <c r="K322" s="88"/>
      <c r="L322" s="88"/>
      <c r="M322" s="89">
        <f t="shared" si="16"/>
        <v>0</v>
      </c>
      <c r="N322" s="4" t="str">
        <f t="shared" si="17"/>
        <v/>
      </c>
      <c r="O322" s="90">
        <f t="shared" si="18"/>
        <v>0</v>
      </c>
      <c r="P322" s="90">
        <f t="shared" si="19"/>
        <v>0</v>
      </c>
      <c r="Q322" s="76">
        <v>3</v>
      </c>
      <c r="R322" s="76">
        <v>2</v>
      </c>
      <c r="S322" s="76" t="s">
        <v>61</v>
      </c>
      <c r="T322" s="5" t="s">
        <v>442</v>
      </c>
      <c r="U322" s="9"/>
    </row>
    <row r="323" spans="1:22" s="37" customFormat="1" ht="12" customHeight="1" x14ac:dyDescent="0.3">
      <c r="A323" s="77" t="s">
        <v>462</v>
      </c>
      <c r="B323" s="78" t="s">
        <v>463</v>
      </c>
      <c r="C323" s="84">
        <v>202</v>
      </c>
      <c r="D323" s="85">
        <v>131.9</v>
      </c>
      <c r="E323" s="86">
        <v>40</v>
      </c>
      <c r="F323" s="85">
        <v>99.8</v>
      </c>
      <c r="G323" s="17">
        <v>30</v>
      </c>
      <c r="H323" s="87">
        <v>126</v>
      </c>
      <c r="I323" s="88"/>
      <c r="J323" s="88"/>
      <c r="K323" s="88"/>
      <c r="L323" s="88"/>
      <c r="M323" s="89">
        <f t="shared" si="16"/>
        <v>0</v>
      </c>
      <c r="N323" s="4" t="str">
        <f t="shared" si="17"/>
        <v/>
      </c>
      <c r="O323" s="90">
        <f t="shared" si="18"/>
        <v>0</v>
      </c>
      <c r="P323" s="90">
        <f t="shared" si="19"/>
        <v>0</v>
      </c>
      <c r="Q323" s="76">
        <v>3</v>
      </c>
      <c r="R323" s="76">
        <v>2</v>
      </c>
      <c r="S323" s="76" t="s">
        <v>61</v>
      </c>
      <c r="T323" s="5">
        <v>131</v>
      </c>
      <c r="U323" s="9"/>
    </row>
    <row r="324" spans="1:22" s="37" customFormat="1" ht="12" customHeight="1" x14ac:dyDescent="0.3">
      <c r="A324" s="77" t="s">
        <v>462</v>
      </c>
      <c r="B324" s="78" t="s">
        <v>463</v>
      </c>
      <c r="C324" s="84">
        <v>202</v>
      </c>
      <c r="D324" s="85">
        <v>160.80000000000001</v>
      </c>
      <c r="E324" s="86">
        <v>49</v>
      </c>
      <c r="F324" s="85">
        <v>121.7</v>
      </c>
      <c r="G324" s="17">
        <v>37</v>
      </c>
      <c r="H324" s="87">
        <v>76</v>
      </c>
      <c r="I324" s="88"/>
      <c r="J324" s="88"/>
      <c r="K324" s="88"/>
      <c r="L324" s="88"/>
      <c r="M324" s="89">
        <f t="shared" ref="M324:M331" si="20">I324-K324</f>
        <v>0</v>
      </c>
      <c r="N324" s="4" t="str">
        <f t="shared" ref="N324:N331" si="21">IF(ISERROR(K324/I324),"",K324/I324)</f>
        <v/>
      </c>
      <c r="O324" s="90">
        <f t="shared" ref="O324:O331" si="22">I324/E324</f>
        <v>0</v>
      </c>
      <c r="P324" s="90">
        <f t="shared" ref="P324:P331" si="23">K324/E324</f>
        <v>0</v>
      </c>
      <c r="Q324" s="76">
        <v>4</v>
      </c>
      <c r="R324" s="76">
        <v>2</v>
      </c>
      <c r="S324" s="76" t="s">
        <v>61</v>
      </c>
      <c r="T324" s="5">
        <v>160</v>
      </c>
      <c r="U324" s="9"/>
    </row>
    <row r="325" spans="1:22" s="37" customFormat="1" ht="12" customHeight="1" x14ac:dyDescent="0.3">
      <c r="A325" s="77" t="s">
        <v>468</v>
      </c>
      <c r="B325" s="78" t="s">
        <v>469</v>
      </c>
      <c r="C325" s="84">
        <v>513</v>
      </c>
      <c r="D325" s="85">
        <v>115.2</v>
      </c>
      <c r="E325" s="86">
        <v>35</v>
      </c>
      <c r="F325" s="85">
        <v>84.2</v>
      </c>
      <c r="G325" s="17">
        <v>25</v>
      </c>
      <c r="H325" s="87">
        <v>378</v>
      </c>
      <c r="I325" s="88"/>
      <c r="J325" s="88"/>
      <c r="K325" s="88"/>
      <c r="L325" s="88"/>
      <c r="M325" s="89">
        <f t="shared" si="20"/>
        <v>0</v>
      </c>
      <c r="N325" s="4" t="str">
        <f t="shared" si="21"/>
        <v/>
      </c>
      <c r="O325" s="90">
        <f t="shared" si="22"/>
        <v>0</v>
      </c>
      <c r="P325" s="90">
        <f t="shared" si="23"/>
        <v>0</v>
      </c>
      <c r="Q325" s="76">
        <v>3</v>
      </c>
      <c r="R325" s="76">
        <v>2</v>
      </c>
      <c r="S325" s="76" t="s">
        <v>61</v>
      </c>
      <c r="T325" s="5" t="s">
        <v>342</v>
      </c>
      <c r="U325" s="9"/>
    </row>
    <row r="326" spans="1:22" s="37" customFormat="1" ht="12" customHeight="1" x14ac:dyDescent="0.3">
      <c r="A326" s="77" t="s">
        <v>470</v>
      </c>
      <c r="B326" s="78" t="s">
        <v>471</v>
      </c>
      <c r="C326" s="84">
        <v>212</v>
      </c>
      <c r="D326" s="85">
        <v>86.5</v>
      </c>
      <c r="E326" s="86">
        <v>26</v>
      </c>
      <c r="F326" s="85">
        <v>59.8</v>
      </c>
      <c r="G326" s="17">
        <v>18</v>
      </c>
      <c r="H326" s="87">
        <v>68</v>
      </c>
      <c r="I326" s="88"/>
      <c r="J326" s="88"/>
      <c r="K326" s="88"/>
      <c r="L326" s="88"/>
      <c r="M326" s="89">
        <f t="shared" si="20"/>
        <v>0</v>
      </c>
      <c r="N326" s="4" t="str">
        <f t="shared" si="21"/>
        <v/>
      </c>
      <c r="O326" s="90">
        <f t="shared" si="22"/>
        <v>0</v>
      </c>
      <c r="P326" s="90">
        <f t="shared" si="23"/>
        <v>0</v>
      </c>
      <c r="Q326" s="76">
        <v>3</v>
      </c>
      <c r="R326" s="76">
        <v>2</v>
      </c>
      <c r="S326" s="76" t="s">
        <v>61</v>
      </c>
      <c r="T326" s="5">
        <v>86</v>
      </c>
      <c r="U326" s="9"/>
    </row>
    <row r="327" spans="1:22" s="37" customFormat="1" ht="12" customHeight="1" x14ac:dyDescent="0.3">
      <c r="A327" s="77" t="s">
        <v>470</v>
      </c>
      <c r="B327" s="78" t="s">
        <v>471</v>
      </c>
      <c r="C327" s="84">
        <v>212</v>
      </c>
      <c r="D327" s="85">
        <v>100.8</v>
      </c>
      <c r="E327" s="86">
        <v>30</v>
      </c>
      <c r="F327" s="85">
        <v>69.8</v>
      </c>
      <c r="G327" s="17">
        <v>21</v>
      </c>
      <c r="H327" s="87">
        <v>72</v>
      </c>
      <c r="I327" s="88"/>
      <c r="J327" s="88"/>
      <c r="K327" s="88"/>
      <c r="L327" s="88"/>
      <c r="M327" s="89">
        <f t="shared" si="20"/>
        <v>0</v>
      </c>
      <c r="N327" s="4" t="str">
        <f t="shared" si="21"/>
        <v/>
      </c>
      <c r="O327" s="90">
        <f t="shared" si="22"/>
        <v>0</v>
      </c>
      <c r="P327" s="90">
        <f t="shared" si="23"/>
        <v>0</v>
      </c>
      <c r="Q327" s="76">
        <v>3</v>
      </c>
      <c r="R327" s="76">
        <v>2</v>
      </c>
      <c r="S327" s="76" t="s">
        <v>61</v>
      </c>
      <c r="T327" s="5" t="s">
        <v>460</v>
      </c>
      <c r="U327" s="9"/>
    </row>
    <row r="328" spans="1:22" s="37" customFormat="1" ht="12" customHeight="1" x14ac:dyDescent="0.3">
      <c r="A328" s="77" t="s">
        <v>483</v>
      </c>
      <c r="B328" s="78" t="s">
        <v>477</v>
      </c>
      <c r="C328" s="84">
        <v>369</v>
      </c>
      <c r="D328" s="85">
        <v>114</v>
      </c>
      <c r="E328" s="86">
        <v>34</v>
      </c>
      <c r="F328" s="85">
        <v>84.9</v>
      </c>
      <c r="G328" s="17">
        <v>26</v>
      </c>
      <c r="H328" s="87">
        <v>305</v>
      </c>
      <c r="I328" s="88"/>
      <c r="J328" s="88"/>
      <c r="K328" s="88"/>
      <c r="L328" s="88"/>
      <c r="M328" s="89">
        <f t="shared" si="20"/>
        <v>0</v>
      </c>
      <c r="N328" s="4" t="str">
        <f t="shared" si="21"/>
        <v/>
      </c>
      <c r="O328" s="90">
        <f t="shared" si="22"/>
        <v>0</v>
      </c>
      <c r="P328" s="90">
        <f t="shared" si="23"/>
        <v>0</v>
      </c>
      <c r="Q328" s="76">
        <v>3</v>
      </c>
      <c r="R328" s="76">
        <v>2</v>
      </c>
      <c r="S328" s="76" t="s">
        <v>61</v>
      </c>
      <c r="T328" s="5" t="s">
        <v>484</v>
      </c>
      <c r="U328" s="9"/>
    </row>
    <row r="329" spans="1:22" s="37" customFormat="1" ht="12" customHeight="1" x14ac:dyDescent="0.3">
      <c r="A329" s="77" t="s">
        <v>486</v>
      </c>
      <c r="B329" s="78" t="s">
        <v>487</v>
      </c>
      <c r="C329" s="84">
        <v>323</v>
      </c>
      <c r="D329" s="85">
        <v>152.1</v>
      </c>
      <c r="E329" s="86">
        <v>46</v>
      </c>
      <c r="F329" s="85">
        <v>134.80000000000001</v>
      </c>
      <c r="G329" s="17">
        <v>41</v>
      </c>
      <c r="H329" s="87">
        <v>156</v>
      </c>
      <c r="I329" s="88"/>
      <c r="J329" s="88"/>
      <c r="K329" s="88"/>
      <c r="L329" s="88"/>
      <c r="M329" s="89">
        <f t="shared" si="20"/>
        <v>0</v>
      </c>
      <c r="N329" s="4" t="str">
        <f t="shared" si="21"/>
        <v/>
      </c>
      <c r="O329" s="90">
        <f t="shared" si="22"/>
        <v>0</v>
      </c>
      <c r="P329" s="90">
        <f t="shared" si="23"/>
        <v>0</v>
      </c>
      <c r="Q329" s="76">
        <v>4</v>
      </c>
      <c r="R329" s="76">
        <v>2</v>
      </c>
      <c r="S329" s="76" t="s">
        <v>61</v>
      </c>
      <c r="T329" s="5">
        <v>152</v>
      </c>
      <c r="U329" s="9"/>
    </row>
    <row r="330" spans="1:22" s="37" customFormat="1" ht="12" customHeight="1" x14ac:dyDescent="0.3">
      <c r="A330" s="77" t="s">
        <v>488</v>
      </c>
      <c r="B330" s="78" t="s">
        <v>477</v>
      </c>
      <c r="C330" s="84">
        <v>622</v>
      </c>
      <c r="D330" s="85">
        <v>132.30000000000001</v>
      </c>
      <c r="E330" s="86">
        <v>40</v>
      </c>
      <c r="F330" s="85">
        <v>101.9</v>
      </c>
      <c r="G330" s="17">
        <v>31</v>
      </c>
      <c r="H330" s="87">
        <v>326</v>
      </c>
      <c r="I330" s="88"/>
      <c r="J330" s="88"/>
      <c r="K330" s="88"/>
      <c r="L330" s="88"/>
      <c r="M330" s="89">
        <f t="shared" si="20"/>
        <v>0</v>
      </c>
      <c r="N330" s="4" t="str">
        <f t="shared" si="21"/>
        <v/>
      </c>
      <c r="O330" s="90">
        <f t="shared" si="22"/>
        <v>0</v>
      </c>
      <c r="P330" s="90">
        <f t="shared" si="23"/>
        <v>0</v>
      </c>
      <c r="Q330" s="76">
        <v>3</v>
      </c>
      <c r="R330" s="76">
        <v>2</v>
      </c>
      <c r="S330" s="76" t="s">
        <v>61</v>
      </c>
      <c r="T330" s="5">
        <v>132</v>
      </c>
      <c r="U330" s="9"/>
    </row>
    <row r="331" spans="1:22" s="37" customFormat="1" ht="12" customHeight="1" x14ac:dyDescent="0.3">
      <c r="A331" s="77" t="s">
        <v>488</v>
      </c>
      <c r="B331" s="78" t="s">
        <v>477</v>
      </c>
      <c r="C331" s="84">
        <v>622</v>
      </c>
      <c r="D331" s="85">
        <v>187.2</v>
      </c>
      <c r="E331" s="86">
        <v>57</v>
      </c>
      <c r="F331" s="85">
        <v>142.30000000000001</v>
      </c>
      <c r="G331" s="17">
        <v>43</v>
      </c>
      <c r="H331" s="87">
        <v>36</v>
      </c>
      <c r="I331" s="88"/>
      <c r="J331" s="88"/>
      <c r="K331" s="88"/>
      <c r="L331" s="88"/>
      <c r="M331" s="89">
        <f t="shared" si="20"/>
        <v>0</v>
      </c>
      <c r="N331" s="4" t="str">
        <f t="shared" si="21"/>
        <v/>
      </c>
      <c r="O331" s="90">
        <f t="shared" si="22"/>
        <v>0</v>
      </c>
      <c r="P331" s="90">
        <f t="shared" si="23"/>
        <v>0</v>
      </c>
      <c r="Q331" s="76">
        <v>4</v>
      </c>
      <c r="R331" s="76">
        <v>2</v>
      </c>
      <c r="S331" s="76" t="s">
        <v>61</v>
      </c>
      <c r="T331" s="5">
        <v>187</v>
      </c>
      <c r="U331" s="9"/>
    </row>
    <row r="332" spans="1:22" s="37" customFormat="1" ht="16.5" customHeight="1" x14ac:dyDescent="0.3">
      <c r="A332" s="72"/>
      <c r="B332" s="72"/>
      <c r="C332" s="72"/>
      <c r="D332" s="72"/>
      <c r="E332" s="72"/>
      <c r="F332" s="72"/>
      <c r="G332" s="72"/>
      <c r="H332" s="72"/>
      <c r="I332" s="72"/>
      <c r="J332" s="72"/>
      <c r="K332" s="72"/>
      <c r="L332" s="72"/>
      <c r="M332" s="72"/>
      <c r="N332" s="72"/>
      <c r="O332" s="72"/>
      <c r="P332" s="72"/>
      <c r="Q332" s="72"/>
      <c r="R332" s="72"/>
      <c r="S332" s="72"/>
      <c r="T332" s="72"/>
      <c r="U332" s="72"/>
      <c r="V332" s="72"/>
    </row>
    <row r="333" spans="1:22" s="37" customFormat="1" ht="16.5" customHeight="1" x14ac:dyDescent="0.3">
      <c r="A333" s="72"/>
      <c r="B333" s="72"/>
      <c r="C333" s="72"/>
      <c r="D333" s="72"/>
      <c r="E333" s="72"/>
      <c r="F333" s="72"/>
      <c r="G333" s="72"/>
      <c r="H333" s="72"/>
      <c r="I333" s="72"/>
      <c r="J333" s="72"/>
      <c r="K333" s="72"/>
      <c r="L333" s="72"/>
      <c r="M333" s="72"/>
      <c r="N333" s="72"/>
      <c r="O333" s="72"/>
      <c r="P333" s="72"/>
      <c r="Q333" s="72"/>
      <c r="R333" s="72"/>
      <c r="S333" s="72"/>
      <c r="T333" s="72"/>
      <c r="U333" s="72"/>
      <c r="V333" s="72"/>
    </row>
    <row r="334" spans="1:22" s="37" customFormat="1" ht="16.5" customHeight="1" x14ac:dyDescent="0.3">
      <c r="A334" s="72"/>
      <c r="B334" s="72"/>
      <c r="C334" s="72"/>
      <c r="D334" s="72"/>
      <c r="E334" s="72"/>
      <c r="F334" s="72"/>
      <c r="G334" s="72"/>
      <c r="H334" s="72"/>
      <c r="I334" s="72"/>
      <c r="J334" s="72"/>
      <c r="K334" s="72"/>
      <c r="L334" s="72"/>
      <c r="M334" s="72"/>
      <c r="N334" s="72"/>
      <c r="O334" s="72"/>
      <c r="P334" s="72"/>
      <c r="Q334" s="72"/>
      <c r="R334" s="72"/>
      <c r="S334" s="72"/>
      <c r="T334" s="72"/>
      <c r="U334" s="72"/>
      <c r="V334" s="72"/>
    </row>
    <row r="335" spans="1:22" s="37" customFormat="1" ht="16.5" customHeight="1" x14ac:dyDescent="0.3">
      <c r="A335" s="72"/>
      <c r="B335" s="72"/>
      <c r="C335" s="72"/>
      <c r="D335" s="72"/>
      <c r="E335" s="72"/>
      <c r="F335" s="72"/>
      <c r="G335" s="72"/>
      <c r="H335" s="72"/>
      <c r="I335" s="72"/>
      <c r="J335" s="72"/>
      <c r="K335" s="72"/>
      <c r="L335" s="72"/>
      <c r="M335" s="72"/>
      <c r="N335" s="72"/>
      <c r="O335" s="72"/>
      <c r="P335" s="72"/>
      <c r="Q335" s="72"/>
      <c r="R335" s="72"/>
      <c r="S335" s="72"/>
      <c r="T335" s="72"/>
      <c r="U335" s="72"/>
      <c r="V335" s="72"/>
    </row>
    <row r="336" spans="1:22" s="37" customFormat="1" ht="16.5" customHeight="1" x14ac:dyDescent="0.3">
      <c r="A336" s="72"/>
      <c r="B336" s="72"/>
      <c r="C336" s="72"/>
      <c r="D336" s="72"/>
      <c r="E336" s="72"/>
      <c r="F336" s="72"/>
      <c r="G336" s="72"/>
      <c r="H336" s="72"/>
      <c r="I336" s="72"/>
      <c r="J336" s="72"/>
      <c r="K336" s="72"/>
      <c r="L336" s="72"/>
      <c r="M336" s="72"/>
      <c r="N336" s="72"/>
      <c r="O336" s="72"/>
      <c r="P336" s="72"/>
      <c r="Q336" s="72"/>
      <c r="R336" s="72"/>
      <c r="S336" s="72"/>
      <c r="T336" s="72"/>
      <c r="U336" s="72"/>
      <c r="V336" s="72"/>
    </row>
    <row r="337" spans="1:22" s="37" customFormat="1" ht="16.5" customHeight="1" x14ac:dyDescent="0.3">
      <c r="A337" s="72"/>
      <c r="B337" s="72"/>
      <c r="C337" s="72"/>
      <c r="D337" s="72"/>
      <c r="E337" s="72"/>
      <c r="F337" s="72"/>
      <c r="G337" s="72"/>
      <c r="H337" s="72"/>
      <c r="I337" s="72"/>
      <c r="J337" s="72"/>
      <c r="K337" s="72"/>
      <c r="L337" s="72"/>
      <c r="M337" s="72"/>
      <c r="N337" s="72"/>
      <c r="O337" s="72"/>
      <c r="P337" s="72"/>
      <c r="Q337" s="72"/>
      <c r="R337" s="72"/>
      <c r="S337" s="72"/>
      <c r="T337" s="72"/>
      <c r="U337" s="72"/>
      <c r="V337" s="72"/>
    </row>
    <row r="338" spans="1:22" s="37" customFormat="1" ht="16.5" customHeight="1" x14ac:dyDescent="0.3">
      <c r="A338" s="72"/>
      <c r="B338" s="72"/>
      <c r="C338" s="72"/>
      <c r="D338" s="72"/>
      <c r="E338" s="72"/>
      <c r="F338" s="72"/>
      <c r="G338" s="72"/>
      <c r="H338" s="72"/>
      <c r="I338" s="72"/>
      <c r="J338" s="72"/>
      <c r="K338" s="72"/>
      <c r="L338" s="72"/>
      <c r="M338" s="72"/>
      <c r="N338" s="72"/>
      <c r="O338" s="72"/>
      <c r="P338" s="72"/>
      <c r="Q338" s="72"/>
      <c r="R338" s="72"/>
      <c r="S338" s="72"/>
      <c r="T338" s="72"/>
      <c r="U338" s="72"/>
      <c r="V338" s="72"/>
    </row>
    <row r="339" spans="1:22" s="37" customFormat="1" ht="16.5" customHeight="1" x14ac:dyDescent="0.3">
      <c r="A339" s="72"/>
      <c r="B339" s="72"/>
      <c r="C339" s="72"/>
      <c r="D339" s="72"/>
      <c r="E339" s="72"/>
      <c r="F339" s="72"/>
      <c r="G339" s="72"/>
      <c r="H339" s="72"/>
      <c r="I339" s="72"/>
      <c r="J339" s="72"/>
      <c r="K339" s="72"/>
      <c r="L339" s="72"/>
      <c r="M339" s="72"/>
      <c r="N339" s="72"/>
      <c r="O339" s="72"/>
      <c r="P339" s="72"/>
      <c r="Q339" s="72"/>
      <c r="R339" s="72"/>
      <c r="S339" s="72"/>
      <c r="T339" s="72"/>
      <c r="U339" s="72"/>
      <c r="V339" s="72"/>
    </row>
    <row r="340" spans="1:22" s="37" customFormat="1" ht="16.5" customHeight="1" x14ac:dyDescent="0.3">
      <c r="A340" s="72"/>
      <c r="B340" s="72"/>
      <c r="C340" s="72"/>
      <c r="D340" s="72"/>
      <c r="E340" s="72"/>
      <c r="F340" s="72"/>
      <c r="G340" s="72"/>
      <c r="H340" s="72"/>
      <c r="I340" s="72"/>
      <c r="J340" s="72"/>
      <c r="K340" s="72"/>
      <c r="L340" s="72"/>
      <c r="M340" s="72"/>
      <c r="N340" s="72"/>
      <c r="O340" s="72"/>
      <c r="P340" s="72"/>
      <c r="Q340" s="72"/>
      <c r="R340" s="72"/>
      <c r="S340" s="72"/>
      <c r="T340" s="72"/>
      <c r="U340" s="72"/>
      <c r="V340" s="72"/>
    </row>
    <row r="341" spans="1:22" s="37" customFormat="1" ht="16.5" customHeight="1" x14ac:dyDescent="0.3">
      <c r="A341" s="72"/>
      <c r="B341" s="72"/>
      <c r="C341" s="72"/>
      <c r="D341" s="72"/>
      <c r="E341" s="72"/>
      <c r="F341" s="72"/>
      <c r="G341" s="72"/>
      <c r="H341" s="72"/>
      <c r="I341" s="72"/>
      <c r="J341" s="72"/>
      <c r="K341" s="72"/>
      <c r="L341" s="72"/>
      <c r="M341" s="72"/>
      <c r="N341" s="72"/>
      <c r="O341" s="72"/>
      <c r="P341" s="72"/>
      <c r="Q341" s="72"/>
      <c r="R341" s="72"/>
      <c r="S341" s="72"/>
      <c r="T341" s="72"/>
      <c r="U341" s="72"/>
      <c r="V341" s="72"/>
    </row>
    <row r="342" spans="1:22" s="37" customFormat="1" ht="16.5" customHeight="1" x14ac:dyDescent="0.3">
      <c r="A342" s="72"/>
      <c r="B342" s="72"/>
      <c r="C342" s="72"/>
      <c r="D342" s="72"/>
      <c r="E342" s="72"/>
      <c r="F342" s="72"/>
      <c r="G342" s="72"/>
      <c r="H342" s="72"/>
      <c r="I342" s="72"/>
      <c r="J342" s="72"/>
      <c r="K342" s="72"/>
      <c r="L342" s="72"/>
      <c r="M342" s="72"/>
      <c r="N342" s="72"/>
      <c r="O342" s="72"/>
      <c r="P342" s="72"/>
      <c r="Q342" s="72"/>
      <c r="R342" s="72"/>
      <c r="S342" s="72"/>
      <c r="T342" s="72"/>
      <c r="U342" s="72"/>
      <c r="V342" s="72"/>
    </row>
    <row r="343" spans="1:22" s="37" customFormat="1" ht="16.5" customHeight="1" x14ac:dyDescent="0.3">
      <c r="A343" s="72"/>
      <c r="B343" s="72"/>
      <c r="C343" s="72"/>
      <c r="D343" s="72"/>
      <c r="E343" s="72"/>
      <c r="F343" s="72"/>
      <c r="G343" s="72"/>
      <c r="H343" s="72"/>
      <c r="I343" s="72"/>
      <c r="J343" s="72"/>
      <c r="K343" s="72"/>
      <c r="L343" s="72"/>
      <c r="M343" s="72"/>
      <c r="N343" s="72"/>
      <c r="O343" s="72"/>
      <c r="P343" s="72"/>
      <c r="Q343" s="72"/>
      <c r="R343" s="72"/>
      <c r="S343" s="72"/>
      <c r="T343" s="72"/>
      <c r="U343" s="72"/>
      <c r="V343" s="72"/>
    </row>
    <row r="344" spans="1:22" s="37" customFormat="1" ht="16.5" customHeight="1" x14ac:dyDescent="0.3">
      <c r="A344" s="72"/>
      <c r="B344" s="72"/>
      <c r="C344" s="72"/>
      <c r="D344" s="72"/>
      <c r="E344" s="72"/>
      <c r="F344" s="72"/>
      <c r="G344" s="72"/>
      <c r="H344" s="72"/>
      <c r="I344" s="72"/>
      <c r="J344" s="72"/>
      <c r="K344" s="72"/>
      <c r="L344" s="72"/>
      <c r="M344" s="72"/>
      <c r="N344" s="72"/>
      <c r="O344" s="72"/>
      <c r="P344" s="72"/>
      <c r="Q344" s="72"/>
      <c r="R344" s="72"/>
      <c r="S344" s="72"/>
      <c r="T344" s="72"/>
      <c r="U344" s="72"/>
      <c r="V344" s="72"/>
    </row>
    <row r="345" spans="1:22" s="37" customFormat="1" ht="16.5" customHeight="1" x14ac:dyDescent="0.3">
      <c r="A345" s="72"/>
      <c r="B345" s="72"/>
      <c r="C345" s="72"/>
      <c r="D345" s="72"/>
      <c r="E345" s="72"/>
      <c r="F345" s="72"/>
      <c r="G345" s="72"/>
      <c r="H345" s="72"/>
      <c r="I345" s="72"/>
      <c r="J345" s="72"/>
      <c r="K345" s="72"/>
      <c r="L345" s="72"/>
      <c r="M345" s="72"/>
      <c r="N345" s="72"/>
      <c r="O345" s="72"/>
      <c r="P345" s="72"/>
      <c r="Q345" s="72"/>
      <c r="R345" s="72"/>
      <c r="S345" s="72"/>
      <c r="T345" s="72"/>
      <c r="U345" s="72"/>
      <c r="V345" s="72"/>
    </row>
    <row r="346" spans="1:22" s="37" customFormat="1" ht="16.5" customHeight="1" x14ac:dyDescent="0.3">
      <c r="A346" s="72"/>
      <c r="B346" s="72"/>
      <c r="C346" s="72"/>
      <c r="D346" s="72"/>
      <c r="E346" s="72"/>
      <c r="F346" s="72"/>
      <c r="G346" s="72"/>
      <c r="H346" s="72"/>
      <c r="I346" s="72"/>
      <c r="J346" s="72"/>
      <c r="K346" s="72"/>
      <c r="L346" s="72"/>
      <c r="M346" s="72"/>
      <c r="N346" s="72"/>
      <c r="O346" s="72"/>
      <c r="P346" s="72"/>
      <c r="Q346" s="72"/>
      <c r="R346" s="72"/>
      <c r="S346" s="72"/>
      <c r="T346" s="72"/>
      <c r="U346" s="72"/>
      <c r="V346" s="72"/>
    </row>
    <row r="347" spans="1:22" s="37" customFormat="1" ht="16.5" customHeight="1" x14ac:dyDescent="0.3">
      <c r="A347" s="72"/>
      <c r="B347" s="72"/>
      <c r="C347" s="72"/>
      <c r="D347" s="72"/>
      <c r="E347" s="72"/>
      <c r="F347" s="72"/>
      <c r="G347" s="72"/>
      <c r="H347" s="72"/>
      <c r="I347" s="72"/>
      <c r="J347" s="72"/>
      <c r="K347" s="72"/>
      <c r="L347" s="72"/>
      <c r="M347" s="72"/>
      <c r="N347" s="72"/>
      <c r="O347" s="72"/>
      <c r="P347" s="72"/>
      <c r="Q347" s="72"/>
      <c r="R347" s="72"/>
      <c r="S347" s="72"/>
      <c r="T347" s="72"/>
      <c r="U347" s="72"/>
      <c r="V347" s="72"/>
    </row>
    <row r="348" spans="1:22" s="37" customFormat="1" ht="16.5" customHeight="1" x14ac:dyDescent="0.3">
      <c r="A348" s="72"/>
      <c r="B348" s="72"/>
      <c r="C348" s="72"/>
      <c r="D348" s="72"/>
      <c r="E348" s="72"/>
      <c r="F348" s="72"/>
      <c r="G348" s="72"/>
      <c r="H348" s="72"/>
      <c r="I348" s="72"/>
      <c r="J348" s="72"/>
      <c r="K348" s="72"/>
      <c r="L348" s="72"/>
      <c r="M348" s="72"/>
      <c r="N348" s="72"/>
      <c r="O348" s="72"/>
      <c r="P348" s="72"/>
      <c r="Q348" s="72"/>
      <c r="R348" s="72"/>
      <c r="S348" s="72"/>
      <c r="T348" s="72"/>
      <c r="U348" s="72"/>
      <c r="V348" s="72"/>
    </row>
    <row r="349" spans="1:22" s="37" customFormat="1" ht="16.5" customHeight="1" x14ac:dyDescent="0.3">
      <c r="A349" s="72"/>
      <c r="B349" s="72"/>
      <c r="C349" s="72"/>
      <c r="D349" s="72"/>
      <c r="E349" s="72"/>
      <c r="F349" s="72"/>
      <c r="G349" s="72"/>
      <c r="H349" s="72"/>
      <c r="I349" s="72"/>
      <c r="J349" s="72"/>
      <c r="K349" s="72"/>
      <c r="L349" s="72"/>
      <c r="M349" s="72"/>
      <c r="N349" s="72"/>
      <c r="O349" s="72"/>
      <c r="P349" s="72"/>
      <c r="Q349" s="72"/>
      <c r="R349" s="72"/>
      <c r="S349" s="72"/>
      <c r="T349" s="72"/>
      <c r="U349" s="72"/>
      <c r="V349" s="72"/>
    </row>
    <row r="350" spans="1:22" s="37" customFormat="1" ht="16.5" customHeight="1" x14ac:dyDescent="0.3">
      <c r="A350" s="72"/>
      <c r="B350" s="72"/>
      <c r="C350" s="72"/>
      <c r="D350" s="72"/>
      <c r="E350" s="72"/>
      <c r="F350" s="72"/>
      <c r="G350" s="72"/>
      <c r="H350" s="72"/>
      <c r="I350" s="72"/>
      <c r="J350" s="72"/>
      <c r="K350" s="72"/>
      <c r="L350" s="72"/>
      <c r="M350" s="72"/>
      <c r="N350" s="72"/>
      <c r="O350" s="72"/>
      <c r="P350" s="72"/>
      <c r="Q350" s="72"/>
      <c r="R350" s="72"/>
      <c r="S350" s="72"/>
      <c r="T350" s="72"/>
      <c r="U350" s="72"/>
      <c r="V350" s="72"/>
    </row>
    <row r="351" spans="1:22" s="37" customFormat="1" ht="16.5" customHeight="1" x14ac:dyDescent="0.3">
      <c r="A351" s="72"/>
      <c r="B351" s="72"/>
      <c r="C351" s="72"/>
      <c r="D351" s="72"/>
      <c r="E351" s="72"/>
      <c r="F351" s="72"/>
      <c r="G351" s="72"/>
      <c r="H351" s="72"/>
      <c r="I351" s="72"/>
      <c r="J351" s="72"/>
      <c r="K351" s="72"/>
      <c r="L351" s="72"/>
      <c r="M351" s="72"/>
      <c r="N351" s="72"/>
      <c r="O351" s="72"/>
      <c r="P351" s="72"/>
      <c r="Q351" s="72"/>
      <c r="R351" s="72"/>
      <c r="S351" s="72"/>
      <c r="T351" s="72"/>
      <c r="U351" s="72"/>
      <c r="V351" s="72"/>
    </row>
    <row r="352" spans="1:22" s="37" customFormat="1" ht="16.5" customHeight="1" x14ac:dyDescent="0.3">
      <c r="A352" s="72"/>
      <c r="B352" s="72"/>
      <c r="C352" s="72"/>
      <c r="D352" s="72"/>
      <c r="E352" s="72"/>
      <c r="F352" s="72"/>
      <c r="G352" s="72"/>
      <c r="H352" s="72"/>
      <c r="I352" s="72"/>
      <c r="J352" s="72"/>
      <c r="K352" s="72"/>
      <c r="L352" s="72"/>
      <c r="M352" s="72"/>
      <c r="N352" s="72"/>
      <c r="O352" s="72"/>
      <c r="P352" s="72"/>
      <c r="Q352" s="72"/>
      <c r="R352" s="72"/>
      <c r="S352" s="72"/>
      <c r="T352" s="72"/>
      <c r="U352" s="72"/>
      <c r="V352" s="72"/>
    </row>
    <row r="353" spans="1:22" s="37" customFormat="1" ht="16.5" customHeight="1" x14ac:dyDescent="0.3">
      <c r="A353" s="72"/>
      <c r="B353" s="72"/>
      <c r="C353" s="72"/>
      <c r="D353" s="72"/>
      <c r="E353" s="72"/>
      <c r="F353" s="72"/>
      <c r="G353" s="72"/>
      <c r="H353" s="72"/>
      <c r="I353" s="72"/>
      <c r="J353" s="72"/>
      <c r="K353" s="72"/>
      <c r="L353" s="72"/>
      <c r="M353" s="72"/>
      <c r="N353" s="72"/>
      <c r="O353" s="72"/>
      <c r="P353" s="72"/>
      <c r="Q353" s="72"/>
      <c r="R353" s="72"/>
      <c r="S353" s="72"/>
      <c r="T353" s="72"/>
      <c r="U353" s="72"/>
      <c r="V353" s="72"/>
    </row>
    <row r="354" spans="1:22" s="37" customFormat="1" ht="16.5" customHeight="1" x14ac:dyDescent="0.3">
      <c r="A354" s="72"/>
      <c r="B354" s="72"/>
      <c r="C354" s="72"/>
      <c r="D354" s="72"/>
      <c r="E354" s="72"/>
      <c r="F354" s="72"/>
      <c r="G354" s="72"/>
      <c r="H354" s="72"/>
      <c r="I354" s="72"/>
      <c r="J354" s="72"/>
      <c r="K354" s="72"/>
      <c r="L354" s="72"/>
      <c r="M354" s="72"/>
      <c r="N354" s="72"/>
      <c r="O354" s="72"/>
      <c r="P354" s="72"/>
      <c r="Q354" s="72"/>
      <c r="R354" s="72"/>
      <c r="S354" s="72"/>
      <c r="T354" s="72"/>
      <c r="U354" s="72"/>
      <c r="V354" s="72"/>
    </row>
    <row r="355" spans="1:22" s="37" customFormat="1" ht="16.5" customHeight="1" x14ac:dyDescent="0.3">
      <c r="A355" s="72"/>
      <c r="B355" s="72"/>
      <c r="C355" s="72"/>
      <c r="D355" s="72"/>
      <c r="E355" s="72"/>
      <c r="F355" s="72"/>
      <c r="G355" s="72"/>
      <c r="H355" s="72"/>
      <c r="I355" s="72"/>
      <c r="J355" s="72"/>
      <c r="K355" s="72"/>
      <c r="L355" s="72"/>
      <c r="M355" s="72"/>
      <c r="N355" s="72"/>
      <c r="O355" s="72"/>
      <c r="P355" s="72"/>
      <c r="Q355" s="72"/>
      <c r="R355" s="72"/>
      <c r="S355" s="72"/>
      <c r="T355" s="72"/>
      <c r="U355" s="72"/>
      <c r="V355" s="72"/>
    </row>
    <row r="356" spans="1:22" s="37" customFormat="1" ht="16.5" customHeight="1" x14ac:dyDescent="0.3">
      <c r="A356" s="72"/>
      <c r="B356" s="72"/>
      <c r="C356" s="72"/>
      <c r="D356" s="72"/>
      <c r="E356" s="72"/>
      <c r="F356" s="72"/>
      <c r="G356" s="72"/>
      <c r="H356" s="72"/>
      <c r="I356" s="72"/>
      <c r="J356" s="72"/>
      <c r="K356" s="72"/>
      <c r="L356" s="72"/>
      <c r="M356" s="72"/>
      <c r="N356" s="72"/>
      <c r="O356" s="72"/>
      <c r="P356" s="72"/>
      <c r="Q356" s="72"/>
      <c r="R356" s="72"/>
      <c r="S356" s="72"/>
      <c r="T356" s="72"/>
      <c r="U356" s="72"/>
      <c r="V356" s="72"/>
    </row>
    <row r="357" spans="1:22" s="37" customFormat="1" ht="16.5" customHeight="1" x14ac:dyDescent="0.3">
      <c r="A357" s="72"/>
      <c r="B357" s="72"/>
      <c r="C357" s="72"/>
      <c r="D357" s="72"/>
      <c r="E357" s="72"/>
      <c r="F357" s="72"/>
      <c r="G357" s="72"/>
      <c r="H357" s="72"/>
      <c r="I357" s="72"/>
      <c r="J357" s="72"/>
      <c r="K357" s="72"/>
      <c r="L357" s="72"/>
      <c r="M357" s="72"/>
      <c r="N357" s="72"/>
      <c r="O357" s="72"/>
      <c r="P357" s="72"/>
      <c r="Q357" s="72"/>
      <c r="R357" s="72"/>
      <c r="S357" s="72"/>
      <c r="T357" s="72"/>
      <c r="U357" s="72"/>
      <c r="V357" s="72"/>
    </row>
    <row r="358" spans="1:22" s="37" customFormat="1" ht="16.5" customHeight="1" x14ac:dyDescent="0.3">
      <c r="A358" s="72"/>
      <c r="B358" s="72"/>
      <c r="C358" s="72"/>
      <c r="D358" s="72"/>
      <c r="E358" s="72"/>
      <c r="F358" s="72"/>
      <c r="G358" s="72"/>
      <c r="H358" s="72"/>
      <c r="I358" s="72"/>
      <c r="J358" s="72"/>
      <c r="K358" s="72"/>
      <c r="L358" s="72"/>
      <c r="M358" s="72"/>
      <c r="N358" s="72"/>
      <c r="O358" s="72"/>
      <c r="P358" s="72"/>
      <c r="Q358" s="72"/>
      <c r="R358" s="72"/>
      <c r="S358" s="72"/>
      <c r="T358" s="72"/>
      <c r="U358" s="72"/>
      <c r="V358" s="72"/>
    </row>
    <row r="359" spans="1:22" s="37" customFormat="1" ht="16.5" customHeight="1" x14ac:dyDescent="0.3">
      <c r="A359" s="72"/>
      <c r="B359" s="72"/>
      <c r="C359" s="72"/>
      <c r="D359" s="72"/>
      <c r="E359" s="72"/>
      <c r="F359" s="72"/>
      <c r="G359" s="72"/>
      <c r="H359" s="72"/>
      <c r="I359" s="72"/>
      <c r="J359" s="72"/>
      <c r="K359" s="72"/>
      <c r="L359" s="72"/>
      <c r="M359" s="72"/>
      <c r="N359" s="72"/>
      <c r="O359" s="72"/>
      <c r="P359" s="72"/>
      <c r="Q359" s="72"/>
      <c r="R359" s="72"/>
      <c r="S359" s="72"/>
      <c r="T359" s="72"/>
      <c r="U359" s="72"/>
      <c r="V359" s="72"/>
    </row>
    <row r="360" spans="1:22" s="37" customFormat="1" ht="16.5" customHeight="1" x14ac:dyDescent="0.3">
      <c r="A360" s="72"/>
      <c r="B360" s="72"/>
      <c r="C360" s="72"/>
      <c r="D360" s="72"/>
      <c r="E360" s="72"/>
      <c r="F360" s="72"/>
      <c r="G360" s="72"/>
      <c r="H360" s="72"/>
      <c r="I360" s="72"/>
      <c r="J360" s="72"/>
      <c r="K360" s="72"/>
      <c r="L360" s="72"/>
      <c r="M360" s="72"/>
      <c r="N360" s="72"/>
      <c r="O360" s="72"/>
      <c r="P360" s="72"/>
      <c r="Q360" s="72"/>
      <c r="R360" s="72"/>
      <c r="S360" s="72"/>
      <c r="T360" s="72"/>
      <c r="U360" s="72"/>
      <c r="V360" s="72"/>
    </row>
    <row r="361" spans="1:22" s="37" customFormat="1" ht="16.5" customHeight="1" x14ac:dyDescent="0.3">
      <c r="A361" s="72"/>
      <c r="B361" s="72"/>
      <c r="C361" s="72"/>
      <c r="D361" s="72"/>
      <c r="E361" s="72"/>
      <c r="F361" s="72"/>
      <c r="G361" s="72"/>
      <c r="H361" s="72"/>
      <c r="I361" s="72"/>
      <c r="J361" s="72"/>
      <c r="K361" s="72"/>
      <c r="L361" s="72"/>
      <c r="M361" s="72"/>
      <c r="N361" s="72"/>
      <c r="O361" s="72"/>
      <c r="P361" s="72"/>
      <c r="Q361" s="72"/>
      <c r="R361" s="72"/>
      <c r="S361" s="72"/>
      <c r="T361" s="72"/>
      <c r="U361" s="72"/>
      <c r="V361" s="72"/>
    </row>
    <row r="362" spans="1:22" s="37" customFormat="1" ht="16.5" customHeight="1" x14ac:dyDescent="0.3">
      <c r="A362" s="72"/>
      <c r="B362" s="72"/>
      <c r="C362" s="72"/>
      <c r="D362" s="72"/>
      <c r="E362" s="72"/>
      <c r="F362" s="72"/>
      <c r="G362" s="72"/>
      <c r="H362" s="72"/>
      <c r="I362" s="72"/>
      <c r="J362" s="72"/>
      <c r="K362" s="72"/>
      <c r="L362" s="72"/>
      <c r="M362" s="72"/>
      <c r="N362" s="72"/>
      <c r="O362" s="72"/>
      <c r="P362" s="72"/>
      <c r="Q362" s="72"/>
      <c r="R362" s="72"/>
      <c r="S362" s="72"/>
      <c r="T362" s="72"/>
      <c r="U362" s="72"/>
      <c r="V362" s="72"/>
    </row>
    <row r="363" spans="1:22" s="37" customFormat="1" ht="16.5" customHeight="1" x14ac:dyDescent="0.3">
      <c r="A363" s="72"/>
      <c r="B363" s="72"/>
      <c r="C363" s="72"/>
      <c r="D363" s="72"/>
      <c r="E363" s="72"/>
      <c r="F363" s="72"/>
      <c r="G363" s="72"/>
      <c r="H363" s="72"/>
      <c r="I363" s="72"/>
      <c r="J363" s="72"/>
      <c r="K363" s="72"/>
      <c r="L363" s="72"/>
      <c r="M363" s="72"/>
      <c r="N363" s="72"/>
      <c r="O363" s="72"/>
      <c r="P363" s="72"/>
      <c r="Q363" s="72"/>
      <c r="R363" s="72"/>
      <c r="S363" s="72"/>
      <c r="T363" s="72"/>
      <c r="U363" s="72"/>
      <c r="V363" s="72"/>
    </row>
    <row r="364" spans="1:22" s="37" customFormat="1" ht="16.5" customHeight="1" x14ac:dyDescent="0.3">
      <c r="A364" s="72"/>
      <c r="B364" s="72"/>
      <c r="C364" s="72"/>
      <c r="D364" s="72"/>
      <c r="E364" s="72"/>
      <c r="F364" s="72"/>
      <c r="G364" s="72"/>
      <c r="H364" s="72"/>
      <c r="I364" s="72"/>
      <c r="J364" s="72"/>
      <c r="K364" s="72"/>
      <c r="L364" s="72"/>
      <c r="M364" s="72"/>
      <c r="N364" s="72"/>
      <c r="O364" s="72"/>
      <c r="P364" s="72"/>
      <c r="Q364" s="72"/>
      <c r="R364" s="72"/>
      <c r="S364" s="72"/>
      <c r="T364" s="72"/>
      <c r="U364" s="72"/>
      <c r="V364" s="72"/>
    </row>
    <row r="365" spans="1:22" s="37" customFormat="1" ht="16.5" customHeight="1" x14ac:dyDescent="0.3">
      <c r="A365" s="72"/>
      <c r="B365" s="72"/>
      <c r="C365" s="72"/>
      <c r="D365" s="72"/>
      <c r="E365" s="72"/>
      <c r="F365" s="72"/>
      <c r="G365" s="72"/>
      <c r="H365" s="72"/>
      <c r="I365" s="72"/>
      <c r="J365" s="72"/>
      <c r="K365" s="72"/>
      <c r="L365" s="72"/>
      <c r="M365" s="72"/>
      <c r="N365" s="72"/>
      <c r="O365" s="72"/>
      <c r="P365" s="72"/>
      <c r="Q365" s="72"/>
      <c r="R365" s="72"/>
      <c r="S365" s="72"/>
      <c r="T365" s="72"/>
      <c r="U365" s="72"/>
      <c r="V365" s="72"/>
    </row>
    <row r="366" spans="1:22" s="37" customFormat="1" ht="16.5" customHeight="1" x14ac:dyDescent="0.3">
      <c r="A366" s="72"/>
      <c r="B366" s="72"/>
      <c r="C366" s="72"/>
      <c r="D366" s="72"/>
      <c r="E366" s="72"/>
      <c r="F366" s="72"/>
      <c r="G366" s="72"/>
      <c r="H366" s="72"/>
      <c r="I366" s="72"/>
      <c r="J366" s="72"/>
      <c r="K366" s="72"/>
      <c r="L366" s="72"/>
      <c r="M366" s="72"/>
      <c r="N366" s="72"/>
      <c r="O366" s="72"/>
      <c r="P366" s="72"/>
      <c r="Q366" s="72"/>
      <c r="R366" s="72"/>
      <c r="S366" s="72"/>
      <c r="T366" s="72"/>
      <c r="U366" s="72"/>
      <c r="V366" s="72"/>
    </row>
    <row r="367" spans="1:22" s="37" customFormat="1" ht="16.5" customHeight="1" x14ac:dyDescent="0.3">
      <c r="A367" s="72"/>
      <c r="B367" s="72"/>
      <c r="C367" s="72"/>
      <c r="D367" s="72"/>
      <c r="E367" s="72"/>
      <c r="F367" s="72"/>
      <c r="G367" s="72"/>
      <c r="H367" s="72"/>
      <c r="I367" s="72"/>
      <c r="J367" s="72"/>
      <c r="K367" s="72"/>
      <c r="L367" s="72"/>
      <c r="M367" s="72"/>
      <c r="N367" s="72"/>
      <c r="O367" s="72"/>
      <c r="P367" s="72"/>
      <c r="Q367" s="72"/>
      <c r="R367" s="72"/>
      <c r="S367" s="72"/>
      <c r="T367" s="72"/>
      <c r="U367" s="72"/>
      <c r="V367" s="72"/>
    </row>
    <row r="368" spans="1:22" s="37" customFormat="1" ht="16.5" customHeight="1" x14ac:dyDescent="0.3">
      <c r="A368" s="72"/>
      <c r="B368" s="72"/>
      <c r="C368" s="72"/>
      <c r="D368" s="72"/>
      <c r="E368" s="72"/>
      <c r="F368" s="72"/>
      <c r="G368" s="72"/>
      <c r="H368" s="72"/>
      <c r="I368" s="72"/>
      <c r="J368" s="72"/>
      <c r="K368" s="72"/>
      <c r="L368" s="72"/>
      <c r="M368" s="72"/>
      <c r="N368" s="72"/>
      <c r="O368" s="72"/>
      <c r="P368" s="72"/>
      <c r="Q368" s="72"/>
      <c r="R368" s="72"/>
      <c r="S368" s="72"/>
      <c r="T368" s="72"/>
      <c r="U368" s="72"/>
      <c r="V368" s="72"/>
    </row>
    <row r="369" spans="1:22" s="37" customFormat="1" ht="16.5" customHeight="1" x14ac:dyDescent="0.3">
      <c r="A369" s="72"/>
      <c r="B369" s="72"/>
      <c r="C369" s="72"/>
      <c r="D369" s="72"/>
      <c r="E369" s="72"/>
      <c r="F369" s="72"/>
      <c r="G369" s="72"/>
      <c r="H369" s="72"/>
      <c r="I369" s="72"/>
      <c r="J369" s="72"/>
      <c r="K369" s="72"/>
      <c r="L369" s="72"/>
      <c r="M369" s="72"/>
      <c r="N369" s="72"/>
      <c r="O369" s="72"/>
      <c r="P369" s="72"/>
      <c r="Q369" s="72"/>
      <c r="R369" s="72"/>
      <c r="S369" s="72"/>
      <c r="T369" s="72"/>
      <c r="U369" s="72"/>
      <c r="V369" s="72"/>
    </row>
    <row r="370" spans="1:22" s="37" customFormat="1" ht="16.5" customHeight="1" x14ac:dyDescent="0.3">
      <c r="A370" s="72"/>
      <c r="B370" s="72"/>
      <c r="C370" s="72"/>
      <c r="D370" s="72"/>
      <c r="E370" s="72"/>
      <c r="F370" s="72"/>
      <c r="G370" s="72"/>
      <c r="H370" s="72"/>
      <c r="I370" s="72"/>
      <c r="J370" s="72"/>
      <c r="K370" s="72"/>
      <c r="L370" s="72"/>
      <c r="M370" s="72"/>
      <c r="N370" s="72"/>
      <c r="O370" s="72"/>
      <c r="P370" s="72"/>
      <c r="Q370" s="72"/>
      <c r="R370" s="72"/>
      <c r="S370" s="72"/>
      <c r="T370" s="72"/>
      <c r="U370" s="72"/>
      <c r="V370" s="72"/>
    </row>
    <row r="371" spans="1:22" s="37" customFormat="1" ht="16.5" customHeight="1" x14ac:dyDescent="0.3">
      <c r="A371" s="72"/>
      <c r="B371" s="72"/>
      <c r="C371" s="72"/>
      <c r="D371" s="72"/>
      <c r="E371" s="72"/>
      <c r="F371" s="72"/>
      <c r="G371" s="72"/>
      <c r="H371" s="72"/>
      <c r="I371" s="72"/>
      <c r="J371" s="72"/>
      <c r="K371" s="72"/>
      <c r="L371" s="72"/>
      <c r="M371" s="72"/>
      <c r="N371" s="72"/>
      <c r="O371" s="72"/>
      <c r="P371" s="72"/>
      <c r="Q371" s="72"/>
      <c r="R371" s="72"/>
      <c r="S371" s="72"/>
      <c r="T371" s="72"/>
      <c r="U371" s="72"/>
      <c r="V371" s="72"/>
    </row>
    <row r="372" spans="1:22" s="37" customFormat="1" ht="16.5" customHeight="1" x14ac:dyDescent="0.3">
      <c r="A372" s="72"/>
      <c r="B372" s="72"/>
      <c r="C372" s="72"/>
      <c r="D372" s="72"/>
      <c r="E372" s="72"/>
      <c r="F372" s="72"/>
      <c r="G372" s="72"/>
      <c r="H372" s="72"/>
      <c r="I372" s="72"/>
      <c r="J372" s="72"/>
      <c r="K372" s="72"/>
      <c r="L372" s="72"/>
      <c r="M372" s="72"/>
      <c r="N372" s="72"/>
      <c r="O372" s="72"/>
      <c r="P372" s="72"/>
      <c r="Q372" s="72"/>
      <c r="R372" s="72"/>
      <c r="S372" s="72"/>
      <c r="T372" s="72"/>
      <c r="U372" s="72"/>
      <c r="V372" s="72"/>
    </row>
    <row r="373" spans="1:22" s="37" customFormat="1" ht="16.5" customHeight="1" x14ac:dyDescent="0.3">
      <c r="A373" s="72"/>
      <c r="B373" s="72"/>
      <c r="C373" s="72"/>
      <c r="D373" s="72"/>
      <c r="E373" s="72"/>
      <c r="F373" s="72"/>
      <c r="G373" s="72"/>
      <c r="H373" s="72"/>
      <c r="I373" s="72"/>
      <c r="J373" s="72"/>
      <c r="K373" s="72"/>
      <c r="L373" s="72"/>
      <c r="M373" s="72"/>
      <c r="N373" s="72"/>
      <c r="O373" s="72"/>
      <c r="P373" s="72"/>
      <c r="Q373" s="72"/>
      <c r="R373" s="72"/>
      <c r="S373" s="72"/>
      <c r="T373" s="72"/>
      <c r="U373" s="72"/>
      <c r="V373" s="72"/>
    </row>
    <row r="374" spans="1:22" s="37" customFormat="1" ht="16.5" customHeight="1" x14ac:dyDescent="0.3">
      <c r="A374" s="72"/>
      <c r="B374" s="72"/>
      <c r="C374" s="72"/>
      <c r="D374" s="72"/>
      <c r="E374" s="72"/>
      <c r="F374" s="72"/>
      <c r="G374" s="72"/>
      <c r="H374" s="72"/>
      <c r="I374" s="72"/>
      <c r="J374" s="72"/>
      <c r="K374" s="72"/>
      <c r="L374" s="72"/>
      <c r="M374" s="72"/>
      <c r="N374" s="72"/>
      <c r="O374" s="72"/>
      <c r="P374" s="72"/>
      <c r="Q374" s="72"/>
      <c r="R374" s="72"/>
      <c r="S374" s="72"/>
      <c r="T374" s="72"/>
      <c r="U374" s="72"/>
      <c r="V374" s="72"/>
    </row>
    <row r="375" spans="1:22" s="37" customFormat="1" ht="16.5" customHeight="1" x14ac:dyDescent="0.3">
      <c r="A375" s="72"/>
      <c r="B375" s="72"/>
      <c r="C375" s="72"/>
      <c r="D375" s="72"/>
      <c r="E375" s="72"/>
      <c r="F375" s="72"/>
      <c r="G375" s="72"/>
      <c r="H375" s="72"/>
      <c r="I375" s="72"/>
      <c r="J375" s="72"/>
      <c r="K375" s="72"/>
      <c r="L375" s="72"/>
      <c r="M375" s="72"/>
      <c r="N375" s="72"/>
      <c r="O375" s="72"/>
      <c r="P375" s="72"/>
      <c r="Q375" s="72"/>
      <c r="R375" s="72"/>
      <c r="S375" s="72"/>
      <c r="T375" s="72"/>
      <c r="U375" s="72"/>
      <c r="V375" s="72"/>
    </row>
    <row r="376" spans="1:22" s="37" customFormat="1" ht="16.5" customHeight="1" x14ac:dyDescent="0.3">
      <c r="A376" s="72"/>
      <c r="B376" s="72"/>
      <c r="C376" s="72"/>
      <c r="D376" s="72"/>
      <c r="E376" s="72"/>
      <c r="F376" s="72"/>
      <c r="G376" s="72"/>
      <c r="H376" s="72"/>
      <c r="I376" s="72"/>
      <c r="J376" s="72"/>
      <c r="K376" s="72"/>
      <c r="L376" s="72"/>
      <c r="M376" s="72"/>
      <c r="N376" s="72"/>
      <c r="O376" s="72"/>
      <c r="P376" s="72"/>
      <c r="Q376" s="72"/>
      <c r="R376" s="72"/>
      <c r="S376" s="72"/>
      <c r="T376" s="72"/>
      <c r="U376" s="72"/>
      <c r="V376" s="72"/>
    </row>
    <row r="377" spans="1:22" s="37" customFormat="1" ht="16.5" customHeight="1" x14ac:dyDescent="0.3">
      <c r="A377" s="72"/>
      <c r="B377" s="72"/>
      <c r="C377" s="72"/>
      <c r="D377" s="72"/>
      <c r="E377" s="72"/>
      <c r="F377" s="72"/>
      <c r="G377" s="72"/>
      <c r="H377" s="72"/>
      <c r="I377" s="72"/>
      <c r="J377" s="72"/>
      <c r="K377" s="72"/>
      <c r="L377" s="72"/>
      <c r="M377" s="72"/>
      <c r="N377" s="72"/>
      <c r="O377" s="72"/>
      <c r="P377" s="72"/>
      <c r="Q377" s="72"/>
      <c r="R377" s="72"/>
      <c r="S377" s="72"/>
      <c r="T377" s="72"/>
      <c r="U377" s="72"/>
      <c r="V377" s="72"/>
    </row>
    <row r="378" spans="1:22" s="37" customFormat="1" ht="16.5" customHeight="1" x14ac:dyDescent="0.3">
      <c r="A378" s="72"/>
      <c r="B378" s="72"/>
      <c r="C378" s="72"/>
      <c r="D378" s="72"/>
      <c r="E378" s="72"/>
      <c r="F378" s="72"/>
      <c r="G378" s="72"/>
      <c r="H378" s="72"/>
      <c r="I378" s="72"/>
      <c r="J378" s="72"/>
      <c r="K378" s="72"/>
      <c r="L378" s="72"/>
      <c r="M378" s="72"/>
      <c r="N378" s="72"/>
      <c r="O378" s="72"/>
      <c r="P378" s="72"/>
      <c r="Q378" s="72"/>
      <c r="R378" s="72"/>
      <c r="S378" s="72"/>
      <c r="T378" s="72"/>
      <c r="U378" s="72"/>
      <c r="V378" s="72"/>
    </row>
    <row r="379" spans="1:22" s="37" customFormat="1" ht="16.5" customHeight="1" x14ac:dyDescent="0.3">
      <c r="A379" s="72"/>
      <c r="B379" s="72"/>
      <c r="C379" s="72"/>
      <c r="D379" s="72"/>
      <c r="E379" s="72"/>
      <c r="F379" s="72"/>
      <c r="G379" s="72"/>
      <c r="H379" s="72"/>
      <c r="I379" s="72"/>
      <c r="J379" s="72"/>
      <c r="K379" s="72"/>
      <c r="L379" s="72"/>
      <c r="M379" s="72"/>
      <c r="N379" s="72"/>
      <c r="O379" s="72"/>
      <c r="P379" s="72"/>
      <c r="Q379" s="72"/>
      <c r="R379" s="72"/>
      <c r="S379" s="72"/>
      <c r="T379" s="72"/>
      <c r="U379" s="72"/>
      <c r="V379" s="72"/>
    </row>
    <row r="380" spans="1:22" s="37" customFormat="1" ht="16.5" customHeight="1" x14ac:dyDescent="0.3">
      <c r="A380" s="72"/>
      <c r="B380" s="72"/>
      <c r="C380" s="72"/>
      <c r="D380" s="72"/>
      <c r="E380" s="72"/>
      <c r="F380" s="72"/>
      <c r="G380" s="72"/>
      <c r="H380" s="72"/>
      <c r="I380" s="72"/>
      <c r="J380" s="72"/>
      <c r="K380" s="72"/>
      <c r="L380" s="72"/>
      <c r="M380" s="72"/>
      <c r="N380" s="72"/>
      <c r="O380" s="72"/>
      <c r="P380" s="72"/>
      <c r="Q380" s="72"/>
      <c r="R380" s="72"/>
      <c r="S380" s="72"/>
      <c r="T380" s="72"/>
      <c r="U380" s="72"/>
      <c r="V380" s="72"/>
    </row>
    <row r="381" spans="1:22" s="37" customFormat="1" ht="16.5" customHeight="1" x14ac:dyDescent="0.3">
      <c r="A381" s="72"/>
      <c r="B381" s="72"/>
      <c r="C381" s="72"/>
      <c r="D381" s="72"/>
      <c r="E381" s="72"/>
      <c r="F381" s="72"/>
      <c r="G381" s="72"/>
      <c r="H381" s="72"/>
      <c r="I381" s="72"/>
      <c r="J381" s="72"/>
      <c r="K381" s="72"/>
      <c r="L381" s="72"/>
      <c r="M381" s="72"/>
      <c r="N381" s="72"/>
      <c r="O381" s="72"/>
      <c r="P381" s="72"/>
      <c r="Q381" s="72"/>
      <c r="R381" s="72"/>
      <c r="S381" s="72"/>
      <c r="T381" s="72"/>
      <c r="U381" s="72"/>
      <c r="V381" s="72"/>
    </row>
    <row r="382" spans="1:22" s="37" customFormat="1" ht="16.5" customHeight="1" x14ac:dyDescent="0.3">
      <c r="A382" s="72"/>
      <c r="B382" s="72"/>
      <c r="C382" s="72"/>
      <c r="D382" s="72"/>
      <c r="E382" s="72"/>
      <c r="F382" s="72"/>
      <c r="G382" s="72"/>
      <c r="H382" s="72"/>
      <c r="I382" s="72"/>
      <c r="J382" s="72"/>
      <c r="K382" s="72"/>
      <c r="L382" s="72"/>
      <c r="M382" s="72"/>
      <c r="N382" s="72"/>
      <c r="O382" s="72"/>
      <c r="P382" s="72"/>
      <c r="Q382" s="72"/>
      <c r="R382" s="72"/>
      <c r="S382" s="72"/>
      <c r="T382" s="72"/>
      <c r="U382" s="72"/>
      <c r="V382" s="72"/>
    </row>
    <row r="383" spans="1:22" s="37" customFormat="1" ht="16.5" customHeight="1" x14ac:dyDescent="0.3">
      <c r="A383" s="72"/>
      <c r="B383" s="72"/>
      <c r="C383" s="72"/>
      <c r="D383" s="72"/>
      <c r="E383" s="72"/>
      <c r="F383" s="72"/>
      <c r="G383" s="72"/>
      <c r="H383" s="72"/>
      <c r="I383" s="72"/>
      <c r="J383" s="72"/>
      <c r="K383" s="72"/>
      <c r="L383" s="72"/>
      <c r="M383" s="72"/>
      <c r="N383" s="72"/>
      <c r="O383" s="72"/>
      <c r="P383" s="72"/>
      <c r="Q383" s="72"/>
      <c r="R383" s="72"/>
      <c r="S383" s="72"/>
      <c r="T383" s="72"/>
      <c r="U383" s="72"/>
      <c r="V383" s="72"/>
    </row>
    <row r="384" spans="1:22" s="37" customFormat="1" ht="16.5" customHeight="1" x14ac:dyDescent="0.3">
      <c r="A384" s="72"/>
      <c r="B384" s="72"/>
      <c r="C384" s="72"/>
      <c r="D384" s="72"/>
      <c r="E384" s="72"/>
      <c r="F384" s="72"/>
      <c r="G384" s="72"/>
      <c r="H384" s="72"/>
      <c r="I384" s="72"/>
      <c r="J384" s="72"/>
      <c r="K384" s="72"/>
      <c r="L384" s="72"/>
      <c r="M384" s="72"/>
      <c r="N384" s="72"/>
      <c r="O384" s="72"/>
      <c r="P384" s="72"/>
      <c r="Q384" s="72"/>
      <c r="R384" s="72"/>
      <c r="S384" s="72"/>
      <c r="T384" s="72"/>
      <c r="U384" s="72"/>
      <c r="V384" s="72"/>
    </row>
    <row r="385" spans="1:22" s="37" customFormat="1" ht="16.5" customHeight="1" x14ac:dyDescent="0.3">
      <c r="A385" s="72"/>
      <c r="B385" s="72"/>
      <c r="C385" s="72"/>
      <c r="D385" s="72"/>
      <c r="E385" s="72"/>
      <c r="F385" s="72"/>
      <c r="G385" s="72"/>
      <c r="H385" s="72"/>
      <c r="I385" s="72"/>
      <c r="J385" s="72"/>
      <c r="K385" s="72"/>
      <c r="L385" s="72"/>
      <c r="M385" s="72"/>
      <c r="N385" s="72"/>
      <c r="O385" s="72"/>
      <c r="P385" s="72"/>
      <c r="Q385" s="72"/>
      <c r="R385" s="72"/>
      <c r="S385" s="72"/>
      <c r="T385" s="72"/>
      <c r="U385" s="72"/>
      <c r="V385" s="72"/>
    </row>
    <row r="386" spans="1:22" s="37" customFormat="1" ht="16.5" customHeight="1" x14ac:dyDescent="0.3">
      <c r="A386" s="72"/>
      <c r="B386" s="72"/>
      <c r="C386" s="72"/>
      <c r="D386" s="72"/>
      <c r="E386" s="72"/>
      <c r="F386" s="72"/>
      <c r="G386" s="72"/>
      <c r="H386" s="72"/>
      <c r="I386" s="72"/>
      <c r="J386" s="72"/>
      <c r="K386" s="72"/>
      <c r="L386" s="72"/>
      <c r="M386" s="72"/>
      <c r="N386" s="72"/>
      <c r="O386" s="72"/>
      <c r="P386" s="72"/>
      <c r="Q386" s="72"/>
      <c r="R386" s="72"/>
      <c r="S386" s="72"/>
      <c r="T386" s="72"/>
      <c r="U386" s="72"/>
      <c r="V386" s="72"/>
    </row>
    <row r="387" spans="1:22" s="37" customFormat="1" ht="16.5" customHeight="1" x14ac:dyDescent="0.3">
      <c r="A387" s="72"/>
      <c r="B387" s="72"/>
      <c r="C387" s="72"/>
      <c r="D387" s="72"/>
      <c r="E387" s="72"/>
      <c r="F387" s="72"/>
      <c r="G387" s="72"/>
      <c r="H387" s="72"/>
      <c r="I387" s="72"/>
      <c r="J387" s="72"/>
      <c r="K387" s="72"/>
      <c r="L387" s="72"/>
      <c r="M387" s="72"/>
      <c r="N387" s="72"/>
      <c r="O387" s="72"/>
      <c r="P387" s="72"/>
      <c r="Q387" s="72"/>
      <c r="R387" s="72"/>
      <c r="S387" s="72"/>
      <c r="T387" s="72"/>
      <c r="U387" s="72"/>
      <c r="V387" s="72"/>
    </row>
    <row r="388" spans="1:22" s="37" customFormat="1" ht="16.5" customHeight="1" x14ac:dyDescent="0.3">
      <c r="A388" s="72"/>
      <c r="B388" s="72"/>
      <c r="C388" s="72"/>
      <c r="D388" s="72"/>
      <c r="E388" s="72"/>
      <c r="F388" s="72"/>
      <c r="G388" s="72"/>
      <c r="H388" s="72"/>
      <c r="I388" s="72"/>
      <c r="J388" s="72"/>
      <c r="K388" s="72"/>
      <c r="L388" s="72"/>
      <c r="M388" s="72"/>
      <c r="N388" s="72"/>
      <c r="O388" s="72"/>
      <c r="P388" s="72"/>
      <c r="Q388" s="72"/>
      <c r="R388" s="72"/>
      <c r="S388" s="72"/>
      <c r="T388" s="72"/>
      <c r="U388" s="72"/>
      <c r="V388" s="72"/>
    </row>
    <row r="389" spans="1:22" s="37" customFormat="1" ht="16.5" customHeight="1" x14ac:dyDescent="0.3">
      <c r="A389" s="72"/>
      <c r="B389" s="72"/>
      <c r="C389" s="72"/>
      <c r="D389" s="72"/>
      <c r="E389" s="72"/>
      <c r="F389" s="72"/>
      <c r="G389" s="72"/>
      <c r="H389" s="72"/>
      <c r="I389" s="72"/>
      <c r="J389" s="72"/>
      <c r="K389" s="72"/>
      <c r="L389" s="72"/>
      <c r="M389" s="72"/>
      <c r="N389" s="72"/>
      <c r="O389" s="72"/>
      <c r="P389" s="72"/>
      <c r="Q389" s="72"/>
      <c r="R389" s="72"/>
      <c r="S389" s="72"/>
      <c r="T389" s="72"/>
      <c r="U389" s="72"/>
      <c r="V389" s="72"/>
    </row>
    <row r="390" spans="1:22" s="37" customFormat="1" ht="16.5" customHeight="1" x14ac:dyDescent="0.3">
      <c r="A390" s="72"/>
      <c r="B390" s="72"/>
      <c r="C390" s="72"/>
      <c r="D390" s="72"/>
      <c r="E390" s="72"/>
      <c r="F390" s="72"/>
      <c r="G390" s="72"/>
      <c r="H390" s="72"/>
      <c r="I390" s="72"/>
      <c r="J390" s="72"/>
      <c r="K390" s="72"/>
      <c r="L390" s="72"/>
      <c r="M390" s="72"/>
      <c r="N390" s="72"/>
      <c r="O390" s="72"/>
      <c r="P390" s="72"/>
      <c r="Q390" s="72"/>
      <c r="R390" s="72"/>
      <c r="S390" s="72"/>
      <c r="T390" s="72"/>
      <c r="U390" s="72"/>
      <c r="V390" s="72"/>
    </row>
    <row r="391" spans="1:22" s="37" customFormat="1" ht="16.5" customHeight="1" x14ac:dyDescent="0.3">
      <c r="A391" s="72"/>
      <c r="B391" s="72"/>
      <c r="C391" s="72"/>
      <c r="D391" s="72"/>
      <c r="E391" s="72"/>
      <c r="F391" s="72"/>
      <c r="G391" s="72"/>
      <c r="H391" s="72"/>
      <c r="I391" s="72"/>
      <c r="J391" s="72"/>
      <c r="K391" s="72"/>
      <c r="L391" s="72"/>
      <c r="M391" s="72"/>
      <c r="N391" s="72"/>
      <c r="O391" s="72"/>
      <c r="P391" s="72"/>
      <c r="Q391" s="72"/>
      <c r="R391" s="72"/>
      <c r="S391" s="72"/>
      <c r="T391" s="72"/>
      <c r="U391" s="72"/>
      <c r="V391" s="72"/>
    </row>
    <row r="392" spans="1:22" s="37" customFormat="1" ht="16.5" customHeight="1" x14ac:dyDescent="0.3">
      <c r="A392" s="72"/>
      <c r="B392" s="72"/>
      <c r="C392" s="72"/>
      <c r="D392" s="72"/>
      <c r="E392" s="72"/>
      <c r="F392" s="72"/>
      <c r="G392" s="72"/>
      <c r="H392" s="72"/>
      <c r="I392" s="72"/>
      <c r="J392" s="72"/>
      <c r="K392" s="72"/>
      <c r="L392" s="72"/>
      <c r="M392" s="72"/>
      <c r="N392" s="72"/>
      <c r="O392" s="72"/>
      <c r="P392" s="72"/>
      <c r="Q392" s="72"/>
      <c r="R392" s="72"/>
      <c r="S392" s="72"/>
      <c r="T392" s="72"/>
      <c r="U392" s="72"/>
      <c r="V392" s="72"/>
    </row>
    <row r="393" spans="1:22" s="37" customFormat="1" ht="16.5" customHeight="1" x14ac:dyDescent="0.3">
      <c r="A393" s="72"/>
      <c r="B393" s="72"/>
      <c r="C393" s="72"/>
      <c r="D393" s="72"/>
      <c r="E393" s="72"/>
      <c r="F393" s="72"/>
      <c r="G393" s="72"/>
      <c r="H393" s="72"/>
      <c r="I393" s="72"/>
      <c r="J393" s="72"/>
      <c r="K393" s="72"/>
      <c r="L393" s="72"/>
      <c r="M393" s="72"/>
      <c r="N393" s="72"/>
      <c r="O393" s="72"/>
      <c r="P393" s="72"/>
      <c r="Q393" s="72"/>
      <c r="R393" s="72"/>
      <c r="S393" s="72"/>
      <c r="T393" s="72"/>
      <c r="U393" s="72"/>
      <c r="V393" s="72"/>
    </row>
    <row r="394" spans="1:22" s="37" customFormat="1" ht="16.5" customHeight="1" x14ac:dyDescent="0.3">
      <c r="A394" s="72"/>
      <c r="B394" s="72"/>
      <c r="C394" s="72"/>
      <c r="D394" s="72"/>
      <c r="E394" s="72"/>
      <c r="F394" s="72"/>
      <c r="G394" s="72"/>
      <c r="H394" s="72"/>
      <c r="I394" s="72"/>
      <c r="J394" s="72"/>
      <c r="K394" s="72"/>
      <c r="L394" s="72"/>
      <c r="M394" s="72"/>
      <c r="N394" s="72"/>
      <c r="O394" s="72"/>
      <c r="P394" s="72"/>
      <c r="Q394" s="72"/>
      <c r="R394" s="72"/>
      <c r="S394" s="72"/>
      <c r="T394" s="72"/>
      <c r="U394" s="72"/>
      <c r="V394" s="72"/>
    </row>
    <row r="395" spans="1:22" s="37" customFormat="1" ht="16.5" customHeight="1" x14ac:dyDescent="0.3">
      <c r="A395" s="72"/>
      <c r="B395" s="72"/>
      <c r="C395" s="72"/>
      <c r="D395" s="72"/>
      <c r="E395" s="72"/>
      <c r="F395" s="72"/>
      <c r="G395" s="72"/>
      <c r="H395" s="72"/>
      <c r="I395" s="72"/>
      <c r="J395" s="72"/>
      <c r="K395" s="72"/>
      <c r="L395" s="72"/>
      <c r="M395" s="72"/>
      <c r="N395" s="72"/>
      <c r="O395" s="72"/>
      <c r="P395" s="72"/>
      <c r="Q395" s="72"/>
      <c r="R395" s="72"/>
      <c r="S395" s="72"/>
      <c r="T395" s="72"/>
      <c r="U395" s="72"/>
      <c r="V395" s="72"/>
    </row>
    <row r="396" spans="1:22" s="37" customFormat="1" ht="16.5" customHeight="1" x14ac:dyDescent="0.3">
      <c r="A396" s="72"/>
      <c r="B396" s="72"/>
      <c r="C396" s="72"/>
      <c r="D396" s="72"/>
      <c r="E396" s="72"/>
      <c r="F396" s="72"/>
      <c r="G396" s="72"/>
      <c r="H396" s="72"/>
      <c r="I396" s="72"/>
      <c r="J396" s="72"/>
      <c r="K396" s="72"/>
      <c r="L396" s="72"/>
      <c r="M396" s="72"/>
      <c r="N396" s="72"/>
      <c r="O396" s="72"/>
      <c r="P396" s="72"/>
      <c r="Q396" s="72"/>
      <c r="R396" s="72"/>
      <c r="S396" s="72"/>
      <c r="T396" s="72"/>
      <c r="U396" s="72"/>
      <c r="V396" s="72"/>
    </row>
    <row r="397" spans="1:22" s="37" customFormat="1" ht="16.5" customHeight="1" x14ac:dyDescent="0.3">
      <c r="A397" s="72"/>
      <c r="B397" s="72"/>
      <c r="C397" s="72"/>
      <c r="D397" s="72"/>
      <c r="E397" s="72"/>
      <c r="F397" s="72"/>
      <c r="G397" s="72"/>
      <c r="H397" s="72"/>
      <c r="I397" s="72"/>
      <c r="J397" s="72"/>
      <c r="K397" s="72"/>
      <c r="L397" s="72"/>
      <c r="M397" s="72"/>
      <c r="N397" s="72"/>
      <c r="O397" s="72"/>
      <c r="P397" s="72"/>
      <c r="Q397" s="72"/>
      <c r="R397" s="72"/>
      <c r="S397" s="72"/>
      <c r="T397" s="72"/>
      <c r="U397" s="72"/>
      <c r="V397" s="72"/>
    </row>
    <row r="398" spans="1:22" s="37" customFormat="1" ht="16.5" customHeight="1" x14ac:dyDescent="0.3">
      <c r="A398" s="72"/>
      <c r="B398" s="72"/>
      <c r="C398" s="72"/>
      <c r="D398" s="72"/>
      <c r="E398" s="72"/>
      <c r="F398" s="72"/>
      <c r="G398" s="72"/>
      <c r="H398" s="72"/>
      <c r="I398" s="72"/>
      <c r="J398" s="72"/>
      <c r="K398" s="72"/>
      <c r="L398" s="72"/>
      <c r="M398" s="72"/>
      <c r="N398" s="72"/>
      <c r="O398" s="72"/>
      <c r="P398" s="72"/>
      <c r="Q398" s="72"/>
      <c r="R398" s="72"/>
      <c r="S398" s="72"/>
      <c r="T398" s="72"/>
      <c r="U398" s="72"/>
      <c r="V398" s="72"/>
    </row>
    <row r="399" spans="1:22" s="37" customFormat="1" ht="16.5" customHeight="1" x14ac:dyDescent="0.3">
      <c r="A399" s="72"/>
      <c r="B399" s="72"/>
      <c r="C399" s="72"/>
      <c r="D399" s="72"/>
      <c r="E399" s="72"/>
      <c r="F399" s="72"/>
      <c r="G399" s="72"/>
      <c r="H399" s="72"/>
      <c r="I399" s="72"/>
      <c r="J399" s="72"/>
      <c r="K399" s="72"/>
      <c r="L399" s="72"/>
      <c r="M399" s="72"/>
      <c r="N399" s="72"/>
      <c r="O399" s="72"/>
      <c r="P399" s="72"/>
      <c r="Q399" s="72"/>
      <c r="R399" s="72"/>
      <c r="S399" s="72"/>
      <c r="T399" s="72"/>
      <c r="U399" s="72"/>
      <c r="V399" s="72"/>
    </row>
    <row r="400" spans="1:22" s="37" customFormat="1" ht="16.5" customHeight="1" x14ac:dyDescent="0.3">
      <c r="A400" s="72"/>
      <c r="B400" s="72"/>
      <c r="C400" s="72"/>
      <c r="D400" s="72"/>
      <c r="E400" s="72"/>
      <c r="F400" s="72"/>
      <c r="G400" s="72"/>
      <c r="H400" s="72"/>
      <c r="I400" s="72"/>
      <c r="J400" s="72"/>
      <c r="K400" s="72"/>
      <c r="L400" s="72"/>
      <c r="M400" s="72"/>
      <c r="N400" s="72"/>
      <c r="O400" s="72"/>
      <c r="P400" s="72"/>
      <c r="Q400" s="72"/>
      <c r="R400" s="72"/>
      <c r="S400" s="72"/>
      <c r="T400" s="72"/>
      <c r="U400" s="72"/>
      <c r="V400" s="72"/>
    </row>
    <row r="401" spans="1:22" s="37" customFormat="1" ht="16.5" customHeight="1" x14ac:dyDescent="0.3">
      <c r="A401" s="72"/>
      <c r="B401" s="72"/>
      <c r="C401" s="72"/>
      <c r="D401" s="72"/>
      <c r="E401" s="72"/>
      <c r="F401" s="72"/>
      <c r="G401" s="72"/>
      <c r="H401" s="72"/>
      <c r="I401" s="72"/>
      <c r="J401" s="72"/>
      <c r="K401" s="72"/>
      <c r="L401" s="72"/>
      <c r="M401" s="72"/>
      <c r="N401" s="72"/>
      <c r="O401" s="72"/>
      <c r="P401" s="72"/>
      <c r="Q401" s="72"/>
      <c r="R401" s="72"/>
      <c r="S401" s="72"/>
      <c r="T401" s="72"/>
      <c r="U401" s="72"/>
      <c r="V401" s="72"/>
    </row>
    <row r="402" spans="1:22" s="37" customFormat="1" ht="16.5" customHeight="1" x14ac:dyDescent="0.3">
      <c r="A402" s="72"/>
      <c r="B402" s="72"/>
      <c r="C402" s="72"/>
      <c r="D402" s="72"/>
      <c r="E402" s="72"/>
      <c r="F402" s="72"/>
      <c r="G402" s="72"/>
      <c r="H402" s="72"/>
      <c r="I402" s="72"/>
      <c r="J402" s="72"/>
      <c r="K402" s="72"/>
      <c r="L402" s="72"/>
      <c r="M402" s="72"/>
      <c r="N402" s="72"/>
      <c r="O402" s="72"/>
      <c r="P402" s="72"/>
      <c r="Q402" s="72"/>
      <c r="R402" s="72"/>
      <c r="S402" s="72"/>
      <c r="T402" s="72"/>
      <c r="U402" s="72"/>
      <c r="V402" s="72"/>
    </row>
    <row r="403" spans="1:22" s="37" customFormat="1" ht="16.5" customHeight="1" x14ac:dyDescent="0.3">
      <c r="A403" s="72"/>
      <c r="B403" s="72"/>
      <c r="C403" s="72"/>
      <c r="D403" s="72"/>
      <c r="E403" s="72"/>
      <c r="F403" s="72"/>
      <c r="G403" s="72"/>
      <c r="H403" s="72"/>
      <c r="I403" s="72"/>
      <c r="J403" s="72"/>
      <c r="K403" s="72"/>
      <c r="L403" s="72"/>
      <c r="M403" s="72"/>
      <c r="N403" s="72"/>
      <c r="O403" s="72"/>
      <c r="P403" s="72"/>
      <c r="Q403" s="72"/>
      <c r="R403" s="72"/>
      <c r="S403" s="72"/>
      <c r="T403" s="72"/>
      <c r="U403" s="72"/>
      <c r="V403" s="72"/>
    </row>
    <row r="404" spans="1:22" s="37" customFormat="1" ht="16.5" customHeight="1" x14ac:dyDescent="0.3">
      <c r="A404" s="72"/>
      <c r="B404" s="72"/>
      <c r="C404" s="72"/>
      <c r="D404" s="72"/>
      <c r="E404" s="72"/>
      <c r="F404" s="72"/>
      <c r="G404" s="72"/>
      <c r="H404" s="72"/>
      <c r="I404" s="72"/>
      <c r="J404" s="72"/>
      <c r="K404" s="72"/>
      <c r="L404" s="72"/>
      <c r="M404" s="72"/>
      <c r="N404" s="72"/>
      <c r="O404" s="72"/>
      <c r="P404" s="72"/>
      <c r="Q404" s="72"/>
      <c r="R404" s="72"/>
      <c r="S404" s="72"/>
      <c r="T404" s="72"/>
      <c r="U404" s="72"/>
      <c r="V404" s="72"/>
    </row>
    <row r="405" spans="1:22" s="37" customFormat="1" ht="16.5" customHeight="1" x14ac:dyDescent="0.3">
      <c r="A405" s="72"/>
      <c r="B405" s="72"/>
      <c r="C405" s="72"/>
      <c r="D405" s="72"/>
      <c r="E405" s="72"/>
      <c r="F405" s="72"/>
      <c r="G405" s="72"/>
      <c r="H405" s="72"/>
      <c r="I405" s="72"/>
      <c r="J405" s="72"/>
      <c r="K405" s="72"/>
      <c r="L405" s="72"/>
      <c r="M405" s="72"/>
      <c r="N405" s="72"/>
      <c r="O405" s="72"/>
      <c r="P405" s="72"/>
      <c r="Q405" s="72"/>
      <c r="R405" s="72"/>
      <c r="S405" s="72"/>
      <c r="T405" s="72"/>
      <c r="U405" s="72"/>
      <c r="V405" s="72"/>
    </row>
    <row r="406" spans="1:22" s="37" customFormat="1" ht="16.5" customHeight="1" x14ac:dyDescent="0.3">
      <c r="A406" s="72"/>
      <c r="B406" s="72"/>
      <c r="C406" s="72"/>
      <c r="D406" s="72"/>
      <c r="E406" s="72"/>
      <c r="F406" s="72"/>
      <c r="G406" s="72"/>
      <c r="H406" s="72"/>
      <c r="I406" s="72"/>
      <c r="J406" s="72"/>
      <c r="K406" s="72"/>
      <c r="L406" s="72"/>
      <c r="M406" s="72"/>
      <c r="N406" s="72"/>
      <c r="O406" s="72"/>
      <c r="P406" s="72"/>
      <c r="Q406" s="72"/>
      <c r="R406" s="72"/>
      <c r="S406" s="72"/>
      <c r="T406" s="72"/>
      <c r="U406" s="72"/>
      <c r="V406" s="72"/>
    </row>
    <row r="407" spans="1:22" s="37" customFormat="1" ht="16.5" customHeight="1" x14ac:dyDescent="0.3">
      <c r="A407" s="72"/>
      <c r="B407" s="72"/>
      <c r="C407" s="72"/>
      <c r="D407" s="72"/>
      <c r="E407" s="72"/>
      <c r="F407" s="72"/>
      <c r="G407" s="72"/>
      <c r="H407" s="72"/>
      <c r="I407" s="72"/>
      <c r="J407" s="72"/>
      <c r="K407" s="72"/>
      <c r="L407" s="72"/>
      <c r="M407" s="72"/>
      <c r="N407" s="72"/>
      <c r="O407" s="72"/>
      <c r="P407" s="72"/>
      <c r="Q407" s="72"/>
      <c r="R407" s="72"/>
      <c r="S407" s="72"/>
      <c r="T407" s="72"/>
      <c r="U407" s="72"/>
      <c r="V407" s="72"/>
    </row>
    <row r="408" spans="1:22" s="37" customFormat="1" ht="16.5" customHeight="1" x14ac:dyDescent="0.3">
      <c r="A408" s="72"/>
      <c r="B408" s="72"/>
      <c r="C408" s="72"/>
      <c r="D408" s="72"/>
      <c r="E408" s="72"/>
      <c r="F408" s="72"/>
      <c r="G408" s="72"/>
      <c r="H408" s="72"/>
      <c r="I408" s="72"/>
      <c r="J408" s="72"/>
      <c r="K408" s="72"/>
      <c r="L408" s="72"/>
      <c r="M408" s="72"/>
      <c r="N408" s="72"/>
      <c r="O408" s="72"/>
      <c r="P408" s="72"/>
      <c r="Q408" s="72"/>
      <c r="R408" s="72"/>
      <c r="S408" s="72"/>
      <c r="T408" s="72"/>
      <c r="U408" s="72"/>
      <c r="V408" s="72"/>
    </row>
    <row r="409" spans="1:22" s="37" customFormat="1" ht="16.5" customHeight="1" x14ac:dyDescent="0.3">
      <c r="A409" s="72"/>
      <c r="B409" s="72"/>
      <c r="C409" s="72"/>
      <c r="D409" s="72"/>
      <c r="E409" s="72"/>
      <c r="F409" s="72"/>
      <c r="G409" s="72"/>
      <c r="H409" s="72"/>
      <c r="I409" s="72"/>
      <c r="J409" s="72"/>
      <c r="K409" s="72"/>
      <c r="L409" s="72"/>
      <c r="M409" s="72"/>
      <c r="N409" s="72"/>
      <c r="O409" s="72"/>
      <c r="P409" s="72"/>
      <c r="Q409" s="72"/>
      <c r="R409" s="72"/>
      <c r="S409" s="72"/>
      <c r="T409" s="72"/>
      <c r="U409" s="72"/>
      <c r="V409" s="72"/>
    </row>
    <row r="410" spans="1:22" s="37" customFormat="1" ht="16.5" customHeight="1" x14ac:dyDescent="0.3">
      <c r="A410" s="72"/>
      <c r="B410" s="72"/>
      <c r="C410" s="72"/>
      <c r="D410" s="72"/>
      <c r="E410" s="72"/>
      <c r="F410" s="72"/>
      <c r="G410" s="72"/>
      <c r="H410" s="72"/>
      <c r="I410" s="72"/>
      <c r="J410" s="72"/>
      <c r="K410" s="72"/>
      <c r="L410" s="72"/>
      <c r="M410" s="72"/>
      <c r="N410" s="72"/>
      <c r="O410" s="72"/>
      <c r="P410" s="72"/>
      <c r="Q410" s="72"/>
      <c r="R410" s="72"/>
      <c r="S410" s="72"/>
      <c r="T410" s="72"/>
      <c r="U410" s="72"/>
      <c r="V410" s="72"/>
    </row>
    <row r="411" spans="1:22" s="37" customFormat="1" ht="16.5" customHeight="1" x14ac:dyDescent="0.3">
      <c r="A411" s="72"/>
      <c r="B411" s="72"/>
      <c r="C411" s="72"/>
      <c r="D411" s="72"/>
      <c r="E411" s="72"/>
      <c r="F411" s="72"/>
      <c r="G411" s="72"/>
      <c r="H411" s="72"/>
      <c r="I411" s="72"/>
      <c r="J411" s="72"/>
      <c r="K411" s="72"/>
      <c r="L411" s="72"/>
      <c r="M411" s="72"/>
      <c r="N411" s="72"/>
      <c r="O411" s="72"/>
      <c r="P411" s="72"/>
      <c r="Q411" s="72"/>
      <c r="R411" s="72"/>
      <c r="S411" s="72"/>
      <c r="T411" s="72"/>
      <c r="U411" s="72"/>
      <c r="V411" s="72"/>
    </row>
    <row r="412" spans="1:22" s="37" customFormat="1" ht="16.5" customHeight="1" x14ac:dyDescent="0.3">
      <c r="A412" s="72"/>
      <c r="B412" s="72"/>
      <c r="C412" s="72"/>
      <c r="D412" s="72"/>
      <c r="E412" s="72"/>
      <c r="F412" s="72"/>
      <c r="G412" s="72"/>
      <c r="H412" s="72"/>
      <c r="I412" s="72"/>
      <c r="J412" s="72"/>
      <c r="K412" s="72"/>
      <c r="L412" s="72"/>
      <c r="M412" s="72"/>
      <c r="N412" s="72"/>
      <c r="O412" s="72"/>
      <c r="P412" s="72"/>
      <c r="Q412" s="72"/>
      <c r="R412" s="72"/>
      <c r="S412" s="72"/>
      <c r="T412" s="72"/>
      <c r="U412" s="72"/>
      <c r="V412" s="72"/>
    </row>
    <row r="413" spans="1:22" s="37" customFormat="1" ht="16.5" customHeight="1" x14ac:dyDescent="0.3">
      <c r="A413" s="72"/>
      <c r="B413" s="72"/>
      <c r="C413" s="72"/>
      <c r="D413" s="72"/>
      <c r="E413" s="72"/>
      <c r="F413" s="72"/>
      <c r="G413" s="72"/>
      <c r="H413" s="72"/>
      <c r="I413" s="72"/>
      <c r="J413" s="72"/>
      <c r="K413" s="72"/>
      <c r="L413" s="72"/>
      <c r="M413" s="72"/>
      <c r="N413" s="72"/>
      <c r="O413" s="72"/>
      <c r="P413" s="72"/>
      <c r="Q413" s="72"/>
      <c r="R413" s="72"/>
      <c r="S413" s="72"/>
      <c r="T413" s="72"/>
      <c r="U413" s="72"/>
      <c r="V413" s="72"/>
    </row>
    <row r="414" spans="1:22" s="37" customFormat="1" ht="16.5" customHeight="1" x14ac:dyDescent="0.3">
      <c r="A414" s="72"/>
      <c r="B414" s="72"/>
      <c r="C414" s="72"/>
      <c r="D414" s="72"/>
      <c r="E414" s="72"/>
      <c r="F414" s="72"/>
      <c r="G414" s="72"/>
      <c r="H414" s="72"/>
      <c r="I414" s="72"/>
      <c r="J414" s="72"/>
      <c r="K414" s="72"/>
      <c r="L414" s="72"/>
      <c r="M414" s="72"/>
      <c r="N414" s="72"/>
      <c r="O414" s="72"/>
      <c r="P414" s="72"/>
      <c r="Q414" s="72"/>
      <c r="R414" s="72"/>
      <c r="S414" s="72"/>
      <c r="T414" s="72"/>
      <c r="U414" s="72"/>
      <c r="V414" s="72"/>
    </row>
    <row r="415" spans="1:22" s="37" customFormat="1" ht="16.5" customHeight="1" x14ac:dyDescent="0.3">
      <c r="A415" s="72"/>
      <c r="B415" s="72"/>
      <c r="C415" s="72"/>
      <c r="D415" s="72"/>
      <c r="E415" s="72"/>
      <c r="F415" s="72"/>
      <c r="G415" s="72"/>
      <c r="H415" s="72"/>
      <c r="I415" s="72"/>
      <c r="J415" s="72"/>
      <c r="K415" s="72"/>
      <c r="L415" s="72"/>
      <c r="M415" s="72"/>
      <c r="N415" s="72"/>
      <c r="O415" s="72"/>
      <c r="P415" s="72"/>
      <c r="Q415" s="72"/>
      <c r="R415" s="72"/>
      <c r="S415" s="72"/>
      <c r="T415" s="72"/>
      <c r="U415" s="72"/>
      <c r="V415" s="72"/>
    </row>
    <row r="416" spans="1:22" s="37" customFormat="1" ht="16.5" customHeight="1" x14ac:dyDescent="0.3">
      <c r="A416" s="72"/>
      <c r="B416" s="72"/>
      <c r="C416" s="72"/>
      <c r="D416" s="72"/>
      <c r="E416" s="72"/>
      <c r="F416" s="72"/>
      <c r="G416" s="72"/>
      <c r="H416" s="72"/>
      <c r="I416" s="72"/>
      <c r="J416" s="72"/>
      <c r="K416" s="72"/>
      <c r="L416" s="72"/>
      <c r="M416" s="72"/>
      <c r="N416" s="72"/>
      <c r="O416" s="72"/>
      <c r="P416" s="72"/>
      <c r="Q416" s="72"/>
      <c r="R416" s="72"/>
      <c r="S416" s="72"/>
      <c r="T416" s="72"/>
      <c r="U416" s="72"/>
      <c r="V416" s="72"/>
    </row>
    <row r="417" spans="1:22" s="37" customFormat="1" ht="16.5" customHeight="1" x14ac:dyDescent="0.3">
      <c r="A417" s="72"/>
      <c r="B417" s="72"/>
      <c r="C417" s="72"/>
      <c r="D417" s="72"/>
      <c r="E417" s="72"/>
      <c r="F417" s="72"/>
      <c r="G417" s="72"/>
      <c r="H417" s="72"/>
      <c r="I417" s="72"/>
      <c r="J417" s="72"/>
      <c r="K417" s="72"/>
      <c r="L417" s="72"/>
      <c r="M417" s="72"/>
      <c r="N417" s="72"/>
      <c r="O417" s="72"/>
      <c r="P417" s="72"/>
      <c r="Q417" s="72"/>
      <c r="R417" s="72"/>
      <c r="S417" s="72"/>
      <c r="T417" s="72"/>
      <c r="U417" s="72"/>
      <c r="V417" s="72"/>
    </row>
    <row r="418" spans="1:22" s="37" customFormat="1" ht="16.5" customHeight="1" x14ac:dyDescent="0.3">
      <c r="A418" s="72"/>
      <c r="B418" s="72"/>
      <c r="C418" s="72"/>
      <c r="D418" s="72"/>
      <c r="E418" s="72"/>
      <c r="F418" s="72"/>
      <c r="G418" s="72"/>
      <c r="H418" s="72"/>
      <c r="I418" s="72"/>
      <c r="J418" s="72"/>
      <c r="K418" s="72"/>
      <c r="L418" s="72"/>
      <c r="M418" s="72"/>
      <c r="N418" s="72"/>
      <c r="O418" s="72"/>
      <c r="P418" s="72"/>
      <c r="Q418" s="72"/>
      <c r="R418" s="72"/>
      <c r="S418" s="72"/>
      <c r="T418" s="72"/>
      <c r="U418" s="72"/>
      <c r="V418" s="72"/>
    </row>
    <row r="419" spans="1:22" s="37" customFormat="1" ht="16.5" customHeight="1" x14ac:dyDescent="0.3">
      <c r="A419" s="72"/>
      <c r="B419" s="72"/>
      <c r="C419" s="72"/>
      <c r="D419" s="72"/>
      <c r="E419" s="72"/>
      <c r="F419" s="72"/>
      <c r="G419" s="72"/>
      <c r="H419" s="72"/>
      <c r="I419" s="72"/>
      <c r="J419" s="72"/>
      <c r="K419" s="72"/>
      <c r="L419" s="72"/>
      <c r="M419" s="72"/>
      <c r="N419" s="72"/>
      <c r="O419" s="72"/>
      <c r="P419" s="72"/>
      <c r="Q419" s="72"/>
      <c r="R419" s="72"/>
      <c r="S419" s="72"/>
      <c r="T419" s="72"/>
      <c r="U419" s="72"/>
      <c r="V419" s="72"/>
    </row>
    <row r="420" spans="1:22" s="37" customFormat="1" ht="16.5" customHeight="1" x14ac:dyDescent="0.3">
      <c r="A420" s="72"/>
      <c r="B420" s="72"/>
      <c r="C420" s="72"/>
      <c r="D420" s="72"/>
      <c r="E420" s="72"/>
      <c r="F420" s="72"/>
      <c r="G420" s="72"/>
      <c r="H420" s="72"/>
      <c r="I420" s="72"/>
      <c r="J420" s="72"/>
      <c r="K420" s="72"/>
      <c r="L420" s="72"/>
      <c r="M420" s="72"/>
      <c r="N420" s="72"/>
      <c r="O420" s="72"/>
      <c r="P420" s="72"/>
      <c r="Q420" s="72"/>
      <c r="R420" s="72"/>
      <c r="S420" s="72"/>
      <c r="T420" s="72"/>
      <c r="U420" s="72"/>
      <c r="V420" s="72"/>
    </row>
    <row r="421" spans="1:22" s="37" customFormat="1" ht="16.5" customHeight="1" x14ac:dyDescent="0.3">
      <c r="A421" s="72"/>
      <c r="B421" s="72"/>
      <c r="C421" s="72"/>
      <c r="D421" s="72"/>
      <c r="E421" s="72"/>
      <c r="F421" s="72"/>
      <c r="G421" s="72"/>
      <c r="H421" s="72"/>
      <c r="I421" s="72"/>
      <c r="J421" s="72"/>
      <c r="K421" s="72"/>
      <c r="L421" s="72"/>
      <c r="M421" s="72"/>
      <c r="N421" s="72"/>
      <c r="O421" s="72"/>
      <c r="P421" s="72"/>
      <c r="Q421" s="72"/>
      <c r="R421" s="72"/>
      <c r="S421" s="72"/>
      <c r="T421" s="72"/>
      <c r="U421" s="72"/>
      <c r="V421" s="72"/>
    </row>
    <row r="422" spans="1:22" s="37" customFormat="1" ht="16.5" customHeight="1" x14ac:dyDescent="0.3">
      <c r="A422" s="72"/>
      <c r="B422" s="72"/>
      <c r="C422" s="72"/>
      <c r="D422" s="72"/>
      <c r="E422" s="72"/>
      <c r="F422" s="72"/>
      <c r="G422" s="72"/>
      <c r="H422" s="72"/>
      <c r="I422" s="72"/>
      <c r="J422" s="72"/>
      <c r="K422" s="72"/>
      <c r="L422" s="72"/>
      <c r="M422" s="72"/>
      <c r="N422" s="72"/>
      <c r="O422" s="72"/>
      <c r="P422" s="72"/>
      <c r="Q422" s="72"/>
      <c r="R422" s="72"/>
      <c r="S422" s="72"/>
      <c r="T422" s="72"/>
      <c r="U422" s="72"/>
      <c r="V422" s="72"/>
    </row>
    <row r="423" spans="1:22" s="37" customFormat="1" ht="16.5" customHeight="1" x14ac:dyDescent="0.3">
      <c r="A423" s="72"/>
      <c r="B423" s="72"/>
      <c r="C423" s="72"/>
      <c r="D423" s="72"/>
      <c r="E423" s="72"/>
      <c r="F423" s="72"/>
      <c r="G423" s="72"/>
      <c r="H423" s="72"/>
      <c r="I423" s="72"/>
      <c r="J423" s="72"/>
      <c r="K423" s="72"/>
      <c r="L423" s="72"/>
      <c r="M423" s="72"/>
      <c r="N423" s="72"/>
      <c r="O423" s="72"/>
      <c r="P423" s="72"/>
      <c r="Q423" s="72"/>
      <c r="R423" s="72"/>
      <c r="S423" s="72"/>
      <c r="T423" s="72"/>
      <c r="U423" s="72"/>
      <c r="V423" s="72"/>
    </row>
    <row r="424" spans="1:22" s="37" customFormat="1" ht="16.5" customHeight="1" x14ac:dyDescent="0.3">
      <c r="A424" s="72"/>
      <c r="B424" s="72"/>
      <c r="C424" s="72"/>
      <c r="D424" s="72"/>
      <c r="E424" s="72"/>
      <c r="F424" s="72"/>
      <c r="G424" s="72"/>
      <c r="H424" s="72"/>
      <c r="I424" s="72"/>
      <c r="J424" s="72"/>
      <c r="K424" s="72"/>
      <c r="L424" s="72"/>
      <c r="M424" s="72"/>
      <c r="N424" s="72"/>
      <c r="O424" s="72"/>
      <c r="P424" s="72"/>
      <c r="Q424" s="72"/>
      <c r="R424" s="72"/>
      <c r="S424" s="72"/>
      <c r="T424" s="72"/>
      <c r="U424" s="72"/>
      <c r="V424" s="72"/>
    </row>
    <row r="425" spans="1:22" s="37" customFormat="1" ht="16.5" customHeight="1" x14ac:dyDescent="0.3">
      <c r="A425" s="72"/>
      <c r="B425" s="72"/>
      <c r="C425" s="72"/>
      <c r="D425" s="72"/>
      <c r="E425" s="72"/>
      <c r="F425" s="72"/>
      <c r="G425" s="72"/>
      <c r="H425" s="72"/>
      <c r="I425" s="72"/>
      <c r="J425" s="72"/>
      <c r="K425" s="72"/>
      <c r="L425" s="72"/>
      <c r="M425" s="72"/>
      <c r="N425" s="72"/>
      <c r="O425" s="72"/>
      <c r="P425" s="72"/>
      <c r="Q425" s="72"/>
      <c r="R425" s="72"/>
      <c r="S425" s="72"/>
      <c r="T425" s="72"/>
      <c r="U425" s="72"/>
      <c r="V425" s="72"/>
    </row>
    <row r="426" spans="1:22" s="37" customFormat="1" ht="16.5" customHeight="1" x14ac:dyDescent="0.3">
      <c r="A426" s="72"/>
      <c r="B426" s="72"/>
      <c r="C426" s="72"/>
      <c r="D426" s="72"/>
      <c r="E426" s="72"/>
      <c r="F426" s="72"/>
      <c r="G426" s="72"/>
      <c r="H426" s="72"/>
      <c r="I426" s="72"/>
      <c r="J426" s="72"/>
      <c r="K426" s="72"/>
      <c r="L426" s="72"/>
      <c r="M426" s="72"/>
      <c r="N426" s="72"/>
      <c r="O426" s="72"/>
      <c r="P426" s="72"/>
      <c r="Q426" s="72"/>
      <c r="R426" s="72"/>
      <c r="S426" s="72"/>
      <c r="T426" s="72"/>
      <c r="U426" s="72"/>
      <c r="V426" s="72"/>
    </row>
    <row r="427" spans="1:22" s="37" customFormat="1" ht="16.5" customHeight="1" x14ac:dyDescent="0.3">
      <c r="A427" s="72"/>
      <c r="B427" s="72"/>
      <c r="C427" s="72"/>
      <c r="D427" s="72"/>
      <c r="E427" s="72"/>
      <c r="F427" s="72"/>
      <c r="G427" s="72"/>
      <c r="H427" s="72"/>
      <c r="I427" s="72"/>
      <c r="J427" s="72"/>
      <c r="K427" s="72"/>
      <c r="L427" s="72"/>
      <c r="M427" s="72"/>
      <c r="N427" s="72"/>
      <c r="O427" s="72"/>
      <c r="P427" s="72"/>
      <c r="Q427" s="72"/>
      <c r="R427" s="72"/>
      <c r="S427" s="72"/>
      <c r="T427" s="72"/>
      <c r="U427" s="72"/>
      <c r="V427" s="72"/>
    </row>
    <row r="428" spans="1:22" s="37" customFormat="1" ht="16.5" customHeight="1" x14ac:dyDescent="0.3">
      <c r="A428" s="72"/>
      <c r="B428" s="72"/>
      <c r="C428" s="72"/>
      <c r="D428" s="72"/>
      <c r="E428" s="72"/>
      <c r="F428" s="72"/>
      <c r="G428" s="72"/>
      <c r="H428" s="72"/>
      <c r="I428" s="72"/>
      <c r="J428" s="72"/>
      <c r="K428" s="72"/>
      <c r="L428" s="72"/>
      <c r="M428" s="72"/>
      <c r="N428" s="72"/>
      <c r="O428" s="72"/>
      <c r="P428" s="72"/>
      <c r="Q428" s="72"/>
      <c r="R428" s="72"/>
      <c r="S428" s="72"/>
      <c r="T428" s="72"/>
      <c r="U428" s="72"/>
      <c r="V428" s="72"/>
    </row>
    <row r="429" spans="1:22" s="37" customFormat="1" ht="16.5" customHeight="1" x14ac:dyDescent="0.3">
      <c r="A429" s="72"/>
      <c r="B429" s="72"/>
      <c r="C429" s="72"/>
      <c r="D429" s="72"/>
      <c r="E429" s="72"/>
      <c r="F429" s="72"/>
      <c r="G429" s="72"/>
      <c r="H429" s="72"/>
      <c r="I429" s="72"/>
      <c r="J429" s="72"/>
      <c r="K429" s="72"/>
      <c r="L429" s="72"/>
      <c r="M429" s="72"/>
      <c r="N429" s="72"/>
      <c r="O429" s="72"/>
      <c r="P429" s="72"/>
      <c r="Q429" s="72"/>
      <c r="R429" s="72"/>
      <c r="S429" s="72"/>
      <c r="T429" s="72"/>
      <c r="U429" s="72"/>
      <c r="V429" s="72"/>
    </row>
    <row r="430" spans="1:22" s="37" customFormat="1" ht="16.5" customHeight="1" x14ac:dyDescent="0.3">
      <c r="A430" s="72"/>
      <c r="B430" s="72"/>
      <c r="C430" s="72"/>
      <c r="D430" s="72"/>
      <c r="E430" s="72"/>
      <c r="F430" s="72"/>
      <c r="G430" s="72"/>
      <c r="H430" s="72"/>
      <c r="I430" s="72"/>
      <c r="J430" s="72"/>
      <c r="K430" s="72"/>
      <c r="L430" s="72"/>
      <c r="M430" s="72"/>
      <c r="N430" s="72"/>
      <c r="O430" s="72"/>
      <c r="P430" s="72"/>
      <c r="Q430" s="72"/>
      <c r="R430" s="72"/>
      <c r="S430" s="72"/>
      <c r="T430" s="72"/>
      <c r="U430" s="72"/>
      <c r="V430" s="72"/>
    </row>
    <row r="431" spans="1:22" s="37" customFormat="1" ht="16.5" customHeight="1" x14ac:dyDescent="0.3">
      <c r="A431" s="72"/>
      <c r="B431" s="72"/>
      <c r="C431" s="72"/>
      <c r="D431" s="72"/>
      <c r="E431" s="72"/>
      <c r="F431" s="72"/>
      <c r="G431" s="72"/>
      <c r="H431" s="72"/>
      <c r="I431" s="72"/>
      <c r="J431" s="72"/>
      <c r="K431" s="72"/>
      <c r="L431" s="72"/>
      <c r="M431" s="72"/>
      <c r="N431" s="72"/>
      <c r="O431" s="72"/>
      <c r="P431" s="72"/>
      <c r="Q431" s="72"/>
      <c r="R431" s="72"/>
      <c r="S431" s="72"/>
      <c r="T431" s="72"/>
      <c r="U431" s="72"/>
      <c r="V431" s="72"/>
    </row>
    <row r="432" spans="1:22" s="37" customFormat="1" ht="16.5" customHeight="1" x14ac:dyDescent="0.3">
      <c r="A432" s="72"/>
      <c r="B432" s="72"/>
      <c r="C432" s="72"/>
      <c r="D432" s="72"/>
      <c r="E432" s="72"/>
      <c r="F432" s="72"/>
      <c r="G432" s="72"/>
      <c r="H432" s="72"/>
      <c r="I432" s="72"/>
      <c r="J432" s="72"/>
      <c r="K432" s="72"/>
      <c r="L432" s="72"/>
      <c r="M432" s="72"/>
      <c r="N432" s="72"/>
      <c r="O432" s="72"/>
      <c r="P432" s="72"/>
      <c r="Q432" s="72"/>
      <c r="R432" s="72"/>
      <c r="S432" s="72"/>
      <c r="T432" s="72"/>
      <c r="U432" s="72"/>
      <c r="V432" s="72"/>
    </row>
    <row r="433" spans="1:22" s="37" customFormat="1" ht="16.5" customHeight="1" x14ac:dyDescent="0.3">
      <c r="A433" s="72"/>
      <c r="B433" s="72"/>
      <c r="C433" s="72"/>
      <c r="D433" s="72"/>
      <c r="E433" s="72"/>
      <c r="F433" s="72"/>
      <c r="G433" s="72"/>
      <c r="H433" s="72"/>
      <c r="I433" s="72"/>
      <c r="J433" s="72"/>
      <c r="K433" s="72"/>
      <c r="L433" s="72"/>
      <c r="M433" s="72"/>
      <c r="N433" s="72"/>
      <c r="O433" s="72"/>
      <c r="P433" s="72"/>
      <c r="Q433" s="72"/>
      <c r="R433" s="72"/>
      <c r="S433" s="72"/>
      <c r="T433" s="72"/>
      <c r="U433" s="72"/>
      <c r="V433" s="72"/>
    </row>
    <row r="434" spans="1:22" s="37" customFormat="1" ht="16.5" customHeight="1" x14ac:dyDescent="0.3">
      <c r="A434" s="72"/>
      <c r="B434" s="72"/>
      <c r="C434" s="72"/>
      <c r="D434" s="72"/>
      <c r="E434" s="72"/>
      <c r="F434" s="72"/>
      <c r="G434" s="72"/>
      <c r="H434" s="72"/>
      <c r="I434" s="72"/>
      <c r="J434" s="72"/>
      <c r="K434" s="72"/>
      <c r="L434" s="72"/>
      <c r="M434" s="72"/>
      <c r="N434" s="72"/>
      <c r="O434" s="72"/>
      <c r="P434" s="72"/>
      <c r="Q434" s="72"/>
      <c r="R434" s="72"/>
      <c r="S434" s="72"/>
      <c r="T434" s="72"/>
      <c r="U434" s="72"/>
      <c r="V434" s="72"/>
    </row>
    <row r="435" spans="1:22" s="37" customFormat="1" ht="16.5" customHeight="1" x14ac:dyDescent="0.3">
      <c r="A435" s="72"/>
      <c r="B435" s="72"/>
      <c r="C435" s="72"/>
      <c r="D435" s="72"/>
      <c r="E435" s="72"/>
      <c r="F435" s="72"/>
      <c r="G435" s="72"/>
      <c r="H435" s="72"/>
      <c r="I435" s="72"/>
      <c r="J435" s="72"/>
      <c r="K435" s="72"/>
      <c r="L435" s="72"/>
      <c r="M435" s="72"/>
      <c r="N435" s="72"/>
      <c r="O435" s="72"/>
      <c r="P435" s="72"/>
      <c r="Q435" s="72"/>
      <c r="R435" s="72"/>
      <c r="S435" s="72"/>
      <c r="T435" s="72"/>
      <c r="U435" s="72"/>
      <c r="V435" s="72"/>
    </row>
    <row r="436" spans="1:22" s="37" customFormat="1" ht="16.5" customHeight="1" x14ac:dyDescent="0.3">
      <c r="A436" s="72"/>
      <c r="B436" s="72"/>
      <c r="C436" s="72"/>
      <c r="D436" s="72"/>
      <c r="E436" s="72"/>
      <c r="F436" s="72"/>
      <c r="G436" s="72"/>
      <c r="H436" s="72"/>
      <c r="I436" s="72"/>
      <c r="J436" s="72"/>
      <c r="K436" s="72"/>
      <c r="L436" s="72"/>
      <c r="M436" s="72"/>
      <c r="N436" s="72"/>
      <c r="O436" s="72"/>
      <c r="P436" s="72"/>
      <c r="Q436" s="72"/>
      <c r="R436" s="72"/>
      <c r="S436" s="72"/>
      <c r="T436" s="72"/>
      <c r="U436" s="72"/>
      <c r="V436" s="72"/>
    </row>
    <row r="437" spans="1:22" s="37" customFormat="1" ht="16.5" customHeight="1" x14ac:dyDescent="0.3">
      <c r="A437" s="72"/>
      <c r="B437" s="72"/>
      <c r="C437" s="72"/>
      <c r="D437" s="72"/>
      <c r="E437" s="72"/>
      <c r="F437" s="72"/>
      <c r="G437" s="72"/>
      <c r="H437" s="72"/>
      <c r="I437" s="72"/>
      <c r="J437" s="72"/>
      <c r="K437" s="72"/>
      <c r="L437" s="72"/>
      <c r="M437" s="72"/>
      <c r="N437" s="72"/>
      <c r="O437" s="72"/>
      <c r="P437" s="72"/>
      <c r="Q437" s="72"/>
      <c r="R437" s="72"/>
      <c r="S437" s="72"/>
      <c r="T437" s="72"/>
      <c r="U437" s="72"/>
      <c r="V437" s="72"/>
    </row>
    <row r="438" spans="1:22" s="37" customFormat="1" ht="16.5" customHeight="1" x14ac:dyDescent="0.3">
      <c r="A438" s="72"/>
      <c r="B438" s="72"/>
      <c r="C438" s="72"/>
      <c r="D438" s="72"/>
      <c r="E438" s="72"/>
      <c r="F438" s="72"/>
      <c r="G438" s="72"/>
      <c r="H438" s="72"/>
      <c r="I438" s="72"/>
      <c r="J438" s="72"/>
      <c r="K438" s="72"/>
      <c r="L438" s="72"/>
      <c r="M438" s="72"/>
      <c r="N438" s="72"/>
      <c r="O438" s="72"/>
      <c r="P438" s="72"/>
      <c r="Q438" s="72"/>
      <c r="R438" s="72"/>
      <c r="S438" s="72"/>
      <c r="T438" s="72"/>
      <c r="U438" s="72"/>
      <c r="V438" s="72"/>
    </row>
    <row r="439" spans="1:22" s="37" customFormat="1" ht="16.5" customHeight="1" x14ac:dyDescent="0.3">
      <c r="A439" s="72"/>
      <c r="B439" s="72"/>
      <c r="C439" s="72"/>
      <c r="D439" s="72"/>
      <c r="E439" s="72"/>
      <c r="F439" s="72"/>
      <c r="G439" s="72"/>
      <c r="H439" s="72"/>
      <c r="I439" s="72"/>
      <c r="J439" s="72"/>
      <c r="K439" s="72"/>
      <c r="L439" s="72"/>
      <c r="M439" s="72"/>
      <c r="N439" s="72"/>
      <c r="O439" s="72"/>
      <c r="P439" s="72"/>
      <c r="Q439" s="72"/>
      <c r="R439" s="72"/>
      <c r="S439" s="72"/>
      <c r="T439" s="72"/>
      <c r="U439" s="72"/>
      <c r="V439" s="72"/>
    </row>
    <row r="440" spans="1:22" s="37" customFormat="1" ht="16.5" customHeight="1" x14ac:dyDescent="0.3">
      <c r="A440" s="72"/>
      <c r="B440" s="72"/>
      <c r="C440" s="72"/>
      <c r="D440" s="72"/>
      <c r="E440" s="72"/>
      <c r="F440" s="72"/>
      <c r="G440" s="72"/>
      <c r="H440" s="72"/>
      <c r="I440" s="72"/>
      <c r="J440" s="72"/>
      <c r="K440" s="72"/>
      <c r="L440" s="72"/>
      <c r="M440" s="72"/>
      <c r="N440" s="72"/>
      <c r="O440" s="72"/>
      <c r="P440" s="72"/>
      <c r="Q440" s="72"/>
      <c r="R440" s="72"/>
      <c r="S440" s="72"/>
      <c r="T440" s="72"/>
      <c r="U440" s="72"/>
      <c r="V440" s="72"/>
    </row>
    <row r="441" spans="1:22" s="37" customFormat="1" ht="16.5" customHeight="1" x14ac:dyDescent="0.3">
      <c r="A441" s="72"/>
      <c r="B441" s="72"/>
      <c r="C441" s="72"/>
      <c r="D441" s="72"/>
      <c r="E441" s="72"/>
      <c r="F441" s="72"/>
      <c r="G441" s="72"/>
      <c r="H441" s="72"/>
      <c r="I441" s="72"/>
      <c r="J441" s="72"/>
      <c r="K441" s="72"/>
      <c r="L441" s="72"/>
      <c r="M441" s="72"/>
      <c r="N441" s="72"/>
      <c r="O441" s="72"/>
      <c r="P441" s="72"/>
      <c r="Q441" s="72"/>
      <c r="R441" s="72"/>
      <c r="S441" s="72"/>
      <c r="T441" s="72"/>
      <c r="U441" s="72"/>
      <c r="V441" s="72"/>
    </row>
    <row r="442" spans="1:22" s="37" customFormat="1" ht="16.5" customHeight="1" x14ac:dyDescent="0.3">
      <c r="A442" s="72"/>
      <c r="B442" s="72"/>
      <c r="C442" s="72"/>
      <c r="D442" s="72"/>
      <c r="E442" s="72"/>
      <c r="F442" s="72"/>
      <c r="G442" s="72"/>
      <c r="H442" s="72"/>
      <c r="I442" s="72"/>
      <c r="J442" s="72"/>
      <c r="K442" s="72"/>
      <c r="L442" s="72"/>
      <c r="M442" s="72"/>
      <c r="N442" s="72"/>
      <c r="O442" s="72"/>
      <c r="P442" s="72"/>
      <c r="Q442" s="72"/>
      <c r="R442" s="72"/>
      <c r="S442" s="72"/>
      <c r="T442" s="72"/>
      <c r="U442" s="72"/>
      <c r="V442" s="72"/>
    </row>
    <row r="443" spans="1:22" s="37" customFormat="1" ht="16.5" customHeight="1" x14ac:dyDescent="0.3">
      <c r="A443" s="72"/>
      <c r="B443" s="72"/>
      <c r="C443" s="72"/>
      <c r="D443" s="72"/>
      <c r="E443" s="72"/>
      <c r="F443" s="72"/>
      <c r="G443" s="72"/>
      <c r="H443" s="72"/>
      <c r="I443" s="72"/>
      <c r="J443" s="72"/>
      <c r="K443" s="72"/>
      <c r="L443" s="72"/>
      <c r="M443" s="72"/>
      <c r="N443" s="72"/>
      <c r="O443" s="72"/>
      <c r="P443" s="72"/>
      <c r="Q443" s="72"/>
      <c r="R443" s="72"/>
      <c r="S443" s="72"/>
      <c r="T443" s="72"/>
      <c r="U443" s="72"/>
      <c r="V443" s="72"/>
    </row>
    <row r="444" spans="1:22" s="37" customFormat="1" ht="16.5" customHeight="1" x14ac:dyDescent="0.3">
      <c r="A444" s="72"/>
      <c r="B444" s="72"/>
      <c r="C444" s="72"/>
      <c r="D444" s="72"/>
      <c r="E444" s="72"/>
      <c r="F444" s="72"/>
      <c r="G444" s="72"/>
      <c r="H444" s="72"/>
      <c r="I444" s="72"/>
      <c r="J444" s="72"/>
      <c r="K444" s="72"/>
      <c r="L444" s="72"/>
      <c r="M444" s="72"/>
      <c r="N444" s="72"/>
      <c r="O444" s="72"/>
      <c r="P444" s="72"/>
      <c r="Q444" s="72"/>
      <c r="R444" s="72"/>
      <c r="S444" s="72"/>
      <c r="T444" s="72"/>
      <c r="U444" s="72"/>
      <c r="V444" s="72"/>
    </row>
    <row r="445" spans="1:22" s="37" customFormat="1" ht="16.5" customHeight="1" x14ac:dyDescent="0.3">
      <c r="A445" s="72"/>
      <c r="B445" s="72"/>
      <c r="C445" s="72"/>
      <c r="D445" s="72"/>
      <c r="E445" s="72"/>
      <c r="F445" s="72"/>
      <c r="G445" s="72"/>
      <c r="H445" s="72"/>
      <c r="I445" s="72"/>
      <c r="J445" s="72"/>
      <c r="K445" s="72"/>
      <c r="L445" s="72"/>
      <c r="M445" s="72"/>
      <c r="N445" s="72"/>
      <c r="O445" s="72"/>
      <c r="P445" s="72"/>
      <c r="Q445" s="72"/>
      <c r="R445" s="72"/>
      <c r="S445" s="72"/>
      <c r="T445" s="72"/>
      <c r="U445" s="72"/>
      <c r="V445" s="72"/>
    </row>
    <row r="446" spans="1:22" s="37" customFormat="1" ht="16.5" customHeight="1" x14ac:dyDescent="0.3">
      <c r="A446" s="72"/>
      <c r="B446" s="72"/>
      <c r="C446" s="72"/>
      <c r="D446" s="72"/>
      <c r="E446" s="72"/>
      <c r="F446" s="72"/>
      <c r="G446" s="72"/>
      <c r="H446" s="72"/>
      <c r="I446" s="72"/>
      <c r="J446" s="72"/>
      <c r="K446" s="72"/>
      <c r="L446" s="72"/>
      <c r="M446" s="72"/>
      <c r="N446" s="72"/>
      <c r="O446" s="72"/>
      <c r="P446" s="72"/>
      <c r="Q446" s="72"/>
      <c r="R446" s="72"/>
      <c r="S446" s="72"/>
      <c r="T446" s="72"/>
      <c r="U446" s="72"/>
      <c r="V446" s="72"/>
    </row>
    <row r="447" spans="1:22" s="37" customFormat="1" ht="16.5" customHeight="1" x14ac:dyDescent="0.3">
      <c r="A447" s="72"/>
      <c r="B447" s="72"/>
      <c r="C447" s="72"/>
      <c r="D447" s="72"/>
      <c r="E447" s="72"/>
      <c r="F447" s="72"/>
      <c r="G447" s="72"/>
      <c r="H447" s="72"/>
      <c r="I447" s="72"/>
      <c r="J447" s="72"/>
      <c r="K447" s="72"/>
      <c r="L447" s="72"/>
      <c r="M447" s="72"/>
      <c r="N447" s="72"/>
      <c r="O447" s="72"/>
      <c r="P447" s="72"/>
      <c r="Q447" s="72"/>
      <c r="R447" s="72"/>
      <c r="S447" s="72"/>
      <c r="T447" s="72"/>
      <c r="U447" s="72"/>
      <c r="V447" s="72"/>
    </row>
    <row r="448" spans="1:22" s="37" customFormat="1" ht="16.5" customHeight="1" x14ac:dyDescent="0.3">
      <c r="A448" s="72"/>
      <c r="B448" s="72"/>
      <c r="C448" s="72"/>
      <c r="D448" s="72"/>
      <c r="E448" s="72"/>
      <c r="F448" s="72"/>
      <c r="G448" s="72"/>
      <c r="H448" s="72"/>
      <c r="I448" s="72"/>
      <c r="J448" s="72"/>
      <c r="K448" s="72"/>
      <c r="L448" s="72"/>
      <c r="M448" s="72"/>
      <c r="N448" s="72"/>
      <c r="O448" s="72"/>
      <c r="P448" s="72"/>
      <c r="Q448" s="72"/>
      <c r="R448" s="72"/>
      <c r="S448" s="72"/>
      <c r="T448" s="72"/>
      <c r="U448" s="72"/>
      <c r="V448" s="72"/>
    </row>
    <row r="449" spans="1:22" s="37" customFormat="1" ht="16.5" customHeight="1" x14ac:dyDescent="0.3">
      <c r="A449" s="72"/>
      <c r="B449" s="72"/>
      <c r="C449" s="72"/>
      <c r="D449" s="72"/>
      <c r="E449" s="72"/>
      <c r="F449" s="72"/>
      <c r="G449" s="72"/>
      <c r="H449" s="72"/>
      <c r="I449" s="72"/>
      <c r="J449" s="72"/>
      <c r="K449" s="72"/>
      <c r="L449" s="72"/>
      <c r="M449" s="72"/>
      <c r="N449" s="72"/>
      <c r="O449" s="72"/>
      <c r="P449" s="72"/>
      <c r="Q449" s="72"/>
      <c r="R449" s="72"/>
      <c r="S449" s="72"/>
      <c r="T449" s="72"/>
      <c r="U449" s="72"/>
      <c r="V449" s="72"/>
    </row>
    <row r="450" spans="1:22" s="37" customFormat="1" ht="16.5" customHeight="1" x14ac:dyDescent="0.3">
      <c r="A450" s="72"/>
      <c r="B450" s="72"/>
      <c r="C450" s="72"/>
      <c r="D450" s="72"/>
      <c r="E450" s="72"/>
      <c r="F450" s="72"/>
      <c r="G450" s="72"/>
      <c r="H450" s="72"/>
      <c r="I450" s="72"/>
      <c r="J450" s="72"/>
      <c r="K450" s="72"/>
      <c r="L450" s="72"/>
      <c r="M450" s="72"/>
      <c r="N450" s="72"/>
      <c r="O450" s="72"/>
      <c r="P450" s="72"/>
      <c r="Q450" s="72"/>
      <c r="R450" s="72"/>
      <c r="S450" s="72"/>
      <c r="T450" s="72"/>
      <c r="U450" s="72"/>
      <c r="V450" s="72"/>
    </row>
  </sheetData>
  <autoFilter ref="A3:U331">
    <sortState ref="A4:U331">
      <sortCondition descending="1" ref="I3:I258"/>
    </sortState>
  </autoFilter>
  <mergeCells count="3">
    <mergeCell ref="J1:K1"/>
    <mergeCell ref="N1:O1"/>
    <mergeCell ref="Q1:S1"/>
  </mergeCells>
  <phoneticPr fontId="2" type="noConversion"/>
  <conditionalFormatting sqref="N2">
    <cfRule type="cellIs" dxfId="21107" priority="46934" operator="greaterThan">
      <formula>0.9</formula>
    </cfRule>
    <cfRule type="cellIs" dxfId="21106" priority="46935" operator="greaterThan">
      <formula>0.85</formula>
    </cfRule>
  </conditionalFormatting>
  <conditionalFormatting sqref="N4">
    <cfRule type="cellIs" dxfId="21105" priority="6295" operator="greaterThan">
      <formula>0.9</formula>
    </cfRule>
    <cfRule type="cellIs" dxfId="21104" priority="6296" operator="greaterThan">
      <formula>0.85</formula>
    </cfRule>
  </conditionalFormatting>
  <conditionalFormatting sqref="N5">
    <cfRule type="cellIs" dxfId="21103" priority="6277" operator="greaterThan">
      <formula>0.9</formula>
    </cfRule>
    <cfRule type="cellIs" dxfId="21102" priority="6278" operator="greaterThan">
      <formula>0.85</formula>
    </cfRule>
  </conditionalFormatting>
  <conditionalFormatting sqref="N6">
    <cfRule type="cellIs" dxfId="21101" priority="6259" operator="greaterThan">
      <formula>0.9</formula>
    </cfRule>
    <cfRule type="cellIs" dxfId="21100" priority="6260" operator="greaterThan">
      <formula>0.85</formula>
    </cfRule>
  </conditionalFormatting>
  <conditionalFormatting sqref="N7">
    <cfRule type="cellIs" dxfId="21099" priority="6241" operator="greaterThan">
      <formula>0.9</formula>
    </cfRule>
    <cfRule type="cellIs" dxfId="21098" priority="6242" operator="greaterThan">
      <formula>0.85</formula>
    </cfRule>
  </conditionalFormatting>
  <conditionalFormatting sqref="N8">
    <cfRule type="cellIs" dxfId="21097" priority="6223" operator="greaterThan">
      <formula>0.9</formula>
    </cfRule>
    <cfRule type="cellIs" dxfId="21096" priority="6224" operator="greaterThan">
      <formula>0.85</formula>
    </cfRule>
  </conditionalFormatting>
  <conditionalFormatting sqref="N9">
    <cfRule type="cellIs" dxfId="21095" priority="6205" operator="greaterThan">
      <formula>0.9</formula>
    </cfRule>
    <cfRule type="cellIs" dxfId="21094" priority="6206" operator="greaterThan">
      <formula>0.85</formula>
    </cfRule>
  </conditionalFormatting>
  <conditionalFormatting sqref="N10">
    <cfRule type="cellIs" dxfId="21093" priority="6187" operator="greaterThan">
      <formula>0.9</formula>
    </cfRule>
    <cfRule type="cellIs" dxfId="21092" priority="6188" operator="greaterThan">
      <formula>0.85</formula>
    </cfRule>
  </conditionalFormatting>
  <conditionalFormatting sqref="N11">
    <cfRule type="cellIs" dxfId="21091" priority="6169" operator="greaterThan">
      <formula>0.9</formula>
    </cfRule>
    <cfRule type="cellIs" dxfId="21090" priority="6170" operator="greaterThan">
      <formula>0.85</formula>
    </cfRule>
  </conditionalFormatting>
  <conditionalFormatting sqref="N12">
    <cfRule type="cellIs" dxfId="21089" priority="6151" operator="greaterThan">
      <formula>0.9</formula>
    </cfRule>
    <cfRule type="cellIs" dxfId="21088" priority="6152" operator="greaterThan">
      <formula>0.85</formula>
    </cfRule>
  </conditionalFormatting>
  <conditionalFormatting sqref="N13">
    <cfRule type="cellIs" dxfId="21087" priority="6133" operator="greaterThan">
      <formula>0.9</formula>
    </cfRule>
    <cfRule type="cellIs" dxfId="21086" priority="6134" operator="greaterThan">
      <formula>0.85</formula>
    </cfRule>
  </conditionalFormatting>
  <conditionalFormatting sqref="N14">
    <cfRule type="cellIs" dxfId="21085" priority="6115" operator="greaterThan">
      <formula>0.9</formula>
    </cfRule>
    <cfRule type="cellIs" dxfId="21084" priority="6116" operator="greaterThan">
      <formula>0.85</formula>
    </cfRule>
  </conditionalFormatting>
  <conditionalFormatting sqref="N15">
    <cfRule type="cellIs" dxfId="21083" priority="6097" operator="greaterThan">
      <formula>0.9</formula>
    </cfRule>
    <cfRule type="cellIs" dxfId="21082" priority="6098" operator="greaterThan">
      <formula>0.85</formula>
    </cfRule>
  </conditionalFormatting>
  <conditionalFormatting sqref="N16">
    <cfRule type="cellIs" dxfId="21081" priority="6079" operator="greaterThan">
      <formula>0.9</formula>
    </cfRule>
    <cfRule type="cellIs" dxfId="21080" priority="6080" operator="greaterThan">
      <formula>0.85</formula>
    </cfRule>
  </conditionalFormatting>
  <conditionalFormatting sqref="N17">
    <cfRule type="cellIs" dxfId="21079" priority="6061" operator="greaterThan">
      <formula>0.9</formula>
    </cfRule>
    <cfRule type="cellIs" dxfId="21078" priority="6062" operator="greaterThan">
      <formula>0.85</formula>
    </cfRule>
  </conditionalFormatting>
  <conditionalFormatting sqref="N18">
    <cfRule type="cellIs" dxfId="21077" priority="6043" operator="greaterThan">
      <formula>0.9</formula>
    </cfRule>
    <cfRule type="cellIs" dxfId="21076" priority="6044" operator="greaterThan">
      <formula>0.85</formula>
    </cfRule>
  </conditionalFormatting>
  <conditionalFormatting sqref="N19">
    <cfRule type="cellIs" dxfId="21075" priority="6025" operator="greaterThan">
      <formula>0.9</formula>
    </cfRule>
    <cfRule type="cellIs" dxfId="21074" priority="6026" operator="greaterThan">
      <formula>0.85</formula>
    </cfRule>
  </conditionalFormatting>
  <conditionalFormatting sqref="N20">
    <cfRule type="cellIs" dxfId="21073" priority="6007" operator="greaterThan">
      <formula>0.9</formula>
    </cfRule>
    <cfRule type="cellIs" dxfId="21072" priority="6008" operator="greaterThan">
      <formula>0.85</formula>
    </cfRule>
  </conditionalFormatting>
  <conditionalFormatting sqref="N21">
    <cfRule type="cellIs" dxfId="21071" priority="5989" operator="greaterThan">
      <formula>0.9</formula>
    </cfRule>
    <cfRule type="cellIs" dxfId="21070" priority="5990" operator="greaterThan">
      <formula>0.85</formula>
    </cfRule>
  </conditionalFormatting>
  <conditionalFormatting sqref="N22">
    <cfRule type="cellIs" dxfId="21069" priority="5971" operator="greaterThan">
      <formula>0.9</formula>
    </cfRule>
    <cfRule type="cellIs" dxfId="21068" priority="5972" operator="greaterThan">
      <formula>0.85</formula>
    </cfRule>
  </conditionalFormatting>
  <conditionalFormatting sqref="N23">
    <cfRule type="cellIs" dxfId="21067" priority="5953" operator="greaterThan">
      <formula>0.9</formula>
    </cfRule>
    <cfRule type="cellIs" dxfId="21066" priority="5954" operator="greaterThan">
      <formula>0.85</formula>
    </cfRule>
  </conditionalFormatting>
  <conditionalFormatting sqref="N24">
    <cfRule type="cellIs" dxfId="21065" priority="5935" operator="greaterThan">
      <formula>0.9</formula>
    </cfRule>
    <cfRule type="cellIs" dxfId="21064" priority="5936" operator="greaterThan">
      <formula>0.85</formula>
    </cfRule>
  </conditionalFormatting>
  <conditionalFormatting sqref="N25">
    <cfRule type="cellIs" dxfId="21063" priority="5917" operator="greaterThan">
      <formula>0.9</formula>
    </cfRule>
    <cfRule type="cellIs" dxfId="21062" priority="5918" operator="greaterThan">
      <formula>0.85</formula>
    </cfRule>
  </conditionalFormatting>
  <conditionalFormatting sqref="N26">
    <cfRule type="cellIs" dxfId="21061" priority="5899" operator="greaterThan">
      <formula>0.9</formula>
    </cfRule>
    <cfRule type="cellIs" dxfId="21060" priority="5900" operator="greaterThan">
      <formula>0.85</formula>
    </cfRule>
  </conditionalFormatting>
  <conditionalFormatting sqref="N27">
    <cfRule type="cellIs" dxfId="21059" priority="5881" operator="greaterThan">
      <formula>0.9</formula>
    </cfRule>
    <cfRule type="cellIs" dxfId="21058" priority="5882" operator="greaterThan">
      <formula>0.85</formula>
    </cfRule>
  </conditionalFormatting>
  <conditionalFormatting sqref="N28">
    <cfRule type="cellIs" dxfId="21057" priority="5863" operator="greaterThan">
      <formula>0.9</formula>
    </cfRule>
    <cfRule type="cellIs" dxfId="21056" priority="5864" operator="greaterThan">
      <formula>0.85</formula>
    </cfRule>
  </conditionalFormatting>
  <conditionalFormatting sqref="N29">
    <cfRule type="cellIs" dxfId="21055" priority="5845" operator="greaterThan">
      <formula>0.9</formula>
    </cfRule>
    <cfRule type="cellIs" dxfId="21054" priority="5846" operator="greaterThan">
      <formula>0.85</formula>
    </cfRule>
  </conditionalFormatting>
  <conditionalFormatting sqref="N30">
    <cfRule type="cellIs" dxfId="21053" priority="5827" operator="greaterThan">
      <formula>0.9</formula>
    </cfRule>
    <cfRule type="cellIs" dxfId="21052" priority="5828" operator="greaterThan">
      <formula>0.85</formula>
    </cfRule>
  </conditionalFormatting>
  <conditionalFormatting sqref="N31">
    <cfRule type="cellIs" dxfId="21051" priority="5809" operator="greaterThan">
      <formula>0.9</formula>
    </cfRule>
    <cfRule type="cellIs" dxfId="21050" priority="5810" operator="greaterThan">
      <formula>0.85</formula>
    </cfRule>
  </conditionalFormatting>
  <conditionalFormatting sqref="N32">
    <cfRule type="cellIs" dxfId="21049" priority="5791" operator="greaterThan">
      <formula>0.9</formula>
    </cfRule>
    <cfRule type="cellIs" dxfId="21048" priority="5792" operator="greaterThan">
      <formula>0.85</formula>
    </cfRule>
  </conditionalFormatting>
  <conditionalFormatting sqref="N33">
    <cfRule type="cellIs" dxfId="21047" priority="5773" operator="greaterThan">
      <formula>0.9</formula>
    </cfRule>
    <cfRule type="cellIs" dxfId="21046" priority="5774" operator="greaterThan">
      <formula>0.85</formula>
    </cfRule>
  </conditionalFormatting>
  <conditionalFormatting sqref="N34">
    <cfRule type="cellIs" dxfId="21045" priority="5755" operator="greaterThan">
      <formula>0.9</formula>
    </cfRule>
    <cfRule type="cellIs" dxfId="21044" priority="5756" operator="greaterThan">
      <formula>0.85</formula>
    </cfRule>
  </conditionalFormatting>
  <conditionalFormatting sqref="N35">
    <cfRule type="cellIs" dxfId="21043" priority="5737" operator="greaterThan">
      <formula>0.9</formula>
    </cfRule>
    <cfRule type="cellIs" dxfId="21042" priority="5738" operator="greaterThan">
      <formula>0.85</formula>
    </cfRule>
  </conditionalFormatting>
  <conditionalFormatting sqref="N36">
    <cfRule type="cellIs" dxfId="21041" priority="5719" operator="greaterThan">
      <formula>0.9</formula>
    </cfRule>
    <cfRule type="cellIs" dxfId="21040" priority="5720" operator="greaterThan">
      <formula>0.85</formula>
    </cfRule>
  </conditionalFormatting>
  <conditionalFormatting sqref="N37">
    <cfRule type="cellIs" dxfId="21039" priority="5701" operator="greaterThan">
      <formula>0.9</formula>
    </cfRule>
    <cfRule type="cellIs" dxfId="21038" priority="5702" operator="greaterThan">
      <formula>0.85</formula>
    </cfRule>
  </conditionalFormatting>
  <conditionalFormatting sqref="N38">
    <cfRule type="cellIs" dxfId="21037" priority="5683" operator="greaterThan">
      <formula>0.9</formula>
    </cfRule>
    <cfRule type="cellIs" dxfId="21036" priority="5684" operator="greaterThan">
      <formula>0.85</formula>
    </cfRule>
  </conditionalFormatting>
  <conditionalFormatting sqref="N39">
    <cfRule type="cellIs" dxfId="21035" priority="5665" operator="greaterThan">
      <formula>0.9</formula>
    </cfRule>
    <cfRule type="cellIs" dxfId="21034" priority="5666" operator="greaterThan">
      <formula>0.85</formula>
    </cfRule>
  </conditionalFormatting>
  <conditionalFormatting sqref="N40">
    <cfRule type="cellIs" dxfId="21033" priority="5647" operator="greaterThan">
      <formula>0.9</formula>
    </cfRule>
    <cfRule type="cellIs" dxfId="21032" priority="5648" operator="greaterThan">
      <formula>0.85</formula>
    </cfRule>
  </conditionalFormatting>
  <conditionalFormatting sqref="N41">
    <cfRule type="cellIs" dxfId="21031" priority="5629" operator="greaterThan">
      <formula>0.9</formula>
    </cfRule>
    <cfRule type="cellIs" dxfId="21030" priority="5630" operator="greaterThan">
      <formula>0.85</formula>
    </cfRule>
  </conditionalFormatting>
  <conditionalFormatting sqref="N42">
    <cfRule type="cellIs" dxfId="21029" priority="5611" operator="greaterThan">
      <formula>0.9</formula>
    </cfRule>
    <cfRule type="cellIs" dxfId="21028" priority="5612" operator="greaterThan">
      <formula>0.85</formula>
    </cfRule>
  </conditionalFormatting>
  <conditionalFormatting sqref="N43">
    <cfRule type="cellIs" dxfId="21027" priority="5593" operator="greaterThan">
      <formula>0.9</formula>
    </cfRule>
    <cfRule type="cellIs" dxfId="21026" priority="5594" operator="greaterThan">
      <formula>0.85</formula>
    </cfRule>
  </conditionalFormatting>
  <conditionalFormatting sqref="N44">
    <cfRule type="cellIs" dxfId="21025" priority="5575" operator="greaterThan">
      <formula>0.9</formula>
    </cfRule>
    <cfRule type="cellIs" dxfId="21024" priority="5576" operator="greaterThan">
      <formula>0.85</formula>
    </cfRule>
  </conditionalFormatting>
  <conditionalFormatting sqref="N45">
    <cfRule type="cellIs" dxfId="21023" priority="5557" operator="greaterThan">
      <formula>0.9</formula>
    </cfRule>
    <cfRule type="cellIs" dxfId="21022" priority="5558" operator="greaterThan">
      <formula>0.85</formula>
    </cfRule>
  </conditionalFormatting>
  <conditionalFormatting sqref="N46">
    <cfRule type="cellIs" dxfId="21021" priority="5539" operator="greaterThan">
      <formula>0.9</formula>
    </cfRule>
    <cfRule type="cellIs" dxfId="21020" priority="5540" operator="greaterThan">
      <formula>0.85</formula>
    </cfRule>
  </conditionalFormatting>
  <conditionalFormatting sqref="N47">
    <cfRule type="cellIs" dxfId="21019" priority="5521" operator="greaterThan">
      <formula>0.9</formula>
    </cfRule>
    <cfRule type="cellIs" dxfId="21018" priority="5522" operator="greaterThan">
      <formula>0.85</formula>
    </cfRule>
  </conditionalFormatting>
  <conditionalFormatting sqref="N48">
    <cfRule type="cellIs" dxfId="21017" priority="5503" operator="greaterThan">
      <formula>0.9</formula>
    </cfRule>
    <cfRule type="cellIs" dxfId="21016" priority="5504" operator="greaterThan">
      <formula>0.85</formula>
    </cfRule>
  </conditionalFormatting>
  <conditionalFormatting sqref="N49">
    <cfRule type="cellIs" dxfId="21015" priority="5485" operator="greaterThan">
      <formula>0.9</formula>
    </cfRule>
    <cfRule type="cellIs" dxfId="21014" priority="5486" operator="greaterThan">
      <formula>0.85</formula>
    </cfRule>
  </conditionalFormatting>
  <conditionalFormatting sqref="N50">
    <cfRule type="cellIs" dxfId="21013" priority="5467" operator="greaterThan">
      <formula>0.9</formula>
    </cfRule>
    <cfRule type="cellIs" dxfId="21012" priority="5468" operator="greaterThan">
      <formula>0.85</formula>
    </cfRule>
  </conditionalFormatting>
  <conditionalFormatting sqref="N51">
    <cfRule type="cellIs" dxfId="21011" priority="5449" operator="greaterThan">
      <formula>0.9</formula>
    </cfRule>
    <cfRule type="cellIs" dxfId="21010" priority="5450" operator="greaterThan">
      <formula>0.85</formula>
    </cfRule>
  </conditionalFormatting>
  <conditionalFormatting sqref="N52">
    <cfRule type="cellIs" dxfId="21009" priority="5431" operator="greaterThan">
      <formula>0.9</formula>
    </cfRule>
    <cfRule type="cellIs" dxfId="21008" priority="5432" operator="greaterThan">
      <formula>0.85</formula>
    </cfRule>
  </conditionalFormatting>
  <conditionalFormatting sqref="N53">
    <cfRule type="cellIs" dxfId="21007" priority="5413" operator="greaterThan">
      <formula>0.9</formula>
    </cfRule>
    <cfRule type="cellIs" dxfId="21006" priority="5414" operator="greaterThan">
      <formula>0.85</formula>
    </cfRule>
  </conditionalFormatting>
  <conditionalFormatting sqref="N54">
    <cfRule type="cellIs" dxfId="21005" priority="5395" operator="greaterThan">
      <formula>0.9</formula>
    </cfRule>
    <cfRule type="cellIs" dxfId="21004" priority="5396" operator="greaterThan">
      <formula>0.85</formula>
    </cfRule>
  </conditionalFormatting>
  <conditionalFormatting sqref="N55">
    <cfRule type="cellIs" dxfId="21003" priority="5377" operator="greaterThan">
      <formula>0.9</formula>
    </cfRule>
    <cfRule type="cellIs" dxfId="21002" priority="5378" operator="greaterThan">
      <formula>0.85</formula>
    </cfRule>
  </conditionalFormatting>
  <conditionalFormatting sqref="N56">
    <cfRule type="cellIs" dxfId="21001" priority="5359" operator="greaterThan">
      <formula>0.9</formula>
    </cfRule>
    <cfRule type="cellIs" dxfId="21000" priority="5360" operator="greaterThan">
      <formula>0.85</formula>
    </cfRule>
  </conditionalFormatting>
  <conditionalFormatting sqref="N57">
    <cfRule type="cellIs" dxfId="20999" priority="5341" operator="greaterThan">
      <formula>0.9</formula>
    </cfRule>
    <cfRule type="cellIs" dxfId="20998" priority="5342" operator="greaterThan">
      <formula>0.85</formula>
    </cfRule>
  </conditionalFormatting>
  <conditionalFormatting sqref="N58">
    <cfRule type="cellIs" dxfId="20997" priority="5323" operator="greaterThan">
      <formula>0.9</formula>
    </cfRule>
    <cfRule type="cellIs" dxfId="20996" priority="5324" operator="greaterThan">
      <formula>0.85</formula>
    </cfRule>
  </conditionalFormatting>
  <conditionalFormatting sqref="N59">
    <cfRule type="cellIs" dxfId="20995" priority="5305" operator="greaterThan">
      <formula>0.9</formula>
    </cfRule>
    <cfRule type="cellIs" dxfId="20994" priority="5306" operator="greaterThan">
      <formula>0.85</formula>
    </cfRule>
  </conditionalFormatting>
  <conditionalFormatting sqref="N60">
    <cfRule type="cellIs" dxfId="20993" priority="5287" operator="greaterThan">
      <formula>0.9</formula>
    </cfRule>
    <cfRule type="cellIs" dxfId="20992" priority="5288" operator="greaterThan">
      <formula>0.85</formula>
    </cfRule>
  </conditionalFormatting>
  <conditionalFormatting sqref="N61">
    <cfRule type="cellIs" dxfId="20991" priority="5269" operator="greaterThan">
      <formula>0.9</formula>
    </cfRule>
    <cfRule type="cellIs" dxfId="20990" priority="5270" operator="greaterThan">
      <formula>0.85</formula>
    </cfRule>
  </conditionalFormatting>
  <conditionalFormatting sqref="N62">
    <cfRule type="cellIs" dxfId="20989" priority="5251" operator="greaterThan">
      <formula>0.9</formula>
    </cfRule>
    <cfRule type="cellIs" dxfId="20988" priority="5252" operator="greaterThan">
      <formula>0.85</formula>
    </cfRule>
  </conditionalFormatting>
  <conditionalFormatting sqref="N63">
    <cfRule type="cellIs" dxfId="20987" priority="5233" operator="greaterThan">
      <formula>0.9</formula>
    </cfRule>
    <cfRule type="cellIs" dxfId="20986" priority="5234" operator="greaterThan">
      <formula>0.85</formula>
    </cfRule>
  </conditionalFormatting>
  <conditionalFormatting sqref="N64">
    <cfRule type="cellIs" dxfId="20985" priority="5215" operator="greaterThan">
      <formula>0.9</formula>
    </cfRule>
    <cfRule type="cellIs" dxfId="20984" priority="5216" operator="greaterThan">
      <formula>0.85</formula>
    </cfRule>
  </conditionalFormatting>
  <conditionalFormatting sqref="N65">
    <cfRule type="cellIs" dxfId="20983" priority="5197" operator="greaterThan">
      <formula>0.9</formula>
    </cfRule>
    <cfRule type="cellIs" dxfId="20982" priority="5198" operator="greaterThan">
      <formula>0.85</formula>
    </cfRule>
  </conditionalFormatting>
  <conditionalFormatting sqref="N66">
    <cfRule type="cellIs" dxfId="20981" priority="5179" operator="greaterThan">
      <formula>0.9</formula>
    </cfRule>
    <cfRule type="cellIs" dxfId="20980" priority="5180" operator="greaterThan">
      <formula>0.85</formula>
    </cfRule>
  </conditionalFormatting>
  <conditionalFormatting sqref="N67">
    <cfRule type="cellIs" dxfId="20979" priority="5161" operator="greaterThan">
      <formula>0.9</formula>
    </cfRule>
    <cfRule type="cellIs" dxfId="20978" priority="5162" operator="greaterThan">
      <formula>0.85</formula>
    </cfRule>
  </conditionalFormatting>
  <conditionalFormatting sqref="N68">
    <cfRule type="cellIs" dxfId="20977" priority="5143" operator="greaterThan">
      <formula>0.9</formula>
    </cfRule>
    <cfRule type="cellIs" dxfId="20976" priority="5144" operator="greaterThan">
      <formula>0.85</formula>
    </cfRule>
  </conditionalFormatting>
  <conditionalFormatting sqref="N69">
    <cfRule type="cellIs" dxfId="20975" priority="5125" operator="greaterThan">
      <formula>0.9</formula>
    </cfRule>
    <cfRule type="cellIs" dxfId="20974" priority="5126" operator="greaterThan">
      <formula>0.85</formula>
    </cfRule>
  </conditionalFormatting>
  <conditionalFormatting sqref="N70">
    <cfRule type="cellIs" dxfId="20973" priority="5107" operator="greaterThan">
      <formula>0.9</formula>
    </cfRule>
    <cfRule type="cellIs" dxfId="20972" priority="5108" operator="greaterThan">
      <formula>0.85</formula>
    </cfRule>
  </conditionalFormatting>
  <conditionalFormatting sqref="N71">
    <cfRule type="cellIs" dxfId="20971" priority="5089" operator="greaterThan">
      <formula>0.9</formula>
    </cfRule>
    <cfRule type="cellIs" dxfId="20970" priority="5090" operator="greaterThan">
      <formula>0.85</formula>
    </cfRule>
  </conditionalFormatting>
  <conditionalFormatting sqref="N72">
    <cfRule type="cellIs" dxfId="20969" priority="5071" operator="greaterThan">
      <formula>0.9</formula>
    </cfRule>
    <cfRule type="cellIs" dxfId="20968" priority="5072" operator="greaterThan">
      <formula>0.85</formula>
    </cfRule>
  </conditionalFormatting>
  <conditionalFormatting sqref="N73">
    <cfRule type="cellIs" dxfId="20967" priority="5053" operator="greaterThan">
      <formula>0.9</formula>
    </cfRule>
    <cfRule type="cellIs" dxfId="20966" priority="5054" operator="greaterThan">
      <formula>0.85</formula>
    </cfRule>
  </conditionalFormatting>
  <conditionalFormatting sqref="N74">
    <cfRule type="cellIs" dxfId="20965" priority="5035" operator="greaterThan">
      <formula>0.9</formula>
    </cfRule>
    <cfRule type="cellIs" dxfId="20964" priority="5036" operator="greaterThan">
      <formula>0.85</formula>
    </cfRule>
  </conditionalFormatting>
  <conditionalFormatting sqref="N75">
    <cfRule type="cellIs" dxfId="20963" priority="5017" operator="greaterThan">
      <formula>0.9</formula>
    </cfRule>
    <cfRule type="cellIs" dxfId="20962" priority="5018" operator="greaterThan">
      <formula>0.85</formula>
    </cfRule>
  </conditionalFormatting>
  <conditionalFormatting sqref="N76">
    <cfRule type="cellIs" dxfId="20961" priority="4999" operator="greaterThan">
      <formula>0.9</formula>
    </cfRule>
    <cfRule type="cellIs" dxfId="20960" priority="5000" operator="greaterThan">
      <formula>0.85</formula>
    </cfRule>
  </conditionalFormatting>
  <conditionalFormatting sqref="N77">
    <cfRule type="cellIs" dxfId="20959" priority="4981" operator="greaterThan">
      <formula>0.9</formula>
    </cfRule>
    <cfRule type="cellIs" dxfId="20958" priority="4982" operator="greaterThan">
      <formula>0.85</formula>
    </cfRule>
  </conditionalFormatting>
  <conditionalFormatting sqref="N78">
    <cfRule type="cellIs" dxfId="20957" priority="4963" operator="greaterThan">
      <formula>0.9</formula>
    </cfRule>
    <cfRule type="cellIs" dxfId="20956" priority="4964" operator="greaterThan">
      <formula>0.85</formula>
    </cfRule>
  </conditionalFormatting>
  <conditionalFormatting sqref="N79">
    <cfRule type="cellIs" dxfId="20955" priority="4945" operator="greaterThan">
      <formula>0.9</formula>
    </cfRule>
    <cfRule type="cellIs" dxfId="20954" priority="4946" operator="greaterThan">
      <formula>0.85</formula>
    </cfRule>
  </conditionalFormatting>
  <conditionalFormatting sqref="N331">
    <cfRule type="cellIs" dxfId="20953" priority="13" operator="greaterThan">
      <formula>0.9</formula>
    </cfRule>
    <cfRule type="cellIs" dxfId="20952" priority="14" operator="greaterThan">
      <formula>0.85</formula>
    </cfRule>
  </conditionalFormatting>
  <conditionalFormatting sqref="N80">
    <cfRule type="cellIs" dxfId="20951" priority="4909" operator="greaterThan">
      <formula>0.9</formula>
    </cfRule>
    <cfRule type="cellIs" dxfId="20950" priority="4910" operator="greaterThan">
      <formula>0.85</formula>
    </cfRule>
  </conditionalFormatting>
  <conditionalFormatting sqref="N81">
    <cfRule type="cellIs" dxfId="20949" priority="4891" operator="greaterThan">
      <formula>0.9</formula>
    </cfRule>
    <cfRule type="cellIs" dxfId="20948" priority="4892" operator="greaterThan">
      <formula>0.85</formula>
    </cfRule>
  </conditionalFormatting>
  <conditionalFormatting sqref="N82">
    <cfRule type="cellIs" dxfId="20947" priority="4873" operator="greaterThan">
      <formula>0.9</formula>
    </cfRule>
    <cfRule type="cellIs" dxfId="20946" priority="4874" operator="greaterThan">
      <formula>0.85</formula>
    </cfRule>
  </conditionalFormatting>
  <conditionalFormatting sqref="N83">
    <cfRule type="cellIs" dxfId="20945" priority="4855" operator="greaterThan">
      <formula>0.9</formula>
    </cfRule>
    <cfRule type="cellIs" dxfId="20944" priority="4856" operator="greaterThan">
      <formula>0.85</formula>
    </cfRule>
  </conditionalFormatting>
  <conditionalFormatting sqref="N84">
    <cfRule type="cellIs" dxfId="20943" priority="4837" operator="greaterThan">
      <formula>0.9</formula>
    </cfRule>
    <cfRule type="cellIs" dxfId="20942" priority="4838" operator="greaterThan">
      <formula>0.85</formula>
    </cfRule>
  </conditionalFormatting>
  <conditionalFormatting sqref="N85">
    <cfRule type="cellIs" dxfId="20941" priority="4819" operator="greaterThan">
      <formula>0.9</formula>
    </cfRule>
    <cfRule type="cellIs" dxfId="20940" priority="4820" operator="greaterThan">
      <formula>0.85</formula>
    </cfRule>
  </conditionalFormatting>
  <conditionalFormatting sqref="N86">
    <cfRule type="cellIs" dxfId="20939" priority="4801" operator="greaterThan">
      <formula>0.9</formula>
    </cfRule>
    <cfRule type="cellIs" dxfId="20938" priority="4802" operator="greaterThan">
      <formula>0.85</formula>
    </cfRule>
  </conditionalFormatting>
  <conditionalFormatting sqref="N87">
    <cfRule type="cellIs" dxfId="20937" priority="4783" operator="greaterThan">
      <formula>0.9</formula>
    </cfRule>
    <cfRule type="cellIs" dxfId="20936" priority="4784" operator="greaterThan">
      <formula>0.85</formula>
    </cfRule>
  </conditionalFormatting>
  <conditionalFormatting sqref="N88">
    <cfRule type="cellIs" dxfId="20935" priority="4765" operator="greaterThan">
      <formula>0.9</formula>
    </cfRule>
    <cfRule type="cellIs" dxfId="20934" priority="4766" operator="greaterThan">
      <formula>0.85</formula>
    </cfRule>
  </conditionalFormatting>
  <conditionalFormatting sqref="N89">
    <cfRule type="cellIs" dxfId="20933" priority="4729" operator="greaterThan">
      <formula>0.9</formula>
    </cfRule>
    <cfRule type="cellIs" dxfId="20932" priority="4730" operator="greaterThan">
      <formula>0.85</formula>
    </cfRule>
  </conditionalFormatting>
  <conditionalFormatting sqref="N90">
    <cfRule type="cellIs" dxfId="20931" priority="4711" operator="greaterThan">
      <formula>0.9</formula>
    </cfRule>
    <cfRule type="cellIs" dxfId="20930" priority="4712" operator="greaterThan">
      <formula>0.85</formula>
    </cfRule>
  </conditionalFormatting>
  <conditionalFormatting sqref="N91">
    <cfRule type="cellIs" dxfId="20929" priority="4693" operator="greaterThan">
      <formula>0.9</formula>
    </cfRule>
    <cfRule type="cellIs" dxfId="20928" priority="4694" operator="greaterThan">
      <formula>0.85</formula>
    </cfRule>
  </conditionalFormatting>
  <conditionalFormatting sqref="N92">
    <cfRule type="cellIs" dxfId="20927" priority="4675" operator="greaterThan">
      <formula>0.9</formula>
    </cfRule>
    <cfRule type="cellIs" dxfId="20926" priority="4676" operator="greaterThan">
      <formula>0.85</formula>
    </cfRule>
  </conditionalFormatting>
  <conditionalFormatting sqref="N93">
    <cfRule type="cellIs" dxfId="20925" priority="4657" operator="greaterThan">
      <formula>0.9</formula>
    </cfRule>
    <cfRule type="cellIs" dxfId="20924" priority="4658" operator="greaterThan">
      <formula>0.85</formula>
    </cfRule>
  </conditionalFormatting>
  <conditionalFormatting sqref="N94">
    <cfRule type="cellIs" dxfId="20923" priority="4639" operator="greaterThan">
      <formula>0.9</formula>
    </cfRule>
    <cfRule type="cellIs" dxfId="20922" priority="4640" operator="greaterThan">
      <formula>0.85</formula>
    </cfRule>
  </conditionalFormatting>
  <conditionalFormatting sqref="N95">
    <cfRule type="cellIs" dxfId="20921" priority="4621" operator="greaterThan">
      <formula>0.9</formula>
    </cfRule>
    <cfRule type="cellIs" dxfId="20920" priority="4622" operator="greaterThan">
      <formula>0.85</formula>
    </cfRule>
  </conditionalFormatting>
  <conditionalFormatting sqref="N96">
    <cfRule type="cellIs" dxfId="20919" priority="4603" operator="greaterThan">
      <formula>0.9</formula>
    </cfRule>
    <cfRule type="cellIs" dxfId="20918" priority="4604" operator="greaterThan">
      <formula>0.85</formula>
    </cfRule>
  </conditionalFormatting>
  <conditionalFormatting sqref="N97">
    <cfRule type="cellIs" dxfId="20917" priority="4585" operator="greaterThan">
      <formula>0.9</formula>
    </cfRule>
    <cfRule type="cellIs" dxfId="20916" priority="4586" operator="greaterThan">
      <formula>0.85</formula>
    </cfRule>
  </conditionalFormatting>
  <conditionalFormatting sqref="N98">
    <cfRule type="cellIs" dxfId="20915" priority="4567" operator="greaterThan">
      <formula>0.9</formula>
    </cfRule>
    <cfRule type="cellIs" dxfId="20914" priority="4568" operator="greaterThan">
      <formula>0.85</formula>
    </cfRule>
  </conditionalFormatting>
  <conditionalFormatting sqref="N99">
    <cfRule type="cellIs" dxfId="20913" priority="4549" operator="greaterThan">
      <formula>0.9</formula>
    </cfRule>
    <cfRule type="cellIs" dxfId="20912" priority="4550" operator="greaterThan">
      <formula>0.85</formula>
    </cfRule>
  </conditionalFormatting>
  <conditionalFormatting sqref="N100">
    <cfRule type="cellIs" dxfId="20911" priority="4531" operator="greaterThan">
      <formula>0.9</formula>
    </cfRule>
    <cfRule type="cellIs" dxfId="20910" priority="4532" operator="greaterThan">
      <formula>0.85</formula>
    </cfRule>
  </conditionalFormatting>
  <conditionalFormatting sqref="N101">
    <cfRule type="cellIs" dxfId="20909" priority="4513" operator="greaterThan">
      <formula>0.9</formula>
    </cfRule>
    <cfRule type="cellIs" dxfId="20908" priority="4514" operator="greaterThan">
      <formula>0.85</formula>
    </cfRule>
  </conditionalFormatting>
  <conditionalFormatting sqref="N102">
    <cfRule type="cellIs" dxfId="20907" priority="4495" operator="greaterThan">
      <formula>0.9</formula>
    </cfRule>
    <cfRule type="cellIs" dxfId="20906" priority="4496" operator="greaterThan">
      <formula>0.85</formula>
    </cfRule>
  </conditionalFormatting>
  <conditionalFormatting sqref="N103">
    <cfRule type="cellIs" dxfId="20905" priority="4477" operator="greaterThan">
      <formula>0.9</formula>
    </cfRule>
    <cfRule type="cellIs" dxfId="20904" priority="4478" operator="greaterThan">
      <formula>0.85</formula>
    </cfRule>
  </conditionalFormatting>
  <conditionalFormatting sqref="N104">
    <cfRule type="cellIs" dxfId="20903" priority="4459" operator="greaterThan">
      <formula>0.9</formula>
    </cfRule>
    <cfRule type="cellIs" dxfId="20902" priority="4460" operator="greaterThan">
      <formula>0.85</formula>
    </cfRule>
  </conditionalFormatting>
  <conditionalFormatting sqref="N105">
    <cfRule type="cellIs" dxfId="20901" priority="4441" operator="greaterThan">
      <formula>0.9</formula>
    </cfRule>
    <cfRule type="cellIs" dxfId="20900" priority="4442" operator="greaterThan">
      <formula>0.85</formula>
    </cfRule>
  </conditionalFormatting>
  <conditionalFormatting sqref="N106">
    <cfRule type="cellIs" dxfId="20899" priority="4423" operator="greaterThan">
      <formula>0.9</formula>
    </cfRule>
    <cfRule type="cellIs" dxfId="20898" priority="4424" operator="greaterThan">
      <formula>0.85</formula>
    </cfRule>
  </conditionalFormatting>
  <conditionalFormatting sqref="N107">
    <cfRule type="cellIs" dxfId="20897" priority="4405" operator="greaterThan">
      <formula>0.9</formula>
    </cfRule>
    <cfRule type="cellIs" dxfId="20896" priority="4406" operator="greaterThan">
      <formula>0.85</formula>
    </cfRule>
  </conditionalFormatting>
  <conditionalFormatting sqref="N108">
    <cfRule type="cellIs" dxfId="20895" priority="4387" operator="greaterThan">
      <formula>0.9</formula>
    </cfRule>
    <cfRule type="cellIs" dxfId="20894" priority="4388" operator="greaterThan">
      <formula>0.85</formula>
    </cfRule>
  </conditionalFormatting>
  <conditionalFormatting sqref="N109">
    <cfRule type="cellIs" dxfId="20893" priority="4369" operator="greaterThan">
      <formula>0.9</formula>
    </cfRule>
    <cfRule type="cellIs" dxfId="20892" priority="4370" operator="greaterThan">
      <formula>0.85</formula>
    </cfRule>
  </conditionalFormatting>
  <conditionalFormatting sqref="N110">
    <cfRule type="cellIs" dxfId="20891" priority="4351" operator="greaterThan">
      <formula>0.9</formula>
    </cfRule>
    <cfRule type="cellIs" dxfId="20890" priority="4352" operator="greaterThan">
      <formula>0.85</formula>
    </cfRule>
  </conditionalFormatting>
  <conditionalFormatting sqref="N111">
    <cfRule type="cellIs" dxfId="20889" priority="4333" operator="greaterThan">
      <formula>0.9</formula>
    </cfRule>
    <cfRule type="cellIs" dxfId="20888" priority="4334" operator="greaterThan">
      <formula>0.85</formula>
    </cfRule>
  </conditionalFormatting>
  <conditionalFormatting sqref="N112">
    <cfRule type="cellIs" dxfId="20887" priority="4315" operator="greaterThan">
      <formula>0.9</formula>
    </cfRule>
    <cfRule type="cellIs" dxfId="20886" priority="4316" operator="greaterThan">
      <formula>0.85</formula>
    </cfRule>
  </conditionalFormatting>
  <conditionalFormatting sqref="N113">
    <cfRule type="cellIs" dxfId="20885" priority="4297" operator="greaterThan">
      <formula>0.9</formula>
    </cfRule>
    <cfRule type="cellIs" dxfId="20884" priority="4298" operator="greaterThan">
      <formula>0.85</formula>
    </cfRule>
  </conditionalFormatting>
  <conditionalFormatting sqref="N114">
    <cfRule type="cellIs" dxfId="20883" priority="4279" operator="greaterThan">
      <formula>0.9</formula>
    </cfRule>
    <cfRule type="cellIs" dxfId="20882" priority="4280" operator="greaterThan">
      <formula>0.85</formula>
    </cfRule>
  </conditionalFormatting>
  <conditionalFormatting sqref="N115">
    <cfRule type="cellIs" dxfId="20881" priority="4261" operator="greaterThan">
      <formula>0.9</formula>
    </cfRule>
    <cfRule type="cellIs" dxfId="20880" priority="4262" operator="greaterThan">
      <formula>0.85</formula>
    </cfRule>
  </conditionalFormatting>
  <conditionalFormatting sqref="N116">
    <cfRule type="cellIs" dxfId="20879" priority="4243" operator="greaterThan">
      <formula>0.9</formula>
    </cfRule>
    <cfRule type="cellIs" dxfId="20878" priority="4244" operator="greaterThan">
      <formula>0.85</formula>
    </cfRule>
  </conditionalFormatting>
  <conditionalFormatting sqref="N117">
    <cfRule type="cellIs" dxfId="20877" priority="4225" operator="greaterThan">
      <formula>0.9</formula>
    </cfRule>
    <cfRule type="cellIs" dxfId="20876" priority="4226" operator="greaterThan">
      <formula>0.85</formula>
    </cfRule>
  </conditionalFormatting>
  <conditionalFormatting sqref="N118">
    <cfRule type="cellIs" dxfId="20875" priority="4207" operator="greaterThan">
      <formula>0.9</formula>
    </cfRule>
    <cfRule type="cellIs" dxfId="20874" priority="4208" operator="greaterThan">
      <formula>0.85</formula>
    </cfRule>
  </conditionalFormatting>
  <conditionalFormatting sqref="N119">
    <cfRule type="cellIs" dxfId="20873" priority="4189" operator="greaterThan">
      <formula>0.9</formula>
    </cfRule>
    <cfRule type="cellIs" dxfId="20872" priority="4190" operator="greaterThan">
      <formula>0.85</formula>
    </cfRule>
  </conditionalFormatting>
  <conditionalFormatting sqref="N120">
    <cfRule type="cellIs" dxfId="20871" priority="4135" operator="greaterThan">
      <formula>0.9</formula>
    </cfRule>
    <cfRule type="cellIs" dxfId="20870" priority="4136" operator="greaterThan">
      <formula>0.85</formula>
    </cfRule>
  </conditionalFormatting>
  <conditionalFormatting sqref="N121">
    <cfRule type="cellIs" dxfId="20869" priority="4117" operator="greaterThan">
      <formula>0.9</formula>
    </cfRule>
    <cfRule type="cellIs" dxfId="20868" priority="4118" operator="greaterThan">
      <formula>0.85</formula>
    </cfRule>
  </conditionalFormatting>
  <conditionalFormatting sqref="N122">
    <cfRule type="cellIs" dxfId="20867" priority="4099" operator="greaterThan">
      <formula>0.9</formula>
    </cfRule>
    <cfRule type="cellIs" dxfId="20866" priority="4100" operator="greaterThan">
      <formula>0.85</formula>
    </cfRule>
  </conditionalFormatting>
  <conditionalFormatting sqref="N123">
    <cfRule type="cellIs" dxfId="20865" priority="4081" operator="greaterThan">
      <formula>0.9</formula>
    </cfRule>
    <cfRule type="cellIs" dxfId="20864" priority="4082" operator="greaterThan">
      <formula>0.85</formula>
    </cfRule>
  </conditionalFormatting>
  <conditionalFormatting sqref="N124">
    <cfRule type="cellIs" dxfId="20863" priority="4063" operator="greaterThan">
      <formula>0.9</formula>
    </cfRule>
    <cfRule type="cellIs" dxfId="20862" priority="4064" operator="greaterThan">
      <formula>0.85</formula>
    </cfRule>
  </conditionalFormatting>
  <conditionalFormatting sqref="N125">
    <cfRule type="cellIs" dxfId="20861" priority="4045" operator="greaterThan">
      <formula>0.9</formula>
    </cfRule>
    <cfRule type="cellIs" dxfId="20860" priority="4046" operator="greaterThan">
      <formula>0.85</formula>
    </cfRule>
  </conditionalFormatting>
  <conditionalFormatting sqref="N126">
    <cfRule type="cellIs" dxfId="20859" priority="4027" operator="greaterThan">
      <formula>0.9</formula>
    </cfRule>
    <cfRule type="cellIs" dxfId="20858" priority="4028" operator="greaterThan">
      <formula>0.85</formula>
    </cfRule>
  </conditionalFormatting>
  <conditionalFormatting sqref="N127">
    <cfRule type="cellIs" dxfId="20857" priority="4009" operator="greaterThan">
      <formula>0.9</formula>
    </cfRule>
    <cfRule type="cellIs" dxfId="20856" priority="4010" operator="greaterThan">
      <formula>0.85</formula>
    </cfRule>
  </conditionalFormatting>
  <conditionalFormatting sqref="N128">
    <cfRule type="cellIs" dxfId="20855" priority="3991" operator="greaterThan">
      <formula>0.9</formula>
    </cfRule>
    <cfRule type="cellIs" dxfId="20854" priority="3992" operator="greaterThan">
      <formula>0.85</formula>
    </cfRule>
  </conditionalFormatting>
  <conditionalFormatting sqref="N129">
    <cfRule type="cellIs" dxfId="20853" priority="3973" operator="greaterThan">
      <formula>0.9</formula>
    </cfRule>
    <cfRule type="cellIs" dxfId="20852" priority="3974" operator="greaterThan">
      <formula>0.85</formula>
    </cfRule>
  </conditionalFormatting>
  <conditionalFormatting sqref="N130">
    <cfRule type="cellIs" dxfId="20851" priority="3955" operator="greaterThan">
      <formula>0.9</formula>
    </cfRule>
    <cfRule type="cellIs" dxfId="20850" priority="3956" operator="greaterThan">
      <formula>0.85</formula>
    </cfRule>
  </conditionalFormatting>
  <conditionalFormatting sqref="N131">
    <cfRule type="cellIs" dxfId="20849" priority="3937" operator="greaterThan">
      <formula>0.9</formula>
    </cfRule>
    <cfRule type="cellIs" dxfId="20848" priority="3938" operator="greaterThan">
      <formula>0.85</formula>
    </cfRule>
  </conditionalFormatting>
  <conditionalFormatting sqref="N132">
    <cfRule type="cellIs" dxfId="20847" priority="3919" operator="greaterThan">
      <formula>0.9</formula>
    </cfRule>
    <cfRule type="cellIs" dxfId="20846" priority="3920" operator="greaterThan">
      <formula>0.85</formula>
    </cfRule>
  </conditionalFormatting>
  <conditionalFormatting sqref="N133">
    <cfRule type="cellIs" dxfId="20845" priority="3901" operator="greaterThan">
      <formula>0.9</formula>
    </cfRule>
    <cfRule type="cellIs" dxfId="20844" priority="3902" operator="greaterThan">
      <formula>0.85</formula>
    </cfRule>
  </conditionalFormatting>
  <conditionalFormatting sqref="N134">
    <cfRule type="cellIs" dxfId="20843" priority="3883" operator="greaterThan">
      <formula>0.9</formula>
    </cfRule>
    <cfRule type="cellIs" dxfId="20842" priority="3884" operator="greaterThan">
      <formula>0.85</formula>
    </cfRule>
  </conditionalFormatting>
  <conditionalFormatting sqref="N135">
    <cfRule type="cellIs" dxfId="20841" priority="3865" operator="greaterThan">
      <formula>0.9</formula>
    </cfRule>
    <cfRule type="cellIs" dxfId="20840" priority="3866" operator="greaterThan">
      <formula>0.85</formula>
    </cfRule>
  </conditionalFormatting>
  <conditionalFormatting sqref="N136">
    <cfRule type="cellIs" dxfId="20839" priority="3847" operator="greaterThan">
      <formula>0.9</formula>
    </cfRule>
    <cfRule type="cellIs" dxfId="20838" priority="3848" operator="greaterThan">
      <formula>0.85</formula>
    </cfRule>
  </conditionalFormatting>
  <conditionalFormatting sqref="N137">
    <cfRule type="cellIs" dxfId="20837" priority="3829" operator="greaterThan">
      <formula>0.9</formula>
    </cfRule>
    <cfRule type="cellIs" dxfId="20836" priority="3830" operator="greaterThan">
      <formula>0.85</formula>
    </cfRule>
  </conditionalFormatting>
  <conditionalFormatting sqref="N138">
    <cfRule type="cellIs" dxfId="20835" priority="3811" operator="greaterThan">
      <formula>0.9</formula>
    </cfRule>
    <cfRule type="cellIs" dxfId="20834" priority="3812" operator="greaterThan">
      <formula>0.85</formula>
    </cfRule>
  </conditionalFormatting>
  <conditionalFormatting sqref="N139">
    <cfRule type="cellIs" dxfId="20833" priority="3793" operator="greaterThan">
      <formula>0.9</formula>
    </cfRule>
    <cfRule type="cellIs" dxfId="20832" priority="3794" operator="greaterThan">
      <formula>0.85</formula>
    </cfRule>
  </conditionalFormatting>
  <conditionalFormatting sqref="N140">
    <cfRule type="cellIs" dxfId="20831" priority="3775" operator="greaterThan">
      <formula>0.9</formula>
    </cfRule>
    <cfRule type="cellIs" dxfId="20830" priority="3776" operator="greaterThan">
      <formula>0.85</formula>
    </cfRule>
  </conditionalFormatting>
  <conditionalFormatting sqref="N141">
    <cfRule type="cellIs" dxfId="20829" priority="3757" operator="greaterThan">
      <formula>0.9</formula>
    </cfRule>
    <cfRule type="cellIs" dxfId="20828" priority="3758" operator="greaterThan">
      <formula>0.85</formula>
    </cfRule>
  </conditionalFormatting>
  <conditionalFormatting sqref="N142">
    <cfRule type="cellIs" dxfId="20827" priority="3739" operator="greaterThan">
      <formula>0.9</formula>
    </cfRule>
    <cfRule type="cellIs" dxfId="20826" priority="3740" operator="greaterThan">
      <formula>0.85</formula>
    </cfRule>
  </conditionalFormatting>
  <conditionalFormatting sqref="N143">
    <cfRule type="cellIs" dxfId="20825" priority="3703" operator="greaterThan">
      <formula>0.9</formula>
    </cfRule>
    <cfRule type="cellIs" dxfId="20824" priority="3704" operator="greaterThan">
      <formula>0.85</formula>
    </cfRule>
  </conditionalFormatting>
  <conditionalFormatting sqref="N144">
    <cfRule type="cellIs" dxfId="20823" priority="3685" operator="greaterThan">
      <formula>0.9</formula>
    </cfRule>
    <cfRule type="cellIs" dxfId="20822" priority="3686" operator="greaterThan">
      <formula>0.85</formula>
    </cfRule>
  </conditionalFormatting>
  <conditionalFormatting sqref="N145">
    <cfRule type="cellIs" dxfId="20821" priority="3667" operator="greaterThan">
      <formula>0.9</formula>
    </cfRule>
    <cfRule type="cellIs" dxfId="20820" priority="3668" operator="greaterThan">
      <formula>0.85</formula>
    </cfRule>
  </conditionalFormatting>
  <conditionalFormatting sqref="N146">
    <cfRule type="cellIs" dxfId="20819" priority="3649" operator="greaterThan">
      <formula>0.9</formula>
    </cfRule>
    <cfRule type="cellIs" dxfId="20818" priority="3650" operator="greaterThan">
      <formula>0.85</formula>
    </cfRule>
  </conditionalFormatting>
  <conditionalFormatting sqref="N147">
    <cfRule type="cellIs" dxfId="20817" priority="3631" operator="greaterThan">
      <formula>0.9</formula>
    </cfRule>
    <cfRule type="cellIs" dxfId="20816" priority="3632" operator="greaterThan">
      <formula>0.85</formula>
    </cfRule>
  </conditionalFormatting>
  <conditionalFormatting sqref="N148">
    <cfRule type="cellIs" dxfId="20815" priority="3613" operator="greaterThan">
      <formula>0.9</formula>
    </cfRule>
    <cfRule type="cellIs" dxfId="20814" priority="3614" operator="greaterThan">
      <formula>0.85</formula>
    </cfRule>
  </conditionalFormatting>
  <conditionalFormatting sqref="N149">
    <cfRule type="cellIs" dxfId="20813" priority="3595" operator="greaterThan">
      <formula>0.9</formula>
    </cfRule>
    <cfRule type="cellIs" dxfId="20812" priority="3596" operator="greaterThan">
      <formula>0.85</formula>
    </cfRule>
  </conditionalFormatting>
  <conditionalFormatting sqref="N150">
    <cfRule type="cellIs" dxfId="20811" priority="3577" operator="greaterThan">
      <formula>0.9</formula>
    </cfRule>
    <cfRule type="cellIs" dxfId="20810" priority="3578" operator="greaterThan">
      <formula>0.85</formula>
    </cfRule>
  </conditionalFormatting>
  <conditionalFormatting sqref="N151">
    <cfRule type="cellIs" dxfId="20809" priority="3559" operator="greaterThan">
      <formula>0.9</formula>
    </cfRule>
    <cfRule type="cellIs" dxfId="20808" priority="3560" operator="greaterThan">
      <formula>0.85</formula>
    </cfRule>
  </conditionalFormatting>
  <conditionalFormatting sqref="N152">
    <cfRule type="cellIs" dxfId="20807" priority="3541" operator="greaterThan">
      <formula>0.9</formula>
    </cfRule>
    <cfRule type="cellIs" dxfId="20806" priority="3542" operator="greaterThan">
      <formula>0.85</formula>
    </cfRule>
  </conditionalFormatting>
  <conditionalFormatting sqref="N153">
    <cfRule type="cellIs" dxfId="20805" priority="3523" operator="greaterThan">
      <formula>0.9</formula>
    </cfRule>
    <cfRule type="cellIs" dxfId="20804" priority="3524" operator="greaterThan">
      <formula>0.85</formula>
    </cfRule>
  </conditionalFormatting>
  <conditionalFormatting sqref="N154">
    <cfRule type="cellIs" dxfId="20803" priority="3487" operator="greaterThan">
      <formula>0.9</formula>
    </cfRule>
    <cfRule type="cellIs" dxfId="20802" priority="3488" operator="greaterThan">
      <formula>0.85</formula>
    </cfRule>
  </conditionalFormatting>
  <conditionalFormatting sqref="N155">
    <cfRule type="cellIs" dxfId="20801" priority="3469" operator="greaterThan">
      <formula>0.9</formula>
    </cfRule>
    <cfRule type="cellIs" dxfId="20800" priority="3470" operator="greaterThan">
      <formula>0.85</formula>
    </cfRule>
  </conditionalFormatting>
  <conditionalFormatting sqref="N156">
    <cfRule type="cellIs" dxfId="20799" priority="3451" operator="greaterThan">
      <formula>0.9</formula>
    </cfRule>
    <cfRule type="cellIs" dxfId="20798" priority="3452" operator="greaterThan">
      <formula>0.85</formula>
    </cfRule>
  </conditionalFormatting>
  <conditionalFormatting sqref="N157">
    <cfRule type="cellIs" dxfId="20797" priority="3433" operator="greaterThan">
      <formula>0.9</formula>
    </cfRule>
    <cfRule type="cellIs" dxfId="20796" priority="3434" operator="greaterThan">
      <formula>0.85</formula>
    </cfRule>
  </conditionalFormatting>
  <conditionalFormatting sqref="N158">
    <cfRule type="cellIs" dxfId="20795" priority="3415" operator="greaterThan">
      <formula>0.9</formula>
    </cfRule>
    <cfRule type="cellIs" dxfId="20794" priority="3416" operator="greaterThan">
      <formula>0.85</formula>
    </cfRule>
  </conditionalFormatting>
  <conditionalFormatting sqref="N159">
    <cfRule type="cellIs" dxfId="20793" priority="3397" operator="greaterThan">
      <formula>0.9</formula>
    </cfRule>
    <cfRule type="cellIs" dxfId="20792" priority="3398" operator="greaterThan">
      <formula>0.85</formula>
    </cfRule>
  </conditionalFormatting>
  <conditionalFormatting sqref="N160">
    <cfRule type="cellIs" dxfId="20791" priority="3379" operator="greaterThan">
      <formula>0.9</formula>
    </cfRule>
    <cfRule type="cellIs" dxfId="20790" priority="3380" operator="greaterThan">
      <formula>0.85</formula>
    </cfRule>
  </conditionalFormatting>
  <conditionalFormatting sqref="N161">
    <cfRule type="cellIs" dxfId="20789" priority="3361" operator="greaterThan">
      <formula>0.9</formula>
    </cfRule>
    <cfRule type="cellIs" dxfId="20788" priority="3362" operator="greaterThan">
      <formula>0.85</formula>
    </cfRule>
  </conditionalFormatting>
  <conditionalFormatting sqref="N162">
    <cfRule type="cellIs" dxfId="20787" priority="3343" operator="greaterThan">
      <formula>0.9</formula>
    </cfRule>
    <cfRule type="cellIs" dxfId="20786" priority="3344" operator="greaterThan">
      <formula>0.85</formula>
    </cfRule>
  </conditionalFormatting>
  <conditionalFormatting sqref="N163">
    <cfRule type="cellIs" dxfId="20785" priority="3325" operator="greaterThan">
      <formula>0.9</formula>
    </cfRule>
    <cfRule type="cellIs" dxfId="20784" priority="3326" operator="greaterThan">
      <formula>0.85</formula>
    </cfRule>
  </conditionalFormatting>
  <conditionalFormatting sqref="N164">
    <cfRule type="cellIs" dxfId="20783" priority="3307" operator="greaterThan">
      <formula>0.9</formula>
    </cfRule>
    <cfRule type="cellIs" dxfId="20782" priority="3308" operator="greaterThan">
      <formula>0.85</formula>
    </cfRule>
  </conditionalFormatting>
  <conditionalFormatting sqref="N165">
    <cfRule type="cellIs" dxfId="20781" priority="3289" operator="greaterThan">
      <formula>0.9</formula>
    </cfRule>
    <cfRule type="cellIs" dxfId="20780" priority="3290" operator="greaterThan">
      <formula>0.85</formula>
    </cfRule>
  </conditionalFormatting>
  <conditionalFormatting sqref="N166">
    <cfRule type="cellIs" dxfId="20779" priority="3271" operator="greaterThan">
      <formula>0.9</formula>
    </cfRule>
    <cfRule type="cellIs" dxfId="20778" priority="3272" operator="greaterThan">
      <formula>0.85</formula>
    </cfRule>
  </conditionalFormatting>
  <conditionalFormatting sqref="N167">
    <cfRule type="cellIs" dxfId="20777" priority="3253" operator="greaterThan">
      <formula>0.9</formula>
    </cfRule>
    <cfRule type="cellIs" dxfId="20776" priority="3254" operator="greaterThan">
      <formula>0.85</formula>
    </cfRule>
  </conditionalFormatting>
  <conditionalFormatting sqref="N168">
    <cfRule type="cellIs" dxfId="20775" priority="3235" operator="greaterThan">
      <formula>0.9</formula>
    </cfRule>
    <cfRule type="cellIs" dxfId="20774" priority="3236" operator="greaterThan">
      <formula>0.85</formula>
    </cfRule>
  </conditionalFormatting>
  <conditionalFormatting sqref="N169">
    <cfRule type="cellIs" dxfId="20773" priority="3199" operator="greaterThan">
      <formula>0.9</formula>
    </cfRule>
    <cfRule type="cellIs" dxfId="20772" priority="3200" operator="greaterThan">
      <formula>0.85</formula>
    </cfRule>
  </conditionalFormatting>
  <conditionalFormatting sqref="N170">
    <cfRule type="cellIs" dxfId="20771" priority="3181" operator="greaterThan">
      <formula>0.9</formula>
    </cfRule>
    <cfRule type="cellIs" dxfId="20770" priority="3182" operator="greaterThan">
      <formula>0.85</formula>
    </cfRule>
  </conditionalFormatting>
  <conditionalFormatting sqref="N171">
    <cfRule type="cellIs" dxfId="20769" priority="3163" operator="greaterThan">
      <formula>0.9</formula>
    </cfRule>
    <cfRule type="cellIs" dxfId="20768" priority="3164" operator="greaterThan">
      <formula>0.85</formula>
    </cfRule>
  </conditionalFormatting>
  <conditionalFormatting sqref="N172">
    <cfRule type="cellIs" dxfId="20767" priority="3127" operator="greaterThan">
      <formula>0.9</formula>
    </cfRule>
    <cfRule type="cellIs" dxfId="20766" priority="3128" operator="greaterThan">
      <formula>0.85</formula>
    </cfRule>
  </conditionalFormatting>
  <conditionalFormatting sqref="N173">
    <cfRule type="cellIs" dxfId="20765" priority="3109" operator="greaterThan">
      <formula>0.9</formula>
    </cfRule>
    <cfRule type="cellIs" dxfId="20764" priority="3110" operator="greaterThan">
      <formula>0.85</formula>
    </cfRule>
  </conditionalFormatting>
  <conditionalFormatting sqref="N174">
    <cfRule type="cellIs" dxfId="20763" priority="3091" operator="greaterThan">
      <formula>0.9</formula>
    </cfRule>
    <cfRule type="cellIs" dxfId="20762" priority="3092" operator="greaterThan">
      <formula>0.85</formula>
    </cfRule>
  </conditionalFormatting>
  <conditionalFormatting sqref="N175">
    <cfRule type="cellIs" dxfId="20761" priority="3073" operator="greaterThan">
      <formula>0.9</formula>
    </cfRule>
    <cfRule type="cellIs" dxfId="20760" priority="3074" operator="greaterThan">
      <formula>0.85</formula>
    </cfRule>
  </conditionalFormatting>
  <conditionalFormatting sqref="N176">
    <cfRule type="cellIs" dxfId="20759" priority="3055" operator="greaterThan">
      <formula>0.9</formula>
    </cfRule>
    <cfRule type="cellIs" dxfId="20758" priority="3056" operator="greaterThan">
      <formula>0.85</formula>
    </cfRule>
  </conditionalFormatting>
  <conditionalFormatting sqref="N177">
    <cfRule type="cellIs" dxfId="20757" priority="3037" operator="greaterThan">
      <formula>0.9</formula>
    </cfRule>
    <cfRule type="cellIs" dxfId="20756" priority="3038" operator="greaterThan">
      <formula>0.85</formula>
    </cfRule>
  </conditionalFormatting>
  <conditionalFormatting sqref="N178">
    <cfRule type="cellIs" dxfId="20755" priority="3019" operator="greaterThan">
      <formula>0.9</formula>
    </cfRule>
    <cfRule type="cellIs" dxfId="20754" priority="3020" operator="greaterThan">
      <formula>0.85</formula>
    </cfRule>
  </conditionalFormatting>
  <conditionalFormatting sqref="N179">
    <cfRule type="cellIs" dxfId="20753" priority="3001" operator="greaterThan">
      <formula>0.9</formula>
    </cfRule>
    <cfRule type="cellIs" dxfId="20752" priority="3002" operator="greaterThan">
      <formula>0.85</formula>
    </cfRule>
  </conditionalFormatting>
  <conditionalFormatting sqref="N180">
    <cfRule type="cellIs" dxfId="20751" priority="2983" operator="greaterThan">
      <formula>0.9</formula>
    </cfRule>
    <cfRule type="cellIs" dxfId="20750" priority="2984" operator="greaterThan">
      <formula>0.85</formula>
    </cfRule>
  </conditionalFormatting>
  <conditionalFormatting sqref="N181">
    <cfRule type="cellIs" dxfId="20749" priority="2965" operator="greaterThan">
      <formula>0.9</formula>
    </cfRule>
    <cfRule type="cellIs" dxfId="20748" priority="2966" operator="greaterThan">
      <formula>0.85</formula>
    </cfRule>
  </conditionalFormatting>
  <conditionalFormatting sqref="N182">
    <cfRule type="cellIs" dxfId="20747" priority="2947" operator="greaterThan">
      <formula>0.9</formula>
    </cfRule>
    <cfRule type="cellIs" dxfId="20746" priority="2948" operator="greaterThan">
      <formula>0.85</formula>
    </cfRule>
  </conditionalFormatting>
  <conditionalFormatting sqref="N183">
    <cfRule type="cellIs" dxfId="20745" priority="2929" operator="greaterThan">
      <formula>0.9</formula>
    </cfRule>
    <cfRule type="cellIs" dxfId="20744" priority="2930" operator="greaterThan">
      <formula>0.85</formula>
    </cfRule>
  </conditionalFormatting>
  <conditionalFormatting sqref="N184">
    <cfRule type="cellIs" dxfId="20743" priority="2911" operator="greaterThan">
      <formula>0.9</formula>
    </cfRule>
    <cfRule type="cellIs" dxfId="20742" priority="2912" operator="greaterThan">
      <formula>0.85</formula>
    </cfRule>
  </conditionalFormatting>
  <conditionalFormatting sqref="N185">
    <cfRule type="cellIs" dxfId="20741" priority="2893" operator="greaterThan">
      <formula>0.9</formula>
    </cfRule>
    <cfRule type="cellIs" dxfId="20740" priority="2894" operator="greaterThan">
      <formula>0.85</formula>
    </cfRule>
  </conditionalFormatting>
  <conditionalFormatting sqref="N186">
    <cfRule type="cellIs" dxfId="20739" priority="2875" operator="greaterThan">
      <formula>0.9</formula>
    </cfRule>
    <cfRule type="cellIs" dxfId="20738" priority="2876" operator="greaterThan">
      <formula>0.85</formula>
    </cfRule>
  </conditionalFormatting>
  <conditionalFormatting sqref="N187">
    <cfRule type="cellIs" dxfId="20737" priority="2857" operator="greaterThan">
      <formula>0.9</formula>
    </cfRule>
    <cfRule type="cellIs" dxfId="20736" priority="2858" operator="greaterThan">
      <formula>0.85</formula>
    </cfRule>
  </conditionalFormatting>
  <conditionalFormatting sqref="N188">
    <cfRule type="cellIs" dxfId="20735" priority="2839" operator="greaterThan">
      <formula>0.9</formula>
    </cfRule>
    <cfRule type="cellIs" dxfId="20734" priority="2840" operator="greaterThan">
      <formula>0.85</formula>
    </cfRule>
  </conditionalFormatting>
  <conditionalFormatting sqref="N189">
    <cfRule type="cellIs" dxfId="20733" priority="2821" operator="greaterThan">
      <formula>0.9</formula>
    </cfRule>
    <cfRule type="cellIs" dxfId="20732" priority="2822" operator="greaterThan">
      <formula>0.85</formula>
    </cfRule>
  </conditionalFormatting>
  <conditionalFormatting sqref="N190">
    <cfRule type="cellIs" dxfId="20731" priority="2803" operator="greaterThan">
      <formula>0.9</formula>
    </cfRule>
    <cfRule type="cellIs" dxfId="20730" priority="2804" operator="greaterThan">
      <formula>0.85</formula>
    </cfRule>
  </conditionalFormatting>
  <conditionalFormatting sqref="N191">
    <cfRule type="cellIs" dxfId="20729" priority="2785" operator="greaterThan">
      <formula>0.9</formula>
    </cfRule>
    <cfRule type="cellIs" dxfId="20728" priority="2786" operator="greaterThan">
      <formula>0.85</formula>
    </cfRule>
  </conditionalFormatting>
  <conditionalFormatting sqref="N192">
    <cfRule type="cellIs" dxfId="20727" priority="2767" operator="greaterThan">
      <formula>0.9</formula>
    </cfRule>
    <cfRule type="cellIs" dxfId="20726" priority="2768" operator="greaterThan">
      <formula>0.85</formula>
    </cfRule>
  </conditionalFormatting>
  <conditionalFormatting sqref="N193">
    <cfRule type="cellIs" dxfId="20725" priority="2749" operator="greaterThan">
      <formula>0.9</formula>
    </cfRule>
    <cfRule type="cellIs" dxfId="20724" priority="2750" operator="greaterThan">
      <formula>0.85</formula>
    </cfRule>
  </conditionalFormatting>
  <conditionalFormatting sqref="N194">
    <cfRule type="cellIs" dxfId="20723" priority="2731" operator="greaterThan">
      <formula>0.9</formula>
    </cfRule>
    <cfRule type="cellIs" dxfId="20722" priority="2732" operator="greaterThan">
      <formula>0.85</formula>
    </cfRule>
  </conditionalFormatting>
  <conditionalFormatting sqref="N195">
    <cfRule type="cellIs" dxfId="20721" priority="2713" operator="greaterThan">
      <formula>0.9</formula>
    </cfRule>
    <cfRule type="cellIs" dxfId="20720" priority="2714" operator="greaterThan">
      <formula>0.85</formula>
    </cfRule>
  </conditionalFormatting>
  <conditionalFormatting sqref="N196">
    <cfRule type="cellIs" dxfId="20719" priority="2695" operator="greaterThan">
      <formula>0.9</formula>
    </cfRule>
    <cfRule type="cellIs" dxfId="20718" priority="2696" operator="greaterThan">
      <formula>0.85</formula>
    </cfRule>
  </conditionalFormatting>
  <conditionalFormatting sqref="N197">
    <cfRule type="cellIs" dxfId="20717" priority="2677" operator="greaterThan">
      <formula>0.9</formula>
    </cfRule>
    <cfRule type="cellIs" dxfId="20716" priority="2678" operator="greaterThan">
      <formula>0.85</formula>
    </cfRule>
  </conditionalFormatting>
  <conditionalFormatting sqref="N198">
    <cfRule type="cellIs" dxfId="20715" priority="2659" operator="greaterThan">
      <formula>0.9</formula>
    </cfRule>
    <cfRule type="cellIs" dxfId="20714" priority="2660" operator="greaterThan">
      <formula>0.85</formula>
    </cfRule>
  </conditionalFormatting>
  <conditionalFormatting sqref="N199">
    <cfRule type="cellIs" dxfId="20713" priority="2641" operator="greaterThan">
      <formula>0.9</formula>
    </cfRule>
    <cfRule type="cellIs" dxfId="20712" priority="2642" operator="greaterThan">
      <formula>0.85</formula>
    </cfRule>
  </conditionalFormatting>
  <conditionalFormatting sqref="N200">
    <cfRule type="cellIs" dxfId="20711" priority="2623" operator="greaterThan">
      <formula>0.9</formula>
    </cfRule>
    <cfRule type="cellIs" dxfId="20710" priority="2624" operator="greaterThan">
      <formula>0.85</formula>
    </cfRule>
  </conditionalFormatting>
  <conditionalFormatting sqref="N201">
    <cfRule type="cellIs" dxfId="20709" priority="2605" operator="greaterThan">
      <formula>0.9</formula>
    </cfRule>
    <cfRule type="cellIs" dxfId="20708" priority="2606" operator="greaterThan">
      <formula>0.85</formula>
    </cfRule>
  </conditionalFormatting>
  <conditionalFormatting sqref="N202">
    <cfRule type="cellIs" dxfId="20707" priority="2587" operator="greaterThan">
      <formula>0.9</formula>
    </cfRule>
    <cfRule type="cellIs" dxfId="20706" priority="2588" operator="greaterThan">
      <formula>0.85</formula>
    </cfRule>
  </conditionalFormatting>
  <conditionalFormatting sqref="N203">
    <cfRule type="cellIs" dxfId="20705" priority="2569" operator="greaterThan">
      <formula>0.9</formula>
    </cfRule>
    <cfRule type="cellIs" dxfId="20704" priority="2570" operator="greaterThan">
      <formula>0.85</formula>
    </cfRule>
  </conditionalFormatting>
  <conditionalFormatting sqref="N204">
    <cfRule type="cellIs" dxfId="20703" priority="2551" operator="greaterThan">
      <formula>0.9</formula>
    </cfRule>
    <cfRule type="cellIs" dxfId="20702" priority="2552" operator="greaterThan">
      <formula>0.85</formula>
    </cfRule>
  </conditionalFormatting>
  <conditionalFormatting sqref="N205">
    <cfRule type="cellIs" dxfId="20701" priority="2533" operator="greaterThan">
      <formula>0.9</formula>
    </cfRule>
    <cfRule type="cellIs" dxfId="20700" priority="2534" operator="greaterThan">
      <formula>0.85</formula>
    </cfRule>
  </conditionalFormatting>
  <conditionalFormatting sqref="N206">
    <cfRule type="cellIs" dxfId="20699" priority="2515" operator="greaterThan">
      <formula>0.9</formula>
    </cfRule>
    <cfRule type="cellIs" dxfId="20698" priority="2516" operator="greaterThan">
      <formula>0.85</formula>
    </cfRule>
  </conditionalFormatting>
  <conditionalFormatting sqref="N207">
    <cfRule type="cellIs" dxfId="20697" priority="2497" operator="greaterThan">
      <formula>0.9</formula>
    </cfRule>
    <cfRule type="cellIs" dxfId="20696" priority="2498" operator="greaterThan">
      <formula>0.85</formula>
    </cfRule>
  </conditionalFormatting>
  <conditionalFormatting sqref="N208">
    <cfRule type="cellIs" dxfId="20695" priority="2479" operator="greaterThan">
      <formula>0.9</formula>
    </cfRule>
    <cfRule type="cellIs" dxfId="20694" priority="2480" operator="greaterThan">
      <formula>0.85</formula>
    </cfRule>
  </conditionalFormatting>
  <conditionalFormatting sqref="N209">
    <cfRule type="cellIs" dxfId="20693" priority="2461" operator="greaterThan">
      <formula>0.9</formula>
    </cfRule>
    <cfRule type="cellIs" dxfId="20692" priority="2462" operator="greaterThan">
      <formula>0.85</formula>
    </cfRule>
  </conditionalFormatting>
  <conditionalFormatting sqref="N210">
    <cfRule type="cellIs" dxfId="20691" priority="2443" operator="greaterThan">
      <formula>0.9</formula>
    </cfRule>
    <cfRule type="cellIs" dxfId="20690" priority="2444" operator="greaterThan">
      <formula>0.85</formula>
    </cfRule>
  </conditionalFormatting>
  <conditionalFormatting sqref="N211">
    <cfRule type="cellIs" dxfId="20689" priority="2425" operator="greaterThan">
      <formula>0.9</formula>
    </cfRule>
    <cfRule type="cellIs" dxfId="20688" priority="2426" operator="greaterThan">
      <formula>0.85</formula>
    </cfRule>
  </conditionalFormatting>
  <conditionalFormatting sqref="N212">
    <cfRule type="cellIs" dxfId="20687" priority="2407" operator="greaterThan">
      <formula>0.9</formula>
    </cfRule>
    <cfRule type="cellIs" dxfId="20686" priority="2408" operator="greaterThan">
      <formula>0.85</formula>
    </cfRule>
  </conditionalFormatting>
  <conditionalFormatting sqref="N213">
    <cfRule type="cellIs" dxfId="20685" priority="2389" operator="greaterThan">
      <formula>0.9</formula>
    </cfRule>
    <cfRule type="cellIs" dxfId="20684" priority="2390" operator="greaterThan">
      <formula>0.85</formula>
    </cfRule>
  </conditionalFormatting>
  <conditionalFormatting sqref="N214">
    <cfRule type="cellIs" dxfId="20683" priority="2371" operator="greaterThan">
      <formula>0.9</formula>
    </cfRule>
    <cfRule type="cellIs" dxfId="20682" priority="2372" operator="greaterThan">
      <formula>0.85</formula>
    </cfRule>
  </conditionalFormatting>
  <conditionalFormatting sqref="N215">
    <cfRule type="cellIs" dxfId="20681" priority="2353" operator="greaterThan">
      <formula>0.9</formula>
    </cfRule>
    <cfRule type="cellIs" dxfId="20680" priority="2354" operator="greaterThan">
      <formula>0.85</formula>
    </cfRule>
  </conditionalFormatting>
  <conditionalFormatting sqref="N216">
    <cfRule type="cellIs" dxfId="20679" priority="2335" operator="greaterThan">
      <formula>0.9</formula>
    </cfRule>
    <cfRule type="cellIs" dxfId="20678" priority="2336" operator="greaterThan">
      <formula>0.85</formula>
    </cfRule>
  </conditionalFormatting>
  <conditionalFormatting sqref="N217">
    <cfRule type="cellIs" dxfId="20677" priority="2317" operator="greaterThan">
      <formula>0.9</formula>
    </cfRule>
    <cfRule type="cellIs" dxfId="20676" priority="2318" operator="greaterThan">
      <formula>0.85</formula>
    </cfRule>
  </conditionalFormatting>
  <conditionalFormatting sqref="N218">
    <cfRule type="cellIs" dxfId="20675" priority="2299" operator="greaterThan">
      <formula>0.9</formula>
    </cfRule>
    <cfRule type="cellIs" dxfId="20674" priority="2300" operator="greaterThan">
      <formula>0.85</formula>
    </cfRule>
  </conditionalFormatting>
  <conditionalFormatting sqref="N219">
    <cfRule type="cellIs" dxfId="20673" priority="2281" operator="greaterThan">
      <formula>0.9</formula>
    </cfRule>
    <cfRule type="cellIs" dxfId="20672" priority="2282" operator="greaterThan">
      <formula>0.85</formula>
    </cfRule>
  </conditionalFormatting>
  <conditionalFormatting sqref="N220">
    <cfRule type="cellIs" dxfId="20671" priority="2263" operator="greaterThan">
      <formula>0.9</formula>
    </cfRule>
    <cfRule type="cellIs" dxfId="20670" priority="2264" operator="greaterThan">
      <formula>0.85</formula>
    </cfRule>
  </conditionalFormatting>
  <conditionalFormatting sqref="N221">
    <cfRule type="cellIs" dxfId="20669" priority="2227" operator="greaterThan">
      <formula>0.9</formula>
    </cfRule>
    <cfRule type="cellIs" dxfId="20668" priority="2228" operator="greaterThan">
      <formula>0.85</formula>
    </cfRule>
  </conditionalFormatting>
  <conditionalFormatting sqref="N222">
    <cfRule type="cellIs" dxfId="20667" priority="2209" operator="greaterThan">
      <formula>0.9</formula>
    </cfRule>
    <cfRule type="cellIs" dxfId="20666" priority="2210" operator="greaterThan">
      <formula>0.85</formula>
    </cfRule>
  </conditionalFormatting>
  <conditionalFormatting sqref="N223">
    <cfRule type="cellIs" dxfId="20665" priority="2191" operator="greaterThan">
      <formula>0.9</formula>
    </cfRule>
    <cfRule type="cellIs" dxfId="20664" priority="2192" operator="greaterThan">
      <formula>0.85</formula>
    </cfRule>
  </conditionalFormatting>
  <conditionalFormatting sqref="N224">
    <cfRule type="cellIs" dxfId="20663" priority="2155" operator="greaterThan">
      <formula>0.9</formula>
    </cfRule>
    <cfRule type="cellIs" dxfId="20662" priority="2156" operator="greaterThan">
      <formula>0.85</formula>
    </cfRule>
  </conditionalFormatting>
  <conditionalFormatting sqref="N225">
    <cfRule type="cellIs" dxfId="20661" priority="2137" operator="greaterThan">
      <formula>0.9</formula>
    </cfRule>
    <cfRule type="cellIs" dxfId="20660" priority="2138" operator="greaterThan">
      <formula>0.85</formula>
    </cfRule>
  </conditionalFormatting>
  <conditionalFormatting sqref="N226">
    <cfRule type="cellIs" dxfId="20659" priority="2119" operator="greaterThan">
      <formula>0.9</formula>
    </cfRule>
    <cfRule type="cellIs" dxfId="20658" priority="2120" operator="greaterThan">
      <formula>0.85</formula>
    </cfRule>
  </conditionalFormatting>
  <conditionalFormatting sqref="N227">
    <cfRule type="cellIs" dxfId="20657" priority="2101" operator="greaterThan">
      <formula>0.9</formula>
    </cfRule>
    <cfRule type="cellIs" dxfId="20656" priority="2102" operator="greaterThan">
      <formula>0.85</formula>
    </cfRule>
  </conditionalFormatting>
  <conditionalFormatting sqref="N228">
    <cfRule type="cellIs" dxfId="20655" priority="2083" operator="greaterThan">
      <formula>0.9</formula>
    </cfRule>
    <cfRule type="cellIs" dxfId="20654" priority="2084" operator="greaterThan">
      <formula>0.85</formula>
    </cfRule>
  </conditionalFormatting>
  <conditionalFormatting sqref="N229">
    <cfRule type="cellIs" dxfId="20653" priority="2065" operator="greaterThan">
      <formula>0.9</formula>
    </cfRule>
    <cfRule type="cellIs" dxfId="20652" priority="2066" operator="greaterThan">
      <formula>0.85</formula>
    </cfRule>
  </conditionalFormatting>
  <conditionalFormatting sqref="N230">
    <cfRule type="cellIs" dxfId="20651" priority="2029" operator="greaterThan">
      <formula>0.9</formula>
    </cfRule>
    <cfRule type="cellIs" dxfId="20650" priority="2030" operator="greaterThan">
      <formula>0.85</formula>
    </cfRule>
  </conditionalFormatting>
  <conditionalFormatting sqref="N231">
    <cfRule type="cellIs" dxfId="20649" priority="2011" operator="greaterThan">
      <formula>0.9</formula>
    </cfRule>
    <cfRule type="cellIs" dxfId="20648" priority="2012" operator="greaterThan">
      <formula>0.85</formula>
    </cfRule>
  </conditionalFormatting>
  <conditionalFormatting sqref="N232">
    <cfRule type="cellIs" dxfId="20647" priority="1993" operator="greaterThan">
      <formula>0.9</formula>
    </cfRule>
    <cfRule type="cellIs" dxfId="20646" priority="1994" operator="greaterThan">
      <formula>0.85</formula>
    </cfRule>
  </conditionalFormatting>
  <conditionalFormatting sqref="N233">
    <cfRule type="cellIs" dxfId="20645" priority="1975" operator="greaterThan">
      <formula>0.9</formula>
    </cfRule>
    <cfRule type="cellIs" dxfId="20644" priority="1976" operator="greaterThan">
      <formula>0.85</formula>
    </cfRule>
  </conditionalFormatting>
  <conditionalFormatting sqref="N234">
    <cfRule type="cellIs" dxfId="20643" priority="1957" operator="greaterThan">
      <formula>0.9</formula>
    </cfRule>
    <cfRule type="cellIs" dxfId="20642" priority="1958" operator="greaterThan">
      <formula>0.85</formula>
    </cfRule>
  </conditionalFormatting>
  <conditionalFormatting sqref="N235">
    <cfRule type="cellIs" dxfId="20641" priority="1939" operator="greaterThan">
      <formula>0.9</formula>
    </cfRule>
    <cfRule type="cellIs" dxfId="20640" priority="1940" operator="greaterThan">
      <formula>0.85</formula>
    </cfRule>
  </conditionalFormatting>
  <conditionalFormatting sqref="N236">
    <cfRule type="cellIs" dxfId="20639" priority="1921" operator="greaterThan">
      <formula>0.9</formula>
    </cfRule>
    <cfRule type="cellIs" dxfId="20638" priority="1922" operator="greaterThan">
      <formula>0.85</formula>
    </cfRule>
  </conditionalFormatting>
  <conditionalFormatting sqref="N237">
    <cfRule type="cellIs" dxfId="20637" priority="1903" operator="greaterThan">
      <formula>0.9</formula>
    </cfRule>
    <cfRule type="cellIs" dxfId="20636" priority="1904" operator="greaterThan">
      <formula>0.85</formula>
    </cfRule>
  </conditionalFormatting>
  <conditionalFormatting sqref="N238">
    <cfRule type="cellIs" dxfId="20635" priority="1885" operator="greaterThan">
      <formula>0.9</formula>
    </cfRule>
    <cfRule type="cellIs" dxfId="20634" priority="1886" operator="greaterThan">
      <formula>0.85</formula>
    </cfRule>
  </conditionalFormatting>
  <conditionalFormatting sqref="N239">
    <cfRule type="cellIs" dxfId="20633" priority="1867" operator="greaterThan">
      <formula>0.9</formula>
    </cfRule>
    <cfRule type="cellIs" dxfId="20632" priority="1868" operator="greaterThan">
      <formula>0.85</formula>
    </cfRule>
  </conditionalFormatting>
  <conditionalFormatting sqref="N240">
    <cfRule type="cellIs" dxfId="20631" priority="1849" operator="greaterThan">
      <formula>0.9</formula>
    </cfRule>
    <cfRule type="cellIs" dxfId="20630" priority="1850" operator="greaterThan">
      <formula>0.85</formula>
    </cfRule>
  </conditionalFormatting>
  <conditionalFormatting sqref="N241">
    <cfRule type="cellIs" dxfId="20629" priority="1813" operator="greaterThan">
      <formula>0.9</formula>
    </cfRule>
    <cfRule type="cellIs" dxfId="20628" priority="1814" operator="greaterThan">
      <formula>0.85</formula>
    </cfRule>
  </conditionalFormatting>
  <conditionalFormatting sqref="N242">
    <cfRule type="cellIs" dxfId="20627" priority="1759" operator="greaterThan">
      <formula>0.9</formula>
    </cfRule>
    <cfRule type="cellIs" dxfId="20626" priority="1760" operator="greaterThan">
      <formula>0.85</formula>
    </cfRule>
  </conditionalFormatting>
  <conditionalFormatting sqref="N243">
    <cfRule type="cellIs" dxfId="20625" priority="1741" operator="greaterThan">
      <formula>0.9</formula>
    </cfRule>
    <cfRule type="cellIs" dxfId="20624" priority="1742" operator="greaterThan">
      <formula>0.85</formula>
    </cfRule>
  </conditionalFormatting>
  <conditionalFormatting sqref="N244">
    <cfRule type="cellIs" dxfId="20623" priority="1723" operator="greaterThan">
      <formula>0.9</formula>
    </cfRule>
    <cfRule type="cellIs" dxfId="20622" priority="1724" operator="greaterThan">
      <formula>0.85</formula>
    </cfRule>
  </conditionalFormatting>
  <conditionalFormatting sqref="N245">
    <cfRule type="cellIs" dxfId="20621" priority="1705" operator="greaterThan">
      <formula>0.9</formula>
    </cfRule>
    <cfRule type="cellIs" dxfId="20620" priority="1706" operator="greaterThan">
      <formula>0.85</formula>
    </cfRule>
  </conditionalFormatting>
  <conditionalFormatting sqref="N246">
    <cfRule type="cellIs" dxfId="20619" priority="1687" operator="greaterThan">
      <formula>0.9</formula>
    </cfRule>
    <cfRule type="cellIs" dxfId="20618" priority="1688" operator="greaterThan">
      <formula>0.85</formula>
    </cfRule>
  </conditionalFormatting>
  <conditionalFormatting sqref="N247">
    <cfRule type="cellIs" dxfId="20617" priority="1651" operator="greaterThan">
      <formula>0.9</formula>
    </cfRule>
    <cfRule type="cellIs" dxfId="20616" priority="1652" operator="greaterThan">
      <formula>0.85</formula>
    </cfRule>
  </conditionalFormatting>
  <conditionalFormatting sqref="N248">
    <cfRule type="cellIs" dxfId="20615" priority="1633" operator="greaterThan">
      <formula>0.9</formula>
    </cfRule>
    <cfRule type="cellIs" dxfId="20614" priority="1634" operator="greaterThan">
      <formula>0.85</formula>
    </cfRule>
  </conditionalFormatting>
  <conditionalFormatting sqref="N249">
    <cfRule type="cellIs" dxfId="20613" priority="1615" operator="greaterThan">
      <formula>0.9</formula>
    </cfRule>
    <cfRule type="cellIs" dxfId="20612" priority="1616" operator="greaterThan">
      <formula>0.85</formula>
    </cfRule>
  </conditionalFormatting>
  <conditionalFormatting sqref="N250">
    <cfRule type="cellIs" dxfId="20611" priority="1597" operator="greaterThan">
      <formula>0.9</formula>
    </cfRule>
    <cfRule type="cellIs" dxfId="20610" priority="1598" operator="greaterThan">
      <formula>0.85</formula>
    </cfRule>
  </conditionalFormatting>
  <conditionalFormatting sqref="N251">
    <cfRule type="cellIs" dxfId="20609" priority="1579" operator="greaterThan">
      <formula>0.9</formula>
    </cfRule>
    <cfRule type="cellIs" dxfId="20608" priority="1580" operator="greaterThan">
      <formula>0.85</formula>
    </cfRule>
  </conditionalFormatting>
  <conditionalFormatting sqref="N252">
    <cfRule type="cellIs" dxfId="20607" priority="1561" operator="greaterThan">
      <formula>0.9</formula>
    </cfRule>
    <cfRule type="cellIs" dxfId="20606" priority="1562" operator="greaterThan">
      <formula>0.85</formula>
    </cfRule>
  </conditionalFormatting>
  <conditionalFormatting sqref="N253">
    <cfRule type="cellIs" dxfId="20605" priority="1543" operator="greaterThan">
      <formula>0.9</formula>
    </cfRule>
    <cfRule type="cellIs" dxfId="20604" priority="1544" operator="greaterThan">
      <formula>0.85</formula>
    </cfRule>
  </conditionalFormatting>
  <conditionalFormatting sqref="N254">
    <cfRule type="cellIs" dxfId="20603" priority="1525" operator="greaterThan">
      <formula>0.9</formula>
    </cfRule>
    <cfRule type="cellIs" dxfId="20602" priority="1526" operator="greaterThan">
      <formula>0.85</formula>
    </cfRule>
  </conditionalFormatting>
  <conditionalFormatting sqref="N255">
    <cfRule type="cellIs" dxfId="20601" priority="1507" operator="greaterThan">
      <formula>0.9</formula>
    </cfRule>
    <cfRule type="cellIs" dxfId="20600" priority="1508" operator="greaterThan">
      <formula>0.85</formula>
    </cfRule>
  </conditionalFormatting>
  <conditionalFormatting sqref="N256">
    <cfRule type="cellIs" dxfId="20599" priority="1489" operator="greaterThan">
      <formula>0.9</formula>
    </cfRule>
    <cfRule type="cellIs" dxfId="20598" priority="1490" operator="greaterThan">
      <formula>0.85</formula>
    </cfRule>
  </conditionalFormatting>
  <conditionalFormatting sqref="N257">
    <cfRule type="cellIs" dxfId="20597" priority="1471" operator="greaterThan">
      <formula>0.9</formula>
    </cfRule>
    <cfRule type="cellIs" dxfId="20596" priority="1472" operator="greaterThan">
      <formula>0.85</formula>
    </cfRule>
  </conditionalFormatting>
  <conditionalFormatting sqref="N258">
    <cfRule type="cellIs" dxfId="20595" priority="1453" operator="greaterThan">
      <formula>0.9</formula>
    </cfRule>
    <cfRule type="cellIs" dxfId="20594" priority="1454" operator="greaterThan">
      <formula>0.85</formula>
    </cfRule>
  </conditionalFormatting>
  <conditionalFormatting sqref="N259">
    <cfRule type="cellIs" dxfId="20593" priority="1435" operator="greaterThan">
      <formula>0.9</formula>
    </cfRule>
    <cfRule type="cellIs" dxfId="20592" priority="1436" operator="greaterThan">
      <formula>0.85</formula>
    </cfRule>
  </conditionalFormatting>
  <conditionalFormatting sqref="N260">
    <cfRule type="cellIs" dxfId="20591" priority="1417" operator="greaterThan">
      <formula>0.9</formula>
    </cfRule>
    <cfRule type="cellIs" dxfId="20590" priority="1418" operator="greaterThan">
      <formula>0.85</formula>
    </cfRule>
  </conditionalFormatting>
  <conditionalFormatting sqref="N261">
    <cfRule type="cellIs" dxfId="20589" priority="1399" operator="greaterThan">
      <formula>0.9</formula>
    </cfRule>
    <cfRule type="cellIs" dxfId="20588" priority="1400" operator="greaterThan">
      <formula>0.85</formula>
    </cfRule>
  </conditionalFormatting>
  <conditionalFormatting sqref="N262">
    <cfRule type="cellIs" dxfId="20587" priority="1381" operator="greaterThan">
      <formula>0.9</formula>
    </cfRule>
    <cfRule type="cellIs" dxfId="20586" priority="1382" operator="greaterThan">
      <formula>0.85</formula>
    </cfRule>
  </conditionalFormatting>
  <conditionalFormatting sqref="N263">
    <cfRule type="cellIs" dxfId="20585" priority="1363" operator="greaterThan">
      <formula>0.9</formula>
    </cfRule>
    <cfRule type="cellIs" dxfId="20584" priority="1364" operator="greaterThan">
      <formula>0.85</formula>
    </cfRule>
  </conditionalFormatting>
  <conditionalFormatting sqref="N264">
    <cfRule type="cellIs" dxfId="20583" priority="1345" operator="greaterThan">
      <formula>0.9</formula>
    </cfRule>
    <cfRule type="cellIs" dxfId="20582" priority="1346" operator="greaterThan">
      <formula>0.85</formula>
    </cfRule>
  </conditionalFormatting>
  <conditionalFormatting sqref="N265">
    <cfRule type="cellIs" dxfId="20581" priority="1327" operator="greaterThan">
      <formula>0.9</formula>
    </cfRule>
    <cfRule type="cellIs" dxfId="20580" priority="1328" operator="greaterThan">
      <formula>0.85</formula>
    </cfRule>
  </conditionalFormatting>
  <conditionalFormatting sqref="N266">
    <cfRule type="cellIs" dxfId="20579" priority="1309" operator="greaterThan">
      <formula>0.9</formula>
    </cfRule>
    <cfRule type="cellIs" dxfId="20578" priority="1310" operator="greaterThan">
      <formula>0.85</formula>
    </cfRule>
  </conditionalFormatting>
  <conditionalFormatting sqref="N267">
    <cfRule type="cellIs" dxfId="20577" priority="1291" operator="greaterThan">
      <formula>0.9</formula>
    </cfRule>
    <cfRule type="cellIs" dxfId="20576" priority="1292" operator="greaterThan">
      <formula>0.85</formula>
    </cfRule>
  </conditionalFormatting>
  <conditionalFormatting sqref="N268">
    <cfRule type="cellIs" dxfId="20575" priority="1273" operator="greaterThan">
      <formula>0.9</formula>
    </cfRule>
    <cfRule type="cellIs" dxfId="20574" priority="1274" operator="greaterThan">
      <formula>0.85</formula>
    </cfRule>
  </conditionalFormatting>
  <conditionalFormatting sqref="N269">
    <cfRule type="cellIs" dxfId="20573" priority="1255" operator="greaterThan">
      <formula>0.9</formula>
    </cfRule>
    <cfRule type="cellIs" dxfId="20572" priority="1256" operator="greaterThan">
      <formula>0.85</formula>
    </cfRule>
  </conditionalFormatting>
  <conditionalFormatting sqref="N270">
    <cfRule type="cellIs" dxfId="20571" priority="1237" operator="greaterThan">
      <formula>0.9</formula>
    </cfRule>
    <cfRule type="cellIs" dxfId="20570" priority="1238" operator="greaterThan">
      <formula>0.85</formula>
    </cfRule>
  </conditionalFormatting>
  <conditionalFormatting sqref="N271">
    <cfRule type="cellIs" dxfId="20569" priority="1219" operator="greaterThan">
      <formula>0.9</formula>
    </cfRule>
    <cfRule type="cellIs" dxfId="20568" priority="1220" operator="greaterThan">
      <formula>0.85</formula>
    </cfRule>
  </conditionalFormatting>
  <conditionalFormatting sqref="N272">
    <cfRule type="cellIs" dxfId="20567" priority="1201" operator="greaterThan">
      <formula>0.9</formula>
    </cfRule>
    <cfRule type="cellIs" dxfId="20566" priority="1202" operator="greaterThan">
      <formula>0.85</formula>
    </cfRule>
  </conditionalFormatting>
  <conditionalFormatting sqref="N273">
    <cfRule type="cellIs" dxfId="20565" priority="1183" operator="greaterThan">
      <formula>0.9</formula>
    </cfRule>
    <cfRule type="cellIs" dxfId="20564" priority="1184" operator="greaterThan">
      <formula>0.85</formula>
    </cfRule>
  </conditionalFormatting>
  <conditionalFormatting sqref="N274">
    <cfRule type="cellIs" dxfId="20563" priority="1165" operator="greaterThan">
      <formula>0.9</formula>
    </cfRule>
    <cfRule type="cellIs" dxfId="20562" priority="1166" operator="greaterThan">
      <formula>0.85</formula>
    </cfRule>
  </conditionalFormatting>
  <conditionalFormatting sqref="N275">
    <cfRule type="cellIs" dxfId="20561" priority="1147" operator="greaterThan">
      <formula>0.9</formula>
    </cfRule>
    <cfRule type="cellIs" dxfId="20560" priority="1148" operator="greaterThan">
      <formula>0.85</formula>
    </cfRule>
  </conditionalFormatting>
  <conditionalFormatting sqref="N276">
    <cfRule type="cellIs" dxfId="20559" priority="1129" operator="greaterThan">
      <formula>0.9</formula>
    </cfRule>
    <cfRule type="cellIs" dxfId="20558" priority="1130" operator="greaterThan">
      <formula>0.85</formula>
    </cfRule>
  </conditionalFormatting>
  <conditionalFormatting sqref="N277">
    <cfRule type="cellIs" dxfId="20557" priority="1111" operator="greaterThan">
      <formula>0.9</formula>
    </cfRule>
    <cfRule type="cellIs" dxfId="20556" priority="1112" operator="greaterThan">
      <formula>0.85</formula>
    </cfRule>
  </conditionalFormatting>
  <conditionalFormatting sqref="N278">
    <cfRule type="cellIs" dxfId="20555" priority="1093" operator="greaterThan">
      <formula>0.9</formula>
    </cfRule>
    <cfRule type="cellIs" dxfId="20554" priority="1094" operator="greaterThan">
      <formula>0.85</formula>
    </cfRule>
  </conditionalFormatting>
  <conditionalFormatting sqref="N279">
    <cfRule type="cellIs" dxfId="20553" priority="1057" operator="greaterThan">
      <formula>0.9</formula>
    </cfRule>
    <cfRule type="cellIs" dxfId="20552" priority="1058" operator="greaterThan">
      <formula>0.85</formula>
    </cfRule>
  </conditionalFormatting>
  <conditionalFormatting sqref="N280">
    <cfRule type="cellIs" dxfId="20551" priority="1039" operator="greaterThan">
      <formula>0.9</formula>
    </cfRule>
    <cfRule type="cellIs" dxfId="20550" priority="1040" operator="greaterThan">
      <formula>0.85</formula>
    </cfRule>
  </conditionalFormatting>
  <conditionalFormatting sqref="N281">
    <cfRule type="cellIs" dxfId="20549" priority="1021" operator="greaterThan">
      <formula>0.9</formula>
    </cfRule>
    <cfRule type="cellIs" dxfId="20548" priority="1022" operator="greaterThan">
      <formula>0.85</formula>
    </cfRule>
  </conditionalFormatting>
  <conditionalFormatting sqref="N282">
    <cfRule type="cellIs" dxfId="20547" priority="1003" operator="greaterThan">
      <formula>0.9</formula>
    </cfRule>
    <cfRule type="cellIs" dxfId="20546" priority="1004" operator="greaterThan">
      <formula>0.85</formula>
    </cfRule>
  </conditionalFormatting>
  <conditionalFormatting sqref="N283">
    <cfRule type="cellIs" dxfId="20545" priority="985" operator="greaterThan">
      <formula>0.9</formula>
    </cfRule>
    <cfRule type="cellIs" dxfId="20544" priority="986" operator="greaterThan">
      <formula>0.85</formula>
    </cfRule>
  </conditionalFormatting>
  <conditionalFormatting sqref="N284">
    <cfRule type="cellIs" dxfId="20543" priority="967" operator="greaterThan">
      <formula>0.9</formula>
    </cfRule>
    <cfRule type="cellIs" dxfId="20542" priority="968" operator="greaterThan">
      <formula>0.85</formula>
    </cfRule>
  </conditionalFormatting>
  <conditionalFormatting sqref="N285">
    <cfRule type="cellIs" dxfId="20541" priority="949" operator="greaterThan">
      <formula>0.9</formula>
    </cfRule>
    <cfRule type="cellIs" dxfId="20540" priority="950" operator="greaterThan">
      <formula>0.85</formula>
    </cfRule>
  </conditionalFormatting>
  <conditionalFormatting sqref="N286">
    <cfRule type="cellIs" dxfId="20539" priority="931" operator="greaterThan">
      <formula>0.9</formula>
    </cfRule>
    <cfRule type="cellIs" dxfId="20538" priority="932" operator="greaterThan">
      <formula>0.85</formula>
    </cfRule>
  </conditionalFormatting>
  <conditionalFormatting sqref="N287">
    <cfRule type="cellIs" dxfId="20537" priority="913" operator="greaterThan">
      <formula>0.9</formula>
    </cfRule>
    <cfRule type="cellIs" dxfId="20536" priority="914" operator="greaterThan">
      <formula>0.85</formula>
    </cfRule>
  </conditionalFormatting>
  <conditionalFormatting sqref="N288">
    <cfRule type="cellIs" dxfId="20535" priority="895" operator="greaterThan">
      <formula>0.9</formula>
    </cfRule>
    <cfRule type="cellIs" dxfId="20534" priority="896" operator="greaterThan">
      <formula>0.85</formula>
    </cfRule>
  </conditionalFormatting>
  <conditionalFormatting sqref="N289">
    <cfRule type="cellIs" dxfId="20533" priority="877" operator="greaterThan">
      <formula>0.9</formula>
    </cfRule>
    <cfRule type="cellIs" dxfId="20532" priority="878" operator="greaterThan">
      <formula>0.85</formula>
    </cfRule>
  </conditionalFormatting>
  <conditionalFormatting sqref="N290">
    <cfRule type="cellIs" dxfId="20531" priority="859" operator="greaterThan">
      <formula>0.9</formula>
    </cfRule>
    <cfRule type="cellIs" dxfId="20530" priority="860" operator="greaterThan">
      <formula>0.85</formula>
    </cfRule>
  </conditionalFormatting>
  <conditionalFormatting sqref="N291">
    <cfRule type="cellIs" dxfId="20529" priority="841" operator="greaterThan">
      <formula>0.9</formula>
    </cfRule>
    <cfRule type="cellIs" dxfId="20528" priority="842" operator="greaterThan">
      <formula>0.85</formula>
    </cfRule>
  </conditionalFormatting>
  <conditionalFormatting sqref="N292">
    <cfRule type="cellIs" dxfId="20527" priority="823" operator="greaterThan">
      <formula>0.9</formula>
    </cfRule>
    <cfRule type="cellIs" dxfId="20526" priority="824" operator="greaterThan">
      <formula>0.85</formula>
    </cfRule>
  </conditionalFormatting>
  <conditionalFormatting sqref="N293">
    <cfRule type="cellIs" dxfId="20525" priority="805" operator="greaterThan">
      <formula>0.9</formula>
    </cfRule>
    <cfRule type="cellIs" dxfId="20524" priority="806" operator="greaterThan">
      <formula>0.85</formula>
    </cfRule>
  </conditionalFormatting>
  <conditionalFormatting sqref="N294">
    <cfRule type="cellIs" dxfId="20523" priority="787" operator="greaterThan">
      <formula>0.9</formula>
    </cfRule>
    <cfRule type="cellIs" dxfId="20522" priority="788" operator="greaterThan">
      <formula>0.85</formula>
    </cfRule>
  </conditionalFormatting>
  <conditionalFormatting sqref="N295">
    <cfRule type="cellIs" dxfId="20521" priority="769" operator="greaterThan">
      <formula>0.9</formula>
    </cfRule>
    <cfRule type="cellIs" dxfId="20520" priority="770" operator="greaterThan">
      <formula>0.85</formula>
    </cfRule>
  </conditionalFormatting>
  <conditionalFormatting sqref="N296">
    <cfRule type="cellIs" dxfId="20519" priority="751" operator="greaterThan">
      <formula>0.9</formula>
    </cfRule>
    <cfRule type="cellIs" dxfId="20518" priority="752" operator="greaterThan">
      <formula>0.85</formula>
    </cfRule>
  </conditionalFormatting>
  <conditionalFormatting sqref="N297">
    <cfRule type="cellIs" dxfId="20517" priority="733" operator="greaterThan">
      <formula>0.9</formula>
    </cfRule>
    <cfRule type="cellIs" dxfId="20516" priority="734" operator="greaterThan">
      <formula>0.85</formula>
    </cfRule>
  </conditionalFormatting>
  <conditionalFormatting sqref="N298">
    <cfRule type="cellIs" dxfId="20515" priority="715" operator="greaterThan">
      <formula>0.9</formula>
    </cfRule>
    <cfRule type="cellIs" dxfId="20514" priority="716" operator="greaterThan">
      <formula>0.85</formula>
    </cfRule>
  </conditionalFormatting>
  <conditionalFormatting sqref="N299">
    <cfRule type="cellIs" dxfId="20513" priority="697" operator="greaterThan">
      <formula>0.9</formula>
    </cfRule>
    <cfRule type="cellIs" dxfId="20512" priority="698" operator="greaterThan">
      <formula>0.85</formula>
    </cfRule>
  </conditionalFormatting>
  <conditionalFormatting sqref="N300">
    <cfRule type="cellIs" dxfId="20511" priority="679" operator="greaterThan">
      <formula>0.9</formula>
    </cfRule>
    <cfRule type="cellIs" dxfId="20510" priority="680" operator="greaterThan">
      <formula>0.85</formula>
    </cfRule>
  </conditionalFormatting>
  <conditionalFormatting sqref="N301">
    <cfRule type="cellIs" dxfId="20509" priority="661" operator="greaterThan">
      <formula>0.9</formula>
    </cfRule>
    <cfRule type="cellIs" dxfId="20508" priority="662" operator="greaterThan">
      <formula>0.85</formula>
    </cfRule>
  </conditionalFormatting>
  <conditionalFormatting sqref="N302">
    <cfRule type="cellIs" dxfId="20507" priority="625" operator="greaterThan">
      <formula>0.9</formula>
    </cfRule>
    <cfRule type="cellIs" dxfId="20506" priority="626" operator="greaterThan">
      <formula>0.85</formula>
    </cfRule>
  </conditionalFormatting>
  <conditionalFormatting sqref="N303">
    <cfRule type="cellIs" dxfId="20505" priority="589" operator="greaterThan">
      <formula>0.9</formula>
    </cfRule>
    <cfRule type="cellIs" dxfId="20504" priority="590" operator="greaterThan">
      <formula>0.85</formula>
    </cfRule>
  </conditionalFormatting>
  <conditionalFormatting sqref="N304">
    <cfRule type="cellIs" dxfId="20503" priority="571" operator="greaterThan">
      <formula>0.9</formula>
    </cfRule>
    <cfRule type="cellIs" dxfId="20502" priority="572" operator="greaterThan">
      <formula>0.85</formula>
    </cfRule>
  </conditionalFormatting>
  <conditionalFormatting sqref="N305">
    <cfRule type="cellIs" dxfId="20501" priority="553" operator="greaterThan">
      <formula>0.9</formula>
    </cfRule>
    <cfRule type="cellIs" dxfId="20500" priority="554" operator="greaterThan">
      <formula>0.85</formula>
    </cfRule>
  </conditionalFormatting>
  <conditionalFormatting sqref="N306">
    <cfRule type="cellIs" dxfId="20499" priority="535" operator="greaterThan">
      <formula>0.9</formula>
    </cfRule>
    <cfRule type="cellIs" dxfId="20498" priority="536" operator="greaterThan">
      <formula>0.85</formula>
    </cfRule>
  </conditionalFormatting>
  <conditionalFormatting sqref="N307">
    <cfRule type="cellIs" dxfId="20497" priority="517" operator="greaterThan">
      <formula>0.9</formula>
    </cfRule>
    <cfRule type="cellIs" dxfId="20496" priority="518" operator="greaterThan">
      <formula>0.85</formula>
    </cfRule>
  </conditionalFormatting>
  <conditionalFormatting sqref="N308">
    <cfRule type="cellIs" dxfId="20495" priority="499" operator="greaterThan">
      <formula>0.9</formula>
    </cfRule>
    <cfRule type="cellIs" dxfId="20494" priority="500" operator="greaterThan">
      <formula>0.85</formula>
    </cfRule>
  </conditionalFormatting>
  <conditionalFormatting sqref="N309">
    <cfRule type="cellIs" dxfId="20493" priority="481" operator="greaterThan">
      <formula>0.9</formula>
    </cfRule>
    <cfRule type="cellIs" dxfId="20492" priority="482" operator="greaterThan">
      <formula>0.85</formula>
    </cfRule>
  </conditionalFormatting>
  <conditionalFormatting sqref="N310">
    <cfRule type="cellIs" dxfId="20491" priority="463" operator="greaterThan">
      <formula>0.9</formula>
    </cfRule>
    <cfRule type="cellIs" dxfId="20490" priority="464" operator="greaterThan">
      <formula>0.85</formula>
    </cfRule>
  </conditionalFormatting>
  <conditionalFormatting sqref="N311">
    <cfRule type="cellIs" dxfId="20489" priority="445" operator="greaterThan">
      <formula>0.9</formula>
    </cfRule>
    <cfRule type="cellIs" dxfId="20488" priority="446" operator="greaterThan">
      <formula>0.85</formula>
    </cfRule>
  </conditionalFormatting>
  <conditionalFormatting sqref="N312">
    <cfRule type="cellIs" dxfId="20487" priority="427" operator="greaterThan">
      <formula>0.9</formula>
    </cfRule>
    <cfRule type="cellIs" dxfId="20486" priority="428" operator="greaterThan">
      <formula>0.85</formula>
    </cfRule>
  </conditionalFormatting>
  <conditionalFormatting sqref="N313">
    <cfRule type="cellIs" dxfId="20485" priority="409" operator="greaterThan">
      <formula>0.9</formula>
    </cfRule>
    <cfRule type="cellIs" dxfId="20484" priority="410" operator="greaterThan">
      <formula>0.85</formula>
    </cfRule>
  </conditionalFormatting>
  <conditionalFormatting sqref="N314">
    <cfRule type="cellIs" dxfId="20483" priority="391" operator="greaterThan">
      <formula>0.9</formula>
    </cfRule>
    <cfRule type="cellIs" dxfId="20482" priority="392" operator="greaterThan">
      <formula>0.85</formula>
    </cfRule>
  </conditionalFormatting>
  <conditionalFormatting sqref="N315">
    <cfRule type="cellIs" dxfId="20481" priority="373" operator="greaterThan">
      <formula>0.9</formula>
    </cfRule>
    <cfRule type="cellIs" dxfId="20480" priority="374" operator="greaterThan">
      <formula>0.85</formula>
    </cfRule>
  </conditionalFormatting>
  <conditionalFormatting sqref="N316">
    <cfRule type="cellIs" dxfId="20479" priority="337" operator="greaterThan">
      <formula>0.9</formula>
    </cfRule>
    <cfRule type="cellIs" dxfId="20478" priority="338" operator="greaterThan">
      <formula>0.85</formula>
    </cfRule>
  </conditionalFormatting>
  <conditionalFormatting sqref="N317">
    <cfRule type="cellIs" dxfId="20477" priority="319" operator="greaterThan">
      <formula>0.9</formula>
    </cfRule>
    <cfRule type="cellIs" dxfId="20476" priority="320" operator="greaterThan">
      <formula>0.85</formula>
    </cfRule>
  </conditionalFormatting>
  <conditionalFormatting sqref="N318">
    <cfRule type="cellIs" dxfId="20475" priority="301" operator="greaterThan">
      <formula>0.9</formula>
    </cfRule>
    <cfRule type="cellIs" dxfId="20474" priority="302" operator="greaterThan">
      <formula>0.85</formula>
    </cfRule>
  </conditionalFormatting>
  <conditionalFormatting sqref="N319">
    <cfRule type="cellIs" dxfId="20473" priority="265" operator="greaterThan">
      <formula>0.9</formula>
    </cfRule>
    <cfRule type="cellIs" dxfId="20472" priority="266" operator="greaterThan">
      <formula>0.85</formula>
    </cfRule>
  </conditionalFormatting>
  <conditionalFormatting sqref="N320">
    <cfRule type="cellIs" dxfId="20471" priority="229" operator="greaterThan">
      <formula>0.9</formula>
    </cfRule>
    <cfRule type="cellIs" dxfId="20470" priority="230" operator="greaterThan">
      <formula>0.85</formula>
    </cfRule>
  </conditionalFormatting>
  <conditionalFormatting sqref="N321">
    <cfRule type="cellIs" dxfId="20469" priority="211" operator="greaterThan">
      <formula>0.9</formula>
    </cfRule>
    <cfRule type="cellIs" dxfId="20468" priority="212" operator="greaterThan">
      <formula>0.85</formula>
    </cfRule>
  </conditionalFormatting>
  <conditionalFormatting sqref="N322">
    <cfRule type="cellIs" dxfId="20467" priority="193" operator="greaterThan">
      <formula>0.9</formula>
    </cfRule>
    <cfRule type="cellIs" dxfId="20466" priority="194" operator="greaterThan">
      <formula>0.85</formula>
    </cfRule>
  </conditionalFormatting>
  <conditionalFormatting sqref="N323">
    <cfRule type="cellIs" dxfId="20465" priority="175" operator="greaterThan">
      <formula>0.9</formula>
    </cfRule>
    <cfRule type="cellIs" dxfId="20464" priority="176" operator="greaterThan">
      <formula>0.85</formula>
    </cfRule>
  </conditionalFormatting>
  <conditionalFormatting sqref="N324">
    <cfRule type="cellIs" dxfId="20463" priority="139" operator="greaterThan">
      <formula>0.9</formula>
    </cfRule>
    <cfRule type="cellIs" dxfId="20462" priority="140" operator="greaterThan">
      <formula>0.85</formula>
    </cfRule>
  </conditionalFormatting>
  <conditionalFormatting sqref="N325">
    <cfRule type="cellIs" dxfId="20461" priority="121" operator="greaterThan">
      <formula>0.9</formula>
    </cfRule>
    <cfRule type="cellIs" dxfId="20460" priority="122" operator="greaterThan">
      <formula>0.85</formula>
    </cfRule>
  </conditionalFormatting>
  <conditionalFormatting sqref="N326">
    <cfRule type="cellIs" dxfId="20459" priority="103" operator="greaterThan">
      <formula>0.9</formula>
    </cfRule>
    <cfRule type="cellIs" dxfId="20458" priority="104" operator="greaterThan">
      <formula>0.85</formula>
    </cfRule>
  </conditionalFormatting>
  <conditionalFormatting sqref="N327">
    <cfRule type="cellIs" dxfId="20457" priority="85" operator="greaterThan">
      <formula>0.9</formula>
    </cfRule>
    <cfRule type="cellIs" dxfId="20456" priority="86" operator="greaterThan">
      <formula>0.85</formula>
    </cfRule>
  </conditionalFormatting>
  <conditionalFormatting sqref="N328">
    <cfRule type="cellIs" dxfId="20455" priority="67" operator="greaterThan">
      <formula>0.9</formula>
    </cfRule>
    <cfRule type="cellIs" dxfId="20454" priority="68" operator="greaterThan">
      <formula>0.85</formula>
    </cfRule>
  </conditionalFormatting>
  <conditionalFormatting sqref="N329">
    <cfRule type="cellIs" dxfId="20453" priority="49" operator="greaterThan">
      <formula>0.9</formula>
    </cfRule>
    <cfRule type="cellIs" dxfId="20452" priority="50" operator="greaterThan">
      <formula>0.85</formula>
    </cfRule>
  </conditionalFormatting>
  <conditionalFormatting sqref="N330">
    <cfRule type="cellIs" dxfId="20451" priority="31" operator="greaterThan">
      <formula>0.9</formula>
    </cfRule>
    <cfRule type="cellIs" dxfId="20450" priority="32" operator="greaterThan">
      <formula>0.85</formula>
    </cfRule>
  </conditionalFormatting>
  <conditionalFormatting sqref="E4:E331">
    <cfRule type="expression" dxfId="20449" priority="88252">
      <formula>AND(IF(OR($Q4=1,$Q4=2),1,0),IF(#REF!&lt;=20,1,0))</formula>
    </cfRule>
    <cfRule type="expression" dxfId="20448" priority="88253">
      <formula>AND(IF($Q4=2,1,0),IF(#REF!&lt;30,1,0))</formula>
    </cfRule>
    <cfRule type="expression" dxfId="20447" priority="88254">
      <formula>AND(IF($Q4=3,1,0),IF(#REF!&lt;30,1,0))</formula>
    </cfRule>
    <cfRule type="expression" dxfId="20446" priority="88255">
      <formula>AND(IF($Q4=3,1,IF($Q4=4,1,0)),IF($F4&lt;=85,1,0))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82657" r:id="rId3" name="Button 1">
              <controlPr defaultSize="0" print="0" autoFill="0" autoPict="0" macro="[0]!AllList_DongPrice">
                <anchor moveWithCells="1" sizeWithCells="1">
                  <from>
                    <xdr:col>2</xdr:col>
                    <xdr:colOff>95250</xdr:colOff>
                    <xdr:row>0</xdr:row>
                    <xdr:rowOff>47625</xdr:rowOff>
                  </from>
                  <to>
                    <xdr:col>4</xdr:col>
                    <xdr:colOff>247650</xdr:colOff>
                    <xdr:row>1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5" tint="0.59999389629810485"/>
  </sheetPr>
  <dimension ref="A1:AV69"/>
  <sheetViews>
    <sheetView zoomScaleNormal="100" workbookViewId="0">
      <selection activeCell="F5" sqref="F5"/>
    </sheetView>
  </sheetViews>
  <sheetFormatPr defaultColWidth="17.5" defaultRowHeight="13.5" x14ac:dyDescent="0.3"/>
  <cols>
    <col min="1" max="1" width="4.625" style="75" bestFit="1" customWidth="1"/>
    <col min="2" max="2" width="3.375" style="75" customWidth="1"/>
    <col min="3" max="3" width="4.625" style="75" bestFit="1" customWidth="1"/>
    <col min="4" max="9" width="29.125" style="50" customWidth="1"/>
    <col min="10" max="23" width="25" style="50" customWidth="1"/>
    <col min="24" max="48" width="17.5" style="50" customWidth="1"/>
    <col min="49" max="50" width="17.5" style="75" customWidth="1"/>
    <col min="51" max="16384" width="17.5" style="75"/>
  </cols>
  <sheetData>
    <row r="1" spans="1:48" x14ac:dyDescent="0.3">
      <c r="D1" s="75"/>
      <c r="E1" s="75"/>
      <c r="F1" s="75"/>
      <c r="G1" s="75"/>
      <c r="H1" s="75"/>
      <c r="I1" s="75"/>
      <c r="J1" s="75"/>
      <c r="K1" s="75"/>
      <c r="L1" s="75"/>
      <c r="M1" s="75"/>
      <c r="N1" s="75"/>
      <c r="O1" s="75"/>
      <c r="P1" s="75"/>
      <c r="Q1" s="75"/>
      <c r="R1" s="75"/>
      <c r="S1" s="75"/>
      <c r="T1" s="75"/>
      <c r="U1" s="75"/>
      <c r="V1" s="75"/>
      <c r="W1" s="75"/>
      <c r="X1" s="75"/>
      <c r="Y1" s="75"/>
      <c r="Z1" s="75"/>
      <c r="AA1" s="75"/>
      <c r="AB1" s="75"/>
      <c r="AC1" s="75"/>
      <c r="AD1" s="75"/>
      <c r="AE1" s="75"/>
      <c r="AF1" s="75"/>
      <c r="AG1" s="75"/>
      <c r="AH1" s="75"/>
      <c r="AI1" s="75"/>
      <c r="AJ1" s="75"/>
      <c r="AK1" s="75"/>
      <c r="AL1" s="75"/>
      <c r="AM1" s="75"/>
      <c r="AN1" s="75"/>
      <c r="AO1" s="75"/>
      <c r="AP1" s="75"/>
      <c r="AQ1" s="75"/>
      <c r="AR1" s="75"/>
      <c r="AS1" s="75"/>
      <c r="AT1" s="75"/>
      <c r="AU1" s="75"/>
      <c r="AV1" s="75"/>
    </row>
    <row r="2" spans="1:48" x14ac:dyDescent="0.3">
      <c r="D2" s="75"/>
      <c r="E2" s="75"/>
      <c r="F2" s="75"/>
      <c r="G2" s="75"/>
      <c r="H2" s="75"/>
      <c r="I2" s="75"/>
      <c r="J2" s="75"/>
      <c r="K2" s="75"/>
      <c r="L2" s="75"/>
      <c r="M2" s="75"/>
      <c r="N2" s="75"/>
      <c r="O2" s="75"/>
      <c r="P2" s="75"/>
      <c r="Q2" s="75"/>
      <c r="R2" s="75"/>
      <c r="S2" s="75"/>
      <c r="T2" s="75"/>
      <c r="U2" s="75"/>
      <c r="V2" s="75"/>
      <c r="W2" s="75"/>
      <c r="X2" s="75"/>
      <c r="Y2" s="75"/>
      <c r="Z2" s="75"/>
      <c r="AA2" s="75"/>
      <c r="AB2" s="75"/>
      <c r="AC2" s="75"/>
      <c r="AD2" s="75"/>
      <c r="AE2" s="75"/>
      <c r="AF2" s="75"/>
      <c r="AG2" s="75"/>
      <c r="AH2" s="75"/>
      <c r="AI2" s="75"/>
      <c r="AJ2" s="75"/>
      <c r="AK2" s="75"/>
      <c r="AL2" s="75"/>
      <c r="AM2" s="75"/>
      <c r="AN2" s="75"/>
      <c r="AO2" s="75"/>
      <c r="AP2" s="75"/>
      <c r="AQ2" s="75"/>
      <c r="AR2" s="75"/>
      <c r="AS2" s="75"/>
      <c r="AT2" s="75"/>
      <c r="AU2" s="75"/>
      <c r="AV2" s="75"/>
    </row>
    <row r="3" spans="1:48" x14ac:dyDescent="0.3">
      <c r="D3" s="75"/>
      <c r="E3" s="75"/>
      <c r="F3" s="75"/>
      <c r="G3" s="75"/>
      <c r="H3" s="75"/>
      <c r="I3" s="75"/>
      <c r="J3" s="75"/>
      <c r="K3" s="75"/>
      <c r="L3" s="75"/>
      <c r="M3" s="75"/>
      <c r="N3" s="75"/>
      <c r="O3" s="75"/>
      <c r="P3" s="75"/>
      <c r="Q3" s="75"/>
      <c r="R3" s="75"/>
      <c r="S3" s="75"/>
      <c r="T3" s="75"/>
      <c r="U3" s="75"/>
      <c r="V3" s="75"/>
      <c r="W3" s="75"/>
      <c r="X3" s="75"/>
      <c r="Y3" s="75"/>
      <c r="Z3" s="75"/>
      <c r="AA3" s="75"/>
      <c r="AB3" s="75"/>
      <c r="AC3" s="75"/>
      <c r="AD3" s="75"/>
      <c r="AE3" s="75"/>
      <c r="AF3" s="75"/>
      <c r="AG3" s="75"/>
      <c r="AH3" s="75"/>
      <c r="AI3" s="75"/>
      <c r="AJ3" s="75"/>
      <c r="AK3" s="75"/>
      <c r="AL3" s="75"/>
      <c r="AM3" s="75"/>
      <c r="AN3" s="75"/>
      <c r="AO3" s="75"/>
      <c r="AP3" s="75"/>
      <c r="AQ3" s="75"/>
      <c r="AR3" s="75"/>
      <c r="AS3" s="75"/>
      <c r="AT3" s="75"/>
      <c r="AU3" s="75"/>
      <c r="AV3" s="75"/>
    </row>
    <row r="4" spans="1:48" x14ac:dyDescent="0.3">
      <c r="A4" s="115" t="s">
        <v>500</v>
      </c>
      <c r="B4" s="116"/>
      <c r="C4" s="116"/>
      <c r="D4" s="75" t="s">
        <v>501</v>
      </c>
      <c r="E4" s="75" t="s">
        <v>502</v>
      </c>
      <c r="F4" s="75" t="s">
        <v>2050</v>
      </c>
      <c r="G4" s="75" t="s">
        <v>2051</v>
      </c>
      <c r="H4" s="75"/>
      <c r="I4" s="75"/>
      <c r="J4" s="75"/>
      <c r="K4" s="75"/>
      <c r="L4" s="75"/>
      <c r="M4" s="75"/>
      <c r="N4" s="75"/>
      <c r="O4" s="75"/>
      <c r="P4" s="75"/>
      <c r="Q4" s="75"/>
      <c r="R4" s="75"/>
      <c r="S4" s="75"/>
      <c r="T4" s="75"/>
      <c r="U4" s="75"/>
      <c r="V4" s="75"/>
      <c r="W4" s="75"/>
      <c r="X4" s="75"/>
      <c r="Y4" s="75"/>
      <c r="Z4" s="75"/>
      <c r="AA4" s="75"/>
      <c r="AB4" s="75"/>
      <c r="AC4" s="75"/>
      <c r="AD4" s="75"/>
      <c r="AE4" s="75"/>
      <c r="AF4" s="75"/>
      <c r="AG4" s="75"/>
      <c r="AH4" s="75"/>
      <c r="AI4" s="75"/>
      <c r="AJ4" s="75"/>
      <c r="AK4" s="75"/>
      <c r="AL4" s="75"/>
      <c r="AM4" s="75"/>
      <c r="AN4" s="75"/>
      <c r="AO4" s="75"/>
      <c r="AP4" s="75"/>
      <c r="AQ4" s="75"/>
      <c r="AR4" s="75"/>
      <c r="AS4" s="75"/>
      <c r="AT4" s="75"/>
      <c r="AU4" s="75"/>
      <c r="AV4" s="75"/>
    </row>
    <row r="5" spans="1:48" x14ac:dyDescent="0.3">
      <c r="A5" s="115" t="s">
        <v>503</v>
      </c>
      <c r="B5" s="116"/>
      <c r="C5" s="116"/>
    </row>
    <row r="6" spans="1:48" x14ac:dyDescent="0.3">
      <c r="A6" s="115" t="s">
        <v>504</v>
      </c>
      <c r="B6" s="116"/>
      <c r="C6" s="116"/>
    </row>
    <row r="7" spans="1:48" x14ac:dyDescent="0.3">
      <c r="A7" s="51" t="s">
        <v>505</v>
      </c>
      <c r="B7" s="52"/>
      <c r="C7" s="53"/>
      <c r="D7" s="54"/>
      <c r="E7" s="54" t="str">
        <f t="shared" ref="E7:W7" si="0">E4&amp;IF(E5="","",","&amp;E5)&amp;IF(E6="","",","&amp;E6)</f>
        <v>효자동1가</v>
      </c>
      <c r="F7" s="54" t="str">
        <f t="shared" si="0"/>
        <v>태평동</v>
      </c>
      <c r="G7" s="54" t="str">
        <f t="shared" si="0"/>
        <v>서신동</v>
      </c>
      <c r="H7" s="54" t="str">
        <f t="shared" si="0"/>
        <v/>
      </c>
      <c r="I7" s="54" t="str">
        <f t="shared" si="0"/>
        <v/>
      </c>
      <c r="J7" s="54" t="str">
        <f t="shared" si="0"/>
        <v/>
      </c>
      <c r="K7" s="54" t="str">
        <f t="shared" si="0"/>
        <v/>
      </c>
      <c r="L7" s="54" t="str">
        <f t="shared" si="0"/>
        <v/>
      </c>
      <c r="M7" s="54" t="str">
        <f t="shared" si="0"/>
        <v/>
      </c>
      <c r="N7" s="54" t="str">
        <f t="shared" si="0"/>
        <v/>
      </c>
      <c r="O7" s="54" t="str">
        <f t="shared" si="0"/>
        <v/>
      </c>
      <c r="P7" s="54" t="str">
        <f t="shared" si="0"/>
        <v/>
      </c>
      <c r="Q7" s="54" t="str">
        <f t="shared" si="0"/>
        <v/>
      </c>
      <c r="R7" s="54" t="str">
        <f t="shared" si="0"/>
        <v/>
      </c>
      <c r="S7" s="54" t="str">
        <f t="shared" si="0"/>
        <v/>
      </c>
      <c r="T7" s="54" t="str">
        <f t="shared" si="0"/>
        <v/>
      </c>
      <c r="U7" s="54" t="str">
        <f t="shared" si="0"/>
        <v/>
      </c>
      <c r="V7" s="54" t="str">
        <f t="shared" si="0"/>
        <v/>
      </c>
      <c r="W7" s="54" t="str">
        <f t="shared" si="0"/>
        <v/>
      </c>
    </row>
    <row r="8" spans="1:48" x14ac:dyDescent="0.3">
      <c r="A8" s="95">
        <v>8</v>
      </c>
      <c r="B8" s="57" t="s">
        <v>506</v>
      </c>
      <c r="C8" s="96"/>
      <c r="D8" s="58"/>
      <c r="E8" s="58"/>
      <c r="F8" s="58"/>
      <c r="G8" s="58"/>
      <c r="H8" s="58"/>
      <c r="I8" s="58"/>
      <c r="J8" s="58"/>
      <c r="K8" s="58"/>
      <c r="L8" s="58"/>
      <c r="M8" s="58"/>
      <c r="N8" s="58"/>
      <c r="O8" s="58"/>
      <c r="P8" s="58"/>
      <c r="Q8" s="58"/>
      <c r="R8" s="58"/>
      <c r="S8" s="58"/>
      <c r="T8" s="58"/>
      <c r="U8" s="58"/>
      <c r="V8" s="58"/>
      <c r="W8" s="58"/>
    </row>
    <row r="9" spans="1:48" x14ac:dyDescent="0.3">
      <c r="A9" s="97">
        <v>7</v>
      </c>
      <c r="B9" s="59" t="s">
        <v>506</v>
      </c>
      <c r="C9" s="98">
        <v>8</v>
      </c>
      <c r="D9" s="58" t="s">
        <v>507</v>
      </c>
      <c r="E9" s="58"/>
      <c r="F9" s="58"/>
      <c r="G9" s="58"/>
      <c r="H9" s="58"/>
      <c r="I9" s="58"/>
      <c r="J9" s="58"/>
      <c r="K9" s="58"/>
      <c r="L9" s="58"/>
      <c r="M9" s="58"/>
      <c r="N9" s="58"/>
      <c r="O9" s="58"/>
      <c r="P9" s="58"/>
      <c r="Q9" s="58"/>
      <c r="R9" s="58"/>
      <c r="S9" s="58"/>
      <c r="T9" s="58"/>
      <c r="U9" s="58"/>
      <c r="V9" s="58"/>
      <c r="W9" s="58"/>
    </row>
    <row r="10" spans="1:48" x14ac:dyDescent="0.3">
      <c r="A10" s="99">
        <v>6</v>
      </c>
      <c r="B10" s="55" t="s">
        <v>506</v>
      </c>
      <c r="C10" s="100">
        <v>7</v>
      </c>
      <c r="D10" s="56"/>
      <c r="E10" s="56"/>
      <c r="F10" s="56"/>
      <c r="G10" s="56" t="s">
        <v>2052</v>
      </c>
      <c r="H10" s="56"/>
      <c r="I10" s="56"/>
      <c r="J10" s="56"/>
      <c r="K10" s="56"/>
      <c r="L10" s="56"/>
      <c r="M10" s="56"/>
      <c r="N10" s="56"/>
      <c r="O10" s="56"/>
      <c r="P10" s="56"/>
      <c r="Q10" s="56"/>
      <c r="R10" s="56"/>
      <c r="S10" s="56"/>
      <c r="T10" s="56"/>
      <c r="U10" s="56"/>
      <c r="V10" s="56"/>
      <c r="W10" s="56"/>
    </row>
    <row r="11" spans="1:48" ht="24" customHeight="1" x14ac:dyDescent="0.3">
      <c r="A11" s="99">
        <v>5</v>
      </c>
      <c r="B11" s="55" t="s">
        <v>506</v>
      </c>
      <c r="C11" s="100">
        <v>6</v>
      </c>
      <c r="D11" s="56" t="s">
        <v>2054</v>
      </c>
      <c r="E11" s="56"/>
      <c r="F11" s="56"/>
      <c r="G11" s="56"/>
      <c r="H11" s="56"/>
      <c r="I11" s="56"/>
      <c r="J11" s="56"/>
      <c r="K11" s="56"/>
      <c r="L11" s="56"/>
      <c r="M11" s="56"/>
      <c r="N11" s="56"/>
      <c r="O11" s="56"/>
      <c r="P11" s="56"/>
      <c r="Q11" s="56"/>
      <c r="R11" s="56"/>
      <c r="S11" s="56"/>
      <c r="T11" s="56"/>
      <c r="U11" s="56"/>
      <c r="V11" s="56"/>
      <c r="W11" s="56"/>
    </row>
    <row r="12" spans="1:48" ht="36" customHeight="1" x14ac:dyDescent="0.3">
      <c r="A12" s="99">
        <v>4</v>
      </c>
      <c r="B12" s="55" t="s">
        <v>506</v>
      </c>
      <c r="C12" s="100">
        <v>5</v>
      </c>
      <c r="D12" s="56" t="s">
        <v>2058</v>
      </c>
      <c r="E12" s="56"/>
      <c r="F12" s="56"/>
      <c r="G12" s="56" t="s">
        <v>2056</v>
      </c>
      <c r="H12" s="56"/>
      <c r="I12" s="56"/>
      <c r="J12" s="56"/>
      <c r="K12" s="56"/>
      <c r="L12" s="56"/>
      <c r="M12" s="56"/>
      <c r="N12" s="56"/>
      <c r="O12" s="56"/>
      <c r="P12" s="56"/>
      <c r="Q12" s="56"/>
      <c r="R12" s="56"/>
      <c r="S12" s="56"/>
      <c r="T12" s="56"/>
      <c r="U12" s="56"/>
      <c r="V12" s="56"/>
      <c r="W12" s="56"/>
    </row>
    <row r="13" spans="1:48" ht="24" customHeight="1" x14ac:dyDescent="0.3">
      <c r="A13" s="101">
        <v>3</v>
      </c>
      <c r="B13" s="60" t="s">
        <v>506</v>
      </c>
      <c r="C13" s="102">
        <v>4</v>
      </c>
      <c r="D13" s="61" t="s">
        <v>2045</v>
      </c>
      <c r="E13" s="61" t="s">
        <v>508</v>
      </c>
      <c r="F13" s="61"/>
      <c r="G13" s="61"/>
      <c r="H13" s="61"/>
      <c r="I13" s="61"/>
      <c r="J13" s="61"/>
      <c r="K13" s="61"/>
      <c r="L13" s="61"/>
      <c r="M13" s="61"/>
      <c r="N13" s="61"/>
      <c r="O13" s="61"/>
      <c r="P13" s="61"/>
      <c r="Q13" s="61"/>
      <c r="R13" s="61"/>
      <c r="S13" s="61"/>
      <c r="T13" s="61"/>
      <c r="U13" s="61"/>
      <c r="V13" s="61"/>
      <c r="W13" s="61"/>
    </row>
    <row r="14" spans="1:48" ht="48" x14ac:dyDescent="0.3">
      <c r="A14" s="101">
        <v>2.5</v>
      </c>
      <c r="B14" s="60" t="s">
        <v>506</v>
      </c>
      <c r="C14" s="102">
        <v>3</v>
      </c>
      <c r="D14" s="61"/>
      <c r="E14" s="61" t="s">
        <v>509</v>
      </c>
      <c r="F14" s="61"/>
      <c r="G14" s="61" t="s">
        <v>2060</v>
      </c>
      <c r="H14" s="61"/>
      <c r="I14" s="61"/>
      <c r="J14" s="61"/>
      <c r="K14" s="61"/>
      <c r="L14" s="61"/>
      <c r="M14" s="61"/>
      <c r="N14" s="61"/>
      <c r="O14" s="61"/>
      <c r="P14" s="61"/>
      <c r="Q14" s="61"/>
      <c r="R14" s="61"/>
      <c r="S14" s="61"/>
      <c r="T14" s="61"/>
      <c r="U14" s="61"/>
      <c r="V14" s="61"/>
      <c r="W14" s="61"/>
    </row>
    <row r="15" spans="1:48" ht="60" customHeight="1" x14ac:dyDescent="0.3">
      <c r="A15" s="101">
        <v>2</v>
      </c>
      <c r="B15" s="60" t="s">
        <v>506</v>
      </c>
      <c r="C15" s="102">
        <v>2.5</v>
      </c>
      <c r="D15" s="61"/>
      <c r="E15" s="61" t="s">
        <v>2046</v>
      </c>
      <c r="F15" s="61"/>
      <c r="G15" s="61" t="s">
        <v>2063</v>
      </c>
      <c r="H15" s="61"/>
      <c r="I15" s="61"/>
      <c r="J15" s="61"/>
      <c r="K15" s="61"/>
      <c r="L15" s="61"/>
      <c r="M15" s="61"/>
      <c r="N15" s="61"/>
      <c r="O15" s="61"/>
      <c r="P15" s="61"/>
      <c r="Q15" s="61"/>
      <c r="R15" s="61"/>
      <c r="S15" s="61"/>
      <c r="T15" s="61"/>
      <c r="U15" s="61"/>
      <c r="V15" s="61"/>
      <c r="W15" s="61"/>
    </row>
    <row r="16" spans="1:48" ht="72" customHeight="1" x14ac:dyDescent="0.3">
      <c r="A16" s="103">
        <v>1.5</v>
      </c>
      <c r="B16" s="62" t="s">
        <v>506</v>
      </c>
      <c r="C16" s="104">
        <v>2</v>
      </c>
      <c r="D16" s="63"/>
      <c r="E16" s="63" t="s">
        <v>2048</v>
      </c>
      <c r="F16" s="63"/>
      <c r="G16" s="63" t="s">
        <v>2066</v>
      </c>
      <c r="H16" s="63"/>
      <c r="I16" s="63"/>
      <c r="J16" s="63"/>
      <c r="K16" s="63"/>
      <c r="L16" s="63"/>
      <c r="M16" s="63"/>
      <c r="N16" s="63"/>
      <c r="O16" s="63"/>
      <c r="P16" s="63"/>
      <c r="Q16" s="63"/>
      <c r="R16" s="63"/>
      <c r="S16" s="63"/>
      <c r="T16" s="63"/>
      <c r="U16" s="63"/>
      <c r="V16" s="63"/>
      <c r="W16" s="63"/>
    </row>
    <row r="17" spans="1:23" ht="96" customHeight="1" x14ac:dyDescent="0.3">
      <c r="A17" s="103">
        <v>1</v>
      </c>
      <c r="B17" s="62" t="s">
        <v>506</v>
      </c>
      <c r="C17" s="104">
        <v>1.5</v>
      </c>
      <c r="D17" s="63"/>
      <c r="E17" s="63" t="s">
        <v>2071</v>
      </c>
      <c r="F17" s="63"/>
      <c r="G17" s="63" t="s">
        <v>2068</v>
      </c>
      <c r="H17" s="63"/>
      <c r="I17" s="63"/>
      <c r="J17" s="63"/>
      <c r="K17" s="63"/>
      <c r="L17" s="63"/>
      <c r="M17" s="63"/>
      <c r="N17" s="63"/>
      <c r="O17" s="63"/>
      <c r="P17" s="63"/>
      <c r="Q17" s="63"/>
      <c r="R17" s="63"/>
      <c r="S17" s="63"/>
      <c r="T17" s="63"/>
      <c r="U17" s="63"/>
      <c r="V17" s="63"/>
      <c r="W17" s="63"/>
    </row>
    <row r="20" spans="1:23" x14ac:dyDescent="0.3">
      <c r="A20" s="51" t="s">
        <v>493</v>
      </c>
      <c r="B20" s="52"/>
      <c r="C20" s="53"/>
      <c r="D20" s="54">
        <f t="shared" ref="D20:W20" si="1">D7</f>
        <v>0</v>
      </c>
      <c r="E20" s="54" t="str">
        <f t="shared" si="1"/>
        <v>효자동1가</v>
      </c>
      <c r="F20" s="54" t="str">
        <f t="shared" si="1"/>
        <v>태평동</v>
      </c>
      <c r="G20" s="54" t="str">
        <f t="shared" si="1"/>
        <v>서신동</v>
      </c>
      <c r="H20" s="54" t="str">
        <f t="shared" si="1"/>
        <v/>
      </c>
      <c r="I20" s="54" t="str">
        <f t="shared" si="1"/>
        <v/>
      </c>
      <c r="J20" s="54" t="str">
        <f t="shared" si="1"/>
        <v/>
      </c>
      <c r="K20" s="54" t="str">
        <f t="shared" si="1"/>
        <v/>
      </c>
      <c r="L20" s="54" t="str">
        <f t="shared" si="1"/>
        <v/>
      </c>
      <c r="M20" s="54" t="str">
        <f t="shared" si="1"/>
        <v/>
      </c>
      <c r="N20" s="54" t="str">
        <f t="shared" si="1"/>
        <v/>
      </c>
      <c r="O20" s="54" t="str">
        <f t="shared" si="1"/>
        <v/>
      </c>
      <c r="P20" s="54" t="str">
        <f t="shared" si="1"/>
        <v/>
      </c>
      <c r="Q20" s="54" t="str">
        <f t="shared" si="1"/>
        <v/>
      </c>
      <c r="R20" s="54" t="str">
        <f t="shared" si="1"/>
        <v/>
      </c>
      <c r="S20" s="54" t="str">
        <f t="shared" si="1"/>
        <v/>
      </c>
      <c r="T20" s="54" t="str">
        <f t="shared" si="1"/>
        <v/>
      </c>
      <c r="U20" s="54" t="str">
        <f t="shared" si="1"/>
        <v/>
      </c>
      <c r="V20" s="54" t="str">
        <f t="shared" si="1"/>
        <v/>
      </c>
      <c r="W20" s="54" t="str">
        <f t="shared" si="1"/>
        <v/>
      </c>
    </row>
    <row r="21" spans="1:23" x14ac:dyDescent="0.3">
      <c r="A21" s="95">
        <f t="shared" ref="A21:C30" si="2">IF(A8="","",A8)</f>
        <v>8</v>
      </c>
      <c r="B21" s="57" t="str">
        <f t="shared" si="2"/>
        <v>~</v>
      </c>
      <c r="C21" s="96" t="str">
        <f t="shared" si="2"/>
        <v/>
      </c>
      <c r="D21" s="58"/>
      <c r="E21" s="58"/>
      <c r="F21" s="58"/>
      <c r="G21" s="58"/>
      <c r="H21" s="58"/>
      <c r="I21" s="58"/>
      <c r="J21" s="58"/>
      <c r="K21" s="58"/>
      <c r="L21" s="58"/>
      <c r="M21" s="58"/>
      <c r="N21" s="58"/>
      <c r="O21" s="58"/>
      <c r="P21" s="58"/>
      <c r="Q21" s="58"/>
      <c r="R21" s="58"/>
      <c r="S21" s="58"/>
      <c r="T21" s="58"/>
      <c r="U21" s="58"/>
      <c r="V21" s="58"/>
      <c r="W21" s="58"/>
    </row>
    <row r="22" spans="1:23" x14ac:dyDescent="0.3">
      <c r="A22" s="97">
        <f t="shared" si="2"/>
        <v>7</v>
      </c>
      <c r="B22" s="59" t="str">
        <f t="shared" si="2"/>
        <v>~</v>
      </c>
      <c r="C22" s="98">
        <f t="shared" si="2"/>
        <v>8</v>
      </c>
      <c r="D22" s="58" t="s">
        <v>510</v>
      </c>
      <c r="E22" s="58"/>
      <c r="F22" s="58"/>
      <c r="G22" s="58"/>
      <c r="H22" s="58"/>
      <c r="I22" s="58"/>
      <c r="J22" s="58"/>
      <c r="K22" s="58"/>
      <c r="L22" s="58"/>
      <c r="M22" s="58"/>
      <c r="N22" s="58"/>
      <c r="O22" s="58"/>
      <c r="P22" s="58"/>
      <c r="Q22" s="58"/>
      <c r="R22" s="58"/>
      <c r="S22" s="58"/>
      <c r="T22" s="58"/>
      <c r="U22" s="58"/>
      <c r="V22" s="58"/>
      <c r="W22" s="58"/>
    </row>
    <row r="23" spans="1:23" x14ac:dyDescent="0.3">
      <c r="A23" s="99">
        <f t="shared" si="2"/>
        <v>6</v>
      </c>
      <c r="B23" s="55" t="str">
        <f t="shared" si="2"/>
        <v>~</v>
      </c>
      <c r="C23" s="100">
        <f t="shared" si="2"/>
        <v>7</v>
      </c>
      <c r="D23" s="56"/>
      <c r="E23" s="56"/>
      <c r="F23" s="56"/>
      <c r="G23" s="56" t="s">
        <v>2053</v>
      </c>
      <c r="H23" s="56"/>
      <c r="I23" s="56"/>
      <c r="J23" s="56"/>
      <c r="K23" s="56"/>
      <c r="L23" s="56"/>
      <c r="M23" s="56"/>
      <c r="N23" s="56"/>
      <c r="O23" s="56"/>
      <c r="P23" s="56"/>
      <c r="Q23" s="56"/>
      <c r="R23" s="56"/>
      <c r="S23" s="56"/>
      <c r="T23" s="56"/>
      <c r="U23" s="56"/>
      <c r="V23" s="56"/>
      <c r="W23" s="56"/>
    </row>
    <row r="24" spans="1:23" ht="24" customHeight="1" x14ac:dyDescent="0.3">
      <c r="A24" s="99">
        <f t="shared" si="2"/>
        <v>5</v>
      </c>
      <c r="B24" s="55" t="str">
        <f t="shared" si="2"/>
        <v>~</v>
      </c>
      <c r="C24" s="100">
        <f t="shared" si="2"/>
        <v>6</v>
      </c>
      <c r="D24" s="56" t="s">
        <v>2055</v>
      </c>
      <c r="E24" s="56"/>
      <c r="F24" s="56"/>
      <c r="G24" s="56"/>
      <c r="H24" s="56"/>
      <c r="I24" s="56"/>
      <c r="J24" s="56"/>
      <c r="K24" s="56"/>
      <c r="L24" s="56"/>
      <c r="M24" s="56"/>
      <c r="N24" s="56"/>
      <c r="O24" s="56"/>
      <c r="P24" s="56"/>
      <c r="Q24" s="56"/>
      <c r="R24" s="56"/>
      <c r="S24" s="56"/>
      <c r="T24" s="56"/>
      <c r="U24" s="56"/>
      <c r="V24" s="56"/>
      <c r="W24" s="56"/>
    </row>
    <row r="25" spans="1:23" ht="36" customHeight="1" x14ac:dyDescent="0.3">
      <c r="A25" s="99">
        <f t="shared" si="2"/>
        <v>4</v>
      </c>
      <c r="B25" s="55" t="str">
        <f t="shared" si="2"/>
        <v>~</v>
      </c>
      <c r="C25" s="100">
        <f t="shared" si="2"/>
        <v>5</v>
      </c>
      <c r="D25" s="56" t="s">
        <v>2044</v>
      </c>
      <c r="E25" s="56"/>
      <c r="F25" s="56"/>
      <c r="G25" s="56"/>
      <c r="H25" s="56"/>
      <c r="I25" s="56"/>
      <c r="J25" s="56"/>
      <c r="K25" s="56"/>
      <c r="L25" s="56"/>
      <c r="M25" s="56"/>
      <c r="N25" s="56"/>
      <c r="O25" s="56"/>
      <c r="P25" s="56"/>
      <c r="Q25" s="56"/>
      <c r="R25" s="56"/>
      <c r="S25" s="56"/>
      <c r="T25" s="56"/>
      <c r="U25" s="56"/>
      <c r="V25" s="56"/>
      <c r="W25" s="56"/>
    </row>
    <row r="26" spans="1:23" ht="24" customHeight="1" x14ac:dyDescent="0.3">
      <c r="A26" s="101">
        <f t="shared" si="2"/>
        <v>3</v>
      </c>
      <c r="B26" s="60" t="str">
        <f t="shared" si="2"/>
        <v>~</v>
      </c>
      <c r="C26" s="102">
        <f t="shared" si="2"/>
        <v>4</v>
      </c>
      <c r="D26" s="61" t="s">
        <v>2059</v>
      </c>
      <c r="E26" s="61" t="s">
        <v>511</v>
      </c>
      <c r="F26" s="61"/>
      <c r="G26" s="61"/>
      <c r="H26" s="61"/>
      <c r="I26" s="61"/>
      <c r="J26" s="61"/>
      <c r="K26" s="61"/>
      <c r="L26" s="61"/>
      <c r="M26" s="61"/>
      <c r="N26" s="61"/>
      <c r="O26" s="61"/>
      <c r="P26" s="61"/>
      <c r="Q26" s="61"/>
      <c r="R26" s="61"/>
      <c r="S26" s="61"/>
      <c r="T26" s="61"/>
      <c r="U26" s="61"/>
      <c r="V26" s="61"/>
      <c r="W26" s="61"/>
    </row>
    <row r="27" spans="1:23" ht="48" x14ac:dyDescent="0.3">
      <c r="A27" s="101">
        <f t="shared" si="2"/>
        <v>2.5</v>
      </c>
      <c r="B27" s="60" t="str">
        <f t="shared" si="2"/>
        <v>~</v>
      </c>
      <c r="C27" s="102">
        <f t="shared" si="2"/>
        <v>3</v>
      </c>
      <c r="D27" s="61"/>
      <c r="E27" s="61" t="s">
        <v>512</v>
      </c>
      <c r="F27" s="61"/>
      <c r="G27" s="61" t="s">
        <v>2061</v>
      </c>
      <c r="H27" s="61"/>
      <c r="I27" s="61"/>
      <c r="J27" s="61"/>
      <c r="K27" s="61"/>
      <c r="L27" s="61"/>
      <c r="M27" s="61"/>
      <c r="N27" s="61"/>
      <c r="O27" s="61"/>
      <c r="P27" s="61"/>
      <c r="Q27" s="61"/>
      <c r="R27" s="61"/>
      <c r="S27" s="61"/>
      <c r="T27" s="61"/>
      <c r="U27" s="61"/>
      <c r="V27" s="61"/>
      <c r="W27" s="61"/>
    </row>
    <row r="28" spans="1:23" ht="60" customHeight="1" x14ac:dyDescent="0.3">
      <c r="A28" s="101">
        <f t="shared" si="2"/>
        <v>2</v>
      </c>
      <c r="B28" s="60" t="str">
        <f t="shared" si="2"/>
        <v>~</v>
      </c>
      <c r="C28" s="102">
        <f t="shared" si="2"/>
        <v>2.5</v>
      </c>
      <c r="D28" s="61"/>
      <c r="E28" s="61" t="s">
        <v>2062</v>
      </c>
      <c r="F28" s="61"/>
      <c r="G28" s="61" t="s">
        <v>2064</v>
      </c>
      <c r="H28" s="61"/>
      <c r="I28" s="61"/>
      <c r="J28" s="61"/>
      <c r="K28" s="61"/>
      <c r="L28" s="61"/>
      <c r="M28" s="61"/>
      <c r="N28" s="61"/>
      <c r="O28" s="61"/>
      <c r="P28" s="61"/>
      <c r="Q28" s="61"/>
      <c r="R28" s="61"/>
      <c r="S28" s="61"/>
      <c r="T28" s="61"/>
      <c r="U28" s="61"/>
      <c r="V28" s="61"/>
      <c r="W28" s="61"/>
    </row>
    <row r="29" spans="1:23" ht="36" customHeight="1" x14ac:dyDescent="0.3">
      <c r="A29" s="103">
        <f t="shared" si="2"/>
        <v>1.5</v>
      </c>
      <c r="B29" s="62" t="str">
        <f t="shared" si="2"/>
        <v>~</v>
      </c>
      <c r="C29" s="104">
        <f t="shared" si="2"/>
        <v>2</v>
      </c>
      <c r="D29" s="63"/>
      <c r="E29" s="63" t="s">
        <v>2047</v>
      </c>
      <c r="F29" s="63"/>
      <c r="G29" s="63"/>
      <c r="H29" s="63"/>
      <c r="I29" s="63"/>
      <c r="J29" s="63"/>
      <c r="K29" s="63"/>
      <c r="L29" s="63"/>
      <c r="M29" s="63"/>
      <c r="N29" s="63"/>
      <c r="O29" s="63"/>
      <c r="P29" s="63"/>
      <c r="Q29" s="63"/>
      <c r="R29" s="63"/>
      <c r="S29" s="63"/>
      <c r="T29" s="63"/>
      <c r="U29" s="63"/>
      <c r="V29" s="63"/>
      <c r="W29" s="63"/>
    </row>
    <row r="30" spans="1:23" x14ac:dyDescent="0.3">
      <c r="A30" s="103">
        <f t="shared" si="2"/>
        <v>1</v>
      </c>
      <c r="B30" s="62" t="str">
        <f t="shared" si="2"/>
        <v>~</v>
      </c>
      <c r="C30" s="104">
        <f t="shared" si="2"/>
        <v>1.5</v>
      </c>
      <c r="D30" s="63"/>
      <c r="E30" s="63" t="s">
        <v>513</v>
      </c>
      <c r="F30" s="63"/>
      <c r="G30" s="63"/>
      <c r="H30" s="63"/>
      <c r="I30" s="63"/>
      <c r="J30" s="63"/>
      <c r="K30" s="63"/>
      <c r="L30" s="63"/>
      <c r="M30" s="63"/>
      <c r="N30" s="63"/>
      <c r="O30" s="63"/>
      <c r="P30" s="63"/>
      <c r="Q30" s="63"/>
      <c r="R30" s="63"/>
      <c r="S30" s="63"/>
      <c r="T30" s="63"/>
      <c r="U30" s="63"/>
      <c r="V30" s="63"/>
      <c r="W30" s="63"/>
    </row>
    <row r="33" spans="1:23" x14ac:dyDescent="0.3">
      <c r="A33" s="51" t="s">
        <v>514</v>
      </c>
      <c r="B33" s="52"/>
      <c r="C33" s="53"/>
      <c r="D33" s="54">
        <f t="shared" ref="D33:W33" si="3">D20</f>
        <v>0</v>
      </c>
      <c r="E33" s="54" t="str">
        <f t="shared" si="3"/>
        <v>효자동1가</v>
      </c>
      <c r="F33" s="54" t="str">
        <f t="shared" si="3"/>
        <v>태평동</v>
      </c>
      <c r="G33" s="54" t="str">
        <f t="shared" si="3"/>
        <v>서신동</v>
      </c>
      <c r="H33" s="54" t="str">
        <f t="shared" si="3"/>
        <v/>
      </c>
      <c r="I33" s="54" t="str">
        <f t="shared" si="3"/>
        <v/>
      </c>
      <c r="J33" s="54" t="str">
        <f t="shared" si="3"/>
        <v/>
      </c>
      <c r="K33" s="54" t="str">
        <f t="shared" si="3"/>
        <v/>
      </c>
      <c r="L33" s="54" t="str">
        <f t="shared" si="3"/>
        <v/>
      </c>
      <c r="M33" s="54" t="str">
        <f t="shared" si="3"/>
        <v/>
      </c>
      <c r="N33" s="54" t="str">
        <f t="shared" si="3"/>
        <v/>
      </c>
      <c r="O33" s="54" t="str">
        <f t="shared" si="3"/>
        <v/>
      </c>
      <c r="P33" s="54" t="str">
        <f t="shared" si="3"/>
        <v/>
      </c>
      <c r="Q33" s="54" t="str">
        <f t="shared" si="3"/>
        <v/>
      </c>
      <c r="R33" s="54" t="str">
        <f t="shared" si="3"/>
        <v/>
      </c>
      <c r="S33" s="54" t="str">
        <f t="shared" si="3"/>
        <v/>
      </c>
      <c r="T33" s="54" t="str">
        <f t="shared" si="3"/>
        <v/>
      </c>
      <c r="U33" s="54" t="str">
        <f t="shared" si="3"/>
        <v/>
      </c>
      <c r="V33" s="54" t="str">
        <f t="shared" si="3"/>
        <v/>
      </c>
      <c r="W33" s="54" t="str">
        <f t="shared" si="3"/>
        <v/>
      </c>
    </row>
    <row r="34" spans="1:23" x14ac:dyDescent="0.3">
      <c r="A34" s="95">
        <f t="shared" ref="A34:C43" si="4">IF(A21="","",A21)</f>
        <v>8</v>
      </c>
      <c r="B34" s="57" t="str">
        <f t="shared" si="4"/>
        <v>~</v>
      </c>
      <c r="C34" s="96" t="str">
        <f t="shared" si="4"/>
        <v/>
      </c>
      <c r="D34" s="58"/>
      <c r="E34" s="58"/>
      <c r="F34" s="58"/>
      <c r="G34" s="58"/>
      <c r="H34" s="58"/>
      <c r="I34" s="58"/>
      <c r="J34" s="58"/>
      <c r="K34" s="58"/>
      <c r="L34" s="58"/>
      <c r="M34" s="58"/>
      <c r="N34" s="58"/>
      <c r="O34" s="58"/>
      <c r="P34" s="58"/>
      <c r="Q34" s="58"/>
      <c r="R34" s="58"/>
      <c r="S34" s="58"/>
      <c r="T34" s="58"/>
      <c r="U34" s="58"/>
      <c r="V34" s="58"/>
      <c r="W34" s="58"/>
    </row>
    <row r="35" spans="1:23" x14ac:dyDescent="0.3">
      <c r="A35" s="97">
        <f t="shared" si="4"/>
        <v>7</v>
      </c>
      <c r="B35" s="59" t="str">
        <f t="shared" si="4"/>
        <v>~</v>
      </c>
      <c r="C35" s="98">
        <f t="shared" si="4"/>
        <v>8</v>
      </c>
      <c r="D35" s="58"/>
      <c r="E35" s="58"/>
      <c r="F35" s="58"/>
      <c r="G35" s="58"/>
      <c r="H35" s="58"/>
      <c r="I35" s="58"/>
      <c r="J35" s="58"/>
      <c r="K35" s="58"/>
      <c r="L35" s="58"/>
      <c r="M35" s="58"/>
      <c r="N35" s="58"/>
      <c r="O35" s="58"/>
      <c r="P35" s="58"/>
      <c r="Q35" s="58"/>
      <c r="R35" s="58"/>
      <c r="S35" s="58"/>
      <c r="T35" s="58"/>
      <c r="U35" s="58"/>
      <c r="V35" s="58"/>
      <c r="W35" s="58"/>
    </row>
    <row r="36" spans="1:23" x14ac:dyDescent="0.3">
      <c r="A36" s="99">
        <f t="shared" si="4"/>
        <v>6</v>
      </c>
      <c r="B36" s="55" t="str">
        <f t="shared" si="4"/>
        <v>~</v>
      </c>
      <c r="C36" s="100">
        <f t="shared" si="4"/>
        <v>7</v>
      </c>
      <c r="D36" s="56"/>
      <c r="E36" s="56"/>
      <c r="F36" s="56"/>
      <c r="G36" s="56"/>
      <c r="H36" s="56"/>
      <c r="I36" s="56"/>
      <c r="J36" s="56"/>
      <c r="K36" s="56"/>
      <c r="L36" s="56"/>
      <c r="M36" s="56"/>
      <c r="N36" s="56"/>
      <c r="O36" s="56"/>
      <c r="P36" s="56"/>
      <c r="Q36" s="56"/>
      <c r="R36" s="56"/>
      <c r="S36" s="56"/>
      <c r="T36" s="56"/>
      <c r="U36" s="56"/>
      <c r="V36" s="56"/>
      <c r="W36" s="56"/>
    </row>
    <row r="37" spans="1:23" x14ac:dyDescent="0.3">
      <c r="A37" s="99">
        <f t="shared" si="4"/>
        <v>5</v>
      </c>
      <c r="B37" s="55" t="str">
        <f t="shared" si="4"/>
        <v>~</v>
      </c>
      <c r="C37" s="100">
        <f t="shared" si="4"/>
        <v>6</v>
      </c>
      <c r="D37" s="56"/>
      <c r="E37" s="56"/>
      <c r="F37" s="56"/>
      <c r="G37" s="56"/>
      <c r="H37" s="56"/>
      <c r="I37" s="56"/>
      <c r="J37" s="56"/>
      <c r="K37" s="56"/>
      <c r="L37" s="56"/>
      <c r="M37" s="56"/>
      <c r="N37" s="56"/>
      <c r="O37" s="56"/>
      <c r="P37" s="56"/>
      <c r="Q37" s="56"/>
      <c r="R37" s="56"/>
      <c r="S37" s="56"/>
      <c r="T37" s="56"/>
      <c r="U37" s="56"/>
      <c r="V37" s="56"/>
      <c r="W37" s="56"/>
    </row>
    <row r="38" spans="1:23" x14ac:dyDescent="0.3">
      <c r="A38" s="99">
        <f t="shared" si="4"/>
        <v>4</v>
      </c>
      <c r="B38" s="55" t="str">
        <f t="shared" si="4"/>
        <v>~</v>
      </c>
      <c r="C38" s="100">
        <f t="shared" si="4"/>
        <v>5</v>
      </c>
      <c r="D38" s="56"/>
      <c r="E38" s="56"/>
      <c r="F38" s="56"/>
      <c r="G38" s="56" t="s">
        <v>2057</v>
      </c>
      <c r="H38" s="56"/>
      <c r="I38" s="56"/>
      <c r="J38" s="56"/>
      <c r="K38" s="56"/>
      <c r="L38" s="56"/>
      <c r="M38" s="56"/>
      <c r="N38" s="56"/>
      <c r="O38" s="56"/>
      <c r="P38" s="56"/>
      <c r="Q38" s="56"/>
      <c r="R38" s="56"/>
      <c r="S38" s="56"/>
      <c r="T38" s="56"/>
      <c r="U38" s="56"/>
      <c r="V38" s="56"/>
      <c r="W38" s="56"/>
    </row>
    <row r="39" spans="1:23" x14ac:dyDescent="0.3">
      <c r="A39" s="101">
        <f t="shared" si="4"/>
        <v>3</v>
      </c>
      <c r="B39" s="60" t="str">
        <f t="shared" si="4"/>
        <v>~</v>
      </c>
      <c r="C39" s="102">
        <f t="shared" si="4"/>
        <v>4</v>
      </c>
      <c r="D39" s="61"/>
      <c r="E39" s="61"/>
      <c r="F39" s="61"/>
      <c r="G39" s="61"/>
      <c r="H39" s="61"/>
      <c r="I39" s="61"/>
      <c r="J39" s="61"/>
      <c r="K39" s="61"/>
      <c r="L39" s="61"/>
      <c r="M39" s="61"/>
      <c r="N39" s="61"/>
      <c r="O39" s="61"/>
      <c r="P39" s="61"/>
      <c r="Q39" s="61"/>
      <c r="R39" s="61"/>
      <c r="S39" s="61"/>
      <c r="T39" s="61"/>
      <c r="U39" s="61"/>
      <c r="V39" s="61"/>
      <c r="W39" s="61"/>
    </row>
    <row r="40" spans="1:23" x14ac:dyDescent="0.3">
      <c r="A40" s="101">
        <f t="shared" si="4"/>
        <v>2.5</v>
      </c>
      <c r="B40" s="60" t="str">
        <f t="shared" si="4"/>
        <v>~</v>
      </c>
      <c r="C40" s="102">
        <f t="shared" si="4"/>
        <v>3</v>
      </c>
      <c r="D40" s="61"/>
      <c r="E40" s="61"/>
      <c r="F40" s="61"/>
      <c r="G40" s="61"/>
      <c r="H40" s="61"/>
      <c r="I40" s="61"/>
      <c r="J40" s="61"/>
      <c r="K40" s="61"/>
      <c r="L40" s="61"/>
      <c r="M40" s="61"/>
      <c r="N40" s="61"/>
      <c r="O40" s="61"/>
      <c r="P40" s="61"/>
      <c r="Q40" s="61"/>
      <c r="R40" s="61"/>
      <c r="S40" s="61"/>
      <c r="T40" s="61"/>
      <c r="U40" s="61"/>
      <c r="V40" s="61"/>
      <c r="W40" s="61"/>
    </row>
    <row r="41" spans="1:23" x14ac:dyDescent="0.3">
      <c r="A41" s="101">
        <f t="shared" si="4"/>
        <v>2</v>
      </c>
      <c r="B41" s="60" t="str">
        <f t="shared" si="4"/>
        <v>~</v>
      </c>
      <c r="C41" s="102">
        <f t="shared" si="4"/>
        <v>2.5</v>
      </c>
      <c r="D41" s="61"/>
      <c r="E41" s="61"/>
      <c r="F41" s="61"/>
      <c r="G41" s="61"/>
      <c r="H41" s="61"/>
      <c r="I41" s="61"/>
      <c r="J41" s="61"/>
      <c r="K41" s="61"/>
      <c r="L41" s="61"/>
      <c r="M41" s="61"/>
      <c r="N41" s="61"/>
      <c r="O41" s="61"/>
      <c r="P41" s="61"/>
      <c r="Q41" s="61"/>
      <c r="R41" s="61"/>
      <c r="S41" s="61"/>
      <c r="T41" s="61"/>
      <c r="U41" s="61"/>
      <c r="V41" s="61"/>
      <c r="W41" s="61"/>
    </row>
    <row r="42" spans="1:23" ht="36" customHeight="1" x14ac:dyDescent="0.3">
      <c r="A42" s="103">
        <f t="shared" si="4"/>
        <v>1.5</v>
      </c>
      <c r="B42" s="62" t="str">
        <f t="shared" si="4"/>
        <v>~</v>
      </c>
      <c r="C42" s="104">
        <f t="shared" si="4"/>
        <v>2</v>
      </c>
      <c r="D42" s="63"/>
      <c r="E42" s="63" t="s">
        <v>2049</v>
      </c>
      <c r="F42" s="63"/>
      <c r="G42" s="63" t="s">
        <v>2067</v>
      </c>
      <c r="H42" s="63"/>
      <c r="I42" s="63"/>
      <c r="J42" s="63"/>
      <c r="K42" s="63"/>
      <c r="L42" s="63"/>
      <c r="M42" s="63"/>
      <c r="N42" s="63"/>
      <c r="O42" s="63"/>
      <c r="P42" s="63"/>
      <c r="Q42" s="63"/>
      <c r="R42" s="63"/>
      <c r="S42" s="63"/>
      <c r="T42" s="63"/>
      <c r="U42" s="63"/>
      <c r="V42" s="63"/>
      <c r="W42" s="63"/>
    </row>
    <row r="43" spans="1:23" ht="72" customHeight="1" x14ac:dyDescent="0.3">
      <c r="A43" s="103">
        <f t="shared" si="4"/>
        <v>1</v>
      </c>
      <c r="B43" s="62" t="str">
        <f t="shared" si="4"/>
        <v>~</v>
      </c>
      <c r="C43" s="104">
        <f t="shared" si="4"/>
        <v>1.5</v>
      </c>
      <c r="D43" s="63"/>
      <c r="E43" s="63" t="s">
        <v>2070</v>
      </c>
      <c r="F43" s="63"/>
      <c r="G43" s="63"/>
      <c r="H43" s="63"/>
      <c r="I43" s="63"/>
      <c r="J43" s="63"/>
      <c r="K43" s="63"/>
      <c r="L43" s="63"/>
      <c r="M43" s="63"/>
      <c r="N43" s="63"/>
      <c r="O43" s="63"/>
      <c r="P43" s="63"/>
      <c r="Q43" s="63"/>
      <c r="R43" s="63"/>
      <c r="S43" s="63"/>
      <c r="T43" s="63"/>
      <c r="U43" s="63"/>
      <c r="V43" s="63"/>
      <c r="W43" s="63"/>
    </row>
    <row r="46" spans="1:23" x14ac:dyDescent="0.3">
      <c r="A46" s="51" t="s">
        <v>515</v>
      </c>
      <c r="B46" s="52"/>
      <c r="C46" s="53"/>
      <c r="D46" s="54">
        <f t="shared" ref="D46:W46" si="5">D33</f>
        <v>0</v>
      </c>
      <c r="E46" s="54" t="str">
        <f t="shared" si="5"/>
        <v>효자동1가</v>
      </c>
      <c r="F46" s="54" t="str">
        <f t="shared" si="5"/>
        <v>태평동</v>
      </c>
      <c r="G46" s="54" t="str">
        <f t="shared" si="5"/>
        <v>서신동</v>
      </c>
      <c r="H46" s="54" t="str">
        <f t="shared" si="5"/>
        <v/>
      </c>
      <c r="I46" s="54" t="str">
        <f t="shared" si="5"/>
        <v/>
      </c>
      <c r="J46" s="54" t="str">
        <f t="shared" si="5"/>
        <v/>
      </c>
      <c r="K46" s="54" t="str">
        <f t="shared" si="5"/>
        <v/>
      </c>
      <c r="L46" s="54" t="str">
        <f t="shared" si="5"/>
        <v/>
      </c>
      <c r="M46" s="54" t="str">
        <f t="shared" si="5"/>
        <v/>
      </c>
      <c r="N46" s="54" t="str">
        <f t="shared" si="5"/>
        <v/>
      </c>
      <c r="O46" s="54" t="str">
        <f t="shared" si="5"/>
        <v/>
      </c>
      <c r="P46" s="54" t="str">
        <f t="shared" si="5"/>
        <v/>
      </c>
      <c r="Q46" s="54" t="str">
        <f t="shared" si="5"/>
        <v/>
      </c>
      <c r="R46" s="54" t="str">
        <f t="shared" si="5"/>
        <v/>
      </c>
      <c r="S46" s="54" t="str">
        <f t="shared" si="5"/>
        <v/>
      </c>
      <c r="T46" s="54" t="str">
        <f t="shared" si="5"/>
        <v/>
      </c>
      <c r="U46" s="54" t="str">
        <f t="shared" si="5"/>
        <v/>
      </c>
      <c r="V46" s="54" t="str">
        <f t="shared" si="5"/>
        <v/>
      </c>
      <c r="W46" s="54" t="str">
        <f t="shared" si="5"/>
        <v/>
      </c>
    </row>
    <row r="47" spans="1:23" x14ac:dyDescent="0.3">
      <c r="A47" s="95">
        <f t="shared" ref="A47:C56" si="6">IF(A34="","",A34)</f>
        <v>8</v>
      </c>
      <c r="B47" s="57" t="str">
        <f t="shared" si="6"/>
        <v>~</v>
      </c>
      <c r="C47" s="96" t="str">
        <f t="shared" si="6"/>
        <v/>
      </c>
      <c r="D47" s="58"/>
      <c r="E47" s="58"/>
      <c r="F47" s="58"/>
      <c r="G47" s="58"/>
      <c r="H47" s="58"/>
      <c r="I47" s="58"/>
      <c r="J47" s="58"/>
      <c r="K47" s="58"/>
      <c r="L47" s="58"/>
      <c r="M47" s="58"/>
      <c r="N47" s="58"/>
      <c r="O47" s="58"/>
      <c r="P47" s="58"/>
      <c r="Q47" s="58"/>
      <c r="R47" s="58"/>
      <c r="S47" s="58"/>
      <c r="T47" s="58"/>
      <c r="U47" s="58"/>
      <c r="V47" s="58"/>
      <c r="W47" s="58"/>
    </row>
    <row r="48" spans="1:23" x14ac:dyDescent="0.3">
      <c r="A48" s="97">
        <f t="shared" si="6"/>
        <v>7</v>
      </c>
      <c r="B48" s="59" t="str">
        <f t="shared" si="6"/>
        <v>~</v>
      </c>
      <c r="C48" s="98">
        <f t="shared" si="6"/>
        <v>8</v>
      </c>
      <c r="D48" s="58"/>
      <c r="E48" s="58"/>
      <c r="F48" s="58"/>
      <c r="G48" s="58"/>
      <c r="H48" s="58"/>
      <c r="I48" s="58"/>
      <c r="J48" s="58"/>
      <c r="K48" s="58"/>
      <c r="L48" s="58"/>
      <c r="M48" s="58"/>
      <c r="N48" s="58"/>
      <c r="O48" s="58"/>
      <c r="P48" s="58"/>
      <c r="Q48" s="58"/>
      <c r="R48" s="58"/>
      <c r="S48" s="58"/>
      <c r="T48" s="58"/>
      <c r="U48" s="58"/>
      <c r="V48" s="58"/>
      <c r="W48" s="58"/>
    </row>
    <row r="49" spans="1:23" x14ac:dyDescent="0.3">
      <c r="A49" s="99">
        <f t="shared" si="6"/>
        <v>6</v>
      </c>
      <c r="B49" s="55" t="str">
        <f t="shared" si="6"/>
        <v>~</v>
      </c>
      <c r="C49" s="100">
        <f t="shared" si="6"/>
        <v>7</v>
      </c>
      <c r="D49" s="56"/>
      <c r="E49" s="56"/>
      <c r="F49" s="56"/>
      <c r="G49" s="56"/>
      <c r="H49" s="56"/>
      <c r="I49" s="56"/>
      <c r="J49" s="56"/>
      <c r="K49" s="56"/>
      <c r="L49" s="56"/>
      <c r="M49" s="56"/>
      <c r="N49" s="56"/>
      <c r="O49" s="56"/>
      <c r="P49" s="56"/>
      <c r="Q49" s="56"/>
      <c r="R49" s="56"/>
      <c r="S49" s="56"/>
      <c r="T49" s="56"/>
      <c r="U49" s="56"/>
      <c r="V49" s="56"/>
      <c r="W49" s="56"/>
    </row>
    <row r="50" spans="1:23" x14ac:dyDescent="0.3">
      <c r="A50" s="99">
        <f t="shared" si="6"/>
        <v>5</v>
      </c>
      <c r="B50" s="55" t="str">
        <f t="shared" si="6"/>
        <v>~</v>
      </c>
      <c r="C50" s="100">
        <f t="shared" si="6"/>
        <v>6</v>
      </c>
      <c r="D50" s="56"/>
      <c r="E50" s="56"/>
      <c r="F50" s="56"/>
      <c r="G50" s="56"/>
      <c r="H50" s="56"/>
      <c r="I50" s="56"/>
      <c r="J50" s="56"/>
      <c r="K50" s="56"/>
      <c r="L50" s="56"/>
      <c r="M50" s="56"/>
      <c r="N50" s="56"/>
      <c r="O50" s="56"/>
      <c r="P50" s="56"/>
      <c r="Q50" s="56"/>
      <c r="R50" s="56"/>
      <c r="S50" s="56"/>
      <c r="T50" s="56"/>
      <c r="U50" s="56"/>
      <c r="V50" s="56"/>
      <c r="W50" s="56"/>
    </row>
    <row r="51" spans="1:23" x14ac:dyDescent="0.3">
      <c r="A51" s="99">
        <f t="shared" si="6"/>
        <v>4</v>
      </c>
      <c r="B51" s="55" t="str">
        <f t="shared" si="6"/>
        <v>~</v>
      </c>
      <c r="C51" s="100">
        <f t="shared" si="6"/>
        <v>5</v>
      </c>
      <c r="D51" s="56"/>
      <c r="E51" s="56"/>
      <c r="F51" s="56"/>
      <c r="G51" s="56"/>
      <c r="H51" s="56"/>
      <c r="I51" s="56"/>
      <c r="J51" s="56"/>
      <c r="K51" s="56"/>
      <c r="L51" s="56"/>
      <c r="M51" s="56"/>
      <c r="N51" s="56"/>
      <c r="O51" s="56"/>
      <c r="P51" s="56"/>
      <c r="Q51" s="56"/>
      <c r="R51" s="56"/>
      <c r="S51" s="56"/>
      <c r="T51" s="56"/>
      <c r="U51" s="56"/>
      <c r="V51" s="56"/>
      <c r="W51" s="56"/>
    </row>
    <row r="52" spans="1:23" x14ac:dyDescent="0.3">
      <c r="A52" s="101">
        <f t="shared" si="6"/>
        <v>3</v>
      </c>
      <c r="B52" s="60" t="str">
        <f t="shared" si="6"/>
        <v>~</v>
      </c>
      <c r="C52" s="102">
        <f t="shared" si="6"/>
        <v>4</v>
      </c>
      <c r="D52" s="61"/>
      <c r="E52" s="61"/>
      <c r="F52" s="61"/>
      <c r="G52" s="61"/>
      <c r="H52" s="61"/>
      <c r="I52" s="61"/>
      <c r="J52" s="61"/>
      <c r="K52" s="61"/>
      <c r="L52" s="61"/>
      <c r="M52" s="61"/>
      <c r="N52" s="61"/>
      <c r="O52" s="61"/>
      <c r="P52" s="61"/>
      <c r="Q52" s="61"/>
      <c r="R52" s="61"/>
      <c r="S52" s="61"/>
      <c r="T52" s="61"/>
      <c r="U52" s="61"/>
      <c r="V52" s="61"/>
      <c r="W52" s="61"/>
    </row>
    <row r="53" spans="1:23" x14ac:dyDescent="0.3">
      <c r="A53" s="101">
        <f t="shared" si="6"/>
        <v>2.5</v>
      </c>
      <c r="B53" s="60" t="str">
        <f t="shared" si="6"/>
        <v>~</v>
      </c>
      <c r="C53" s="102">
        <f t="shared" si="6"/>
        <v>3</v>
      </c>
      <c r="D53" s="61"/>
      <c r="E53" s="61"/>
      <c r="F53" s="61"/>
      <c r="G53" s="61"/>
      <c r="H53" s="61"/>
      <c r="I53" s="61"/>
      <c r="J53" s="61"/>
      <c r="K53" s="61"/>
      <c r="L53" s="61"/>
      <c r="M53" s="61"/>
      <c r="N53" s="61"/>
      <c r="O53" s="61"/>
      <c r="P53" s="61"/>
      <c r="Q53" s="61"/>
      <c r="R53" s="61"/>
      <c r="S53" s="61"/>
      <c r="T53" s="61"/>
      <c r="U53" s="61"/>
      <c r="V53" s="61"/>
      <c r="W53" s="61"/>
    </row>
    <row r="54" spans="1:23" x14ac:dyDescent="0.3">
      <c r="A54" s="101">
        <f t="shared" si="6"/>
        <v>2</v>
      </c>
      <c r="B54" s="60" t="str">
        <f t="shared" si="6"/>
        <v>~</v>
      </c>
      <c r="C54" s="102">
        <f t="shared" si="6"/>
        <v>2.5</v>
      </c>
      <c r="D54" s="61"/>
      <c r="E54" s="61"/>
      <c r="F54" s="61"/>
      <c r="G54" s="61"/>
      <c r="H54" s="61"/>
      <c r="I54" s="61"/>
      <c r="J54" s="61"/>
      <c r="K54" s="61"/>
      <c r="L54" s="61"/>
      <c r="M54" s="61"/>
      <c r="N54" s="61"/>
      <c r="O54" s="61"/>
      <c r="P54" s="61"/>
      <c r="Q54" s="61"/>
      <c r="R54" s="61"/>
      <c r="S54" s="61"/>
      <c r="T54" s="61"/>
      <c r="U54" s="61"/>
      <c r="V54" s="61"/>
      <c r="W54" s="61"/>
    </row>
    <row r="55" spans="1:23" x14ac:dyDescent="0.3">
      <c r="A55" s="103">
        <f t="shared" si="6"/>
        <v>1.5</v>
      </c>
      <c r="B55" s="62" t="str">
        <f t="shared" si="6"/>
        <v>~</v>
      </c>
      <c r="C55" s="104">
        <f t="shared" si="6"/>
        <v>2</v>
      </c>
      <c r="D55" s="63"/>
      <c r="E55" s="63"/>
      <c r="F55" s="63"/>
      <c r="G55" s="63"/>
      <c r="H55" s="63"/>
      <c r="I55" s="63"/>
      <c r="J55" s="63"/>
      <c r="K55" s="63"/>
      <c r="L55" s="63"/>
      <c r="M55" s="63"/>
      <c r="N55" s="63"/>
      <c r="O55" s="63"/>
      <c r="P55" s="63"/>
      <c r="Q55" s="63"/>
      <c r="R55" s="63"/>
      <c r="S55" s="63"/>
      <c r="T55" s="63"/>
      <c r="U55" s="63"/>
      <c r="V55" s="63"/>
      <c r="W55" s="63"/>
    </row>
    <row r="56" spans="1:23" x14ac:dyDescent="0.3">
      <c r="A56" s="103">
        <f t="shared" si="6"/>
        <v>1</v>
      </c>
      <c r="B56" s="62" t="str">
        <f t="shared" si="6"/>
        <v>~</v>
      </c>
      <c r="C56" s="104">
        <f t="shared" si="6"/>
        <v>1.5</v>
      </c>
      <c r="D56" s="63"/>
      <c r="E56" s="63"/>
      <c r="F56" s="63"/>
      <c r="G56" s="63" t="s">
        <v>2069</v>
      </c>
      <c r="H56" s="63"/>
      <c r="I56" s="63"/>
      <c r="J56" s="63"/>
      <c r="K56" s="63"/>
      <c r="L56" s="63"/>
      <c r="M56" s="63"/>
      <c r="N56" s="63"/>
      <c r="O56" s="63"/>
      <c r="P56" s="63"/>
      <c r="Q56" s="63"/>
      <c r="R56" s="63"/>
      <c r="S56" s="63"/>
      <c r="T56" s="63"/>
      <c r="U56" s="63"/>
      <c r="V56" s="63"/>
      <c r="W56" s="63"/>
    </row>
    <row r="59" spans="1:23" x14ac:dyDescent="0.3">
      <c r="A59" s="51" t="s">
        <v>516</v>
      </c>
      <c r="B59" s="52"/>
      <c r="C59" s="53"/>
      <c r="D59" s="54">
        <f t="shared" ref="D59:W59" si="7">D46</f>
        <v>0</v>
      </c>
      <c r="E59" s="54" t="str">
        <f t="shared" si="7"/>
        <v>효자동1가</v>
      </c>
      <c r="F59" s="54" t="str">
        <f t="shared" si="7"/>
        <v>태평동</v>
      </c>
      <c r="G59" s="54" t="str">
        <f t="shared" si="7"/>
        <v>서신동</v>
      </c>
      <c r="H59" s="54" t="str">
        <f t="shared" si="7"/>
        <v/>
      </c>
      <c r="I59" s="54" t="str">
        <f t="shared" si="7"/>
        <v/>
      </c>
      <c r="J59" s="54" t="str">
        <f t="shared" si="7"/>
        <v/>
      </c>
      <c r="K59" s="54" t="str">
        <f t="shared" si="7"/>
        <v/>
      </c>
      <c r="L59" s="54" t="str">
        <f t="shared" si="7"/>
        <v/>
      </c>
      <c r="M59" s="54" t="str">
        <f t="shared" si="7"/>
        <v/>
      </c>
      <c r="N59" s="54" t="str">
        <f t="shared" si="7"/>
        <v/>
      </c>
      <c r="O59" s="54" t="str">
        <f t="shared" si="7"/>
        <v/>
      </c>
      <c r="P59" s="54" t="str">
        <f t="shared" si="7"/>
        <v/>
      </c>
      <c r="Q59" s="54" t="str">
        <f t="shared" si="7"/>
        <v/>
      </c>
      <c r="R59" s="54" t="str">
        <f t="shared" si="7"/>
        <v/>
      </c>
      <c r="S59" s="54" t="str">
        <f t="shared" si="7"/>
        <v/>
      </c>
      <c r="T59" s="54" t="str">
        <f t="shared" si="7"/>
        <v/>
      </c>
      <c r="U59" s="54" t="str">
        <f t="shared" si="7"/>
        <v/>
      </c>
      <c r="V59" s="54" t="str">
        <f t="shared" si="7"/>
        <v/>
      </c>
      <c r="W59" s="54" t="str">
        <f t="shared" si="7"/>
        <v/>
      </c>
    </row>
    <row r="60" spans="1:23" x14ac:dyDescent="0.3">
      <c r="A60" s="95">
        <f t="shared" ref="A60:C69" si="8">IF(A47="","",A47)</f>
        <v>8</v>
      </c>
      <c r="B60" s="57" t="str">
        <f t="shared" si="8"/>
        <v>~</v>
      </c>
      <c r="C60" s="96" t="str">
        <f t="shared" si="8"/>
        <v/>
      </c>
      <c r="D60" s="58"/>
      <c r="E60" s="58"/>
      <c r="F60" s="58"/>
      <c r="G60" s="58"/>
      <c r="H60" s="58"/>
      <c r="I60" s="58"/>
      <c r="J60" s="58"/>
      <c r="K60" s="58"/>
      <c r="L60" s="58"/>
      <c r="M60" s="58"/>
      <c r="N60" s="58"/>
      <c r="O60" s="58"/>
      <c r="P60" s="58"/>
      <c r="Q60" s="58"/>
      <c r="R60" s="58"/>
      <c r="S60" s="58"/>
      <c r="T60" s="58"/>
      <c r="U60" s="58"/>
      <c r="V60" s="58"/>
      <c r="W60" s="58"/>
    </row>
    <row r="61" spans="1:23" x14ac:dyDescent="0.3">
      <c r="A61" s="97">
        <f t="shared" si="8"/>
        <v>7</v>
      </c>
      <c r="B61" s="59" t="str">
        <f t="shared" si="8"/>
        <v>~</v>
      </c>
      <c r="C61" s="98">
        <f t="shared" si="8"/>
        <v>8</v>
      </c>
      <c r="D61" s="58"/>
      <c r="E61" s="58"/>
      <c r="F61" s="58"/>
      <c r="G61" s="58"/>
      <c r="H61" s="58"/>
      <c r="I61" s="58"/>
      <c r="J61" s="58"/>
      <c r="K61" s="58"/>
      <c r="L61" s="58"/>
      <c r="M61" s="58"/>
      <c r="N61" s="58"/>
      <c r="O61" s="58"/>
      <c r="P61" s="58"/>
      <c r="Q61" s="58"/>
      <c r="R61" s="58"/>
      <c r="S61" s="58"/>
      <c r="T61" s="58"/>
      <c r="U61" s="58"/>
      <c r="V61" s="58"/>
      <c r="W61" s="58"/>
    </row>
    <row r="62" spans="1:23" x14ac:dyDescent="0.3">
      <c r="A62" s="99">
        <f t="shared" si="8"/>
        <v>6</v>
      </c>
      <c r="B62" s="55" t="str">
        <f t="shared" si="8"/>
        <v>~</v>
      </c>
      <c r="C62" s="100">
        <f t="shared" si="8"/>
        <v>7</v>
      </c>
      <c r="D62" s="56"/>
      <c r="E62" s="56"/>
      <c r="F62" s="56"/>
      <c r="G62" s="56"/>
      <c r="H62" s="56"/>
      <c r="I62" s="56"/>
      <c r="J62" s="56"/>
      <c r="K62" s="56"/>
      <c r="L62" s="56"/>
      <c r="M62" s="56"/>
      <c r="N62" s="56"/>
      <c r="O62" s="56"/>
      <c r="P62" s="56"/>
      <c r="Q62" s="56"/>
      <c r="R62" s="56"/>
      <c r="S62" s="56"/>
      <c r="T62" s="56"/>
      <c r="U62" s="56"/>
      <c r="V62" s="56"/>
      <c r="W62" s="56"/>
    </row>
    <row r="63" spans="1:23" x14ac:dyDescent="0.3">
      <c r="A63" s="99">
        <f t="shared" si="8"/>
        <v>5</v>
      </c>
      <c r="B63" s="55" t="str">
        <f t="shared" si="8"/>
        <v>~</v>
      </c>
      <c r="C63" s="100">
        <f t="shared" si="8"/>
        <v>6</v>
      </c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6"/>
      <c r="W63" s="56"/>
    </row>
    <row r="64" spans="1:23" x14ac:dyDescent="0.3">
      <c r="A64" s="99">
        <f t="shared" si="8"/>
        <v>4</v>
      </c>
      <c r="B64" s="55" t="str">
        <f t="shared" si="8"/>
        <v>~</v>
      </c>
      <c r="C64" s="100">
        <f t="shared" si="8"/>
        <v>5</v>
      </c>
      <c r="D64" s="56"/>
      <c r="E64" s="56"/>
      <c r="F64" s="56"/>
      <c r="G64" s="56"/>
      <c r="H64" s="56"/>
      <c r="I64" s="56"/>
      <c r="J64" s="56"/>
      <c r="K64" s="56"/>
      <c r="L64" s="56"/>
      <c r="M64" s="56"/>
      <c r="N64" s="56"/>
      <c r="O64" s="56"/>
      <c r="P64" s="56"/>
      <c r="Q64" s="56"/>
      <c r="R64" s="56"/>
      <c r="S64" s="56"/>
      <c r="T64" s="56"/>
      <c r="U64" s="56"/>
      <c r="V64" s="56"/>
      <c r="W64" s="56"/>
    </row>
    <row r="65" spans="1:23" x14ac:dyDescent="0.3">
      <c r="A65" s="101">
        <f t="shared" si="8"/>
        <v>3</v>
      </c>
      <c r="B65" s="60" t="str">
        <f t="shared" si="8"/>
        <v>~</v>
      </c>
      <c r="C65" s="102">
        <f t="shared" si="8"/>
        <v>4</v>
      </c>
      <c r="D65" s="61"/>
      <c r="E65" s="61"/>
      <c r="F65" s="61"/>
      <c r="G65" s="61"/>
      <c r="H65" s="61"/>
      <c r="I65" s="61"/>
      <c r="J65" s="61"/>
      <c r="K65" s="61"/>
      <c r="L65" s="61"/>
      <c r="M65" s="61"/>
      <c r="N65" s="61"/>
      <c r="O65" s="61"/>
      <c r="P65" s="61"/>
      <c r="Q65" s="61"/>
      <c r="R65" s="61"/>
      <c r="S65" s="61"/>
      <c r="T65" s="61"/>
      <c r="U65" s="61"/>
      <c r="V65" s="61"/>
      <c r="W65" s="61"/>
    </row>
    <row r="66" spans="1:23" x14ac:dyDescent="0.3">
      <c r="A66" s="101">
        <f t="shared" si="8"/>
        <v>2.5</v>
      </c>
      <c r="B66" s="60" t="str">
        <f t="shared" si="8"/>
        <v>~</v>
      </c>
      <c r="C66" s="102">
        <f t="shared" si="8"/>
        <v>3</v>
      </c>
      <c r="D66" s="61"/>
      <c r="E66" s="61"/>
      <c r="F66" s="61"/>
      <c r="G66" s="61"/>
      <c r="H66" s="61"/>
      <c r="I66" s="61"/>
      <c r="J66" s="61"/>
      <c r="K66" s="61"/>
      <c r="L66" s="61"/>
      <c r="M66" s="61"/>
      <c r="N66" s="61"/>
      <c r="O66" s="61"/>
      <c r="P66" s="61"/>
      <c r="Q66" s="61"/>
      <c r="R66" s="61"/>
      <c r="S66" s="61"/>
      <c r="T66" s="61"/>
      <c r="U66" s="61"/>
      <c r="V66" s="61"/>
      <c r="W66" s="61"/>
    </row>
    <row r="67" spans="1:23" x14ac:dyDescent="0.3">
      <c r="A67" s="101">
        <f t="shared" si="8"/>
        <v>2</v>
      </c>
      <c r="B67" s="60" t="str">
        <f t="shared" si="8"/>
        <v>~</v>
      </c>
      <c r="C67" s="102">
        <f t="shared" si="8"/>
        <v>2.5</v>
      </c>
      <c r="D67" s="61"/>
      <c r="E67" s="61"/>
      <c r="F67" s="61"/>
      <c r="G67" s="61"/>
      <c r="H67" s="61"/>
      <c r="I67" s="61"/>
      <c r="J67" s="61"/>
      <c r="K67" s="61"/>
      <c r="L67" s="61"/>
      <c r="M67" s="61"/>
      <c r="N67" s="61"/>
      <c r="O67" s="61"/>
      <c r="P67" s="61"/>
      <c r="Q67" s="61"/>
      <c r="R67" s="61"/>
      <c r="S67" s="61"/>
      <c r="T67" s="61"/>
      <c r="U67" s="61"/>
      <c r="V67" s="61"/>
      <c r="W67" s="61"/>
    </row>
    <row r="68" spans="1:23" x14ac:dyDescent="0.3">
      <c r="A68" s="103">
        <f t="shared" si="8"/>
        <v>1.5</v>
      </c>
      <c r="B68" s="62" t="str">
        <f t="shared" si="8"/>
        <v>~</v>
      </c>
      <c r="C68" s="104">
        <f t="shared" si="8"/>
        <v>2</v>
      </c>
      <c r="D68" s="63"/>
      <c r="E68" s="63"/>
      <c r="F68" s="63"/>
      <c r="G68" s="63" t="s">
        <v>2065</v>
      </c>
      <c r="H68" s="63"/>
      <c r="I68" s="63"/>
      <c r="J68" s="63"/>
      <c r="K68" s="63"/>
      <c r="L68" s="63"/>
      <c r="M68" s="63"/>
      <c r="N68" s="63"/>
      <c r="O68" s="63"/>
      <c r="P68" s="63"/>
      <c r="Q68" s="63"/>
      <c r="R68" s="63"/>
      <c r="S68" s="63"/>
      <c r="T68" s="63"/>
      <c r="U68" s="63"/>
      <c r="V68" s="63"/>
      <c r="W68" s="63"/>
    </row>
    <row r="69" spans="1:23" x14ac:dyDescent="0.3">
      <c r="A69" s="103">
        <f t="shared" si="8"/>
        <v>1</v>
      </c>
      <c r="B69" s="62" t="str">
        <f t="shared" si="8"/>
        <v>~</v>
      </c>
      <c r="C69" s="104">
        <f t="shared" si="8"/>
        <v>1.5</v>
      </c>
      <c r="D69" s="63"/>
      <c r="E69" s="63" t="s">
        <v>517</v>
      </c>
      <c r="F69" s="63"/>
      <c r="G69" s="63"/>
      <c r="H69" s="63"/>
      <c r="I69" s="63"/>
      <c r="J69" s="63"/>
      <c r="K69" s="63"/>
      <c r="L69" s="63"/>
      <c r="M69" s="63"/>
      <c r="N69" s="63"/>
      <c r="O69" s="63"/>
      <c r="P69" s="63"/>
      <c r="Q69" s="63"/>
      <c r="R69" s="63"/>
      <c r="S69" s="63"/>
      <c r="T69" s="63"/>
      <c r="U69" s="63"/>
      <c r="V69" s="63"/>
      <c r="W69" s="63"/>
    </row>
  </sheetData>
  <mergeCells count="3">
    <mergeCell ref="A4:C4"/>
    <mergeCell ref="A5:C5"/>
    <mergeCell ref="A6:C6"/>
  </mergeCells>
  <phoneticPr fontId="2" type="noConversion"/>
  <pageMargins left="0.25" right="0.25" top="0.75" bottom="0.75" header="0.3" footer="0.3"/>
  <pageSetup paperSize="8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7073" r:id="rId3" name="Button 1">
              <controlPr defaultSize="0" print="0" autoFill="0" autoPict="0" macro="[0]!DongPriceTable">
                <anchor moveWithCells="1" sizeWithCells="1">
                  <from>
                    <xdr:col>3</xdr:col>
                    <xdr:colOff>85725</xdr:colOff>
                    <xdr:row>0</xdr:row>
                    <xdr:rowOff>85725</xdr:rowOff>
                  </from>
                  <to>
                    <xdr:col>3</xdr:col>
                    <xdr:colOff>1533525</xdr:colOff>
                    <xdr:row>2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8" tint="0.59999389629810485"/>
  </sheetPr>
  <dimension ref="A1:B9"/>
  <sheetViews>
    <sheetView zoomScaleNormal="100" workbookViewId="0"/>
  </sheetViews>
  <sheetFormatPr defaultRowHeight="16.5" x14ac:dyDescent="0.3"/>
  <sheetData>
    <row r="1" spans="1:2" ht="33.75" customHeight="1" x14ac:dyDescent="0.3">
      <c r="A1" s="70" t="s">
        <v>518</v>
      </c>
      <c r="B1" s="71"/>
    </row>
    <row r="2" spans="1:2" x14ac:dyDescent="0.3">
      <c r="A2" t="s">
        <v>519</v>
      </c>
    </row>
    <row r="3" spans="1:2" ht="23.25" customHeight="1" x14ac:dyDescent="0.3"/>
    <row r="7" spans="1:2" ht="22.5" customHeight="1" x14ac:dyDescent="0.3"/>
    <row r="9" spans="1:2" ht="17.25" customHeight="1" x14ac:dyDescent="0.3"/>
  </sheetData>
  <phoneticPr fontId="2" type="noConversion"/>
  <pageMargins left="0.7" right="0.7" top="0.75" bottom="0.75" header="0.3" footer="0.3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91873" r:id="rId3" name="Button 1">
              <controlPr defaultSize="0" print="0" autoFill="0" autoPict="0" macro="[0]!DeleteAll">
                <anchor moveWithCells="1" sizeWithCells="1">
                  <from>
                    <xdr:col>6</xdr:col>
                    <xdr:colOff>285750</xdr:colOff>
                    <xdr:row>0</xdr:row>
                    <xdr:rowOff>76200</xdr:rowOff>
                  </from>
                  <to>
                    <xdr:col>8</xdr:col>
                    <xdr:colOff>76200</xdr:colOff>
                    <xdr:row>0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1874" r:id="rId4" name="Button 2">
              <controlPr defaultSize="0" print="0" autoFill="0" autoPict="0" macro="[0]!Spacedatainsert_KB">
                <anchor moveWithCells="1" sizeWithCells="1">
                  <from>
                    <xdr:col>4</xdr:col>
                    <xdr:colOff>133350</xdr:colOff>
                    <xdr:row>0</xdr:row>
                    <xdr:rowOff>85725</xdr:rowOff>
                  </from>
                  <to>
                    <xdr:col>5</xdr:col>
                    <xdr:colOff>609600</xdr:colOff>
                    <xdr:row>0</xdr:row>
                    <xdr:rowOff>361950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8" tint="0.59999389629810485"/>
  </sheetPr>
  <dimension ref="A1:AL805"/>
  <sheetViews>
    <sheetView zoomScaleNormal="100" workbookViewId="0">
      <selection activeCell="I8" sqref="I8"/>
    </sheetView>
  </sheetViews>
  <sheetFormatPr defaultRowHeight="16.5" x14ac:dyDescent="0.3"/>
  <sheetData>
    <row r="1" spans="1:38" x14ac:dyDescent="0.3">
      <c r="A1" t="s">
        <v>520</v>
      </c>
      <c r="B1">
        <v>122729</v>
      </c>
      <c r="C1">
        <v>1</v>
      </c>
      <c r="D1" t="s">
        <v>521</v>
      </c>
      <c r="E1" t="s">
        <v>522</v>
      </c>
      <c r="F1">
        <v>50</v>
      </c>
      <c r="G1">
        <v>13.61</v>
      </c>
      <c r="H1">
        <v>45.01</v>
      </c>
      <c r="I1">
        <v>8.84</v>
      </c>
      <c r="J1">
        <v>29.25</v>
      </c>
      <c r="K1">
        <v>50</v>
      </c>
      <c r="T1">
        <v>2</v>
      </c>
      <c r="U1">
        <v>1</v>
      </c>
      <c r="V1" t="s">
        <v>523</v>
      </c>
      <c r="W1">
        <v>45</v>
      </c>
      <c r="X1">
        <v>5</v>
      </c>
      <c r="Y1">
        <v>5</v>
      </c>
      <c r="Z1" t="s">
        <v>524</v>
      </c>
      <c r="AA1" t="s">
        <v>525</v>
      </c>
      <c r="AB1" t="s">
        <v>526</v>
      </c>
      <c r="AC1" t="s">
        <v>527</v>
      </c>
      <c r="AD1" t="s">
        <v>528</v>
      </c>
      <c r="AE1" t="s">
        <v>529</v>
      </c>
      <c r="AG1" t="s">
        <v>530</v>
      </c>
      <c r="AH1">
        <v>0</v>
      </c>
      <c r="AI1">
        <v>0</v>
      </c>
      <c r="AJ1">
        <v>0</v>
      </c>
      <c r="AK1">
        <v>0</v>
      </c>
      <c r="AL1">
        <v>0</v>
      </c>
    </row>
    <row r="2" spans="1:38" x14ac:dyDescent="0.3">
      <c r="A2" t="s">
        <v>531</v>
      </c>
      <c r="B2">
        <v>116042</v>
      </c>
      <c r="C2">
        <v>1</v>
      </c>
      <c r="D2" t="s">
        <v>532</v>
      </c>
      <c r="E2" t="s">
        <v>533</v>
      </c>
      <c r="F2">
        <v>96</v>
      </c>
      <c r="G2">
        <v>25.69</v>
      </c>
      <c r="H2">
        <v>84.94</v>
      </c>
      <c r="I2">
        <v>18.09</v>
      </c>
      <c r="J2">
        <v>59.82</v>
      </c>
      <c r="K2">
        <v>96</v>
      </c>
      <c r="T2">
        <v>3</v>
      </c>
      <c r="U2">
        <v>1</v>
      </c>
      <c r="V2" t="s">
        <v>523</v>
      </c>
      <c r="W2">
        <v>84</v>
      </c>
      <c r="X2">
        <v>10</v>
      </c>
      <c r="Y2">
        <v>10</v>
      </c>
      <c r="Z2" t="s">
        <v>534</v>
      </c>
      <c r="AA2" t="s">
        <v>535</v>
      </c>
      <c r="AB2" t="s">
        <v>526</v>
      </c>
      <c r="AC2" t="s">
        <v>527</v>
      </c>
      <c r="AD2" t="s">
        <v>528</v>
      </c>
      <c r="AE2" t="s">
        <v>536</v>
      </c>
      <c r="AG2" t="s">
        <v>537</v>
      </c>
      <c r="AH2">
        <v>0</v>
      </c>
      <c r="AI2">
        <v>207</v>
      </c>
      <c r="AJ2">
        <v>26</v>
      </c>
      <c r="AK2">
        <v>45</v>
      </c>
      <c r="AL2">
        <v>0.47</v>
      </c>
    </row>
    <row r="3" spans="1:38" x14ac:dyDescent="0.3">
      <c r="A3" t="s">
        <v>538</v>
      </c>
      <c r="B3">
        <v>124474</v>
      </c>
      <c r="C3">
        <v>1</v>
      </c>
      <c r="D3" t="s">
        <v>539</v>
      </c>
      <c r="E3" t="s">
        <v>540</v>
      </c>
      <c r="F3">
        <v>19</v>
      </c>
      <c r="G3">
        <v>32.31</v>
      </c>
      <c r="H3">
        <v>106.81</v>
      </c>
      <c r="I3">
        <v>25.36</v>
      </c>
      <c r="J3">
        <v>83.85</v>
      </c>
      <c r="K3">
        <v>5</v>
      </c>
      <c r="T3">
        <v>3</v>
      </c>
      <c r="U3">
        <v>2</v>
      </c>
      <c r="V3" t="s">
        <v>541</v>
      </c>
      <c r="W3">
        <v>106</v>
      </c>
      <c r="X3">
        <v>6</v>
      </c>
      <c r="Y3">
        <v>5</v>
      </c>
      <c r="Z3" t="s">
        <v>542</v>
      </c>
      <c r="AA3" t="s">
        <v>543</v>
      </c>
      <c r="AB3" t="s">
        <v>526</v>
      </c>
      <c r="AC3" t="s">
        <v>527</v>
      </c>
      <c r="AD3" t="s">
        <v>528</v>
      </c>
      <c r="AE3" t="s">
        <v>544</v>
      </c>
      <c r="AG3" t="s">
        <v>545</v>
      </c>
      <c r="AH3">
        <v>0</v>
      </c>
      <c r="AI3">
        <v>235</v>
      </c>
      <c r="AJ3">
        <v>57</v>
      </c>
      <c r="AK3">
        <v>24</v>
      </c>
      <c r="AL3">
        <v>1.26</v>
      </c>
    </row>
    <row r="4" spans="1:38" x14ac:dyDescent="0.3">
      <c r="A4" t="s">
        <v>538</v>
      </c>
      <c r="B4">
        <v>124474</v>
      </c>
      <c r="C4">
        <v>2</v>
      </c>
      <c r="D4" t="s">
        <v>539</v>
      </c>
      <c r="E4" t="s">
        <v>540</v>
      </c>
      <c r="F4">
        <v>19</v>
      </c>
      <c r="G4">
        <v>37.03</v>
      </c>
      <c r="H4">
        <v>122.44</v>
      </c>
      <c r="I4">
        <v>29.14</v>
      </c>
      <c r="J4">
        <v>96.36</v>
      </c>
      <c r="K4">
        <v>5</v>
      </c>
      <c r="T4">
        <v>3</v>
      </c>
      <c r="U4">
        <v>2</v>
      </c>
      <c r="V4" t="s">
        <v>541</v>
      </c>
      <c r="W4">
        <v>122</v>
      </c>
      <c r="X4">
        <v>6</v>
      </c>
      <c r="Y4">
        <v>5</v>
      </c>
      <c r="Z4" t="s">
        <v>542</v>
      </c>
      <c r="AA4" t="s">
        <v>543</v>
      </c>
      <c r="AB4" t="s">
        <v>526</v>
      </c>
      <c r="AC4" t="s">
        <v>527</v>
      </c>
      <c r="AD4" t="s">
        <v>528</v>
      </c>
      <c r="AE4" t="s">
        <v>544</v>
      </c>
      <c r="AG4" t="s">
        <v>545</v>
      </c>
      <c r="AH4">
        <v>0</v>
      </c>
      <c r="AI4">
        <v>235</v>
      </c>
      <c r="AJ4">
        <v>57</v>
      </c>
      <c r="AK4">
        <v>24</v>
      </c>
      <c r="AL4">
        <v>1.26</v>
      </c>
    </row>
    <row r="5" spans="1:38" x14ac:dyDescent="0.3">
      <c r="A5" t="s">
        <v>538</v>
      </c>
      <c r="B5">
        <v>124474</v>
      </c>
      <c r="C5">
        <v>3</v>
      </c>
      <c r="D5" t="s">
        <v>539</v>
      </c>
      <c r="E5" t="s">
        <v>540</v>
      </c>
      <c r="F5">
        <v>19</v>
      </c>
      <c r="G5">
        <v>44.45</v>
      </c>
      <c r="H5">
        <v>146.97</v>
      </c>
      <c r="I5">
        <v>34.29</v>
      </c>
      <c r="J5">
        <v>113.38</v>
      </c>
      <c r="K5">
        <v>8</v>
      </c>
      <c r="T5">
        <v>4</v>
      </c>
      <c r="U5">
        <v>2</v>
      </c>
      <c r="V5" t="s">
        <v>541</v>
      </c>
      <c r="W5">
        <v>146</v>
      </c>
      <c r="X5">
        <v>6</v>
      </c>
      <c r="Y5">
        <v>5</v>
      </c>
      <c r="Z5" t="s">
        <v>542</v>
      </c>
      <c r="AA5" t="s">
        <v>543</v>
      </c>
      <c r="AB5" t="s">
        <v>526</v>
      </c>
      <c r="AC5" t="s">
        <v>527</v>
      </c>
      <c r="AD5" t="s">
        <v>528</v>
      </c>
      <c r="AE5" t="s">
        <v>544</v>
      </c>
      <c r="AG5" t="s">
        <v>545</v>
      </c>
      <c r="AH5">
        <v>0</v>
      </c>
      <c r="AI5">
        <v>235</v>
      </c>
      <c r="AJ5">
        <v>57</v>
      </c>
      <c r="AK5">
        <v>24</v>
      </c>
      <c r="AL5">
        <v>1.26</v>
      </c>
    </row>
    <row r="6" spans="1:38" x14ac:dyDescent="0.3">
      <c r="A6" t="s">
        <v>538</v>
      </c>
      <c r="B6">
        <v>124474</v>
      </c>
      <c r="C6">
        <v>4</v>
      </c>
      <c r="D6" t="s">
        <v>539</v>
      </c>
      <c r="E6" t="s">
        <v>540</v>
      </c>
      <c r="F6">
        <v>19</v>
      </c>
      <c r="G6">
        <v>66.34</v>
      </c>
      <c r="H6">
        <v>219.31</v>
      </c>
      <c r="I6">
        <v>47.08</v>
      </c>
      <c r="J6">
        <v>155.63999999999999</v>
      </c>
      <c r="K6">
        <v>1</v>
      </c>
      <c r="T6">
        <v>5</v>
      </c>
      <c r="U6">
        <v>3</v>
      </c>
      <c r="V6" t="s">
        <v>541</v>
      </c>
      <c r="W6">
        <v>219</v>
      </c>
      <c r="X6">
        <v>6</v>
      </c>
      <c r="Y6">
        <v>5</v>
      </c>
      <c r="Z6" t="s">
        <v>542</v>
      </c>
      <c r="AA6" t="s">
        <v>543</v>
      </c>
      <c r="AB6" t="s">
        <v>526</v>
      </c>
      <c r="AC6" t="s">
        <v>527</v>
      </c>
      <c r="AD6" t="s">
        <v>528</v>
      </c>
      <c r="AE6" t="s">
        <v>544</v>
      </c>
      <c r="AG6" t="s">
        <v>545</v>
      </c>
      <c r="AH6">
        <v>0</v>
      </c>
      <c r="AI6">
        <v>235</v>
      </c>
      <c r="AJ6">
        <v>57</v>
      </c>
      <c r="AK6">
        <v>24</v>
      </c>
      <c r="AL6">
        <v>1.26</v>
      </c>
    </row>
    <row r="7" spans="1:38" x14ac:dyDescent="0.3">
      <c r="A7" t="s">
        <v>546</v>
      </c>
      <c r="B7">
        <v>105213</v>
      </c>
      <c r="C7">
        <v>1</v>
      </c>
      <c r="D7" t="s">
        <v>547</v>
      </c>
      <c r="E7" t="s">
        <v>548</v>
      </c>
      <c r="F7">
        <v>162</v>
      </c>
      <c r="G7">
        <v>27.63</v>
      </c>
      <c r="H7">
        <v>91.36</v>
      </c>
      <c r="I7">
        <v>20.25</v>
      </c>
      <c r="J7">
        <v>66.959999999999994</v>
      </c>
      <c r="K7">
        <v>86</v>
      </c>
      <c r="T7">
        <v>3</v>
      </c>
      <c r="U7">
        <v>1</v>
      </c>
      <c r="V7" t="s">
        <v>541</v>
      </c>
      <c r="W7">
        <v>91</v>
      </c>
      <c r="X7">
        <v>14</v>
      </c>
      <c r="Y7">
        <v>11</v>
      </c>
      <c r="Z7" t="s">
        <v>549</v>
      </c>
      <c r="AA7" t="s">
        <v>550</v>
      </c>
      <c r="AB7" t="s">
        <v>526</v>
      </c>
      <c r="AC7" t="s">
        <v>527</v>
      </c>
      <c r="AD7" t="s">
        <v>528</v>
      </c>
      <c r="AE7" t="s">
        <v>551</v>
      </c>
      <c r="AG7" t="s">
        <v>552</v>
      </c>
      <c r="AH7">
        <v>0</v>
      </c>
      <c r="AI7">
        <v>75</v>
      </c>
      <c r="AJ7">
        <v>62</v>
      </c>
      <c r="AK7">
        <v>0</v>
      </c>
      <c r="AL7">
        <v>0</v>
      </c>
    </row>
    <row r="8" spans="1:38" x14ac:dyDescent="0.3">
      <c r="A8" t="s">
        <v>546</v>
      </c>
      <c r="B8">
        <v>105213</v>
      </c>
      <c r="C8">
        <v>2</v>
      </c>
      <c r="D8" t="s">
        <v>547</v>
      </c>
      <c r="E8" t="s">
        <v>548</v>
      </c>
      <c r="F8">
        <v>162</v>
      </c>
      <c r="G8">
        <v>29.86</v>
      </c>
      <c r="H8">
        <v>98.73</v>
      </c>
      <c r="I8">
        <v>21.88</v>
      </c>
      <c r="J8">
        <v>72.36</v>
      </c>
      <c r="K8">
        <v>28</v>
      </c>
      <c r="T8">
        <v>3</v>
      </c>
      <c r="U8">
        <v>1</v>
      </c>
      <c r="V8" t="s">
        <v>541</v>
      </c>
      <c r="W8">
        <v>98</v>
      </c>
      <c r="X8">
        <v>14</v>
      </c>
      <c r="Y8">
        <v>11</v>
      </c>
      <c r="Z8" t="s">
        <v>549</v>
      </c>
      <c r="AA8" t="s">
        <v>550</v>
      </c>
      <c r="AB8" t="s">
        <v>526</v>
      </c>
      <c r="AC8" t="s">
        <v>527</v>
      </c>
      <c r="AD8" t="s">
        <v>528</v>
      </c>
      <c r="AE8" t="s">
        <v>551</v>
      </c>
      <c r="AG8" t="s">
        <v>552</v>
      </c>
      <c r="AH8">
        <v>0</v>
      </c>
      <c r="AI8">
        <v>75</v>
      </c>
      <c r="AJ8">
        <v>62</v>
      </c>
      <c r="AK8">
        <v>0</v>
      </c>
      <c r="AL8">
        <v>0</v>
      </c>
    </row>
    <row r="9" spans="1:38" x14ac:dyDescent="0.3">
      <c r="A9" t="s">
        <v>546</v>
      </c>
      <c r="B9">
        <v>105213</v>
      </c>
      <c r="C9">
        <v>3</v>
      </c>
      <c r="D9" t="s">
        <v>547</v>
      </c>
      <c r="E9" t="s">
        <v>548</v>
      </c>
      <c r="F9">
        <v>162</v>
      </c>
      <c r="G9">
        <v>31.31</v>
      </c>
      <c r="H9">
        <v>103.53</v>
      </c>
      <c r="I9">
        <v>25.69</v>
      </c>
      <c r="J9">
        <v>84.95</v>
      </c>
      <c r="K9">
        <v>22</v>
      </c>
      <c r="T9">
        <v>3</v>
      </c>
      <c r="U9">
        <v>2</v>
      </c>
      <c r="V9" t="s">
        <v>541</v>
      </c>
      <c r="W9">
        <v>103</v>
      </c>
      <c r="X9">
        <v>14</v>
      </c>
      <c r="Y9">
        <v>11</v>
      </c>
      <c r="Z9" t="s">
        <v>549</v>
      </c>
      <c r="AA9" t="s">
        <v>550</v>
      </c>
      <c r="AB9" t="s">
        <v>526</v>
      </c>
      <c r="AC9" t="s">
        <v>527</v>
      </c>
      <c r="AD9" t="s">
        <v>528</v>
      </c>
      <c r="AE9" t="s">
        <v>551</v>
      </c>
      <c r="AG9" t="s">
        <v>552</v>
      </c>
      <c r="AH9">
        <v>0</v>
      </c>
      <c r="AI9">
        <v>75</v>
      </c>
      <c r="AJ9">
        <v>62</v>
      </c>
      <c r="AK9">
        <v>0</v>
      </c>
      <c r="AL9">
        <v>0</v>
      </c>
    </row>
    <row r="10" spans="1:38" x14ac:dyDescent="0.3">
      <c r="A10" t="s">
        <v>546</v>
      </c>
      <c r="B10">
        <v>105213</v>
      </c>
      <c r="C10">
        <v>4</v>
      </c>
      <c r="D10" t="s">
        <v>547</v>
      </c>
      <c r="E10" t="s">
        <v>548</v>
      </c>
      <c r="F10">
        <v>162</v>
      </c>
      <c r="G10">
        <v>31.65</v>
      </c>
      <c r="H10">
        <v>104.63</v>
      </c>
      <c r="I10">
        <v>23.19</v>
      </c>
      <c r="J10">
        <v>76.680000000000007</v>
      </c>
      <c r="K10">
        <v>26</v>
      </c>
      <c r="T10">
        <v>3</v>
      </c>
      <c r="U10">
        <v>2</v>
      </c>
      <c r="V10" t="s">
        <v>541</v>
      </c>
      <c r="W10">
        <v>104</v>
      </c>
      <c r="X10">
        <v>14</v>
      </c>
      <c r="Y10">
        <v>11</v>
      </c>
      <c r="Z10" t="s">
        <v>549</v>
      </c>
      <c r="AA10" t="s">
        <v>550</v>
      </c>
      <c r="AB10" t="s">
        <v>526</v>
      </c>
      <c r="AC10" t="s">
        <v>527</v>
      </c>
      <c r="AD10" t="s">
        <v>528</v>
      </c>
      <c r="AE10" t="s">
        <v>551</v>
      </c>
      <c r="AG10" t="s">
        <v>552</v>
      </c>
      <c r="AH10">
        <v>0</v>
      </c>
      <c r="AI10">
        <v>75</v>
      </c>
      <c r="AJ10">
        <v>62</v>
      </c>
      <c r="AK10">
        <v>0</v>
      </c>
      <c r="AL10">
        <v>0</v>
      </c>
    </row>
    <row r="11" spans="1:38" x14ac:dyDescent="0.3">
      <c r="A11" t="s">
        <v>546</v>
      </c>
      <c r="B11">
        <v>122586</v>
      </c>
      <c r="C11">
        <v>1</v>
      </c>
      <c r="D11" t="s">
        <v>553</v>
      </c>
      <c r="E11" t="s">
        <v>554</v>
      </c>
      <c r="F11">
        <v>70</v>
      </c>
      <c r="G11">
        <v>22.54</v>
      </c>
      <c r="H11">
        <v>74.52</v>
      </c>
      <c r="I11">
        <v>17.37</v>
      </c>
      <c r="J11">
        <v>57.45</v>
      </c>
      <c r="K11">
        <v>20</v>
      </c>
      <c r="T11">
        <v>3</v>
      </c>
      <c r="U11">
        <v>1</v>
      </c>
      <c r="V11" t="s">
        <v>523</v>
      </c>
      <c r="W11">
        <v>74</v>
      </c>
      <c r="X11">
        <v>5</v>
      </c>
      <c r="Y11">
        <v>5</v>
      </c>
      <c r="Z11" t="s">
        <v>555</v>
      </c>
      <c r="AA11" t="s">
        <v>556</v>
      </c>
      <c r="AB11" t="s">
        <v>526</v>
      </c>
      <c r="AC11" t="s">
        <v>527</v>
      </c>
      <c r="AD11" t="s">
        <v>528</v>
      </c>
      <c r="AE11" t="s">
        <v>551</v>
      </c>
      <c r="AG11" t="s">
        <v>557</v>
      </c>
      <c r="AH11">
        <v>0</v>
      </c>
      <c r="AI11">
        <v>0</v>
      </c>
      <c r="AJ11">
        <v>0</v>
      </c>
      <c r="AK11">
        <v>0</v>
      </c>
      <c r="AL11">
        <v>0</v>
      </c>
    </row>
    <row r="12" spans="1:38" x14ac:dyDescent="0.3">
      <c r="A12" t="s">
        <v>546</v>
      </c>
      <c r="B12">
        <v>122586</v>
      </c>
      <c r="C12">
        <v>2</v>
      </c>
      <c r="D12" t="s">
        <v>553</v>
      </c>
      <c r="E12" t="s">
        <v>554</v>
      </c>
      <c r="F12">
        <v>70</v>
      </c>
      <c r="G12">
        <v>29.89</v>
      </c>
      <c r="H12">
        <v>98.82</v>
      </c>
      <c r="I12">
        <v>24.06</v>
      </c>
      <c r="J12">
        <v>79.569999999999993</v>
      </c>
      <c r="K12">
        <v>20</v>
      </c>
      <c r="T12">
        <v>3</v>
      </c>
      <c r="U12">
        <v>2</v>
      </c>
      <c r="V12" t="s">
        <v>523</v>
      </c>
      <c r="W12">
        <v>98</v>
      </c>
      <c r="X12">
        <v>5</v>
      </c>
      <c r="Y12">
        <v>5</v>
      </c>
      <c r="Z12" t="s">
        <v>555</v>
      </c>
      <c r="AA12" t="s">
        <v>556</v>
      </c>
      <c r="AB12" t="s">
        <v>526</v>
      </c>
      <c r="AC12" t="s">
        <v>527</v>
      </c>
      <c r="AD12" t="s">
        <v>528</v>
      </c>
      <c r="AE12" t="s">
        <v>551</v>
      </c>
      <c r="AG12" t="s">
        <v>557</v>
      </c>
      <c r="AH12">
        <v>0</v>
      </c>
      <c r="AI12">
        <v>0</v>
      </c>
      <c r="AJ12">
        <v>0</v>
      </c>
      <c r="AK12">
        <v>0</v>
      </c>
      <c r="AL12">
        <v>0</v>
      </c>
    </row>
    <row r="13" spans="1:38" x14ac:dyDescent="0.3">
      <c r="A13" t="s">
        <v>546</v>
      </c>
      <c r="B13">
        <v>122586</v>
      </c>
      <c r="C13">
        <v>3</v>
      </c>
      <c r="D13" t="s">
        <v>553</v>
      </c>
      <c r="E13" t="s">
        <v>554</v>
      </c>
      <c r="F13">
        <v>70</v>
      </c>
      <c r="G13">
        <v>33.369999999999997</v>
      </c>
      <c r="H13">
        <v>110.32</v>
      </c>
      <c r="I13">
        <v>25.59</v>
      </c>
      <c r="J13">
        <v>84.6</v>
      </c>
      <c r="K13">
        <v>30</v>
      </c>
      <c r="T13">
        <v>3</v>
      </c>
      <c r="U13">
        <v>2</v>
      </c>
      <c r="V13" t="s">
        <v>523</v>
      </c>
      <c r="W13">
        <v>110</v>
      </c>
      <c r="X13">
        <v>5</v>
      </c>
      <c r="Y13">
        <v>5</v>
      </c>
      <c r="Z13" t="s">
        <v>555</v>
      </c>
      <c r="AA13" t="s">
        <v>556</v>
      </c>
      <c r="AB13" t="s">
        <v>526</v>
      </c>
      <c r="AC13" t="s">
        <v>527</v>
      </c>
      <c r="AD13" t="s">
        <v>528</v>
      </c>
      <c r="AE13" t="s">
        <v>551</v>
      </c>
      <c r="AG13" t="s">
        <v>557</v>
      </c>
      <c r="AH13">
        <v>0</v>
      </c>
      <c r="AI13">
        <v>0</v>
      </c>
      <c r="AJ13">
        <v>0</v>
      </c>
      <c r="AK13">
        <v>0</v>
      </c>
      <c r="AL13">
        <v>0</v>
      </c>
    </row>
    <row r="14" spans="1:38" x14ac:dyDescent="0.3">
      <c r="A14" t="s">
        <v>546</v>
      </c>
      <c r="B14">
        <v>142249</v>
      </c>
      <c r="C14">
        <v>1</v>
      </c>
      <c r="D14" t="s">
        <v>558</v>
      </c>
      <c r="E14" t="s">
        <v>559</v>
      </c>
      <c r="F14">
        <v>81</v>
      </c>
      <c r="G14">
        <v>17.649999999999999</v>
      </c>
      <c r="H14">
        <v>58.37</v>
      </c>
      <c r="I14">
        <v>12.43</v>
      </c>
      <c r="J14">
        <v>41.12</v>
      </c>
      <c r="K14">
        <v>81</v>
      </c>
      <c r="T14">
        <v>2</v>
      </c>
      <c r="U14">
        <v>1</v>
      </c>
      <c r="V14" t="s">
        <v>541</v>
      </c>
      <c r="W14">
        <v>58</v>
      </c>
      <c r="X14">
        <v>9</v>
      </c>
      <c r="Y14">
        <v>9</v>
      </c>
      <c r="Z14" t="s">
        <v>560</v>
      </c>
      <c r="AA14" t="s">
        <v>561</v>
      </c>
      <c r="AB14" t="s">
        <v>526</v>
      </c>
      <c r="AC14" t="s">
        <v>527</v>
      </c>
      <c r="AD14" t="s">
        <v>528</v>
      </c>
      <c r="AE14" t="s">
        <v>551</v>
      </c>
      <c r="AG14" t="s">
        <v>562</v>
      </c>
      <c r="AH14">
        <v>0</v>
      </c>
      <c r="AI14">
        <v>252</v>
      </c>
      <c r="AJ14">
        <v>37</v>
      </c>
      <c r="AK14">
        <v>30</v>
      </c>
      <c r="AL14">
        <v>0.37</v>
      </c>
    </row>
    <row r="15" spans="1:38" x14ac:dyDescent="0.3">
      <c r="A15" t="s">
        <v>563</v>
      </c>
      <c r="B15">
        <v>101169</v>
      </c>
      <c r="C15">
        <v>1</v>
      </c>
      <c r="D15" t="s">
        <v>564</v>
      </c>
      <c r="E15" t="s">
        <v>548</v>
      </c>
      <c r="F15">
        <v>205</v>
      </c>
      <c r="G15">
        <v>21.58</v>
      </c>
      <c r="H15">
        <v>71.349999999999994</v>
      </c>
      <c r="I15">
        <v>18.13</v>
      </c>
      <c r="J15">
        <v>59.95</v>
      </c>
      <c r="K15">
        <v>205</v>
      </c>
      <c r="T15">
        <v>3</v>
      </c>
      <c r="U15">
        <v>1</v>
      </c>
      <c r="V15" t="s">
        <v>541</v>
      </c>
      <c r="W15">
        <v>71</v>
      </c>
      <c r="X15">
        <v>5</v>
      </c>
      <c r="Y15">
        <v>5</v>
      </c>
      <c r="Z15" t="s">
        <v>565</v>
      </c>
      <c r="AA15" t="s">
        <v>566</v>
      </c>
      <c r="AB15" t="s">
        <v>526</v>
      </c>
      <c r="AC15" t="s">
        <v>527</v>
      </c>
      <c r="AD15" t="s">
        <v>528</v>
      </c>
      <c r="AE15" t="s">
        <v>567</v>
      </c>
      <c r="AG15" t="s">
        <v>568</v>
      </c>
      <c r="AH15">
        <v>0</v>
      </c>
      <c r="AI15">
        <v>0</v>
      </c>
      <c r="AJ15">
        <v>0</v>
      </c>
      <c r="AK15">
        <v>0</v>
      </c>
      <c r="AL15">
        <v>0</v>
      </c>
    </row>
    <row r="16" spans="1:38" x14ac:dyDescent="0.3">
      <c r="A16" t="s">
        <v>563</v>
      </c>
      <c r="B16">
        <v>5292</v>
      </c>
      <c r="C16">
        <v>1</v>
      </c>
      <c r="D16" t="s">
        <v>569</v>
      </c>
      <c r="E16" t="s">
        <v>570</v>
      </c>
      <c r="F16">
        <v>433</v>
      </c>
      <c r="G16">
        <v>30.67</v>
      </c>
      <c r="H16">
        <v>101.39</v>
      </c>
      <c r="I16">
        <v>25.68</v>
      </c>
      <c r="J16">
        <v>84.91</v>
      </c>
      <c r="K16">
        <v>283</v>
      </c>
      <c r="T16">
        <v>3</v>
      </c>
      <c r="U16">
        <v>2</v>
      </c>
      <c r="V16" t="s">
        <v>541</v>
      </c>
      <c r="W16">
        <v>101</v>
      </c>
      <c r="X16">
        <v>15</v>
      </c>
      <c r="Y16">
        <v>9</v>
      </c>
      <c r="Z16" t="s">
        <v>571</v>
      </c>
      <c r="AA16" t="s">
        <v>572</v>
      </c>
      <c r="AB16" t="s">
        <v>526</v>
      </c>
      <c r="AC16" t="s">
        <v>527</v>
      </c>
      <c r="AD16" t="s">
        <v>528</v>
      </c>
      <c r="AE16" t="s">
        <v>567</v>
      </c>
      <c r="AG16" t="s">
        <v>573</v>
      </c>
      <c r="AH16">
        <v>0</v>
      </c>
      <c r="AI16">
        <v>0</v>
      </c>
      <c r="AJ16">
        <v>0</v>
      </c>
      <c r="AK16">
        <v>433</v>
      </c>
      <c r="AL16">
        <v>1</v>
      </c>
    </row>
    <row r="17" spans="1:38" x14ac:dyDescent="0.3">
      <c r="A17" t="s">
        <v>563</v>
      </c>
      <c r="B17">
        <v>5292</v>
      </c>
      <c r="C17">
        <v>2</v>
      </c>
      <c r="D17" t="s">
        <v>569</v>
      </c>
      <c r="E17" t="s">
        <v>570</v>
      </c>
      <c r="F17">
        <v>433</v>
      </c>
      <c r="G17">
        <v>36.090000000000003</v>
      </c>
      <c r="H17">
        <v>119.31</v>
      </c>
      <c r="I17">
        <v>30.88</v>
      </c>
      <c r="J17">
        <v>102.09</v>
      </c>
      <c r="K17">
        <v>30</v>
      </c>
      <c r="T17">
        <v>4</v>
      </c>
      <c r="U17">
        <v>2</v>
      </c>
      <c r="V17" t="s">
        <v>541</v>
      </c>
      <c r="W17">
        <v>119</v>
      </c>
      <c r="X17">
        <v>15</v>
      </c>
      <c r="Y17">
        <v>9</v>
      </c>
      <c r="Z17" t="s">
        <v>571</v>
      </c>
      <c r="AA17" t="s">
        <v>572</v>
      </c>
      <c r="AB17" t="s">
        <v>526</v>
      </c>
      <c r="AC17" t="s">
        <v>527</v>
      </c>
      <c r="AD17" t="s">
        <v>528</v>
      </c>
      <c r="AE17" t="s">
        <v>567</v>
      </c>
      <c r="AG17" t="s">
        <v>573</v>
      </c>
      <c r="AH17">
        <v>0</v>
      </c>
      <c r="AI17">
        <v>0</v>
      </c>
      <c r="AJ17">
        <v>0</v>
      </c>
      <c r="AK17">
        <v>433</v>
      </c>
      <c r="AL17">
        <v>1</v>
      </c>
    </row>
    <row r="18" spans="1:38" x14ac:dyDescent="0.3">
      <c r="A18" t="s">
        <v>563</v>
      </c>
      <c r="B18">
        <v>5292</v>
      </c>
      <c r="C18">
        <v>3</v>
      </c>
      <c r="D18" t="s">
        <v>569</v>
      </c>
      <c r="E18" t="s">
        <v>570</v>
      </c>
      <c r="F18">
        <v>433</v>
      </c>
      <c r="G18">
        <v>46.47</v>
      </c>
      <c r="H18">
        <v>153.63</v>
      </c>
      <c r="I18">
        <v>40.25</v>
      </c>
      <c r="J18">
        <v>133.09</v>
      </c>
      <c r="K18">
        <v>60</v>
      </c>
      <c r="T18">
        <v>4</v>
      </c>
      <c r="U18">
        <v>2</v>
      </c>
      <c r="V18" t="s">
        <v>541</v>
      </c>
      <c r="W18">
        <v>153</v>
      </c>
      <c r="X18">
        <v>15</v>
      </c>
      <c r="Y18">
        <v>9</v>
      </c>
      <c r="Z18" t="s">
        <v>571</v>
      </c>
      <c r="AA18" t="s">
        <v>572</v>
      </c>
      <c r="AB18" t="s">
        <v>526</v>
      </c>
      <c r="AC18" t="s">
        <v>527</v>
      </c>
      <c r="AD18" t="s">
        <v>528</v>
      </c>
      <c r="AE18" t="s">
        <v>567</v>
      </c>
      <c r="AG18" t="s">
        <v>573</v>
      </c>
      <c r="AH18">
        <v>0</v>
      </c>
      <c r="AI18">
        <v>0</v>
      </c>
      <c r="AJ18">
        <v>0</v>
      </c>
      <c r="AK18">
        <v>433</v>
      </c>
      <c r="AL18">
        <v>1</v>
      </c>
    </row>
    <row r="19" spans="1:38" x14ac:dyDescent="0.3">
      <c r="A19" t="s">
        <v>563</v>
      </c>
      <c r="B19">
        <v>5292</v>
      </c>
      <c r="C19">
        <v>4</v>
      </c>
      <c r="D19" t="s">
        <v>569</v>
      </c>
      <c r="E19" t="s">
        <v>570</v>
      </c>
      <c r="F19">
        <v>433</v>
      </c>
      <c r="G19">
        <v>54.46</v>
      </c>
      <c r="H19">
        <v>180.06</v>
      </c>
      <c r="I19">
        <v>47.59</v>
      </c>
      <c r="J19">
        <v>157.33000000000001</v>
      </c>
      <c r="K19">
        <v>30</v>
      </c>
      <c r="T19">
        <v>5</v>
      </c>
      <c r="U19">
        <v>2</v>
      </c>
      <c r="V19" t="s">
        <v>541</v>
      </c>
      <c r="W19">
        <v>180</v>
      </c>
      <c r="X19">
        <v>15</v>
      </c>
      <c r="Y19">
        <v>9</v>
      </c>
      <c r="Z19" t="s">
        <v>571</v>
      </c>
      <c r="AA19" t="s">
        <v>572</v>
      </c>
      <c r="AB19" t="s">
        <v>526</v>
      </c>
      <c r="AC19" t="s">
        <v>527</v>
      </c>
      <c r="AD19" t="s">
        <v>528</v>
      </c>
      <c r="AE19" t="s">
        <v>567</v>
      </c>
      <c r="AG19" t="s">
        <v>573</v>
      </c>
      <c r="AH19">
        <v>0</v>
      </c>
      <c r="AI19">
        <v>0</v>
      </c>
      <c r="AJ19">
        <v>0</v>
      </c>
      <c r="AK19">
        <v>433</v>
      </c>
      <c r="AL19">
        <v>1</v>
      </c>
    </row>
    <row r="20" spans="1:38" x14ac:dyDescent="0.3">
      <c r="A20" t="s">
        <v>563</v>
      </c>
      <c r="B20">
        <v>5292</v>
      </c>
      <c r="C20">
        <v>5</v>
      </c>
      <c r="D20" t="s">
        <v>569</v>
      </c>
      <c r="E20" t="s">
        <v>570</v>
      </c>
      <c r="F20">
        <v>433</v>
      </c>
      <c r="G20">
        <v>66.209999999999994</v>
      </c>
      <c r="H20">
        <v>218.89</v>
      </c>
      <c r="I20">
        <v>58.37</v>
      </c>
      <c r="J20">
        <v>192.98</v>
      </c>
      <c r="K20">
        <v>30</v>
      </c>
      <c r="T20">
        <v>5</v>
      </c>
      <c r="U20">
        <v>2</v>
      </c>
      <c r="V20" t="s">
        <v>541</v>
      </c>
      <c r="W20">
        <v>218</v>
      </c>
      <c r="X20">
        <v>15</v>
      </c>
      <c r="Y20">
        <v>9</v>
      </c>
      <c r="Z20" t="s">
        <v>571</v>
      </c>
      <c r="AA20" t="s">
        <v>572</v>
      </c>
      <c r="AB20" t="s">
        <v>526</v>
      </c>
      <c r="AC20" t="s">
        <v>527</v>
      </c>
      <c r="AD20" t="s">
        <v>528</v>
      </c>
      <c r="AE20" t="s">
        <v>567</v>
      </c>
      <c r="AG20" t="s">
        <v>573</v>
      </c>
      <c r="AH20">
        <v>0</v>
      </c>
      <c r="AI20">
        <v>0</v>
      </c>
      <c r="AJ20">
        <v>0</v>
      </c>
      <c r="AK20">
        <v>433</v>
      </c>
      <c r="AL20">
        <v>1</v>
      </c>
    </row>
    <row r="21" spans="1:38" x14ac:dyDescent="0.3">
      <c r="A21" t="s">
        <v>563</v>
      </c>
      <c r="B21">
        <v>104857</v>
      </c>
      <c r="C21">
        <v>1</v>
      </c>
      <c r="D21" t="s">
        <v>574</v>
      </c>
      <c r="E21" t="s">
        <v>548</v>
      </c>
      <c r="F21">
        <v>111</v>
      </c>
      <c r="G21">
        <v>23.99</v>
      </c>
      <c r="H21">
        <v>79.33</v>
      </c>
      <c r="I21">
        <v>18.09</v>
      </c>
      <c r="J21">
        <v>59.82</v>
      </c>
      <c r="K21">
        <v>111</v>
      </c>
      <c r="T21">
        <v>3</v>
      </c>
      <c r="U21">
        <v>1</v>
      </c>
      <c r="V21" t="s">
        <v>541</v>
      </c>
      <c r="W21">
        <v>79</v>
      </c>
      <c r="X21">
        <v>15</v>
      </c>
      <c r="Y21">
        <v>10</v>
      </c>
      <c r="Z21" t="s">
        <v>575</v>
      </c>
      <c r="AA21" t="s">
        <v>576</v>
      </c>
      <c r="AB21" t="s">
        <v>526</v>
      </c>
      <c r="AC21" t="s">
        <v>527</v>
      </c>
      <c r="AD21" t="s">
        <v>528</v>
      </c>
      <c r="AE21" t="s">
        <v>567</v>
      </c>
      <c r="AG21" t="s">
        <v>577</v>
      </c>
      <c r="AH21">
        <v>0</v>
      </c>
      <c r="AI21">
        <v>0</v>
      </c>
      <c r="AJ21">
        <v>0</v>
      </c>
      <c r="AK21">
        <v>0</v>
      </c>
      <c r="AL21">
        <v>0</v>
      </c>
    </row>
    <row r="22" spans="1:38" x14ac:dyDescent="0.3">
      <c r="A22" t="s">
        <v>563</v>
      </c>
      <c r="B22">
        <v>5294</v>
      </c>
      <c r="C22">
        <v>1</v>
      </c>
      <c r="D22" t="s">
        <v>578</v>
      </c>
      <c r="E22" t="s">
        <v>579</v>
      </c>
      <c r="F22">
        <v>283</v>
      </c>
      <c r="G22">
        <v>25.28</v>
      </c>
      <c r="H22">
        <v>83.58</v>
      </c>
      <c r="I22">
        <v>17.96</v>
      </c>
      <c r="J22">
        <v>59.4</v>
      </c>
      <c r="K22">
        <v>172</v>
      </c>
      <c r="T22">
        <v>3</v>
      </c>
      <c r="U22">
        <v>1</v>
      </c>
      <c r="V22" t="s">
        <v>523</v>
      </c>
      <c r="W22">
        <v>83</v>
      </c>
      <c r="X22">
        <v>20</v>
      </c>
      <c r="Y22">
        <v>12</v>
      </c>
      <c r="Z22" t="s">
        <v>580</v>
      </c>
      <c r="AA22" t="s">
        <v>581</v>
      </c>
      <c r="AB22" t="s">
        <v>526</v>
      </c>
      <c r="AC22" t="s">
        <v>527</v>
      </c>
      <c r="AD22" t="s">
        <v>528</v>
      </c>
      <c r="AE22" t="s">
        <v>567</v>
      </c>
      <c r="AG22" t="s">
        <v>582</v>
      </c>
      <c r="AH22">
        <v>0</v>
      </c>
      <c r="AI22">
        <v>295</v>
      </c>
      <c r="AJ22">
        <v>20</v>
      </c>
      <c r="AK22">
        <v>145</v>
      </c>
      <c r="AL22">
        <v>0.51</v>
      </c>
    </row>
    <row r="23" spans="1:38" x14ac:dyDescent="0.3">
      <c r="A23" t="s">
        <v>563</v>
      </c>
      <c r="B23">
        <v>5294</v>
      </c>
      <c r="C23">
        <v>2</v>
      </c>
      <c r="D23" t="s">
        <v>578</v>
      </c>
      <c r="E23" t="s">
        <v>579</v>
      </c>
      <c r="F23">
        <v>283</v>
      </c>
      <c r="G23">
        <v>30.87</v>
      </c>
      <c r="H23">
        <v>102.08</v>
      </c>
      <c r="I23">
        <v>22.05</v>
      </c>
      <c r="J23">
        <v>72.900000000000006</v>
      </c>
      <c r="K23">
        <v>31</v>
      </c>
      <c r="T23">
        <v>3</v>
      </c>
      <c r="U23">
        <v>1</v>
      </c>
      <c r="V23" t="s">
        <v>541</v>
      </c>
      <c r="W23">
        <v>102</v>
      </c>
      <c r="X23">
        <v>20</v>
      </c>
      <c r="Y23">
        <v>12</v>
      </c>
      <c r="Z23" t="s">
        <v>580</v>
      </c>
      <c r="AA23" t="s">
        <v>581</v>
      </c>
      <c r="AB23" t="s">
        <v>526</v>
      </c>
      <c r="AC23" t="s">
        <v>527</v>
      </c>
      <c r="AD23" t="s">
        <v>528</v>
      </c>
      <c r="AE23" t="s">
        <v>567</v>
      </c>
      <c r="AG23" t="s">
        <v>582</v>
      </c>
      <c r="AH23">
        <v>0</v>
      </c>
      <c r="AI23">
        <v>295</v>
      </c>
      <c r="AJ23">
        <v>20</v>
      </c>
      <c r="AK23">
        <v>145</v>
      </c>
      <c r="AL23">
        <v>0.51</v>
      </c>
    </row>
    <row r="24" spans="1:38" x14ac:dyDescent="0.3">
      <c r="A24" t="s">
        <v>563</v>
      </c>
      <c r="B24">
        <v>5294</v>
      </c>
      <c r="C24">
        <v>3</v>
      </c>
      <c r="D24" t="s">
        <v>578</v>
      </c>
      <c r="E24" t="s">
        <v>579</v>
      </c>
      <c r="F24">
        <v>283</v>
      </c>
      <c r="G24">
        <v>32.32</v>
      </c>
      <c r="H24">
        <v>106.87</v>
      </c>
      <c r="I24">
        <v>25.51</v>
      </c>
      <c r="J24">
        <v>84.36</v>
      </c>
      <c r="K24">
        <v>80</v>
      </c>
      <c r="T24">
        <v>3</v>
      </c>
      <c r="U24">
        <v>2</v>
      </c>
      <c r="V24" t="s">
        <v>541</v>
      </c>
      <c r="W24">
        <v>106</v>
      </c>
      <c r="X24">
        <v>20</v>
      </c>
      <c r="Y24">
        <v>12</v>
      </c>
      <c r="Z24" t="s">
        <v>580</v>
      </c>
      <c r="AA24" t="s">
        <v>581</v>
      </c>
      <c r="AB24" t="s">
        <v>526</v>
      </c>
      <c r="AC24" t="s">
        <v>527</v>
      </c>
      <c r="AD24" t="s">
        <v>528</v>
      </c>
      <c r="AE24" t="s">
        <v>567</v>
      </c>
      <c r="AG24" t="s">
        <v>582</v>
      </c>
      <c r="AH24">
        <v>0</v>
      </c>
      <c r="AI24">
        <v>295</v>
      </c>
      <c r="AJ24">
        <v>20</v>
      </c>
      <c r="AK24">
        <v>145</v>
      </c>
      <c r="AL24">
        <v>0.51</v>
      </c>
    </row>
    <row r="25" spans="1:38" x14ac:dyDescent="0.3">
      <c r="A25" t="s">
        <v>583</v>
      </c>
      <c r="B25">
        <v>15054</v>
      </c>
      <c r="C25">
        <v>1</v>
      </c>
      <c r="D25" t="s">
        <v>584</v>
      </c>
      <c r="E25" t="s">
        <v>585</v>
      </c>
      <c r="F25">
        <v>340</v>
      </c>
      <c r="G25">
        <v>23.82</v>
      </c>
      <c r="H25">
        <v>78.77</v>
      </c>
      <c r="I25">
        <v>18.100000000000001</v>
      </c>
      <c r="J25">
        <v>59.86</v>
      </c>
      <c r="K25">
        <v>176</v>
      </c>
      <c r="T25">
        <v>3</v>
      </c>
      <c r="U25">
        <v>1</v>
      </c>
      <c r="V25" t="s">
        <v>541</v>
      </c>
      <c r="W25">
        <v>78</v>
      </c>
      <c r="X25">
        <v>20</v>
      </c>
      <c r="Y25">
        <v>8</v>
      </c>
      <c r="Z25" t="s">
        <v>586</v>
      </c>
      <c r="AA25" t="s">
        <v>587</v>
      </c>
      <c r="AB25" t="s">
        <v>526</v>
      </c>
      <c r="AC25" t="s">
        <v>527</v>
      </c>
      <c r="AD25" t="s">
        <v>528</v>
      </c>
      <c r="AE25" t="s">
        <v>588</v>
      </c>
      <c r="AG25" t="s">
        <v>589</v>
      </c>
      <c r="AH25">
        <v>0</v>
      </c>
      <c r="AI25">
        <v>0</v>
      </c>
      <c r="AJ25">
        <v>0</v>
      </c>
      <c r="AK25">
        <v>0</v>
      </c>
      <c r="AL25">
        <v>0</v>
      </c>
    </row>
    <row r="26" spans="1:38" x14ac:dyDescent="0.3">
      <c r="A26" t="s">
        <v>583</v>
      </c>
      <c r="B26">
        <v>15054</v>
      </c>
      <c r="C26">
        <v>2</v>
      </c>
      <c r="D26" t="s">
        <v>584</v>
      </c>
      <c r="E26" t="s">
        <v>585</v>
      </c>
      <c r="F26">
        <v>340</v>
      </c>
      <c r="G26">
        <v>32.04</v>
      </c>
      <c r="H26">
        <v>105.94</v>
      </c>
      <c r="I26">
        <v>25.7</v>
      </c>
      <c r="J26">
        <v>84.96</v>
      </c>
      <c r="K26">
        <v>164</v>
      </c>
      <c r="T26">
        <v>3</v>
      </c>
      <c r="U26">
        <v>2</v>
      </c>
      <c r="V26" t="s">
        <v>541</v>
      </c>
      <c r="W26">
        <v>105</v>
      </c>
      <c r="X26">
        <v>20</v>
      </c>
      <c r="Y26">
        <v>8</v>
      </c>
      <c r="Z26" t="s">
        <v>586</v>
      </c>
      <c r="AA26" t="s">
        <v>587</v>
      </c>
      <c r="AB26" t="s">
        <v>526</v>
      </c>
      <c r="AC26" t="s">
        <v>527</v>
      </c>
      <c r="AD26" t="s">
        <v>528</v>
      </c>
      <c r="AE26" t="s">
        <v>588</v>
      </c>
      <c r="AG26" t="s">
        <v>589</v>
      </c>
      <c r="AH26">
        <v>0</v>
      </c>
      <c r="AI26">
        <v>0</v>
      </c>
      <c r="AJ26">
        <v>0</v>
      </c>
      <c r="AK26">
        <v>0</v>
      </c>
      <c r="AL26">
        <v>0</v>
      </c>
    </row>
    <row r="27" spans="1:38" x14ac:dyDescent="0.3">
      <c r="A27" t="s">
        <v>583</v>
      </c>
      <c r="B27">
        <v>5342</v>
      </c>
      <c r="C27">
        <v>1</v>
      </c>
      <c r="D27" t="s">
        <v>590</v>
      </c>
      <c r="E27" t="s">
        <v>591</v>
      </c>
      <c r="F27">
        <v>410</v>
      </c>
      <c r="G27">
        <v>21.73</v>
      </c>
      <c r="H27">
        <v>71.84</v>
      </c>
      <c r="I27">
        <v>18.13</v>
      </c>
      <c r="J27">
        <v>59.96</v>
      </c>
      <c r="K27">
        <v>410</v>
      </c>
      <c r="T27">
        <v>3</v>
      </c>
      <c r="U27">
        <v>1</v>
      </c>
      <c r="V27" t="s">
        <v>541</v>
      </c>
      <c r="W27">
        <v>71</v>
      </c>
      <c r="X27">
        <v>6</v>
      </c>
      <c r="Y27">
        <v>5</v>
      </c>
      <c r="Z27" t="s">
        <v>592</v>
      </c>
      <c r="AA27" t="s">
        <v>593</v>
      </c>
      <c r="AB27" t="s">
        <v>526</v>
      </c>
      <c r="AC27" t="s">
        <v>527</v>
      </c>
      <c r="AD27" t="s">
        <v>528</v>
      </c>
      <c r="AE27" t="s">
        <v>588</v>
      </c>
      <c r="AG27" t="s">
        <v>594</v>
      </c>
      <c r="AH27">
        <v>0</v>
      </c>
      <c r="AI27">
        <v>0</v>
      </c>
      <c r="AJ27">
        <v>0</v>
      </c>
      <c r="AK27">
        <v>205</v>
      </c>
      <c r="AL27">
        <v>0.5</v>
      </c>
    </row>
    <row r="28" spans="1:38" x14ac:dyDescent="0.3">
      <c r="A28" t="s">
        <v>583</v>
      </c>
      <c r="B28">
        <v>15050</v>
      </c>
      <c r="C28">
        <v>1</v>
      </c>
      <c r="D28" t="s">
        <v>595</v>
      </c>
      <c r="E28" t="s">
        <v>596</v>
      </c>
      <c r="F28">
        <v>270</v>
      </c>
      <c r="G28">
        <v>19.8</v>
      </c>
      <c r="H28">
        <v>65.459999999999994</v>
      </c>
      <c r="I28">
        <v>17.91</v>
      </c>
      <c r="J28">
        <v>59.22</v>
      </c>
      <c r="K28">
        <v>270</v>
      </c>
      <c r="T28">
        <v>2</v>
      </c>
      <c r="U28">
        <v>1</v>
      </c>
      <c r="V28" t="s">
        <v>541</v>
      </c>
      <c r="W28">
        <v>65</v>
      </c>
      <c r="X28">
        <v>5</v>
      </c>
      <c r="Y28">
        <v>5</v>
      </c>
      <c r="Z28" t="s">
        <v>597</v>
      </c>
      <c r="AA28" t="s">
        <v>598</v>
      </c>
      <c r="AB28" t="s">
        <v>526</v>
      </c>
      <c r="AC28" t="s">
        <v>527</v>
      </c>
      <c r="AD28" t="s">
        <v>528</v>
      </c>
      <c r="AE28" t="s">
        <v>588</v>
      </c>
      <c r="AG28" t="s">
        <v>599</v>
      </c>
      <c r="AH28">
        <v>0</v>
      </c>
      <c r="AI28">
        <v>0</v>
      </c>
      <c r="AJ28">
        <v>0</v>
      </c>
      <c r="AK28">
        <v>0</v>
      </c>
      <c r="AL28">
        <v>0</v>
      </c>
    </row>
    <row r="29" spans="1:38" x14ac:dyDescent="0.3">
      <c r="A29" t="s">
        <v>583</v>
      </c>
      <c r="B29">
        <v>5337</v>
      </c>
      <c r="C29">
        <v>1</v>
      </c>
      <c r="D29" t="s">
        <v>600</v>
      </c>
      <c r="E29" t="s">
        <v>601</v>
      </c>
      <c r="F29">
        <v>508</v>
      </c>
      <c r="G29">
        <v>32.47</v>
      </c>
      <c r="H29">
        <v>107.36</v>
      </c>
      <c r="I29">
        <v>25.68</v>
      </c>
      <c r="J29">
        <v>84.92</v>
      </c>
      <c r="K29">
        <v>336</v>
      </c>
      <c r="T29">
        <v>3</v>
      </c>
      <c r="U29">
        <v>2</v>
      </c>
      <c r="V29" t="s">
        <v>541</v>
      </c>
      <c r="W29">
        <v>107</v>
      </c>
      <c r="X29">
        <v>19</v>
      </c>
      <c r="Y29">
        <v>12</v>
      </c>
      <c r="Z29" t="s">
        <v>602</v>
      </c>
      <c r="AA29" t="s">
        <v>603</v>
      </c>
      <c r="AB29" t="s">
        <v>526</v>
      </c>
      <c r="AC29" t="s">
        <v>527</v>
      </c>
      <c r="AD29" t="s">
        <v>528</v>
      </c>
      <c r="AE29" t="s">
        <v>588</v>
      </c>
      <c r="AG29" t="s">
        <v>604</v>
      </c>
      <c r="AH29">
        <v>0</v>
      </c>
      <c r="AI29">
        <v>0</v>
      </c>
      <c r="AJ29">
        <v>0</v>
      </c>
      <c r="AK29">
        <v>575</v>
      </c>
      <c r="AL29">
        <v>1.1299999999999999</v>
      </c>
    </row>
    <row r="30" spans="1:38" x14ac:dyDescent="0.3">
      <c r="A30" t="s">
        <v>583</v>
      </c>
      <c r="B30">
        <v>5337</v>
      </c>
      <c r="C30">
        <v>2</v>
      </c>
      <c r="D30" t="s">
        <v>600</v>
      </c>
      <c r="E30" t="s">
        <v>601</v>
      </c>
      <c r="F30">
        <v>508</v>
      </c>
      <c r="G30">
        <v>37.340000000000003</v>
      </c>
      <c r="H30">
        <v>123.46</v>
      </c>
      <c r="I30">
        <v>30.13</v>
      </c>
      <c r="J30">
        <v>99.63</v>
      </c>
      <c r="K30">
        <v>96</v>
      </c>
      <c r="T30">
        <v>4</v>
      </c>
      <c r="U30">
        <v>2</v>
      </c>
      <c r="V30" t="s">
        <v>541</v>
      </c>
      <c r="W30">
        <v>123</v>
      </c>
      <c r="X30">
        <v>19</v>
      </c>
      <c r="Y30">
        <v>12</v>
      </c>
      <c r="Z30" t="s">
        <v>602</v>
      </c>
      <c r="AA30" t="s">
        <v>603</v>
      </c>
      <c r="AB30" t="s">
        <v>526</v>
      </c>
      <c r="AC30" t="s">
        <v>527</v>
      </c>
      <c r="AD30" t="s">
        <v>528</v>
      </c>
      <c r="AE30" t="s">
        <v>588</v>
      </c>
      <c r="AG30" t="s">
        <v>604</v>
      </c>
      <c r="AH30">
        <v>0</v>
      </c>
      <c r="AI30">
        <v>0</v>
      </c>
      <c r="AJ30">
        <v>0</v>
      </c>
      <c r="AK30">
        <v>575</v>
      </c>
      <c r="AL30">
        <v>1.1299999999999999</v>
      </c>
    </row>
    <row r="31" spans="1:38" x14ac:dyDescent="0.3">
      <c r="A31" t="s">
        <v>583</v>
      </c>
      <c r="B31">
        <v>5337</v>
      </c>
      <c r="C31">
        <v>3</v>
      </c>
      <c r="D31" t="s">
        <v>600</v>
      </c>
      <c r="E31" t="s">
        <v>601</v>
      </c>
      <c r="F31">
        <v>508</v>
      </c>
      <c r="G31">
        <v>48.76</v>
      </c>
      <c r="H31">
        <v>161.19999999999999</v>
      </c>
      <c r="I31">
        <v>40.67</v>
      </c>
      <c r="J31">
        <v>134.46</v>
      </c>
      <c r="K31">
        <v>76</v>
      </c>
      <c r="T31">
        <v>4</v>
      </c>
      <c r="U31">
        <v>2</v>
      </c>
      <c r="V31" t="s">
        <v>541</v>
      </c>
      <c r="W31">
        <v>161</v>
      </c>
      <c r="X31">
        <v>19</v>
      </c>
      <c r="Y31">
        <v>12</v>
      </c>
      <c r="Z31" t="s">
        <v>602</v>
      </c>
      <c r="AA31" t="s">
        <v>603</v>
      </c>
      <c r="AB31" t="s">
        <v>526</v>
      </c>
      <c r="AC31" t="s">
        <v>527</v>
      </c>
      <c r="AD31" t="s">
        <v>528</v>
      </c>
      <c r="AE31" t="s">
        <v>588</v>
      </c>
      <c r="AG31" t="s">
        <v>604</v>
      </c>
      <c r="AH31">
        <v>0</v>
      </c>
      <c r="AI31">
        <v>0</v>
      </c>
      <c r="AJ31">
        <v>0</v>
      </c>
      <c r="AK31">
        <v>575</v>
      </c>
      <c r="AL31">
        <v>1.1299999999999999</v>
      </c>
    </row>
    <row r="32" spans="1:38" x14ac:dyDescent="0.3">
      <c r="A32" t="s">
        <v>583</v>
      </c>
      <c r="B32">
        <v>17740</v>
      </c>
      <c r="C32">
        <v>1</v>
      </c>
      <c r="D32" t="s">
        <v>605</v>
      </c>
      <c r="E32" t="s">
        <v>606</v>
      </c>
      <c r="F32">
        <v>674</v>
      </c>
      <c r="G32">
        <v>24.82</v>
      </c>
      <c r="H32">
        <v>82.08</v>
      </c>
      <c r="I32">
        <v>18.14</v>
      </c>
      <c r="J32">
        <v>59.98</v>
      </c>
      <c r="K32">
        <v>107</v>
      </c>
      <c r="T32">
        <v>3</v>
      </c>
      <c r="U32">
        <v>2</v>
      </c>
      <c r="V32" t="s">
        <v>541</v>
      </c>
      <c r="W32">
        <v>82</v>
      </c>
      <c r="X32">
        <v>20</v>
      </c>
      <c r="Y32">
        <v>17</v>
      </c>
      <c r="Z32" t="s">
        <v>607</v>
      </c>
      <c r="AA32" t="s">
        <v>608</v>
      </c>
      <c r="AB32" t="s">
        <v>526</v>
      </c>
      <c r="AC32" t="s">
        <v>527</v>
      </c>
      <c r="AD32" t="s">
        <v>528</v>
      </c>
      <c r="AE32" t="s">
        <v>588</v>
      </c>
      <c r="AG32" t="s">
        <v>609</v>
      </c>
      <c r="AH32">
        <v>0</v>
      </c>
      <c r="AI32">
        <v>248</v>
      </c>
      <c r="AJ32">
        <v>18</v>
      </c>
      <c r="AK32">
        <v>786</v>
      </c>
      <c r="AL32">
        <v>1.17</v>
      </c>
    </row>
    <row r="33" spans="1:38" x14ac:dyDescent="0.3">
      <c r="A33" t="s">
        <v>583</v>
      </c>
      <c r="B33">
        <v>17740</v>
      </c>
      <c r="C33">
        <v>2</v>
      </c>
      <c r="D33" t="s">
        <v>605</v>
      </c>
      <c r="E33" t="s">
        <v>606</v>
      </c>
      <c r="F33">
        <v>674</v>
      </c>
      <c r="G33">
        <v>32.76</v>
      </c>
      <c r="H33">
        <v>108.33</v>
      </c>
      <c r="I33">
        <v>25.7</v>
      </c>
      <c r="J33">
        <v>84.98</v>
      </c>
      <c r="K33">
        <v>295</v>
      </c>
      <c r="T33">
        <v>3</v>
      </c>
      <c r="U33">
        <v>2</v>
      </c>
      <c r="V33" t="s">
        <v>541</v>
      </c>
      <c r="W33">
        <v>108</v>
      </c>
      <c r="X33">
        <v>20</v>
      </c>
      <c r="Y33">
        <v>17</v>
      </c>
      <c r="Z33" t="s">
        <v>607</v>
      </c>
      <c r="AA33" t="s">
        <v>608</v>
      </c>
      <c r="AB33" t="s">
        <v>526</v>
      </c>
      <c r="AC33" t="s">
        <v>527</v>
      </c>
      <c r="AD33" t="s">
        <v>528</v>
      </c>
      <c r="AE33" t="s">
        <v>588</v>
      </c>
      <c r="AG33" t="s">
        <v>609</v>
      </c>
      <c r="AH33">
        <v>0</v>
      </c>
      <c r="AI33">
        <v>248</v>
      </c>
      <c r="AJ33">
        <v>18</v>
      </c>
      <c r="AK33">
        <v>786</v>
      </c>
      <c r="AL33">
        <v>1.17</v>
      </c>
    </row>
    <row r="34" spans="1:38" x14ac:dyDescent="0.3">
      <c r="A34" t="s">
        <v>583</v>
      </c>
      <c r="B34">
        <v>17740</v>
      </c>
      <c r="C34">
        <v>3</v>
      </c>
      <c r="D34" t="s">
        <v>605</v>
      </c>
      <c r="E34" t="s">
        <v>606</v>
      </c>
      <c r="F34">
        <v>674</v>
      </c>
      <c r="G34">
        <v>38.64</v>
      </c>
      <c r="H34">
        <v>127.76</v>
      </c>
      <c r="I34">
        <v>31.39</v>
      </c>
      <c r="J34">
        <v>103.79</v>
      </c>
      <c r="K34">
        <v>154</v>
      </c>
      <c r="T34">
        <v>3</v>
      </c>
      <c r="U34">
        <v>2</v>
      </c>
      <c r="V34" t="s">
        <v>541</v>
      </c>
      <c r="W34">
        <v>127</v>
      </c>
      <c r="X34">
        <v>20</v>
      </c>
      <c r="Y34">
        <v>17</v>
      </c>
      <c r="Z34" t="s">
        <v>607</v>
      </c>
      <c r="AA34" t="s">
        <v>608</v>
      </c>
      <c r="AB34" t="s">
        <v>526</v>
      </c>
      <c r="AC34" t="s">
        <v>527</v>
      </c>
      <c r="AD34" t="s">
        <v>528</v>
      </c>
      <c r="AE34" t="s">
        <v>588</v>
      </c>
      <c r="AG34" t="s">
        <v>609</v>
      </c>
      <c r="AH34">
        <v>0</v>
      </c>
      <c r="AI34">
        <v>248</v>
      </c>
      <c r="AJ34">
        <v>18</v>
      </c>
      <c r="AK34">
        <v>786</v>
      </c>
      <c r="AL34">
        <v>1.17</v>
      </c>
    </row>
    <row r="35" spans="1:38" x14ac:dyDescent="0.3">
      <c r="A35" t="s">
        <v>583</v>
      </c>
      <c r="B35">
        <v>17740</v>
      </c>
      <c r="C35">
        <v>4</v>
      </c>
      <c r="D35" t="s">
        <v>605</v>
      </c>
      <c r="E35" t="s">
        <v>606</v>
      </c>
      <c r="F35">
        <v>674</v>
      </c>
      <c r="G35">
        <v>43.39</v>
      </c>
      <c r="H35">
        <v>143.44</v>
      </c>
      <c r="I35">
        <v>34.72</v>
      </c>
      <c r="J35">
        <v>114.78</v>
      </c>
      <c r="K35">
        <v>118</v>
      </c>
      <c r="T35">
        <v>4</v>
      </c>
      <c r="U35">
        <v>2</v>
      </c>
      <c r="V35" t="s">
        <v>541</v>
      </c>
      <c r="W35">
        <v>143</v>
      </c>
      <c r="X35">
        <v>20</v>
      </c>
      <c r="Y35">
        <v>17</v>
      </c>
      <c r="Z35" t="s">
        <v>607</v>
      </c>
      <c r="AA35" t="s">
        <v>608</v>
      </c>
      <c r="AB35" t="s">
        <v>526</v>
      </c>
      <c r="AC35" t="s">
        <v>527</v>
      </c>
      <c r="AD35" t="s">
        <v>528</v>
      </c>
      <c r="AE35" t="s">
        <v>588</v>
      </c>
      <c r="AG35" t="s">
        <v>609</v>
      </c>
      <c r="AH35">
        <v>0</v>
      </c>
      <c r="AI35">
        <v>248</v>
      </c>
      <c r="AJ35">
        <v>18</v>
      </c>
      <c r="AK35">
        <v>786</v>
      </c>
      <c r="AL35">
        <v>1.17</v>
      </c>
    </row>
    <row r="36" spans="1:38" x14ac:dyDescent="0.3">
      <c r="A36" t="s">
        <v>583</v>
      </c>
      <c r="B36">
        <v>15049</v>
      </c>
      <c r="C36">
        <v>1</v>
      </c>
      <c r="D36" t="s">
        <v>610</v>
      </c>
      <c r="E36" t="s">
        <v>554</v>
      </c>
      <c r="F36">
        <v>300</v>
      </c>
      <c r="G36">
        <v>21.42</v>
      </c>
      <c r="H36">
        <v>70.84</v>
      </c>
      <c r="I36">
        <v>17.850000000000001</v>
      </c>
      <c r="J36">
        <v>59.01</v>
      </c>
      <c r="K36">
        <v>300</v>
      </c>
      <c r="T36">
        <v>3</v>
      </c>
      <c r="U36">
        <v>1</v>
      </c>
      <c r="V36" t="s">
        <v>541</v>
      </c>
      <c r="W36">
        <v>70</v>
      </c>
      <c r="X36">
        <v>5</v>
      </c>
      <c r="Y36">
        <v>5</v>
      </c>
      <c r="Z36" t="s">
        <v>611</v>
      </c>
      <c r="AA36" t="s">
        <v>612</v>
      </c>
      <c r="AB36" t="s">
        <v>526</v>
      </c>
      <c r="AC36" t="s">
        <v>527</v>
      </c>
      <c r="AD36" t="s">
        <v>528</v>
      </c>
      <c r="AE36" t="s">
        <v>588</v>
      </c>
      <c r="AG36" t="s">
        <v>613</v>
      </c>
      <c r="AH36">
        <v>0</v>
      </c>
      <c r="AI36">
        <v>0</v>
      </c>
      <c r="AJ36">
        <v>0</v>
      </c>
      <c r="AK36">
        <v>0</v>
      </c>
      <c r="AL36">
        <v>0</v>
      </c>
    </row>
    <row r="37" spans="1:38" x14ac:dyDescent="0.3">
      <c r="A37" t="s">
        <v>583</v>
      </c>
      <c r="B37">
        <v>15059</v>
      </c>
      <c r="C37">
        <v>1</v>
      </c>
      <c r="D37" t="s">
        <v>614</v>
      </c>
      <c r="E37" t="s">
        <v>591</v>
      </c>
      <c r="F37">
        <v>444</v>
      </c>
      <c r="G37">
        <v>21.88</v>
      </c>
      <c r="H37">
        <v>72.36</v>
      </c>
      <c r="I37">
        <v>18.05</v>
      </c>
      <c r="J37">
        <v>59.69</v>
      </c>
      <c r="K37">
        <v>372</v>
      </c>
      <c r="T37">
        <v>3</v>
      </c>
      <c r="U37">
        <v>1</v>
      </c>
      <c r="V37" t="s">
        <v>541</v>
      </c>
      <c r="W37" t="s">
        <v>91</v>
      </c>
      <c r="X37">
        <v>6</v>
      </c>
      <c r="Y37">
        <v>6</v>
      </c>
      <c r="Z37" t="s">
        <v>615</v>
      </c>
      <c r="AA37" t="s">
        <v>616</v>
      </c>
      <c r="AB37" t="s">
        <v>526</v>
      </c>
      <c r="AC37" t="s">
        <v>527</v>
      </c>
      <c r="AD37" t="s">
        <v>528</v>
      </c>
      <c r="AE37" t="s">
        <v>588</v>
      </c>
      <c r="AG37" t="s">
        <v>617</v>
      </c>
      <c r="AH37">
        <v>0</v>
      </c>
      <c r="AI37">
        <v>0</v>
      </c>
      <c r="AJ37">
        <v>0</v>
      </c>
      <c r="AK37">
        <v>0</v>
      </c>
      <c r="AL37">
        <v>0</v>
      </c>
    </row>
    <row r="38" spans="1:38" x14ac:dyDescent="0.3">
      <c r="A38" t="s">
        <v>583</v>
      </c>
      <c r="B38">
        <v>15059</v>
      </c>
      <c r="C38">
        <v>2</v>
      </c>
      <c r="D38" t="s">
        <v>614</v>
      </c>
      <c r="E38" t="s">
        <v>591</v>
      </c>
      <c r="F38">
        <v>444</v>
      </c>
      <c r="G38">
        <v>21.92</v>
      </c>
      <c r="H38">
        <v>72.48</v>
      </c>
      <c r="I38">
        <v>18.079999999999998</v>
      </c>
      <c r="J38">
        <v>59.8</v>
      </c>
      <c r="K38">
        <v>72</v>
      </c>
      <c r="T38">
        <v>3</v>
      </c>
      <c r="U38">
        <v>1</v>
      </c>
      <c r="V38" t="s">
        <v>541</v>
      </c>
      <c r="W38" t="s">
        <v>92</v>
      </c>
      <c r="X38">
        <v>6</v>
      </c>
      <c r="Y38">
        <v>6</v>
      </c>
      <c r="Z38" t="s">
        <v>615</v>
      </c>
      <c r="AA38" t="s">
        <v>616</v>
      </c>
      <c r="AB38" t="s">
        <v>526</v>
      </c>
      <c r="AC38" t="s">
        <v>527</v>
      </c>
      <c r="AD38" t="s">
        <v>528</v>
      </c>
      <c r="AE38" t="s">
        <v>588</v>
      </c>
      <c r="AG38" t="s">
        <v>617</v>
      </c>
      <c r="AH38">
        <v>0</v>
      </c>
      <c r="AI38">
        <v>0</v>
      </c>
      <c r="AJ38">
        <v>0</v>
      </c>
      <c r="AK38">
        <v>0</v>
      </c>
      <c r="AL38">
        <v>0</v>
      </c>
    </row>
    <row r="39" spans="1:38" x14ac:dyDescent="0.3">
      <c r="A39" t="s">
        <v>583</v>
      </c>
      <c r="B39">
        <v>15055</v>
      </c>
      <c r="C39">
        <v>1</v>
      </c>
      <c r="D39" t="s">
        <v>618</v>
      </c>
      <c r="E39" t="s">
        <v>619</v>
      </c>
      <c r="F39">
        <v>176</v>
      </c>
      <c r="G39">
        <v>22.25</v>
      </c>
      <c r="H39">
        <v>73.569999999999993</v>
      </c>
      <c r="I39">
        <v>18.05</v>
      </c>
      <c r="J39">
        <v>59.7</v>
      </c>
      <c r="K39">
        <v>75</v>
      </c>
      <c r="T39">
        <v>3</v>
      </c>
      <c r="U39">
        <v>1</v>
      </c>
      <c r="V39" t="s">
        <v>541</v>
      </c>
      <c r="W39" t="s">
        <v>306</v>
      </c>
      <c r="X39">
        <v>15</v>
      </c>
      <c r="Y39">
        <v>11</v>
      </c>
      <c r="Z39" t="s">
        <v>620</v>
      </c>
      <c r="AA39" t="s">
        <v>621</v>
      </c>
      <c r="AB39" t="s">
        <v>526</v>
      </c>
      <c r="AC39" t="s">
        <v>527</v>
      </c>
      <c r="AD39" t="s">
        <v>528</v>
      </c>
      <c r="AE39" t="s">
        <v>588</v>
      </c>
      <c r="AG39" t="s">
        <v>622</v>
      </c>
      <c r="AH39">
        <v>0</v>
      </c>
      <c r="AI39">
        <v>300</v>
      </c>
      <c r="AJ39">
        <v>23</v>
      </c>
      <c r="AK39">
        <v>97</v>
      </c>
      <c r="AL39">
        <v>0.55000000000000004</v>
      </c>
    </row>
    <row r="40" spans="1:38" x14ac:dyDescent="0.3">
      <c r="A40" t="s">
        <v>583</v>
      </c>
      <c r="B40">
        <v>15055</v>
      </c>
      <c r="C40">
        <v>2</v>
      </c>
      <c r="D40" t="s">
        <v>618</v>
      </c>
      <c r="E40" t="s">
        <v>619</v>
      </c>
      <c r="F40">
        <v>176</v>
      </c>
      <c r="G40">
        <v>22.27</v>
      </c>
      <c r="H40">
        <v>73.650000000000006</v>
      </c>
      <c r="I40">
        <v>18.07</v>
      </c>
      <c r="J40">
        <v>59.76</v>
      </c>
      <c r="K40">
        <v>11</v>
      </c>
      <c r="T40">
        <v>3</v>
      </c>
      <c r="U40">
        <v>1</v>
      </c>
      <c r="V40" t="s">
        <v>541</v>
      </c>
      <c r="W40" t="s">
        <v>304</v>
      </c>
      <c r="X40">
        <v>15</v>
      </c>
      <c r="Y40">
        <v>11</v>
      </c>
      <c r="Z40" t="s">
        <v>620</v>
      </c>
      <c r="AA40" t="s">
        <v>621</v>
      </c>
      <c r="AB40" t="s">
        <v>526</v>
      </c>
      <c r="AC40" t="s">
        <v>527</v>
      </c>
      <c r="AD40" t="s">
        <v>528</v>
      </c>
      <c r="AE40" t="s">
        <v>588</v>
      </c>
      <c r="AG40" t="s">
        <v>622</v>
      </c>
      <c r="AH40">
        <v>0</v>
      </c>
      <c r="AI40">
        <v>300</v>
      </c>
      <c r="AJ40">
        <v>23</v>
      </c>
      <c r="AK40">
        <v>97</v>
      </c>
      <c r="AL40">
        <v>0.55000000000000004</v>
      </c>
    </row>
    <row r="41" spans="1:38" x14ac:dyDescent="0.3">
      <c r="A41" t="s">
        <v>583</v>
      </c>
      <c r="B41">
        <v>15055</v>
      </c>
      <c r="C41">
        <v>3</v>
      </c>
      <c r="D41" t="s">
        <v>618</v>
      </c>
      <c r="E41" t="s">
        <v>619</v>
      </c>
      <c r="F41">
        <v>176</v>
      </c>
      <c r="G41">
        <v>22.35</v>
      </c>
      <c r="H41">
        <v>73.89</v>
      </c>
      <c r="I41">
        <v>18.13</v>
      </c>
      <c r="J41">
        <v>59.96</v>
      </c>
      <c r="K41">
        <v>2</v>
      </c>
      <c r="T41">
        <v>3</v>
      </c>
      <c r="U41">
        <v>1</v>
      </c>
      <c r="V41" t="s">
        <v>541</v>
      </c>
      <c r="W41" t="s">
        <v>305</v>
      </c>
      <c r="X41">
        <v>15</v>
      </c>
      <c r="Y41">
        <v>11</v>
      </c>
      <c r="Z41" t="s">
        <v>620</v>
      </c>
      <c r="AA41" t="s">
        <v>621</v>
      </c>
      <c r="AB41" t="s">
        <v>526</v>
      </c>
      <c r="AC41" t="s">
        <v>527</v>
      </c>
      <c r="AD41" t="s">
        <v>528</v>
      </c>
      <c r="AE41" t="s">
        <v>588</v>
      </c>
      <c r="AG41" t="s">
        <v>622</v>
      </c>
      <c r="AH41">
        <v>0</v>
      </c>
      <c r="AI41">
        <v>300</v>
      </c>
      <c r="AJ41">
        <v>23</v>
      </c>
      <c r="AK41">
        <v>97</v>
      </c>
      <c r="AL41">
        <v>0.55000000000000004</v>
      </c>
    </row>
    <row r="42" spans="1:38" x14ac:dyDescent="0.3">
      <c r="A42" t="s">
        <v>583</v>
      </c>
      <c r="B42">
        <v>15055</v>
      </c>
      <c r="C42">
        <v>4</v>
      </c>
      <c r="D42" t="s">
        <v>618</v>
      </c>
      <c r="E42" t="s">
        <v>619</v>
      </c>
      <c r="F42">
        <v>176</v>
      </c>
      <c r="G42">
        <v>31.66</v>
      </c>
      <c r="H42">
        <v>104.67</v>
      </c>
      <c r="I42">
        <v>25.69</v>
      </c>
      <c r="J42">
        <v>84.93</v>
      </c>
      <c r="K42">
        <v>88</v>
      </c>
      <c r="T42">
        <v>3</v>
      </c>
      <c r="U42">
        <v>2</v>
      </c>
      <c r="V42" t="s">
        <v>541</v>
      </c>
      <c r="W42">
        <v>104</v>
      </c>
      <c r="X42">
        <v>15</v>
      </c>
      <c r="Y42">
        <v>11</v>
      </c>
      <c r="Z42" t="s">
        <v>620</v>
      </c>
      <c r="AA42" t="s">
        <v>621</v>
      </c>
      <c r="AB42" t="s">
        <v>526</v>
      </c>
      <c r="AC42" t="s">
        <v>527</v>
      </c>
      <c r="AD42" t="s">
        <v>528</v>
      </c>
      <c r="AE42" t="s">
        <v>588</v>
      </c>
      <c r="AG42" t="s">
        <v>622</v>
      </c>
      <c r="AH42">
        <v>0</v>
      </c>
      <c r="AI42">
        <v>300</v>
      </c>
      <c r="AJ42">
        <v>23</v>
      </c>
      <c r="AK42">
        <v>97</v>
      </c>
      <c r="AL42">
        <v>0.55000000000000004</v>
      </c>
    </row>
    <row r="43" spans="1:38" x14ac:dyDescent="0.3">
      <c r="A43" t="s">
        <v>583</v>
      </c>
      <c r="B43">
        <v>124792</v>
      </c>
      <c r="C43">
        <v>1</v>
      </c>
      <c r="D43" t="s">
        <v>623</v>
      </c>
      <c r="E43" t="s">
        <v>624</v>
      </c>
      <c r="F43">
        <v>19</v>
      </c>
      <c r="G43">
        <v>58.61</v>
      </c>
      <c r="H43">
        <v>193.78</v>
      </c>
      <c r="I43">
        <v>52.91</v>
      </c>
      <c r="J43">
        <v>174.91</v>
      </c>
      <c r="K43">
        <v>15</v>
      </c>
      <c r="T43">
        <v>4</v>
      </c>
      <c r="U43">
        <v>2</v>
      </c>
      <c r="V43" t="s">
        <v>541</v>
      </c>
      <c r="W43">
        <v>193</v>
      </c>
      <c r="X43">
        <v>6</v>
      </c>
      <c r="Y43">
        <v>5</v>
      </c>
      <c r="Z43" t="s">
        <v>625</v>
      </c>
      <c r="AA43" t="s">
        <v>626</v>
      </c>
      <c r="AB43" t="s">
        <v>526</v>
      </c>
      <c r="AC43" t="s">
        <v>527</v>
      </c>
      <c r="AD43" t="s">
        <v>528</v>
      </c>
      <c r="AE43" t="s">
        <v>588</v>
      </c>
      <c r="AG43" t="s">
        <v>627</v>
      </c>
      <c r="AH43">
        <v>0</v>
      </c>
      <c r="AI43">
        <v>194</v>
      </c>
      <c r="AJ43">
        <v>40</v>
      </c>
      <c r="AK43">
        <v>47</v>
      </c>
      <c r="AL43">
        <v>2.4700000000000002</v>
      </c>
    </row>
    <row r="44" spans="1:38" x14ac:dyDescent="0.3">
      <c r="A44" t="s">
        <v>583</v>
      </c>
      <c r="B44">
        <v>124792</v>
      </c>
      <c r="C44">
        <v>2</v>
      </c>
      <c r="D44" t="s">
        <v>623</v>
      </c>
      <c r="E44" t="s">
        <v>624</v>
      </c>
      <c r="F44">
        <v>19</v>
      </c>
      <c r="G44">
        <v>65.239999999999995</v>
      </c>
      <c r="H44">
        <v>215.69</v>
      </c>
      <c r="I44">
        <v>58.89</v>
      </c>
      <c r="J44">
        <v>194.68</v>
      </c>
      <c r="K44">
        <v>1</v>
      </c>
      <c r="T44">
        <v>5</v>
      </c>
      <c r="U44">
        <v>3</v>
      </c>
      <c r="V44" t="s">
        <v>541</v>
      </c>
      <c r="W44">
        <v>215</v>
      </c>
      <c r="X44">
        <v>6</v>
      </c>
      <c r="Y44">
        <v>5</v>
      </c>
      <c r="Z44" t="s">
        <v>625</v>
      </c>
      <c r="AA44" t="s">
        <v>626</v>
      </c>
      <c r="AB44" t="s">
        <v>526</v>
      </c>
      <c r="AC44" t="s">
        <v>527</v>
      </c>
      <c r="AD44" t="s">
        <v>528</v>
      </c>
      <c r="AE44" t="s">
        <v>588</v>
      </c>
      <c r="AG44" t="s">
        <v>627</v>
      </c>
      <c r="AH44">
        <v>0</v>
      </c>
      <c r="AI44">
        <v>194</v>
      </c>
      <c r="AJ44">
        <v>40</v>
      </c>
      <c r="AK44">
        <v>47</v>
      </c>
      <c r="AL44">
        <v>2.4700000000000002</v>
      </c>
    </row>
    <row r="45" spans="1:38" x14ac:dyDescent="0.3">
      <c r="A45" t="s">
        <v>583</v>
      </c>
      <c r="B45">
        <v>124792</v>
      </c>
      <c r="C45">
        <v>3</v>
      </c>
      <c r="D45" t="s">
        <v>623</v>
      </c>
      <c r="E45" t="s">
        <v>624</v>
      </c>
      <c r="F45">
        <v>19</v>
      </c>
      <c r="G45">
        <v>71.12</v>
      </c>
      <c r="H45">
        <v>235.13</v>
      </c>
      <c r="I45">
        <v>64.19</v>
      </c>
      <c r="J45">
        <v>212.23</v>
      </c>
      <c r="K45">
        <v>3</v>
      </c>
      <c r="T45">
        <v>5</v>
      </c>
      <c r="U45">
        <v>3</v>
      </c>
      <c r="V45" t="s">
        <v>541</v>
      </c>
      <c r="W45">
        <v>235</v>
      </c>
      <c r="X45">
        <v>6</v>
      </c>
      <c r="Y45">
        <v>5</v>
      </c>
      <c r="Z45" t="s">
        <v>625</v>
      </c>
      <c r="AA45" t="s">
        <v>626</v>
      </c>
      <c r="AB45" t="s">
        <v>526</v>
      </c>
      <c r="AC45" t="s">
        <v>527</v>
      </c>
      <c r="AD45" t="s">
        <v>528</v>
      </c>
      <c r="AE45" t="s">
        <v>588</v>
      </c>
      <c r="AG45" t="s">
        <v>627</v>
      </c>
      <c r="AH45">
        <v>0</v>
      </c>
      <c r="AI45">
        <v>194</v>
      </c>
      <c r="AJ45">
        <v>40</v>
      </c>
      <c r="AK45">
        <v>47</v>
      </c>
      <c r="AL45">
        <v>2.4700000000000002</v>
      </c>
    </row>
    <row r="46" spans="1:38" x14ac:dyDescent="0.3">
      <c r="A46" t="s">
        <v>583</v>
      </c>
      <c r="B46">
        <v>100160</v>
      </c>
      <c r="C46">
        <v>1</v>
      </c>
      <c r="D46" t="s">
        <v>628</v>
      </c>
      <c r="E46" t="s">
        <v>533</v>
      </c>
      <c r="F46">
        <v>709</v>
      </c>
      <c r="G46">
        <v>33.549999999999997</v>
      </c>
      <c r="H46">
        <v>110.93</v>
      </c>
      <c r="I46">
        <v>25.63</v>
      </c>
      <c r="J46">
        <v>84.75</v>
      </c>
      <c r="K46">
        <v>709</v>
      </c>
      <c r="T46">
        <v>3</v>
      </c>
      <c r="U46">
        <v>2</v>
      </c>
      <c r="V46" t="s">
        <v>541</v>
      </c>
      <c r="W46">
        <v>110</v>
      </c>
      <c r="X46">
        <v>18</v>
      </c>
      <c r="Y46">
        <v>11</v>
      </c>
      <c r="Z46" t="s">
        <v>629</v>
      </c>
      <c r="AA46" t="s">
        <v>630</v>
      </c>
      <c r="AB46" t="s">
        <v>526</v>
      </c>
      <c r="AC46" t="s">
        <v>527</v>
      </c>
      <c r="AD46" t="s">
        <v>528</v>
      </c>
      <c r="AE46" t="s">
        <v>588</v>
      </c>
      <c r="AG46" t="s">
        <v>631</v>
      </c>
      <c r="AH46">
        <v>0</v>
      </c>
      <c r="AI46">
        <v>226</v>
      </c>
      <c r="AJ46">
        <v>19</v>
      </c>
      <c r="AK46">
        <v>719</v>
      </c>
      <c r="AL46">
        <v>1.01</v>
      </c>
    </row>
    <row r="47" spans="1:38" x14ac:dyDescent="0.3">
      <c r="A47" t="s">
        <v>583</v>
      </c>
      <c r="B47">
        <v>100464</v>
      </c>
      <c r="C47">
        <v>1</v>
      </c>
      <c r="D47" t="s">
        <v>632</v>
      </c>
      <c r="E47" t="s">
        <v>601</v>
      </c>
      <c r="F47">
        <v>390</v>
      </c>
      <c r="G47">
        <v>23.36</v>
      </c>
      <c r="H47">
        <v>77.25</v>
      </c>
      <c r="I47">
        <v>17.96</v>
      </c>
      <c r="J47">
        <v>59.39</v>
      </c>
      <c r="K47">
        <v>240</v>
      </c>
      <c r="T47">
        <v>3</v>
      </c>
      <c r="U47">
        <v>1</v>
      </c>
      <c r="V47" t="s">
        <v>541</v>
      </c>
      <c r="W47">
        <v>77</v>
      </c>
      <c r="X47">
        <v>15</v>
      </c>
      <c r="Y47">
        <v>15</v>
      </c>
      <c r="Z47" t="s">
        <v>633</v>
      </c>
      <c r="AA47" t="s">
        <v>634</v>
      </c>
      <c r="AB47" t="s">
        <v>526</v>
      </c>
      <c r="AC47" t="s">
        <v>527</v>
      </c>
      <c r="AD47" t="s">
        <v>528</v>
      </c>
      <c r="AE47" t="s">
        <v>588</v>
      </c>
      <c r="AG47" t="s">
        <v>635</v>
      </c>
      <c r="AH47">
        <v>0</v>
      </c>
      <c r="AI47">
        <v>185</v>
      </c>
      <c r="AJ47">
        <v>15</v>
      </c>
      <c r="AK47">
        <v>342</v>
      </c>
      <c r="AL47">
        <v>0.88</v>
      </c>
    </row>
    <row r="48" spans="1:38" x14ac:dyDescent="0.3">
      <c r="A48" t="s">
        <v>583</v>
      </c>
      <c r="B48">
        <v>100464</v>
      </c>
      <c r="C48">
        <v>2</v>
      </c>
      <c r="D48" t="s">
        <v>632</v>
      </c>
      <c r="E48" t="s">
        <v>601</v>
      </c>
      <c r="F48">
        <v>390</v>
      </c>
      <c r="G48">
        <v>33.18</v>
      </c>
      <c r="H48">
        <v>109.7</v>
      </c>
      <c r="I48">
        <v>25.51</v>
      </c>
      <c r="J48">
        <v>84.34</v>
      </c>
      <c r="K48">
        <v>150</v>
      </c>
      <c r="T48">
        <v>3</v>
      </c>
      <c r="U48">
        <v>2</v>
      </c>
      <c r="V48" t="s">
        <v>541</v>
      </c>
      <c r="W48">
        <v>109</v>
      </c>
      <c r="X48">
        <v>15</v>
      </c>
      <c r="Y48">
        <v>15</v>
      </c>
      <c r="Z48" t="s">
        <v>633</v>
      </c>
      <c r="AA48" t="s">
        <v>634</v>
      </c>
      <c r="AB48" t="s">
        <v>526</v>
      </c>
      <c r="AC48" t="s">
        <v>527</v>
      </c>
      <c r="AD48" t="s">
        <v>528</v>
      </c>
      <c r="AE48" t="s">
        <v>588</v>
      </c>
      <c r="AG48" t="s">
        <v>635</v>
      </c>
      <c r="AH48">
        <v>0</v>
      </c>
      <c r="AI48">
        <v>185</v>
      </c>
      <c r="AJ48">
        <v>15</v>
      </c>
      <c r="AK48">
        <v>342</v>
      </c>
      <c r="AL48">
        <v>0.88</v>
      </c>
    </row>
    <row r="49" spans="1:38" x14ac:dyDescent="0.3">
      <c r="A49" t="s">
        <v>583</v>
      </c>
      <c r="B49">
        <v>15051</v>
      </c>
      <c r="C49">
        <v>1</v>
      </c>
      <c r="D49" t="s">
        <v>636</v>
      </c>
      <c r="E49" t="s">
        <v>637</v>
      </c>
      <c r="F49">
        <v>460</v>
      </c>
      <c r="G49">
        <v>20.57</v>
      </c>
      <c r="H49">
        <v>68.02</v>
      </c>
      <c r="I49">
        <v>18.13</v>
      </c>
      <c r="J49">
        <v>59.94</v>
      </c>
      <c r="K49">
        <v>460</v>
      </c>
      <c r="T49">
        <v>3</v>
      </c>
      <c r="U49">
        <v>1</v>
      </c>
      <c r="V49" t="s">
        <v>541</v>
      </c>
      <c r="W49">
        <v>68</v>
      </c>
      <c r="X49">
        <v>5</v>
      </c>
      <c r="Y49">
        <v>5</v>
      </c>
      <c r="Z49" t="s">
        <v>638</v>
      </c>
      <c r="AA49" t="s">
        <v>639</v>
      </c>
      <c r="AB49" t="s">
        <v>526</v>
      </c>
      <c r="AC49" t="s">
        <v>527</v>
      </c>
      <c r="AD49" t="s">
        <v>528</v>
      </c>
      <c r="AE49" t="s">
        <v>588</v>
      </c>
      <c r="AG49" t="s">
        <v>640</v>
      </c>
      <c r="AH49">
        <v>0</v>
      </c>
      <c r="AI49">
        <v>129</v>
      </c>
      <c r="AJ49">
        <v>32</v>
      </c>
      <c r="AK49">
        <v>0</v>
      </c>
      <c r="AL49">
        <v>0</v>
      </c>
    </row>
    <row r="50" spans="1:38" x14ac:dyDescent="0.3">
      <c r="A50" t="s">
        <v>583</v>
      </c>
      <c r="B50">
        <v>100458</v>
      </c>
      <c r="C50">
        <v>1</v>
      </c>
      <c r="D50" t="s">
        <v>641</v>
      </c>
      <c r="E50" t="s">
        <v>642</v>
      </c>
      <c r="F50">
        <v>561</v>
      </c>
      <c r="G50">
        <v>22.8</v>
      </c>
      <c r="H50">
        <v>75.400000000000006</v>
      </c>
      <c r="I50">
        <v>17.66</v>
      </c>
      <c r="J50">
        <v>58.4</v>
      </c>
      <c r="K50">
        <v>531</v>
      </c>
      <c r="T50">
        <v>2</v>
      </c>
      <c r="U50">
        <v>1</v>
      </c>
      <c r="V50" t="s">
        <v>541</v>
      </c>
      <c r="W50" t="s">
        <v>100</v>
      </c>
      <c r="X50">
        <v>19</v>
      </c>
      <c r="Y50">
        <v>15</v>
      </c>
      <c r="Z50" t="s">
        <v>643</v>
      </c>
      <c r="AA50" t="s">
        <v>644</v>
      </c>
      <c r="AB50" t="s">
        <v>526</v>
      </c>
      <c r="AC50" t="s">
        <v>527</v>
      </c>
      <c r="AD50" t="s">
        <v>528</v>
      </c>
      <c r="AE50" t="s">
        <v>588</v>
      </c>
      <c r="AG50" t="s">
        <v>645</v>
      </c>
      <c r="AH50">
        <v>0</v>
      </c>
      <c r="AI50">
        <v>230</v>
      </c>
      <c r="AJ50">
        <v>23</v>
      </c>
      <c r="AK50">
        <v>508</v>
      </c>
      <c r="AL50">
        <v>0.91</v>
      </c>
    </row>
    <row r="51" spans="1:38" x14ac:dyDescent="0.3">
      <c r="A51" t="s">
        <v>583</v>
      </c>
      <c r="B51">
        <v>100458</v>
      </c>
      <c r="C51">
        <v>2</v>
      </c>
      <c r="D51" t="s">
        <v>641</v>
      </c>
      <c r="E51" t="s">
        <v>642</v>
      </c>
      <c r="F51">
        <v>561</v>
      </c>
      <c r="G51">
        <v>22.82</v>
      </c>
      <c r="H51">
        <v>75.44</v>
      </c>
      <c r="I51">
        <v>17.670000000000002</v>
      </c>
      <c r="J51">
        <v>58.44</v>
      </c>
      <c r="K51">
        <v>30</v>
      </c>
      <c r="T51">
        <v>2</v>
      </c>
      <c r="U51">
        <v>1</v>
      </c>
      <c r="V51" t="s">
        <v>541</v>
      </c>
      <c r="W51" t="s">
        <v>101</v>
      </c>
      <c r="X51">
        <v>19</v>
      </c>
      <c r="Y51">
        <v>15</v>
      </c>
      <c r="Z51" t="s">
        <v>643</v>
      </c>
      <c r="AA51" t="s">
        <v>644</v>
      </c>
      <c r="AB51" t="s">
        <v>526</v>
      </c>
      <c r="AC51" t="s">
        <v>527</v>
      </c>
      <c r="AD51" t="s">
        <v>528</v>
      </c>
      <c r="AE51" t="s">
        <v>588</v>
      </c>
      <c r="AG51" t="s">
        <v>645</v>
      </c>
      <c r="AH51">
        <v>0</v>
      </c>
      <c r="AI51">
        <v>230</v>
      </c>
      <c r="AJ51">
        <v>23</v>
      </c>
      <c r="AK51">
        <v>508</v>
      </c>
      <c r="AL51">
        <v>0.91</v>
      </c>
    </row>
    <row r="52" spans="1:38" x14ac:dyDescent="0.3">
      <c r="A52" t="s">
        <v>583</v>
      </c>
      <c r="B52">
        <v>5304</v>
      </c>
      <c r="C52">
        <v>1</v>
      </c>
      <c r="D52" t="s">
        <v>646</v>
      </c>
      <c r="E52" t="s">
        <v>647</v>
      </c>
      <c r="F52">
        <v>349</v>
      </c>
      <c r="G52">
        <v>32.03</v>
      </c>
      <c r="H52">
        <v>105.89</v>
      </c>
      <c r="I52">
        <v>25.6</v>
      </c>
      <c r="J52">
        <v>84.64</v>
      </c>
      <c r="K52">
        <v>252</v>
      </c>
      <c r="T52">
        <v>3</v>
      </c>
      <c r="U52">
        <v>2</v>
      </c>
      <c r="V52" t="s">
        <v>541</v>
      </c>
      <c r="W52">
        <v>105</v>
      </c>
      <c r="X52">
        <v>13</v>
      </c>
      <c r="Y52">
        <v>10</v>
      </c>
      <c r="Z52" t="s">
        <v>648</v>
      </c>
      <c r="AA52" t="s">
        <v>649</v>
      </c>
      <c r="AB52" t="s">
        <v>526</v>
      </c>
      <c r="AC52" t="s">
        <v>527</v>
      </c>
      <c r="AD52" t="s">
        <v>528</v>
      </c>
      <c r="AE52" t="s">
        <v>588</v>
      </c>
      <c r="AG52" t="s">
        <v>650</v>
      </c>
      <c r="AH52">
        <v>0</v>
      </c>
      <c r="AI52">
        <v>197</v>
      </c>
      <c r="AJ52">
        <v>20</v>
      </c>
      <c r="AK52">
        <v>403</v>
      </c>
      <c r="AL52">
        <v>1.1499999999999999</v>
      </c>
    </row>
    <row r="53" spans="1:38" x14ac:dyDescent="0.3">
      <c r="A53" t="s">
        <v>583</v>
      </c>
      <c r="B53">
        <v>5304</v>
      </c>
      <c r="C53">
        <v>2</v>
      </c>
      <c r="D53" t="s">
        <v>646</v>
      </c>
      <c r="E53" t="s">
        <v>647</v>
      </c>
      <c r="F53">
        <v>349</v>
      </c>
      <c r="G53">
        <v>39.840000000000003</v>
      </c>
      <c r="H53">
        <v>131.71</v>
      </c>
      <c r="I53">
        <v>31.91</v>
      </c>
      <c r="J53">
        <v>105.49</v>
      </c>
      <c r="K53">
        <v>48</v>
      </c>
      <c r="T53">
        <v>4</v>
      </c>
      <c r="U53">
        <v>2</v>
      </c>
      <c r="V53" t="s">
        <v>541</v>
      </c>
      <c r="W53">
        <v>131</v>
      </c>
      <c r="X53">
        <v>13</v>
      </c>
      <c r="Y53">
        <v>10</v>
      </c>
      <c r="Z53" t="s">
        <v>648</v>
      </c>
      <c r="AA53" t="s">
        <v>649</v>
      </c>
      <c r="AB53" t="s">
        <v>526</v>
      </c>
      <c r="AC53" t="s">
        <v>527</v>
      </c>
      <c r="AD53" t="s">
        <v>528</v>
      </c>
      <c r="AE53" t="s">
        <v>588</v>
      </c>
      <c r="AG53" t="s">
        <v>650</v>
      </c>
      <c r="AH53">
        <v>0</v>
      </c>
      <c r="AI53">
        <v>197</v>
      </c>
      <c r="AJ53">
        <v>20</v>
      </c>
      <c r="AK53">
        <v>403</v>
      </c>
      <c r="AL53">
        <v>1.1499999999999999</v>
      </c>
    </row>
    <row r="54" spans="1:38" x14ac:dyDescent="0.3">
      <c r="A54" t="s">
        <v>583</v>
      </c>
      <c r="B54">
        <v>5304</v>
      </c>
      <c r="C54">
        <v>3</v>
      </c>
      <c r="D54" t="s">
        <v>646</v>
      </c>
      <c r="E54" t="s">
        <v>647</v>
      </c>
      <c r="F54">
        <v>349</v>
      </c>
      <c r="G54">
        <v>51.42</v>
      </c>
      <c r="H54">
        <v>170.01</v>
      </c>
      <c r="I54">
        <v>41.98</v>
      </c>
      <c r="J54">
        <v>138.78</v>
      </c>
      <c r="K54">
        <v>49</v>
      </c>
      <c r="T54">
        <v>4</v>
      </c>
      <c r="U54">
        <v>2</v>
      </c>
      <c r="V54" t="s">
        <v>541</v>
      </c>
      <c r="W54">
        <v>170</v>
      </c>
      <c r="X54">
        <v>13</v>
      </c>
      <c r="Y54">
        <v>10</v>
      </c>
      <c r="Z54" t="s">
        <v>648</v>
      </c>
      <c r="AA54" t="s">
        <v>649</v>
      </c>
      <c r="AB54" t="s">
        <v>526</v>
      </c>
      <c r="AC54" t="s">
        <v>527</v>
      </c>
      <c r="AD54" t="s">
        <v>528</v>
      </c>
      <c r="AE54" t="s">
        <v>588</v>
      </c>
      <c r="AG54" t="s">
        <v>650</v>
      </c>
      <c r="AH54">
        <v>0</v>
      </c>
      <c r="AI54">
        <v>197</v>
      </c>
      <c r="AJ54">
        <v>20</v>
      </c>
      <c r="AK54">
        <v>403</v>
      </c>
      <c r="AL54">
        <v>1.1499999999999999</v>
      </c>
    </row>
    <row r="55" spans="1:38" x14ac:dyDescent="0.3">
      <c r="A55" t="s">
        <v>583</v>
      </c>
      <c r="B55">
        <v>103776</v>
      </c>
      <c r="C55">
        <v>1</v>
      </c>
      <c r="D55" t="s">
        <v>651</v>
      </c>
      <c r="E55" t="s">
        <v>652</v>
      </c>
      <c r="F55">
        <v>480</v>
      </c>
      <c r="G55">
        <v>18.420000000000002</v>
      </c>
      <c r="H55">
        <v>60.9</v>
      </c>
      <c r="I55">
        <v>16.71</v>
      </c>
      <c r="J55">
        <v>55.26</v>
      </c>
      <c r="K55">
        <v>480</v>
      </c>
      <c r="T55">
        <v>2</v>
      </c>
      <c r="U55">
        <v>1</v>
      </c>
      <c r="V55" t="s">
        <v>541</v>
      </c>
      <c r="W55">
        <v>60</v>
      </c>
      <c r="X55">
        <v>5</v>
      </c>
      <c r="Y55">
        <v>5</v>
      </c>
      <c r="Z55" t="s">
        <v>653</v>
      </c>
      <c r="AA55" t="s">
        <v>654</v>
      </c>
      <c r="AB55" t="s">
        <v>526</v>
      </c>
      <c r="AC55" t="s">
        <v>527</v>
      </c>
      <c r="AD55" t="s">
        <v>528</v>
      </c>
      <c r="AE55" t="s">
        <v>588</v>
      </c>
      <c r="AG55" t="s">
        <v>655</v>
      </c>
      <c r="AH55">
        <v>0</v>
      </c>
      <c r="AI55">
        <v>0</v>
      </c>
      <c r="AJ55">
        <v>0</v>
      </c>
      <c r="AK55">
        <v>0</v>
      </c>
      <c r="AL55">
        <v>0</v>
      </c>
    </row>
    <row r="56" spans="1:38" x14ac:dyDescent="0.3">
      <c r="A56" t="s">
        <v>583</v>
      </c>
      <c r="B56">
        <v>5307</v>
      </c>
      <c r="C56">
        <v>1</v>
      </c>
      <c r="D56" t="s">
        <v>656</v>
      </c>
      <c r="E56" t="s">
        <v>657</v>
      </c>
      <c r="F56">
        <v>540</v>
      </c>
      <c r="G56">
        <v>23.43</v>
      </c>
      <c r="H56">
        <v>77.459999999999994</v>
      </c>
      <c r="I56">
        <v>18.13</v>
      </c>
      <c r="J56">
        <v>59.94</v>
      </c>
      <c r="K56">
        <v>360</v>
      </c>
      <c r="T56">
        <v>3</v>
      </c>
      <c r="U56">
        <v>1</v>
      </c>
      <c r="V56" t="s">
        <v>541</v>
      </c>
      <c r="W56">
        <v>77</v>
      </c>
      <c r="X56">
        <v>15</v>
      </c>
      <c r="Y56">
        <v>15</v>
      </c>
      <c r="Z56" t="s">
        <v>658</v>
      </c>
      <c r="AA56" t="s">
        <v>659</v>
      </c>
      <c r="AB56" t="s">
        <v>526</v>
      </c>
      <c r="AC56" t="s">
        <v>527</v>
      </c>
      <c r="AD56" t="s">
        <v>528</v>
      </c>
      <c r="AE56" t="s">
        <v>588</v>
      </c>
      <c r="AG56" t="s">
        <v>660</v>
      </c>
      <c r="AH56">
        <v>0</v>
      </c>
      <c r="AI56">
        <v>0</v>
      </c>
      <c r="AJ56">
        <v>0</v>
      </c>
      <c r="AK56">
        <v>434</v>
      </c>
      <c r="AL56">
        <v>0.8</v>
      </c>
    </row>
    <row r="57" spans="1:38" x14ac:dyDescent="0.3">
      <c r="A57" t="s">
        <v>583</v>
      </c>
      <c r="B57">
        <v>5307</v>
      </c>
      <c r="C57">
        <v>2</v>
      </c>
      <c r="D57" t="s">
        <v>656</v>
      </c>
      <c r="E57" t="s">
        <v>657</v>
      </c>
      <c r="F57">
        <v>540</v>
      </c>
      <c r="G57">
        <v>31.69</v>
      </c>
      <c r="H57">
        <v>104.78</v>
      </c>
      <c r="I57">
        <v>25.67</v>
      </c>
      <c r="J57">
        <v>84.87</v>
      </c>
      <c r="K57">
        <v>180</v>
      </c>
      <c r="T57">
        <v>3</v>
      </c>
      <c r="U57">
        <v>2</v>
      </c>
      <c r="V57" t="s">
        <v>541</v>
      </c>
      <c r="W57">
        <v>104</v>
      </c>
      <c r="X57">
        <v>15</v>
      </c>
      <c r="Y57">
        <v>15</v>
      </c>
      <c r="Z57" t="s">
        <v>658</v>
      </c>
      <c r="AA57" t="s">
        <v>659</v>
      </c>
      <c r="AB57" t="s">
        <v>526</v>
      </c>
      <c r="AC57" t="s">
        <v>527</v>
      </c>
      <c r="AD57" t="s">
        <v>528</v>
      </c>
      <c r="AE57" t="s">
        <v>588</v>
      </c>
      <c r="AG57" t="s">
        <v>660</v>
      </c>
      <c r="AH57">
        <v>0</v>
      </c>
      <c r="AI57">
        <v>0</v>
      </c>
      <c r="AJ57">
        <v>0</v>
      </c>
      <c r="AK57">
        <v>434</v>
      </c>
      <c r="AL57">
        <v>0.8</v>
      </c>
    </row>
    <row r="58" spans="1:38" x14ac:dyDescent="0.3">
      <c r="A58" t="s">
        <v>583</v>
      </c>
      <c r="B58">
        <v>5364</v>
      </c>
      <c r="C58">
        <v>1</v>
      </c>
      <c r="D58" t="s">
        <v>661</v>
      </c>
      <c r="E58" t="s">
        <v>662</v>
      </c>
      <c r="F58">
        <v>488</v>
      </c>
      <c r="G58">
        <v>36.92</v>
      </c>
      <c r="H58">
        <v>122.06</v>
      </c>
      <c r="I58">
        <v>30.73</v>
      </c>
      <c r="J58">
        <v>101.61</v>
      </c>
      <c r="K58">
        <v>269</v>
      </c>
      <c r="T58">
        <v>4</v>
      </c>
      <c r="U58">
        <v>2</v>
      </c>
      <c r="V58" t="s">
        <v>541</v>
      </c>
      <c r="W58">
        <v>122</v>
      </c>
      <c r="X58">
        <v>15</v>
      </c>
      <c r="Y58">
        <v>10</v>
      </c>
      <c r="Z58" t="s">
        <v>663</v>
      </c>
      <c r="AA58" t="s">
        <v>664</v>
      </c>
      <c r="AB58" t="s">
        <v>526</v>
      </c>
      <c r="AC58" t="s">
        <v>527</v>
      </c>
      <c r="AD58" t="s">
        <v>528</v>
      </c>
      <c r="AE58" t="s">
        <v>588</v>
      </c>
      <c r="AG58" t="s">
        <v>665</v>
      </c>
      <c r="AH58">
        <v>0</v>
      </c>
      <c r="AI58">
        <v>0</v>
      </c>
      <c r="AJ58">
        <v>0</v>
      </c>
      <c r="AK58">
        <v>486</v>
      </c>
      <c r="AL58">
        <v>1</v>
      </c>
    </row>
    <row r="59" spans="1:38" x14ac:dyDescent="0.3">
      <c r="A59" t="s">
        <v>583</v>
      </c>
      <c r="B59">
        <v>5364</v>
      </c>
      <c r="C59">
        <v>2</v>
      </c>
      <c r="D59" t="s">
        <v>661</v>
      </c>
      <c r="E59" t="s">
        <v>662</v>
      </c>
      <c r="F59">
        <v>488</v>
      </c>
      <c r="G59">
        <v>41.83</v>
      </c>
      <c r="H59">
        <v>138.30000000000001</v>
      </c>
      <c r="I59">
        <v>35.299999999999997</v>
      </c>
      <c r="J59">
        <v>116.72</v>
      </c>
      <c r="K59">
        <v>15</v>
      </c>
      <c r="T59">
        <v>4</v>
      </c>
      <c r="U59">
        <v>2</v>
      </c>
      <c r="V59" t="s">
        <v>541</v>
      </c>
      <c r="W59">
        <v>138</v>
      </c>
      <c r="X59">
        <v>15</v>
      </c>
      <c r="Y59">
        <v>10</v>
      </c>
      <c r="Z59" t="s">
        <v>663</v>
      </c>
      <c r="AA59" t="s">
        <v>664</v>
      </c>
      <c r="AB59" t="s">
        <v>526</v>
      </c>
      <c r="AC59" t="s">
        <v>527</v>
      </c>
      <c r="AD59" t="s">
        <v>528</v>
      </c>
      <c r="AE59" t="s">
        <v>588</v>
      </c>
      <c r="AG59" t="s">
        <v>665</v>
      </c>
      <c r="AH59">
        <v>0</v>
      </c>
      <c r="AI59">
        <v>0</v>
      </c>
      <c r="AJ59">
        <v>0</v>
      </c>
      <c r="AK59">
        <v>486</v>
      </c>
      <c r="AL59">
        <v>1</v>
      </c>
    </row>
    <row r="60" spans="1:38" x14ac:dyDescent="0.3">
      <c r="A60" t="s">
        <v>583</v>
      </c>
      <c r="B60">
        <v>5364</v>
      </c>
      <c r="C60">
        <v>3</v>
      </c>
      <c r="D60" t="s">
        <v>661</v>
      </c>
      <c r="E60" t="s">
        <v>662</v>
      </c>
      <c r="F60">
        <v>488</v>
      </c>
      <c r="G60">
        <v>43.04</v>
      </c>
      <c r="H60">
        <v>142.31</v>
      </c>
      <c r="I60">
        <v>36.39</v>
      </c>
      <c r="J60">
        <v>120.31</v>
      </c>
      <c r="K60">
        <v>132</v>
      </c>
      <c r="T60">
        <v>4</v>
      </c>
      <c r="U60">
        <v>2</v>
      </c>
      <c r="V60" t="s">
        <v>541</v>
      </c>
      <c r="W60">
        <v>142</v>
      </c>
      <c r="X60">
        <v>15</v>
      </c>
      <c r="Y60">
        <v>10</v>
      </c>
      <c r="Z60" t="s">
        <v>663</v>
      </c>
      <c r="AA60" t="s">
        <v>664</v>
      </c>
      <c r="AB60" t="s">
        <v>526</v>
      </c>
      <c r="AC60" t="s">
        <v>527</v>
      </c>
      <c r="AD60" t="s">
        <v>528</v>
      </c>
      <c r="AE60" t="s">
        <v>588</v>
      </c>
      <c r="AG60" t="s">
        <v>665</v>
      </c>
      <c r="AH60">
        <v>0</v>
      </c>
      <c r="AI60">
        <v>0</v>
      </c>
      <c r="AJ60">
        <v>0</v>
      </c>
      <c r="AK60">
        <v>486</v>
      </c>
      <c r="AL60">
        <v>1</v>
      </c>
    </row>
    <row r="61" spans="1:38" x14ac:dyDescent="0.3">
      <c r="A61" t="s">
        <v>583</v>
      </c>
      <c r="B61">
        <v>5364</v>
      </c>
      <c r="C61">
        <v>4</v>
      </c>
      <c r="D61" t="s">
        <v>661</v>
      </c>
      <c r="E61" t="s">
        <v>662</v>
      </c>
      <c r="F61">
        <v>488</v>
      </c>
      <c r="G61">
        <v>48.32</v>
      </c>
      <c r="H61">
        <v>159.76</v>
      </c>
      <c r="I61">
        <v>40.79</v>
      </c>
      <c r="J61">
        <v>134.86000000000001</v>
      </c>
      <c r="K61">
        <v>72</v>
      </c>
      <c r="T61">
        <v>4</v>
      </c>
      <c r="U61">
        <v>2</v>
      </c>
      <c r="V61" t="s">
        <v>541</v>
      </c>
      <c r="W61">
        <v>159</v>
      </c>
      <c r="X61">
        <v>15</v>
      </c>
      <c r="Y61">
        <v>10</v>
      </c>
      <c r="Z61" t="s">
        <v>663</v>
      </c>
      <c r="AA61" t="s">
        <v>664</v>
      </c>
      <c r="AB61" t="s">
        <v>526</v>
      </c>
      <c r="AC61" t="s">
        <v>527</v>
      </c>
      <c r="AD61" t="s">
        <v>528</v>
      </c>
      <c r="AE61" t="s">
        <v>588</v>
      </c>
      <c r="AG61" t="s">
        <v>665</v>
      </c>
      <c r="AH61">
        <v>0</v>
      </c>
      <c r="AI61">
        <v>0</v>
      </c>
      <c r="AJ61">
        <v>0</v>
      </c>
      <c r="AK61">
        <v>486</v>
      </c>
      <c r="AL61">
        <v>1</v>
      </c>
    </row>
    <row r="62" spans="1:38" x14ac:dyDescent="0.3">
      <c r="A62" t="s">
        <v>583</v>
      </c>
      <c r="B62">
        <v>15061</v>
      </c>
      <c r="C62">
        <v>1</v>
      </c>
      <c r="D62" t="s">
        <v>666</v>
      </c>
      <c r="E62" t="s">
        <v>667</v>
      </c>
      <c r="F62">
        <v>500</v>
      </c>
      <c r="G62">
        <v>14.96</v>
      </c>
      <c r="H62">
        <v>49.48</v>
      </c>
      <c r="I62">
        <v>11.88</v>
      </c>
      <c r="J62">
        <v>39.299999999999997</v>
      </c>
      <c r="K62">
        <v>190</v>
      </c>
      <c r="T62">
        <v>2</v>
      </c>
      <c r="U62">
        <v>1</v>
      </c>
      <c r="V62" t="s">
        <v>541</v>
      </c>
      <c r="W62" t="s">
        <v>114</v>
      </c>
      <c r="X62">
        <v>5</v>
      </c>
      <c r="Y62">
        <v>5</v>
      </c>
      <c r="Z62" t="s">
        <v>668</v>
      </c>
      <c r="AA62" t="s">
        <v>669</v>
      </c>
      <c r="AB62" t="s">
        <v>526</v>
      </c>
      <c r="AC62" t="s">
        <v>527</v>
      </c>
      <c r="AD62" t="s">
        <v>528</v>
      </c>
      <c r="AE62" t="s">
        <v>588</v>
      </c>
      <c r="AG62" t="s">
        <v>670</v>
      </c>
      <c r="AH62">
        <v>0</v>
      </c>
      <c r="AI62">
        <v>0</v>
      </c>
      <c r="AJ62">
        <v>0</v>
      </c>
      <c r="AK62">
        <v>0</v>
      </c>
      <c r="AL62">
        <v>0</v>
      </c>
    </row>
    <row r="63" spans="1:38" x14ac:dyDescent="0.3">
      <c r="A63" t="s">
        <v>583</v>
      </c>
      <c r="B63">
        <v>15061</v>
      </c>
      <c r="C63">
        <v>2</v>
      </c>
      <c r="D63" t="s">
        <v>666</v>
      </c>
      <c r="E63" t="s">
        <v>667</v>
      </c>
      <c r="F63">
        <v>500</v>
      </c>
      <c r="G63">
        <v>15.09</v>
      </c>
      <c r="H63">
        <v>49.91</v>
      </c>
      <c r="I63">
        <v>12</v>
      </c>
      <c r="J63">
        <v>39.69</v>
      </c>
      <c r="K63">
        <v>170</v>
      </c>
      <c r="T63">
        <v>2</v>
      </c>
      <c r="U63">
        <v>1</v>
      </c>
      <c r="V63" t="s">
        <v>541</v>
      </c>
      <c r="W63" t="s">
        <v>115</v>
      </c>
      <c r="X63">
        <v>5</v>
      </c>
      <c r="Y63">
        <v>5</v>
      </c>
      <c r="Z63" t="s">
        <v>668</v>
      </c>
      <c r="AA63" t="s">
        <v>669</v>
      </c>
      <c r="AB63" t="s">
        <v>526</v>
      </c>
      <c r="AC63" t="s">
        <v>527</v>
      </c>
      <c r="AD63" t="s">
        <v>528</v>
      </c>
      <c r="AE63" t="s">
        <v>588</v>
      </c>
      <c r="AG63" t="s">
        <v>670</v>
      </c>
      <c r="AH63">
        <v>0</v>
      </c>
      <c r="AI63">
        <v>0</v>
      </c>
      <c r="AJ63">
        <v>0</v>
      </c>
      <c r="AK63">
        <v>0</v>
      </c>
      <c r="AL63">
        <v>0</v>
      </c>
    </row>
    <row r="64" spans="1:38" x14ac:dyDescent="0.3">
      <c r="A64" t="s">
        <v>583</v>
      </c>
      <c r="B64">
        <v>15061</v>
      </c>
      <c r="C64">
        <v>3</v>
      </c>
      <c r="D64" t="s">
        <v>666</v>
      </c>
      <c r="E64" t="s">
        <v>667</v>
      </c>
      <c r="F64">
        <v>500</v>
      </c>
      <c r="G64">
        <v>17.41</v>
      </c>
      <c r="H64">
        <v>57.57</v>
      </c>
      <c r="I64">
        <v>14.12</v>
      </c>
      <c r="J64">
        <v>46.68</v>
      </c>
      <c r="K64">
        <v>80</v>
      </c>
      <c r="T64">
        <v>3</v>
      </c>
      <c r="U64">
        <v>1</v>
      </c>
      <c r="V64" t="s">
        <v>541</v>
      </c>
      <c r="W64" t="s">
        <v>116</v>
      </c>
      <c r="X64">
        <v>5</v>
      </c>
      <c r="Y64">
        <v>5</v>
      </c>
      <c r="Z64" t="s">
        <v>668</v>
      </c>
      <c r="AA64" t="s">
        <v>669</v>
      </c>
      <c r="AB64" t="s">
        <v>526</v>
      </c>
      <c r="AC64" t="s">
        <v>527</v>
      </c>
      <c r="AD64" t="s">
        <v>528</v>
      </c>
      <c r="AE64" t="s">
        <v>588</v>
      </c>
      <c r="AG64" t="s">
        <v>670</v>
      </c>
      <c r="AH64">
        <v>0</v>
      </c>
      <c r="AI64">
        <v>0</v>
      </c>
      <c r="AJ64">
        <v>0</v>
      </c>
      <c r="AK64">
        <v>0</v>
      </c>
      <c r="AL64">
        <v>0</v>
      </c>
    </row>
    <row r="65" spans="1:38" x14ac:dyDescent="0.3">
      <c r="A65" t="s">
        <v>583</v>
      </c>
      <c r="B65">
        <v>15061</v>
      </c>
      <c r="C65">
        <v>4</v>
      </c>
      <c r="D65" t="s">
        <v>666</v>
      </c>
      <c r="E65" t="s">
        <v>667</v>
      </c>
      <c r="F65">
        <v>500</v>
      </c>
      <c r="G65">
        <v>17.52</v>
      </c>
      <c r="H65">
        <v>57.93</v>
      </c>
      <c r="I65">
        <v>14.22</v>
      </c>
      <c r="J65">
        <v>47.01</v>
      </c>
      <c r="K65">
        <v>60</v>
      </c>
      <c r="T65">
        <v>3</v>
      </c>
      <c r="U65">
        <v>1</v>
      </c>
      <c r="V65" t="s">
        <v>541</v>
      </c>
      <c r="W65" t="s">
        <v>117</v>
      </c>
      <c r="X65">
        <v>5</v>
      </c>
      <c r="Y65">
        <v>5</v>
      </c>
      <c r="Z65" t="s">
        <v>668</v>
      </c>
      <c r="AA65" t="s">
        <v>669</v>
      </c>
      <c r="AB65" t="s">
        <v>526</v>
      </c>
      <c r="AC65" t="s">
        <v>527</v>
      </c>
      <c r="AD65" t="s">
        <v>528</v>
      </c>
      <c r="AE65" t="s">
        <v>588</v>
      </c>
      <c r="AG65" t="s">
        <v>670</v>
      </c>
      <c r="AH65">
        <v>0</v>
      </c>
      <c r="AI65">
        <v>0</v>
      </c>
      <c r="AJ65">
        <v>0</v>
      </c>
      <c r="AK65">
        <v>0</v>
      </c>
      <c r="AL65">
        <v>0</v>
      </c>
    </row>
    <row r="66" spans="1:38" x14ac:dyDescent="0.3">
      <c r="A66" t="s">
        <v>583</v>
      </c>
      <c r="B66">
        <v>5329</v>
      </c>
      <c r="C66">
        <v>1</v>
      </c>
      <c r="D66" t="s">
        <v>671</v>
      </c>
      <c r="E66" t="s">
        <v>672</v>
      </c>
      <c r="F66">
        <v>145</v>
      </c>
      <c r="G66">
        <v>30.74</v>
      </c>
      <c r="H66">
        <v>101.64</v>
      </c>
      <c r="I66">
        <v>25.62</v>
      </c>
      <c r="J66">
        <v>84.72</v>
      </c>
      <c r="K66">
        <v>145</v>
      </c>
      <c r="T66">
        <v>3</v>
      </c>
      <c r="U66">
        <v>2</v>
      </c>
      <c r="V66" t="s">
        <v>541</v>
      </c>
      <c r="W66">
        <v>101</v>
      </c>
      <c r="X66">
        <v>15</v>
      </c>
      <c r="Y66">
        <v>11</v>
      </c>
      <c r="Z66" t="s">
        <v>673</v>
      </c>
      <c r="AA66" t="s">
        <v>674</v>
      </c>
      <c r="AB66" t="s">
        <v>526</v>
      </c>
      <c r="AC66" t="s">
        <v>527</v>
      </c>
      <c r="AD66" t="s">
        <v>528</v>
      </c>
      <c r="AE66" t="s">
        <v>588</v>
      </c>
      <c r="AG66" t="s">
        <v>675</v>
      </c>
      <c r="AH66">
        <v>0</v>
      </c>
      <c r="AI66">
        <v>215</v>
      </c>
      <c r="AJ66">
        <v>34</v>
      </c>
      <c r="AK66">
        <v>0</v>
      </c>
      <c r="AL66">
        <v>0</v>
      </c>
    </row>
    <row r="67" spans="1:38" x14ac:dyDescent="0.3">
      <c r="A67" t="s">
        <v>583</v>
      </c>
      <c r="B67">
        <v>5323</v>
      </c>
      <c r="C67">
        <v>1</v>
      </c>
      <c r="D67" t="s">
        <v>676</v>
      </c>
      <c r="E67" t="s">
        <v>677</v>
      </c>
      <c r="F67">
        <v>355</v>
      </c>
      <c r="G67">
        <v>41.99</v>
      </c>
      <c r="H67">
        <v>138.83000000000001</v>
      </c>
      <c r="I67">
        <v>36.18</v>
      </c>
      <c r="J67">
        <v>119.62</v>
      </c>
      <c r="K67">
        <v>78</v>
      </c>
      <c r="T67">
        <v>4</v>
      </c>
      <c r="U67">
        <v>2</v>
      </c>
      <c r="V67" t="s">
        <v>541</v>
      </c>
      <c r="W67">
        <v>138</v>
      </c>
      <c r="X67">
        <v>13</v>
      </c>
      <c r="Y67">
        <v>13</v>
      </c>
      <c r="Z67" t="s">
        <v>678</v>
      </c>
      <c r="AA67" t="s">
        <v>679</v>
      </c>
      <c r="AB67" t="s">
        <v>526</v>
      </c>
      <c r="AC67" t="s">
        <v>527</v>
      </c>
      <c r="AD67" t="s">
        <v>528</v>
      </c>
      <c r="AE67" t="s">
        <v>588</v>
      </c>
      <c r="AG67" t="s">
        <v>680</v>
      </c>
      <c r="AH67">
        <v>0</v>
      </c>
      <c r="AI67">
        <v>0</v>
      </c>
      <c r="AJ67">
        <v>0</v>
      </c>
      <c r="AK67">
        <v>0</v>
      </c>
      <c r="AL67">
        <v>0</v>
      </c>
    </row>
    <row r="68" spans="1:38" x14ac:dyDescent="0.3">
      <c r="A68" t="s">
        <v>583</v>
      </c>
      <c r="B68">
        <v>5323</v>
      </c>
      <c r="C68">
        <v>2</v>
      </c>
      <c r="D68" t="s">
        <v>676</v>
      </c>
      <c r="E68" t="s">
        <v>677</v>
      </c>
      <c r="F68">
        <v>355</v>
      </c>
      <c r="G68">
        <v>46.88</v>
      </c>
      <c r="H68">
        <v>154.97999999999999</v>
      </c>
      <c r="I68">
        <v>40.71</v>
      </c>
      <c r="J68">
        <v>134.59</v>
      </c>
      <c r="K68">
        <v>100</v>
      </c>
      <c r="T68">
        <v>4</v>
      </c>
      <c r="U68">
        <v>2</v>
      </c>
      <c r="V68" t="s">
        <v>541</v>
      </c>
      <c r="W68">
        <v>154</v>
      </c>
      <c r="X68">
        <v>13</v>
      </c>
      <c r="Y68">
        <v>13</v>
      </c>
      <c r="Z68" t="s">
        <v>678</v>
      </c>
      <c r="AA68" t="s">
        <v>679</v>
      </c>
      <c r="AB68" t="s">
        <v>526</v>
      </c>
      <c r="AC68" t="s">
        <v>527</v>
      </c>
      <c r="AD68" t="s">
        <v>528</v>
      </c>
      <c r="AE68" t="s">
        <v>588</v>
      </c>
      <c r="AG68" t="s">
        <v>680</v>
      </c>
      <c r="AH68">
        <v>0</v>
      </c>
      <c r="AI68">
        <v>0</v>
      </c>
      <c r="AJ68">
        <v>0</v>
      </c>
      <c r="AK68">
        <v>0</v>
      </c>
      <c r="AL68">
        <v>0</v>
      </c>
    </row>
    <row r="69" spans="1:38" x14ac:dyDescent="0.3">
      <c r="A69" t="s">
        <v>583</v>
      </c>
      <c r="B69">
        <v>5323</v>
      </c>
      <c r="C69">
        <v>3</v>
      </c>
      <c r="D69" t="s">
        <v>676</v>
      </c>
      <c r="E69" t="s">
        <v>677</v>
      </c>
      <c r="F69">
        <v>355</v>
      </c>
      <c r="G69">
        <v>49.23</v>
      </c>
      <c r="H69">
        <v>162.75</v>
      </c>
      <c r="I69">
        <v>42.89</v>
      </c>
      <c r="J69">
        <v>141.79</v>
      </c>
      <c r="K69">
        <v>177</v>
      </c>
      <c r="T69">
        <v>4</v>
      </c>
      <c r="U69">
        <v>2</v>
      </c>
      <c r="V69" t="s">
        <v>541</v>
      </c>
      <c r="W69">
        <v>162</v>
      </c>
      <c r="X69">
        <v>13</v>
      </c>
      <c r="Y69">
        <v>13</v>
      </c>
      <c r="Z69" t="s">
        <v>678</v>
      </c>
      <c r="AA69" t="s">
        <v>679</v>
      </c>
      <c r="AB69" t="s">
        <v>526</v>
      </c>
      <c r="AC69" t="s">
        <v>527</v>
      </c>
      <c r="AD69" t="s">
        <v>528</v>
      </c>
      <c r="AE69" t="s">
        <v>588</v>
      </c>
      <c r="AG69" t="s">
        <v>680</v>
      </c>
      <c r="AH69">
        <v>0</v>
      </c>
      <c r="AI69">
        <v>0</v>
      </c>
      <c r="AJ69">
        <v>0</v>
      </c>
      <c r="AK69">
        <v>0</v>
      </c>
      <c r="AL69">
        <v>0</v>
      </c>
    </row>
    <row r="70" spans="1:38" x14ac:dyDescent="0.3">
      <c r="A70" t="s">
        <v>583</v>
      </c>
      <c r="B70">
        <v>17089</v>
      </c>
      <c r="C70">
        <v>1</v>
      </c>
      <c r="D70" t="s">
        <v>681</v>
      </c>
      <c r="E70" t="s">
        <v>554</v>
      </c>
      <c r="F70">
        <v>150</v>
      </c>
      <c r="G70">
        <v>15.04</v>
      </c>
      <c r="H70">
        <v>49.75</v>
      </c>
      <c r="I70">
        <v>11.84</v>
      </c>
      <c r="J70">
        <v>39.15</v>
      </c>
      <c r="K70">
        <v>150</v>
      </c>
      <c r="T70">
        <v>2</v>
      </c>
      <c r="U70">
        <v>1</v>
      </c>
      <c r="V70" t="s">
        <v>541</v>
      </c>
      <c r="W70">
        <v>49</v>
      </c>
      <c r="X70">
        <v>5</v>
      </c>
      <c r="Y70">
        <v>5</v>
      </c>
      <c r="Z70" t="s">
        <v>682</v>
      </c>
      <c r="AA70" t="s">
        <v>683</v>
      </c>
      <c r="AB70" t="s">
        <v>526</v>
      </c>
      <c r="AC70" t="s">
        <v>527</v>
      </c>
      <c r="AD70" t="s">
        <v>528</v>
      </c>
      <c r="AE70" t="s">
        <v>588</v>
      </c>
      <c r="AG70" t="s">
        <v>684</v>
      </c>
      <c r="AH70">
        <v>0</v>
      </c>
      <c r="AI70">
        <v>0</v>
      </c>
      <c r="AJ70">
        <v>0</v>
      </c>
      <c r="AK70">
        <v>0</v>
      </c>
      <c r="AL70">
        <v>0</v>
      </c>
    </row>
    <row r="71" spans="1:38" x14ac:dyDescent="0.3">
      <c r="A71" t="s">
        <v>583</v>
      </c>
      <c r="B71">
        <v>15057</v>
      </c>
      <c r="C71">
        <v>1</v>
      </c>
      <c r="D71" t="s">
        <v>685</v>
      </c>
      <c r="E71" t="s">
        <v>686</v>
      </c>
      <c r="F71">
        <v>400</v>
      </c>
      <c r="G71">
        <v>11.96</v>
      </c>
      <c r="H71">
        <v>39.549999999999997</v>
      </c>
      <c r="I71">
        <v>9.1300000000000008</v>
      </c>
      <c r="J71">
        <v>30.21</v>
      </c>
      <c r="K71">
        <v>100</v>
      </c>
      <c r="T71">
        <v>1</v>
      </c>
      <c r="U71">
        <v>1</v>
      </c>
      <c r="V71" t="s">
        <v>541</v>
      </c>
      <c r="W71">
        <v>39</v>
      </c>
      <c r="X71">
        <v>5</v>
      </c>
      <c r="Y71">
        <v>5</v>
      </c>
      <c r="Z71" t="s">
        <v>687</v>
      </c>
      <c r="AA71" t="s">
        <v>688</v>
      </c>
      <c r="AB71" t="s">
        <v>526</v>
      </c>
      <c r="AC71" t="s">
        <v>527</v>
      </c>
      <c r="AD71" t="s">
        <v>528</v>
      </c>
      <c r="AE71" t="s">
        <v>588</v>
      </c>
      <c r="AG71" t="s">
        <v>689</v>
      </c>
      <c r="AH71">
        <v>0</v>
      </c>
      <c r="AI71">
        <v>0</v>
      </c>
      <c r="AJ71">
        <v>0</v>
      </c>
      <c r="AK71">
        <v>0</v>
      </c>
      <c r="AL71">
        <v>0</v>
      </c>
    </row>
    <row r="72" spans="1:38" x14ac:dyDescent="0.3">
      <c r="A72" t="s">
        <v>583</v>
      </c>
      <c r="B72">
        <v>15057</v>
      </c>
      <c r="C72">
        <v>2</v>
      </c>
      <c r="D72" t="s">
        <v>685</v>
      </c>
      <c r="E72" t="s">
        <v>686</v>
      </c>
      <c r="F72">
        <v>400</v>
      </c>
      <c r="G72">
        <v>15.06</v>
      </c>
      <c r="H72">
        <v>49.81</v>
      </c>
      <c r="I72">
        <v>11.87</v>
      </c>
      <c r="J72">
        <v>39.24</v>
      </c>
      <c r="K72">
        <v>100</v>
      </c>
      <c r="T72">
        <v>2</v>
      </c>
      <c r="U72">
        <v>1</v>
      </c>
      <c r="V72" t="s">
        <v>541</v>
      </c>
      <c r="W72">
        <v>49</v>
      </c>
      <c r="X72">
        <v>5</v>
      </c>
      <c r="Y72">
        <v>5</v>
      </c>
      <c r="Z72" t="s">
        <v>687</v>
      </c>
      <c r="AA72" t="s">
        <v>688</v>
      </c>
      <c r="AB72" t="s">
        <v>526</v>
      </c>
      <c r="AC72" t="s">
        <v>527</v>
      </c>
      <c r="AD72" t="s">
        <v>528</v>
      </c>
      <c r="AE72" t="s">
        <v>588</v>
      </c>
      <c r="AG72" t="s">
        <v>689</v>
      </c>
      <c r="AH72">
        <v>0</v>
      </c>
      <c r="AI72">
        <v>0</v>
      </c>
      <c r="AJ72">
        <v>0</v>
      </c>
      <c r="AK72">
        <v>0</v>
      </c>
      <c r="AL72">
        <v>0</v>
      </c>
    </row>
    <row r="73" spans="1:38" x14ac:dyDescent="0.3">
      <c r="A73" t="s">
        <v>583</v>
      </c>
      <c r="B73">
        <v>15057</v>
      </c>
      <c r="C73">
        <v>3</v>
      </c>
      <c r="D73" t="s">
        <v>685</v>
      </c>
      <c r="E73" t="s">
        <v>686</v>
      </c>
      <c r="F73">
        <v>400</v>
      </c>
      <c r="G73">
        <v>17.75</v>
      </c>
      <c r="H73">
        <v>58.69</v>
      </c>
      <c r="I73">
        <v>14.91</v>
      </c>
      <c r="J73">
        <v>49.31</v>
      </c>
      <c r="K73">
        <v>140</v>
      </c>
      <c r="T73">
        <v>2</v>
      </c>
      <c r="U73">
        <v>1</v>
      </c>
      <c r="V73" t="s">
        <v>541</v>
      </c>
      <c r="W73">
        <v>58</v>
      </c>
      <c r="X73">
        <v>5</v>
      </c>
      <c r="Y73">
        <v>5</v>
      </c>
      <c r="Z73" t="s">
        <v>687</v>
      </c>
      <c r="AA73" t="s">
        <v>688</v>
      </c>
      <c r="AB73" t="s">
        <v>526</v>
      </c>
      <c r="AC73" t="s">
        <v>527</v>
      </c>
      <c r="AD73" t="s">
        <v>528</v>
      </c>
      <c r="AE73" t="s">
        <v>588</v>
      </c>
      <c r="AG73" t="s">
        <v>689</v>
      </c>
      <c r="AH73">
        <v>0</v>
      </c>
      <c r="AI73">
        <v>0</v>
      </c>
      <c r="AJ73">
        <v>0</v>
      </c>
      <c r="AK73">
        <v>0</v>
      </c>
      <c r="AL73">
        <v>0</v>
      </c>
    </row>
    <row r="74" spans="1:38" x14ac:dyDescent="0.3">
      <c r="A74" t="s">
        <v>583</v>
      </c>
      <c r="B74">
        <v>15057</v>
      </c>
      <c r="C74">
        <v>4</v>
      </c>
      <c r="D74" t="s">
        <v>685</v>
      </c>
      <c r="E74" t="s">
        <v>686</v>
      </c>
      <c r="F74">
        <v>400</v>
      </c>
      <c r="G74">
        <v>21.19</v>
      </c>
      <c r="H74">
        <v>70.08</v>
      </c>
      <c r="I74">
        <v>18.100000000000001</v>
      </c>
      <c r="J74">
        <v>59.85</v>
      </c>
      <c r="K74">
        <v>60</v>
      </c>
      <c r="T74">
        <v>3</v>
      </c>
      <c r="U74">
        <v>1</v>
      </c>
      <c r="V74" t="s">
        <v>541</v>
      </c>
      <c r="W74">
        <v>70</v>
      </c>
      <c r="X74">
        <v>5</v>
      </c>
      <c r="Y74">
        <v>5</v>
      </c>
      <c r="Z74" t="s">
        <v>687</v>
      </c>
      <c r="AA74" t="s">
        <v>688</v>
      </c>
      <c r="AB74" t="s">
        <v>526</v>
      </c>
      <c r="AC74" t="s">
        <v>527</v>
      </c>
      <c r="AD74" t="s">
        <v>528</v>
      </c>
      <c r="AE74" t="s">
        <v>588</v>
      </c>
      <c r="AG74" t="s">
        <v>689</v>
      </c>
      <c r="AH74">
        <v>0</v>
      </c>
      <c r="AI74">
        <v>0</v>
      </c>
      <c r="AJ74">
        <v>0</v>
      </c>
      <c r="AK74">
        <v>0</v>
      </c>
      <c r="AL74">
        <v>0</v>
      </c>
    </row>
    <row r="75" spans="1:38" x14ac:dyDescent="0.3">
      <c r="A75" t="s">
        <v>583</v>
      </c>
      <c r="B75">
        <v>107456</v>
      </c>
      <c r="C75">
        <v>1</v>
      </c>
      <c r="D75" t="s">
        <v>690</v>
      </c>
      <c r="E75" t="s">
        <v>691</v>
      </c>
      <c r="F75">
        <v>702</v>
      </c>
      <c r="G75">
        <v>26.48</v>
      </c>
      <c r="H75">
        <v>87.56</v>
      </c>
      <c r="I75">
        <v>18.11</v>
      </c>
      <c r="J75">
        <v>59.9</v>
      </c>
      <c r="K75">
        <v>29</v>
      </c>
      <c r="T75">
        <v>3</v>
      </c>
      <c r="U75">
        <v>2</v>
      </c>
      <c r="V75" t="s">
        <v>541</v>
      </c>
      <c r="W75">
        <v>87</v>
      </c>
      <c r="X75">
        <v>15</v>
      </c>
      <c r="Y75">
        <v>9</v>
      </c>
      <c r="Z75" t="s">
        <v>692</v>
      </c>
      <c r="AA75" t="s">
        <v>693</v>
      </c>
      <c r="AB75" t="s">
        <v>526</v>
      </c>
      <c r="AC75" t="s">
        <v>527</v>
      </c>
      <c r="AD75" t="s">
        <v>528</v>
      </c>
      <c r="AE75" t="s">
        <v>588</v>
      </c>
      <c r="AG75" t="s">
        <v>694</v>
      </c>
      <c r="AH75">
        <v>0</v>
      </c>
      <c r="AI75">
        <v>231</v>
      </c>
      <c r="AJ75">
        <v>23</v>
      </c>
      <c r="AK75">
        <v>951</v>
      </c>
      <c r="AL75">
        <v>1.35</v>
      </c>
    </row>
    <row r="76" spans="1:38" x14ac:dyDescent="0.3">
      <c r="A76" t="s">
        <v>583</v>
      </c>
      <c r="B76">
        <v>107456</v>
      </c>
      <c r="C76">
        <v>2</v>
      </c>
      <c r="D76" t="s">
        <v>690</v>
      </c>
      <c r="E76" t="s">
        <v>691</v>
      </c>
      <c r="F76">
        <v>702</v>
      </c>
      <c r="G76">
        <v>33.04</v>
      </c>
      <c r="H76">
        <v>109.23</v>
      </c>
      <c r="I76">
        <v>25.7</v>
      </c>
      <c r="J76">
        <v>84.98</v>
      </c>
      <c r="K76">
        <v>286</v>
      </c>
      <c r="T76">
        <v>3</v>
      </c>
      <c r="U76">
        <v>2</v>
      </c>
      <c r="V76" t="s">
        <v>541</v>
      </c>
      <c r="W76" t="s">
        <v>124</v>
      </c>
      <c r="X76">
        <v>15</v>
      </c>
      <c r="Y76">
        <v>9</v>
      </c>
      <c r="Z76" t="s">
        <v>692</v>
      </c>
      <c r="AA76" t="s">
        <v>693</v>
      </c>
      <c r="AB76" t="s">
        <v>526</v>
      </c>
      <c r="AC76" t="s">
        <v>527</v>
      </c>
      <c r="AD76" t="s">
        <v>528</v>
      </c>
      <c r="AE76" t="s">
        <v>588</v>
      </c>
      <c r="AG76" t="s">
        <v>694</v>
      </c>
      <c r="AH76">
        <v>0</v>
      </c>
      <c r="AI76">
        <v>231</v>
      </c>
      <c r="AJ76">
        <v>23</v>
      </c>
      <c r="AK76">
        <v>951</v>
      </c>
      <c r="AL76">
        <v>1.35</v>
      </c>
    </row>
    <row r="77" spans="1:38" x14ac:dyDescent="0.3">
      <c r="A77" t="s">
        <v>583</v>
      </c>
      <c r="B77">
        <v>107456</v>
      </c>
      <c r="C77">
        <v>3</v>
      </c>
      <c r="D77" t="s">
        <v>690</v>
      </c>
      <c r="E77" t="s">
        <v>691</v>
      </c>
      <c r="F77">
        <v>702</v>
      </c>
      <c r="G77">
        <v>33.35</v>
      </c>
      <c r="H77">
        <v>110.26</v>
      </c>
      <c r="I77">
        <v>25.67</v>
      </c>
      <c r="J77">
        <v>84.88</v>
      </c>
      <c r="K77">
        <v>15</v>
      </c>
      <c r="T77">
        <v>3</v>
      </c>
      <c r="U77">
        <v>2</v>
      </c>
      <c r="V77" t="s">
        <v>541</v>
      </c>
      <c r="W77" t="s">
        <v>125</v>
      </c>
      <c r="X77">
        <v>15</v>
      </c>
      <c r="Y77">
        <v>9</v>
      </c>
      <c r="Z77" t="s">
        <v>692</v>
      </c>
      <c r="AA77" t="s">
        <v>693</v>
      </c>
      <c r="AB77" t="s">
        <v>526</v>
      </c>
      <c r="AC77" t="s">
        <v>527</v>
      </c>
      <c r="AD77" t="s">
        <v>528</v>
      </c>
      <c r="AE77" t="s">
        <v>588</v>
      </c>
      <c r="AG77" t="s">
        <v>694</v>
      </c>
      <c r="AH77">
        <v>0</v>
      </c>
      <c r="AI77">
        <v>231</v>
      </c>
      <c r="AJ77">
        <v>23</v>
      </c>
      <c r="AK77">
        <v>951</v>
      </c>
      <c r="AL77">
        <v>1.35</v>
      </c>
    </row>
    <row r="78" spans="1:38" x14ac:dyDescent="0.3">
      <c r="A78" t="s">
        <v>583</v>
      </c>
      <c r="B78">
        <v>107456</v>
      </c>
      <c r="C78">
        <v>4</v>
      </c>
      <c r="D78" t="s">
        <v>690</v>
      </c>
      <c r="E78" t="s">
        <v>691</v>
      </c>
      <c r="F78">
        <v>702</v>
      </c>
      <c r="G78">
        <v>33.81</v>
      </c>
      <c r="H78">
        <v>111.77</v>
      </c>
      <c r="I78">
        <v>25.69</v>
      </c>
      <c r="J78">
        <v>84.94</v>
      </c>
      <c r="K78">
        <v>60</v>
      </c>
      <c r="T78">
        <v>3</v>
      </c>
      <c r="U78">
        <v>2</v>
      </c>
      <c r="V78" t="s">
        <v>541</v>
      </c>
      <c r="W78" t="s">
        <v>126</v>
      </c>
      <c r="X78">
        <v>15</v>
      </c>
      <c r="Y78">
        <v>9</v>
      </c>
      <c r="Z78" t="s">
        <v>692</v>
      </c>
      <c r="AA78" t="s">
        <v>693</v>
      </c>
      <c r="AB78" t="s">
        <v>526</v>
      </c>
      <c r="AC78" t="s">
        <v>527</v>
      </c>
      <c r="AD78" t="s">
        <v>528</v>
      </c>
      <c r="AE78" t="s">
        <v>588</v>
      </c>
      <c r="AG78" t="s">
        <v>694</v>
      </c>
      <c r="AH78">
        <v>0</v>
      </c>
      <c r="AI78">
        <v>231</v>
      </c>
      <c r="AJ78">
        <v>23</v>
      </c>
      <c r="AK78">
        <v>951</v>
      </c>
      <c r="AL78">
        <v>1.35</v>
      </c>
    </row>
    <row r="79" spans="1:38" x14ac:dyDescent="0.3">
      <c r="A79" t="s">
        <v>583</v>
      </c>
      <c r="B79">
        <v>107456</v>
      </c>
      <c r="C79">
        <v>5</v>
      </c>
      <c r="D79" t="s">
        <v>690</v>
      </c>
      <c r="E79" t="s">
        <v>691</v>
      </c>
      <c r="F79">
        <v>702</v>
      </c>
      <c r="G79">
        <v>33.67</v>
      </c>
      <c r="H79">
        <v>111.31</v>
      </c>
      <c r="I79">
        <v>25.7</v>
      </c>
      <c r="J79">
        <v>84.97</v>
      </c>
      <c r="K79">
        <v>60</v>
      </c>
      <c r="T79">
        <v>3</v>
      </c>
      <c r="U79">
        <v>2</v>
      </c>
      <c r="V79" t="s">
        <v>541</v>
      </c>
      <c r="W79" t="s">
        <v>127</v>
      </c>
      <c r="X79">
        <v>15</v>
      </c>
      <c r="Y79">
        <v>9</v>
      </c>
      <c r="Z79" t="s">
        <v>692</v>
      </c>
      <c r="AA79" t="s">
        <v>693</v>
      </c>
      <c r="AB79" t="s">
        <v>526</v>
      </c>
      <c r="AC79" t="s">
        <v>527</v>
      </c>
      <c r="AD79" t="s">
        <v>528</v>
      </c>
      <c r="AE79" t="s">
        <v>588</v>
      </c>
      <c r="AG79" t="s">
        <v>694</v>
      </c>
      <c r="AH79">
        <v>0</v>
      </c>
      <c r="AI79">
        <v>231</v>
      </c>
      <c r="AJ79">
        <v>23</v>
      </c>
      <c r="AK79">
        <v>951</v>
      </c>
      <c r="AL79">
        <v>1.35</v>
      </c>
    </row>
    <row r="80" spans="1:38" x14ac:dyDescent="0.3">
      <c r="A80" t="s">
        <v>583</v>
      </c>
      <c r="B80">
        <v>107456</v>
      </c>
      <c r="C80">
        <v>6</v>
      </c>
      <c r="D80" t="s">
        <v>690</v>
      </c>
      <c r="E80" t="s">
        <v>691</v>
      </c>
      <c r="F80">
        <v>702</v>
      </c>
      <c r="G80">
        <v>34.69</v>
      </c>
      <c r="H80">
        <v>114.68</v>
      </c>
      <c r="I80">
        <v>25.66</v>
      </c>
      <c r="J80">
        <v>84.84</v>
      </c>
      <c r="K80">
        <v>179</v>
      </c>
      <c r="T80">
        <v>3</v>
      </c>
      <c r="U80">
        <v>2</v>
      </c>
      <c r="V80" t="s">
        <v>541</v>
      </c>
      <c r="W80" t="s">
        <v>128</v>
      </c>
      <c r="X80">
        <v>15</v>
      </c>
      <c r="Y80">
        <v>9</v>
      </c>
      <c r="Z80" t="s">
        <v>692</v>
      </c>
      <c r="AA80" t="s">
        <v>693</v>
      </c>
      <c r="AB80" t="s">
        <v>526</v>
      </c>
      <c r="AC80" t="s">
        <v>527</v>
      </c>
      <c r="AD80" t="s">
        <v>528</v>
      </c>
      <c r="AE80" t="s">
        <v>588</v>
      </c>
      <c r="AG80" t="s">
        <v>694</v>
      </c>
      <c r="AH80">
        <v>0</v>
      </c>
      <c r="AI80">
        <v>231</v>
      </c>
      <c r="AJ80">
        <v>23</v>
      </c>
      <c r="AK80">
        <v>951</v>
      </c>
      <c r="AL80">
        <v>1.35</v>
      </c>
    </row>
    <row r="81" spans="1:38" x14ac:dyDescent="0.3">
      <c r="A81" t="s">
        <v>583</v>
      </c>
      <c r="B81">
        <v>107456</v>
      </c>
      <c r="C81">
        <v>7</v>
      </c>
      <c r="D81" t="s">
        <v>690</v>
      </c>
      <c r="E81" t="s">
        <v>691</v>
      </c>
      <c r="F81">
        <v>702</v>
      </c>
      <c r="G81">
        <v>45.88</v>
      </c>
      <c r="H81">
        <v>151.69</v>
      </c>
      <c r="I81">
        <v>36.06</v>
      </c>
      <c r="J81">
        <v>119.23</v>
      </c>
      <c r="K81">
        <v>73</v>
      </c>
      <c r="T81">
        <v>4</v>
      </c>
      <c r="U81">
        <v>2</v>
      </c>
      <c r="V81" t="s">
        <v>541</v>
      </c>
      <c r="W81">
        <v>151</v>
      </c>
      <c r="X81">
        <v>15</v>
      </c>
      <c r="Y81">
        <v>9</v>
      </c>
      <c r="Z81" t="s">
        <v>692</v>
      </c>
      <c r="AA81" t="s">
        <v>693</v>
      </c>
      <c r="AB81" t="s">
        <v>526</v>
      </c>
      <c r="AC81" t="s">
        <v>527</v>
      </c>
      <c r="AD81" t="s">
        <v>528</v>
      </c>
      <c r="AE81" t="s">
        <v>588</v>
      </c>
      <c r="AG81" t="s">
        <v>694</v>
      </c>
      <c r="AH81">
        <v>0</v>
      </c>
      <c r="AI81">
        <v>231</v>
      </c>
      <c r="AJ81">
        <v>23</v>
      </c>
      <c r="AK81">
        <v>951</v>
      </c>
      <c r="AL81">
        <v>1.35</v>
      </c>
    </row>
    <row r="82" spans="1:38" x14ac:dyDescent="0.3">
      <c r="A82" t="s">
        <v>583</v>
      </c>
      <c r="B82">
        <v>15053</v>
      </c>
      <c r="C82">
        <v>1</v>
      </c>
      <c r="D82" t="s">
        <v>695</v>
      </c>
      <c r="E82" t="s">
        <v>642</v>
      </c>
      <c r="F82">
        <v>637</v>
      </c>
      <c r="G82">
        <v>23.2</v>
      </c>
      <c r="H82">
        <v>76.72</v>
      </c>
      <c r="I82">
        <v>18.13</v>
      </c>
      <c r="J82">
        <v>59.96</v>
      </c>
      <c r="K82">
        <v>637</v>
      </c>
      <c r="T82">
        <v>3</v>
      </c>
      <c r="U82">
        <v>1</v>
      </c>
      <c r="V82" t="s">
        <v>541</v>
      </c>
      <c r="W82">
        <v>76</v>
      </c>
      <c r="X82">
        <v>18</v>
      </c>
      <c r="Y82">
        <v>10</v>
      </c>
      <c r="Z82" t="s">
        <v>696</v>
      </c>
      <c r="AA82" t="s">
        <v>697</v>
      </c>
      <c r="AB82" t="s">
        <v>526</v>
      </c>
      <c r="AC82" t="s">
        <v>527</v>
      </c>
      <c r="AD82" t="s">
        <v>528</v>
      </c>
      <c r="AE82" t="s">
        <v>588</v>
      </c>
      <c r="AG82" t="s">
        <v>698</v>
      </c>
      <c r="AH82">
        <v>0</v>
      </c>
      <c r="AI82">
        <v>210</v>
      </c>
      <c r="AJ82">
        <v>24</v>
      </c>
      <c r="AK82">
        <v>514</v>
      </c>
      <c r="AL82">
        <v>0.81</v>
      </c>
    </row>
    <row r="83" spans="1:38" x14ac:dyDescent="0.3">
      <c r="A83" t="s">
        <v>583</v>
      </c>
      <c r="B83">
        <v>17092</v>
      </c>
      <c r="C83">
        <v>1</v>
      </c>
      <c r="D83" t="s">
        <v>699</v>
      </c>
      <c r="E83" t="s">
        <v>601</v>
      </c>
      <c r="F83">
        <v>414</v>
      </c>
      <c r="G83">
        <v>24.29</v>
      </c>
      <c r="H83">
        <v>80.31</v>
      </c>
      <c r="I83">
        <v>17.96</v>
      </c>
      <c r="J83">
        <v>59.39</v>
      </c>
      <c r="K83">
        <v>378</v>
      </c>
      <c r="T83">
        <v>3</v>
      </c>
      <c r="U83">
        <v>1</v>
      </c>
      <c r="V83" t="s">
        <v>541</v>
      </c>
      <c r="W83" t="s">
        <v>132</v>
      </c>
      <c r="X83">
        <v>18</v>
      </c>
      <c r="Y83">
        <v>15</v>
      </c>
      <c r="Z83" t="s">
        <v>700</v>
      </c>
      <c r="AA83" t="s">
        <v>701</v>
      </c>
      <c r="AB83" t="s">
        <v>526</v>
      </c>
      <c r="AC83" t="s">
        <v>527</v>
      </c>
      <c r="AD83" t="s">
        <v>528</v>
      </c>
      <c r="AE83" t="s">
        <v>588</v>
      </c>
      <c r="AG83" t="s">
        <v>702</v>
      </c>
      <c r="AH83">
        <v>0</v>
      </c>
      <c r="AI83">
        <v>181</v>
      </c>
      <c r="AJ83">
        <v>20</v>
      </c>
      <c r="AK83">
        <v>359</v>
      </c>
      <c r="AL83">
        <v>0.87</v>
      </c>
    </row>
    <row r="84" spans="1:38" x14ac:dyDescent="0.3">
      <c r="A84" t="s">
        <v>583</v>
      </c>
      <c r="B84">
        <v>17092</v>
      </c>
      <c r="C84">
        <v>2</v>
      </c>
      <c r="D84" t="s">
        <v>699</v>
      </c>
      <c r="E84" t="s">
        <v>601</v>
      </c>
      <c r="F84">
        <v>414</v>
      </c>
      <c r="G84">
        <v>24.27</v>
      </c>
      <c r="H84">
        <v>80.239999999999995</v>
      </c>
      <c r="I84">
        <v>17.95</v>
      </c>
      <c r="J84">
        <v>59.34</v>
      </c>
      <c r="K84">
        <v>36</v>
      </c>
      <c r="T84">
        <v>3</v>
      </c>
      <c r="U84">
        <v>1</v>
      </c>
      <c r="V84" t="s">
        <v>541</v>
      </c>
      <c r="W84" t="s">
        <v>133</v>
      </c>
      <c r="X84">
        <v>18</v>
      </c>
      <c r="Y84">
        <v>15</v>
      </c>
      <c r="Z84" t="s">
        <v>700</v>
      </c>
      <c r="AA84" t="s">
        <v>701</v>
      </c>
      <c r="AB84" t="s">
        <v>526</v>
      </c>
      <c r="AC84" t="s">
        <v>527</v>
      </c>
      <c r="AD84" t="s">
        <v>528</v>
      </c>
      <c r="AE84" t="s">
        <v>588</v>
      </c>
      <c r="AG84" t="s">
        <v>702</v>
      </c>
      <c r="AH84">
        <v>0</v>
      </c>
      <c r="AI84">
        <v>181</v>
      </c>
      <c r="AJ84">
        <v>20</v>
      </c>
      <c r="AK84">
        <v>359</v>
      </c>
      <c r="AL84">
        <v>0.87</v>
      </c>
    </row>
    <row r="85" spans="1:38" x14ac:dyDescent="0.3">
      <c r="A85" t="s">
        <v>583</v>
      </c>
      <c r="B85">
        <v>5354</v>
      </c>
      <c r="C85">
        <v>1</v>
      </c>
      <c r="D85" t="s">
        <v>703</v>
      </c>
      <c r="E85" t="s">
        <v>704</v>
      </c>
      <c r="F85">
        <v>360</v>
      </c>
      <c r="G85">
        <v>21.07</v>
      </c>
      <c r="H85">
        <v>69.66</v>
      </c>
      <c r="I85">
        <v>18.07</v>
      </c>
      <c r="J85">
        <v>59.74</v>
      </c>
      <c r="K85">
        <v>360</v>
      </c>
      <c r="T85">
        <v>3</v>
      </c>
      <c r="U85">
        <v>1</v>
      </c>
      <c r="V85" t="s">
        <v>541</v>
      </c>
      <c r="W85">
        <v>69</v>
      </c>
      <c r="X85">
        <v>6</v>
      </c>
      <c r="Y85">
        <v>6</v>
      </c>
      <c r="Z85" t="s">
        <v>705</v>
      </c>
      <c r="AA85" t="s">
        <v>706</v>
      </c>
      <c r="AB85" t="s">
        <v>526</v>
      </c>
      <c r="AC85" t="s">
        <v>527</v>
      </c>
      <c r="AD85" t="s">
        <v>528</v>
      </c>
      <c r="AE85" t="s">
        <v>588</v>
      </c>
      <c r="AG85" t="s">
        <v>707</v>
      </c>
      <c r="AH85">
        <v>0</v>
      </c>
      <c r="AI85">
        <v>0</v>
      </c>
      <c r="AJ85">
        <v>0</v>
      </c>
      <c r="AK85">
        <v>0</v>
      </c>
      <c r="AL85">
        <v>0</v>
      </c>
    </row>
    <row r="86" spans="1:38" x14ac:dyDescent="0.3">
      <c r="A86" t="s">
        <v>583</v>
      </c>
      <c r="B86">
        <v>5316</v>
      </c>
      <c r="C86">
        <v>1</v>
      </c>
      <c r="D86" t="s">
        <v>708</v>
      </c>
      <c r="E86" t="s">
        <v>709</v>
      </c>
      <c r="F86">
        <v>296</v>
      </c>
      <c r="G86">
        <v>31.35</v>
      </c>
      <c r="H86">
        <v>103.65</v>
      </c>
      <c r="I86">
        <v>25.7</v>
      </c>
      <c r="J86">
        <v>84.96</v>
      </c>
      <c r="K86">
        <v>233</v>
      </c>
      <c r="T86">
        <v>3</v>
      </c>
      <c r="U86">
        <v>2</v>
      </c>
      <c r="V86" t="s">
        <v>541</v>
      </c>
      <c r="W86">
        <v>103</v>
      </c>
      <c r="X86">
        <v>15</v>
      </c>
      <c r="Y86">
        <v>8</v>
      </c>
      <c r="Z86" t="s">
        <v>710</v>
      </c>
      <c r="AA86" t="s">
        <v>711</v>
      </c>
      <c r="AB86" t="s">
        <v>526</v>
      </c>
      <c r="AC86" t="s">
        <v>527</v>
      </c>
      <c r="AD86" t="s">
        <v>528</v>
      </c>
      <c r="AE86" t="s">
        <v>588</v>
      </c>
      <c r="AG86" t="s">
        <v>712</v>
      </c>
      <c r="AH86">
        <v>0</v>
      </c>
      <c r="AI86">
        <v>204</v>
      </c>
      <c r="AJ86">
        <v>20</v>
      </c>
      <c r="AK86">
        <v>318</v>
      </c>
      <c r="AL86">
        <v>1.07</v>
      </c>
    </row>
    <row r="87" spans="1:38" x14ac:dyDescent="0.3">
      <c r="A87" t="s">
        <v>583</v>
      </c>
      <c r="B87">
        <v>5316</v>
      </c>
      <c r="C87">
        <v>2</v>
      </c>
      <c r="D87" t="s">
        <v>708</v>
      </c>
      <c r="E87" t="s">
        <v>709</v>
      </c>
      <c r="F87">
        <v>296</v>
      </c>
      <c r="G87">
        <v>42.41</v>
      </c>
      <c r="H87">
        <v>140.22</v>
      </c>
      <c r="I87">
        <v>34.76</v>
      </c>
      <c r="J87">
        <v>114.94</v>
      </c>
      <c r="K87">
        <v>19</v>
      </c>
      <c r="T87">
        <v>4</v>
      </c>
      <c r="U87">
        <v>2</v>
      </c>
      <c r="V87" t="s">
        <v>541</v>
      </c>
      <c r="W87">
        <v>140</v>
      </c>
      <c r="X87">
        <v>15</v>
      </c>
      <c r="Y87">
        <v>8</v>
      </c>
      <c r="Z87" t="s">
        <v>710</v>
      </c>
      <c r="AA87" t="s">
        <v>711</v>
      </c>
      <c r="AB87" t="s">
        <v>526</v>
      </c>
      <c r="AC87" t="s">
        <v>527</v>
      </c>
      <c r="AD87" t="s">
        <v>528</v>
      </c>
      <c r="AE87" t="s">
        <v>588</v>
      </c>
      <c r="AG87" t="s">
        <v>712</v>
      </c>
      <c r="AH87">
        <v>0</v>
      </c>
      <c r="AI87">
        <v>204</v>
      </c>
      <c r="AJ87">
        <v>20</v>
      </c>
      <c r="AK87">
        <v>318</v>
      </c>
      <c r="AL87">
        <v>1.07</v>
      </c>
    </row>
    <row r="88" spans="1:38" x14ac:dyDescent="0.3">
      <c r="A88" t="s">
        <v>583</v>
      </c>
      <c r="B88">
        <v>5316</v>
      </c>
      <c r="C88">
        <v>3</v>
      </c>
      <c r="D88" t="s">
        <v>708</v>
      </c>
      <c r="E88" t="s">
        <v>709</v>
      </c>
      <c r="F88">
        <v>296</v>
      </c>
      <c r="G88">
        <v>49.67</v>
      </c>
      <c r="H88">
        <v>164.2</v>
      </c>
      <c r="I88">
        <v>40.71</v>
      </c>
      <c r="J88">
        <v>134.59</v>
      </c>
      <c r="K88">
        <v>44</v>
      </c>
      <c r="T88">
        <v>4</v>
      </c>
      <c r="U88">
        <v>2</v>
      </c>
      <c r="V88" t="s">
        <v>541</v>
      </c>
      <c r="W88">
        <v>164</v>
      </c>
      <c r="X88">
        <v>15</v>
      </c>
      <c r="Y88">
        <v>8</v>
      </c>
      <c r="Z88" t="s">
        <v>710</v>
      </c>
      <c r="AA88" t="s">
        <v>711</v>
      </c>
      <c r="AB88" t="s">
        <v>526</v>
      </c>
      <c r="AC88" t="s">
        <v>527</v>
      </c>
      <c r="AD88" t="s">
        <v>528</v>
      </c>
      <c r="AE88" t="s">
        <v>588</v>
      </c>
      <c r="AG88" t="s">
        <v>712</v>
      </c>
      <c r="AH88">
        <v>0</v>
      </c>
      <c r="AI88">
        <v>204</v>
      </c>
      <c r="AJ88">
        <v>20</v>
      </c>
      <c r="AK88">
        <v>318</v>
      </c>
      <c r="AL88">
        <v>1.07</v>
      </c>
    </row>
    <row r="89" spans="1:38" x14ac:dyDescent="0.3">
      <c r="A89" t="s">
        <v>583</v>
      </c>
      <c r="B89">
        <v>5348</v>
      </c>
      <c r="C89">
        <v>1</v>
      </c>
      <c r="D89" t="s">
        <v>713</v>
      </c>
      <c r="E89" t="s">
        <v>714</v>
      </c>
      <c r="F89">
        <v>480</v>
      </c>
      <c r="G89">
        <v>17.7</v>
      </c>
      <c r="H89">
        <v>58.54</v>
      </c>
      <c r="I89">
        <v>15.27</v>
      </c>
      <c r="J89">
        <v>50.49</v>
      </c>
      <c r="K89">
        <v>80</v>
      </c>
      <c r="T89">
        <v>2</v>
      </c>
      <c r="U89">
        <v>1</v>
      </c>
      <c r="V89" t="s">
        <v>541</v>
      </c>
      <c r="W89">
        <v>58</v>
      </c>
      <c r="X89">
        <v>5</v>
      </c>
      <c r="Y89">
        <v>5</v>
      </c>
      <c r="Z89" t="s">
        <v>715</v>
      </c>
      <c r="AA89" t="s">
        <v>716</v>
      </c>
      <c r="AB89" t="s">
        <v>526</v>
      </c>
      <c r="AC89" t="s">
        <v>527</v>
      </c>
      <c r="AD89" t="s">
        <v>528</v>
      </c>
      <c r="AE89" t="s">
        <v>588</v>
      </c>
      <c r="AG89" t="s">
        <v>717</v>
      </c>
      <c r="AH89">
        <v>0</v>
      </c>
      <c r="AI89">
        <v>245</v>
      </c>
      <c r="AJ89">
        <v>23</v>
      </c>
      <c r="AK89">
        <v>0</v>
      </c>
      <c r="AL89">
        <v>0</v>
      </c>
    </row>
    <row r="90" spans="1:38" x14ac:dyDescent="0.3">
      <c r="A90" t="s">
        <v>583</v>
      </c>
      <c r="B90">
        <v>5348</v>
      </c>
      <c r="C90">
        <v>2</v>
      </c>
      <c r="D90" t="s">
        <v>713</v>
      </c>
      <c r="E90" t="s">
        <v>714</v>
      </c>
      <c r="F90">
        <v>480</v>
      </c>
      <c r="G90">
        <v>20.28</v>
      </c>
      <c r="H90">
        <v>67.069999999999993</v>
      </c>
      <c r="I90">
        <v>17.72</v>
      </c>
      <c r="J90">
        <v>58.59</v>
      </c>
      <c r="K90">
        <v>200</v>
      </c>
      <c r="T90">
        <v>3</v>
      </c>
      <c r="U90">
        <v>1</v>
      </c>
      <c r="V90" t="s">
        <v>541</v>
      </c>
      <c r="W90">
        <v>67</v>
      </c>
      <c r="X90">
        <v>5</v>
      </c>
      <c r="Y90">
        <v>5</v>
      </c>
      <c r="Z90" t="s">
        <v>715</v>
      </c>
      <c r="AA90" t="s">
        <v>716</v>
      </c>
      <c r="AB90" t="s">
        <v>526</v>
      </c>
      <c r="AC90" t="s">
        <v>527</v>
      </c>
      <c r="AD90" t="s">
        <v>528</v>
      </c>
      <c r="AE90" t="s">
        <v>588</v>
      </c>
      <c r="AG90" t="s">
        <v>717</v>
      </c>
      <c r="AH90">
        <v>0</v>
      </c>
      <c r="AI90">
        <v>245</v>
      </c>
      <c r="AJ90">
        <v>23</v>
      </c>
      <c r="AK90">
        <v>0</v>
      </c>
      <c r="AL90">
        <v>0</v>
      </c>
    </row>
    <row r="91" spans="1:38" x14ac:dyDescent="0.3">
      <c r="A91" t="s">
        <v>583</v>
      </c>
      <c r="B91">
        <v>5348</v>
      </c>
      <c r="C91">
        <v>3</v>
      </c>
      <c r="D91" t="s">
        <v>713</v>
      </c>
      <c r="E91" t="s">
        <v>714</v>
      </c>
      <c r="F91">
        <v>480</v>
      </c>
      <c r="G91">
        <v>21.76</v>
      </c>
      <c r="H91">
        <v>71.959999999999994</v>
      </c>
      <c r="I91">
        <v>19.13</v>
      </c>
      <c r="J91">
        <v>63.24</v>
      </c>
      <c r="K91">
        <v>200</v>
      </c>
      <c r="T91">
        <v>3</v>
      </c>
      <c r="U91">
        <v>1</v>
      </c>
      <c r="V91" t="s">
        <v>541</v>
      </c>
      <c r="W91">
        <v>71</v>
      </c>
      <c r="X91">
        <v>5</v>
      </c>
      <c r="Y91">
        <v>5</v>
      </c>
      <c r="Z91" t="s">
        <v>715</v>
      </c>
      <c r="AA91" t="s">
        <v>716</v>
      </c>
      <c r="AB91" t="s">
        <v>526</v>
      </c>
      <c r="AC91" t="s">
        <v>527</v>
      </c>
      <c r="AD91" t="s">
        <v>528</v>
      </c>
      <c r="AE91" t="s">
        <v>588</v>
      </c>
      <c r="AG91" t="s">
        <v>717</v>
      </c>
      <c r="AH91">
        <v>0</v>
      </c>
      <c r="AI91">
        <v>245</v>
      </c>
      <c r="AJ91">
        <v>23</v>
      </c>
      <c r="AK91">
        <v>0</v>
      </c>
      <c r="AL91">
        <v>0</v>
      </c>
    </row>
    <row r="92" spans="1:38" x14ac:dyDescent="0.3">
      <c r="A92" t="s">
        <v>583</v>
      </c>
      <c r="B92">
        <v>5357</v>
      </c>
      <c r="C92">
        <v>1</v>
      </c>
      <c r="D92" t="s">
        <v>718</v>
      </c>
      <c r="E92" t="s">
        <v>719</v>
      </c>
      <c r="F92">
        <v>265</v>
      </c>
      <c r="G92">
        <v>27.88</v>
      </c>
      <c r="H92">
        <v>92.17</v>
      </c>
      <c r="I92">
        <v>21.38</v>
      </c>
      <c r="J92">
        <v>70.709999999999994</v>
      </c>
      <c r="K92">
        <v>90</v>
      </c>
      <c r="T92">
        <v>3</v>
      </c>
      <c r="U92">
        <v>2</v>
      </c>
      <c r="V92" t="s">
        <v>541</v>
      </c>
      <c r="W92">
        <v>92</v>
      </c>
      <c r="X92">
        <v>5</v>
      </c>
      <c r="Y92">
        <v>5</v>
      </c>
      <c r="Z92" t="s">
        <v>720</v>
      </c>
      <c r="AA92" t="s">
        <v>721</v>
      </c>
      <c r="AB92" t="s">
        <v>526</v>
      </c>
      <c r="AC92" t="s">
        <v>527</v>
      </c>
      <c r="AD92" t="s">
        <v>528</v>
      </c>
      <c r="AE92" t="s">
        <v>588</v>
      </c>
      <c r="AG92" t="s">
        <v>722</v>
      </c>
      <c r="AH92">
        <v>0</v>
      </c>
      <c r="AI92">
        <v>135</v>
      </c>
      <c r="AJ92">
        <v>32</v>
      </c>
      <c r="AK92">
        <v>0</v>
      </c>
      <c r="AL92">
        <v>0</v>
      </c>
    </row>
    <row r="93" spans="1:38" x14ac:dyDescent="0.3">
      <c r="A93" t="s">
        <v>583</v>
      </c>
      <c r="B93">
        <v>5357</v>
      </c>
      <c r="C93">
        <v>2</v>
      </c>
      <c r="D93" t="s">
        <v>718</v>
      </c>
      <c r="E93" t="s">
        <v>719</v>
      </c>
      <c r="F93">
        <v>265</v>
      </c>
      <c r="G93">
        <v>33.61</v>
      </c>
      <c r="H93">
        <v>111.12</v>
      </c>
      <c r="I93">
        <v>25.64</v>
      </c>
      <c r="J93">
        <v>84.78</v>
      </c>
      <c r="K93">
        <v>175</v>
      </c>
      <c r="T93">
        <v>3</v>
      </c>
      <c r="U93">
        <v>2</v>
      </c>
      <c r="V93" t="s">
        <v>541</v>
      </c>
      <c r="W93">
        <v>111</v>
      </c>
      <c r="X93">
        <v>5</v>
      </c>
      <c r="Y93">
        <v>5</v>
      </c>
      <c r="Z93" t="s">
        <v>720</v>
      </c>
      <c r="AA93" t="s">
        <v>721</v>
      </c>
      <c r="AB93" t="s">
        <v>526</v>
      </c>
      <c r="AC93" t="s">
        <v>527</v>
      </c>
      <c r="AD93" t="s">
        <v>528</v>
      </c>
      <c r="AE93" t="s">
        <v>588</v>
      </c>
      <c r="AG93" t="s">
        <v>722</v>
      </c>
      <c r="AH93">
        <v>0</v>
      </c>
      <c r="AI93">
        <v>135</v>
      </c>
      <c r="AJ93">
        <v>32</v>
      </c>
      <c r="AK93">
        <v>0</v>
      </c>
      <c r="AL93">
        <v>0</v>
      </c>
    </row>
    <row r="94" spans="1:38" x14ac:dyDescent="0.3">
      <c r="A94" t="s">
        <v>583</v>
      </c>
      <c r="B94">
        <v>5310</v>
      </c>
      <c r="C94">
        <v>1</v>
      </c>
      <c r="D94" t="s">
        <v>723</v>
      </c>
      <c r="E94" t="s">
        <v>724</v>
      </c>
      <c r="F94">
        <v>900</v>
      </c>
      <c r="G94">
        <v>23.13</v>
      </c>
      <c r="H94">
        <v>76.48</v>
      </c>
      <c r="I94">
        <v>18.14</v>
      </c>
      <c r="J94">
        <v>59.98</v>
      </c>
      <c r="K94">
        <v>540</v>
      </c>
      <c r="T94">
        <v>3</v>
      </c>
      <c r="U94">
        <v>1</v>
      </c>
      <c r="V94" t="s">
        <v>541</v>
      </c>
      <c r="W94">
        <v>76</v>
      </c>
      <c r="X94">
        <v>18</v>
      </c>
      <c r="Y94">
        <v>18</v>
      </c>
      <c r="Z94" t="s">
        <v>725</v>
      </c>
      <c r="AA94" t="s">
        <v>726</v>
      </c>
      <c r="AB94" t="s">
        <v>526</v>
      </c>
      <c r="AC94" t="s">
        <v>527</v>
      </c>
      <c r="AD94" t="s">
        <v>528</v>
      </c>
      <c r="AE94" t="s">
        <v>588</v>
      </c>
      <c r="AG94" t="s">
        <v>727</v>
      </c>
      <c r="AH94">
        <v>0</v>
      </c>
      <c r="AI94">
        <v>246</v>
      </c>
      <c r="AJ94">
        <v>23</v>
      </c>
      <c r="AK94">
        <v>753</v>
      </c>
      <c r="AL94">
        <v>0.84</v>
      </c>
    </row>
    <row r="95" spans="1:38" x14ac:dyDescent="0.3">
      <c r="A95" t="s">
        <v>583</v>
      </c>
      <c r="B95">
        <v>5310</v>
      </c>
      <c r="C95">
        <v>2</v>
      </c>
      <c r="D95" t="s">
        <v>723</v>
      </c>
      <c r="E95" t="s">
        <v>724</v>
      </c>
      <c r="F95">
        <v>900</v>
      </c>
      <c r="G95">
        <v>32.75</v>
      </c>
      <c r="H95">
        <v>108.28</v>
      </c>
      <c r="I95">
        <v>25.68</v>
      </c>
      <c r="J95">
        <v>84.92</v>
      </c>
      <c r="K95">
        <v>360</v>
      </c>
      <c r="T95">
        <v>3</v>
      </c>
      <c r="U95">
        <v>2</v>
      </c>
      <c r="V95" t="s">
        <v>541</v>
      </c>
      <c r="W95">
        <v>108</v>
      </c>
      <c r="X95">
        <v>18</v>
      </c>
      <c r="Y95">
        <v>18</v>
      </c>
      <c r="Z95" t="s">
        <v>725</v>
      </c>
      <c r="AA95" t="s">
        <v>726</v>
      </c>
      <c r="AB95" t="s">
        <v>526</v>
      </c>
      <c r="AC95" t="s">
        <v>527</v>
      </c>
      <c r="AD95" t="s">
        <v>528</v>
      </c>
      <c r="AE95" t="s">
        <v>588</v>
      </c>
      <c r="AG95" t="s">
        <v>727</v>
      </c>
      <c r="AH95">
        <v>0</v>
      </c>
      <c r="AI95">
        <v>246</v>
      </c>
      <c r="AJ95">
        <v>23</v>
      </c>
      <c r="AK95">
        <v>753</v>
      </c>
      <c r="AL95">
        <v>0.84</v>
      </c>
    </row>
    <row r="96" spans="1:38" x14ac:dyDescent="0.3">
      <c r="A96" t="s">
        <v>583</v>
      </c>
      <c r="B96">
        <v>5332</v>
      </c>
      <c r="C96">
        <v>1</v>
      </c>
      <c r="D96" t="s">
        <v>728</v>
      </c>
      <c r="E96" t="s">
        <v>729</v>
      </c>
      <c r="F96">
        <v>538</v>
      </c>
      <c r="G96">
        <v>32.340000000000003</v>
      </c>
      <c r="H96">
        <v>106.93</v>
      </c>
      <c r="I96">
        <v>25.7</v>
      </c>
      <c r="J96">
        <v>84.99</v>
      </c>
      <c r="K96">
        <v>404</v>
      </c>
      <c r="T96">
        <v>3</v>
      </c>
      <c r="U96">
        <v>2</v>
      </c>
      <c r="V96" t="s">
        <v>541</v>
      </c>
      <c r="W96">
        <v>106</v>
      </c>
      <c r="X96">
        <v>19</v>
      </c>
      <c r="Y96">
        <v>12</v>
      </c>
      <c r="Z96" t="s">
        <v>730</v>
      </c>
      <c r="AA96" t="s">
        <v>731</v>
      </c>
      <c r="AB96" t="s">
        <v>526</v>
      </c>
      <c r="AC96" t="s">
        <v>527</v>
      </c>
      <c r="AD96" t="s">
        <v>528</v>
      </c>
      <c r="AE96" t="s">
        <v>588</v>
      </c>
      <c r="AG96" t="s">
        <v>732</v>
      </c>
      <c r="AH96">
        <v>0</v>
      </c>
      <c r="AI96">
        <v>229</v>
      </c>
      <c r="AJ96">
        <v>21</v>
      </c>
      <c r="AK96">
        <v>587</v>
      </c>
      <c r="AL96">
        <v>1.0900000000000001</v>
      </c>
    </row>
    <row r="97" spans="1:38" x14ac:dyDescent="0.3">
      <c r="A97" t="s">
        <v>583</v>
      </c>
      <c r="B97">
        <v>5332</v>
      </c>
      <c r="C97">
        <v>2</v>
      </c>
      <c r="D97" t="s">
        <v>728</v>
      </c>
      <c r="E97" t="s">
        <v>729</v>
      </c>
      <c r="F97">
        <v>538</v>
      </c>
      <c r="G97">
        <v>36.96</v>
      </c>
      <c r="H97">
        <v>122.2</v>
      </c>
      <c r="I97">
        <v>30</v>
      </c>
      <c r="J97">
        <v>99.18</v>
      </c>
      <c r="K97">
        <v>72</v>
      </c>
      <c r="T97">
        <v>4</v>
      </c>
      <c r="U97">
        <v>2</v>
      </c>
      <c r="V97" t="s">
        <v>541</v>
      </c>
      <c r="W97">
        <v>122</v>
      </c>
      <c r="X97">
        <v>19</v>
      </c>
      <c r="Y97">
        <v>12</v>
      </c>
      <c r="Z97" t="s">
        <v>730</v>
      </c>
      <c r="AA97" t="s">
        <v>731</v>
      </c>
      <c r="AB97" t="s">
        <v>526</v>
      </c>
      <c r="AC97" t="s">
        <v>527</v>
      </c>
      <c r="AD97" t="s">
        <v>528</v>
      </c>
      <c r="AE97" t="s">
        <v>588</v>
      </c>
      <c r="AG97" t="s">
        <v>732</v>
      </c>
      <c r="AH97">
        <v>0</v>
      </c>
      <c r="AI97">
        <v>229</v>
      </c>
      <c r="AJ97">
        <v>21</v>
      </c>
      <c r="AK97">
        <v>587</v>
      </c>
      <c r="AL97">
        <v>1.0900000000000001</v>
      </c>
    </row>
    <row r="98" spans="1:38" x14ac:dyDescent="0.3">
      <c r="A98" t="s">
        <v>583</v>
      </c>
      <c r="B98">
        <v>5332</v>
      </c>
      <c r="C98">
        <v>3</v>
      </c>
      <c r="D98" t="s">
        <v>728</v>
      </c>
      <c r="E98" t="s">
        <v>729</v>
      </c>
      <c r="F98">
        <v>538</v>
      </c>
      <c r="G98">
        <v>46.89</v>
      </c>
      <c r="H98">
        <v>155.01</v>
      </c>
      <c r="I98">
        <v>39.130000000000003</v>
      </c>
      <c r="J98">
        <v>129.36000000000001</v>
      </c>
      <c r="K98">
        <v>62</v>
      </c>
      <c r="T98">
        <v>4</v>
      </c>
      <c r="U98">
        <v>2</v>
      </c>
      <c r="V98" t="s">
        <v>541</v>
      </c>
      <c r="W98">
        <v>155</v>
      </c>
      <c r="X98">
        <v>19</v>
      </c>
      <c r="Y98">
        <v>12</v>
      </c>
      <c r="Z98" t="s">
        <v>730</v>
      </c>
      <c r="AA98" t="s">
        <v>731</v>
      </c>
      <c r="AB98" t="s">
        <v>526</v>
      </c>
      <c r="AC98" t="s">
        <v>527</v>
      </c>
      <c r="AD98" t="s">
        <v>528</v>
      </c>
      <c r="AE98" t="s">
        <v>588</v>
      </c>
      <c r="AG98" t="s">
        <v>732</v>
      </c>
      <c r="AH98">
        <v>0</v>
      </c>
      <c r="AI98">
        <v>229</v>
      </c>
      <c r="AJ98">
        <v>21</v>
      </c>
      <c r="AK98">
        <v>587</v>
      </c>
      <c r="AL98">
        <v>1.0900000000000001</v>
      </c>
    </row>
    <row r="99" spans="1:38" x14ac:dyDescent="0.3">
      <c r="A99" t="s">
        <v>733</v>
      </c>
      <c r="B99">
        <v>137326</v>
      </c>
      <c r="C99">
        <v>1</v>
      </c>
      <c r="D99" t="s">
        <v>734</v>
      </c>
      <c r="E99" t="s">
        <v>735</v>
      </c>
      <c r="F99">
        <v>28</v>
      </c>
      <c r="G99">
        <v>32.15</v>
      </c>
      <c r="H99">
        <v>106.3</v>
      </c>
      <c r="I99">
        <v>25.64</v>
      </c>
      <c r="J99">
        <v>84.77</v>
      </c>
      <c r="K99">
        <v>28</v>
      </c>
      <c r="T99">
        <v>3</v>
      </c>
      <c r="U99">
        <v>2</v>
      </c>
      <c r="V99" t="s">
        <v>541</v>
      </c>
      <c r="W99">
        <v>106</v>
      </c>
      <c r="X99">
        <v>4</v>
      </c>
      <c r="Y99">
        <v>4</v>
      </c>
      <c r="Z99" t="s">
        <v>736</v>
      </c>
      <c r="AA99" t="s">
        <v>737</v>
      </c>
      <c r="AB99" t="s">
        <v>526</v>
      </c>
      <c r="AC99" t="s">
        <v>527</v>
      </c>
      <c r="AD99" t="s">
        <v>528</v>
      </c>
      <c r="AE99" t="s">
        <v>738</v>
      </c>
      <c r="AG99" t="s">
        <v>739</v>
      </c>
      <c r="AH99">
        <v>0</v>
      </c>
      <c r="AI99">
        <v>56</v>
      </c>
      <c r="AJ99">
        <v>18</v>
      </c>
      <c r="AK99">
        <v>35</v>
      </c>
      <c r="AL99">
        <v>1.25</v>
      </c>
    </row>
    <row r="100" spans="1:38" x14ac:dyDescent="0.3">
      <c r="A100" t="s">
        <v>740</v>
      </c>
      <c r="B100">
        <v>109121</v>
      </c>
      <c r="C100">
        <v>1</v>
      </c>
      <c r="D100" t="s">
        <v>741</v>
      </c>
      <c r="E100" t="s">
        <v>742</v>
      </c>
      <c r="F100">
        <v>100</v>
      </c>
      <c r="G100">
        <v>34.200000000000003</v>
      </c>
      <c r="H100">
        <v>113.09</v>
      </c>
      <c r="I100">
        <v>25.37</v>
      </c>
      <c r="J100">
        <v>83.88</v>
      </c>
      <c r="K100">
        <v>40</v>
      </c>
      <c r="T100">
        <v>3</v>
      </c>
      <c r="U100">
        <v>1</v>
      </c>
      <c r="V100" t="s">
        <v>523</v>
      </c>
      <c r="W100" t="s">
        <v>484</v>
      </c>
      <c r="X100">
        <v>10</v>
      </c>
      <c r="Y100">
        <v>10</v>
      </c>
      <c r="Z100" t="s">
        <v>743</v>
      </c>
      <c r="AA100" t="s">
        <v>744</v>
      </c>
      <c r="AB100" t="s">
        <v>526</v>
      </c>
      <c r="AC100" t="s">
        <v>527</v>
      </c>
      <c r="AD100" t="s">
        <v>528</v>
      </c>
      <c r="AE100" t="s">
        <v>745</v>
      </c>
      <c r="AG100" t="s">
        <v>746</v>
      </c>
      <c r="AH100">
        <v>0</v>
      </c>
      <c r="AI100">
        <v>220</v>
      </c>
      <c r="AJ100">
        <v>24</v>
      </c>
      <c r="AK100">
        <v>0</v>
      </c>
      <c r="AL100">
        <v>0</v>
      </c>
    </row>
    <row r="101" spans="1:38" x14ac:dyDescent="0.3">
      <c r="A101" t="s">
        <v>740</v>
      </c>
      <c r="B101">
        <v>109121</v>
      </c>
      <c r="C101">
        <v>2</v>
      </c>
      <c r="D101" t="s">
        <v>741</v>
      </c>
      <c r="E101" t="s">
        <v>742</v>
      </c>
      <c r="F101">
        <v>100</v>
      </c>
      <c r="G101">
        <v>34.26</v>
      </c>
      <c r="H101">
        <v>113.27</v>
      </c>
      <c r="I101">
        <v>25.41</v>
      </c>
      <c r="J101">
        <v>84</v>
      </c>
      <c r="K101">
        <v>20</v>
      </c>
      <c r="T101">
        <v>3</v>
      </c>
      <c r="U101">
        <v>1</v>
      </c>
      <c r="V101" t="s">
        <v>523</v>
      </c>
      <c r="W101" t="s">
        <v>478</v>
      </c>
      <c r="X101">
        <v>10</v>
      </c>
      <c r="Y101">
        <v>10</v>
      </c>
      <c r="Z101" t="s">
        <v>743</v>
      </c>
      <c r="AA101" t="s">
        <v>744</v>
      </c>
      <c r="AB101" t="s">
        <v>526</v>
      </c>
      <c r="AC101" t="s">
        <v>527</v>
      </c>
      <c r="AD101" t="s">
        <v>528</v>
      </c>
      <c r="AE101" t="s">
        <v>745</v>
      </c>
      <c r="AG101" t="s">
        <v>746</v>
      </c>
      <c r="AH101">
        <v>0</v>
      </c>
      <c r="AI101">
        <v>220</v>
      </c>
      <c r="AJ101">
        <v>24</v>
      </c>
      <c r="AK101">
        <v>0</v>
      </c>
      <c r="AL101">
        <v>0</v>
      </c>
    </row>
    <row r="102" spans="1:38" x14ac:dyDescent="0.3">
      <c r="A102" t="s">
        <v>740</v>
      </c>
      <c r="B102">
        <v>109121</v>
      </c>
      <c r="C102">
        <v>3</v>
      </c>
      <c r="D102" t="s">
        <v>741</v>
      </c>
      <c r="E102" t="s">
        <v>742</v>
      </c>
      <c r="F102">
        <v>100</v>
      </c>
      <c r="G102">
        <v>43.17</v>
      </c>
      <c r="H102">
        <v>142.72</v>
      </c>
      <c r="I102">
        <v>32.01</v>
      </c>
      <c r="J102">
        <v>105.84</v>
      </c>
      <c r="K102">
        <v>20</v>
      </c>
      <c r="T102">
        <v>4</v>
      </c>
      <c r="U102">
        <v>1</v>
      </c>
      <c r="V102" t="s">
        <v>523</v>
      </c>
      <c r="W102">
        <v>142</v>
      </c>
      <c r="X102">
        <v>10</v>
      </c>
      <c r="Y102">
        <v>10</v>
      </c>
      <c r="Z102" t="s">
        <v>743</v>
      </c>
      <c r="AA102" t="s">
        <v>744</v>
      </c>
      <c r="AB102" t="s">
        <v>526</v>
      </c>
      <c r="AC102" t="s">
        <v>527</v>
      </c>
      <c r="AD102" t="s">
        <v>528</v>
      </c>
      <c r="AE102" t="s">
        <v>745</v>
      </c>
      <c r="AG102" t="s">
        <v>746</v>
      </c>
      <c r="AH102">
        <v>0</v>
      </c>
      <c r="AI102">
        <v>220</v>
      </c>
      <c r="AJ102">
        <v>24</v>
      </c>
      <c r="AK102">
        <v>0</v>
      </c>
      <c r="AL102">
        <v>0</v>
      </c>
    </row>
    <row r="103" spans="1:38" x14ac:dyDescent="0.3">
      <c r="A103" t="s">
        <v>740</v>
      </c>
      <c r="B103">
        <v>109121</v>
      </c>
      <c r="C103">
        <v>4</v>
      </c>
      <c r="D103" t="s">
        <v>741</v>
      </c>
      <c r="E103" t="s">
        <v>742</v>
      </c>
      <c r="F103">
        <v>100</v>
      </c>
      <c r="G103">
        <v>44.93</v>
      </c>
      <c r="H103">
        <v>148.56</v>
      </c>
      <c r="I103">
        <v>33.32</v>
      </c>
      <c r="J103">
        <v>110.16</v>
      </c>
      <c r="K103">
        <v>20</v>
      </c>
      <c r="T103">
        <v>4</v>
      </c>
      <c r="U103">
        <v>1</v>
      </c>
      <c r="V103" t="s">
        <v>541</v>
      </c>
      <c r="W103">
        <v>148</v>
      </c>
      <c r="X103">
        <v>10</v>
      </c>
      <c r="Y103">
        <v>10</v>
      </c>
      <c r="Z103" t="s">
        <v>743</v>
      </c>
      <c r="AA103" t="s">
        <v>744</v>
      </c>
      <c r="AB103" t="s">
        <v>526</v>
      </c>
      <c r="AC103" t="s">
        <v>527</v>
      </c>
      <c r="AD103" t="s">
        <v>528</v>
      </c>
      <c r="AE103" t="s">
        <v>745</v>
      </c>
      <c r="AG103" t="s">
        <v>746</v>
      </c>
      <c r="AH103">
        <v>0</v>
      </c>
      <c r="AI103">
        <v>220</v>
      </c>
      <c r="AJ103">
        <v>24</v>
      </c>
      <c r="AK103">
        <v>0</v>
      </c>
      <c r="AL103">
        <v>0</v>
      </c>
    </row>
    <row r="104" spans="1:38" x14ac:dyDescent="0.3">
      <c r="A104" t="s">
        <v>740</v>
      </c>
      <c r="B104">
        <v>125156</v>
      </c>
      <c r="C104">
        <v>1</v>
      </c>
      <c r="D104" t="s">
        <v>747</v>
      </c>
      <c r="E104" t="s">
        <v>748</v>
      </c>
      <c r="F104">
        <v>40</v>
      </c>
      <c r="G104">
        <v>14.83</v>
      </c>
      <c r="H104">
        <v>49.05</v>
      </c>
      <c r="I104">
        <v>10.46</v>
      </c>
      <c r="J104">
        <v>34.6</v>
      </c>
      <c r="K104">
        <v>8</v>
      </c>
      <c r="T104">
        <v>2</v>
      </c>
      <c r="U104">
        <v>1</v>
      </c>
      <c r="V104" t="s">
        <v>541</v>
      </c>
      <c r="W104">
        <v>49</v>
      </c>
      <c r="X104">
        <v>9</v>
      </c>
      <c r="Y104">
        <v>9</v>
      </c>
      <c r="Z104" t="s">
        <v>749</v>
      </c>
      <c r="AA104" t="s">
        <v>750</v>
      </c>
      <c r="AB104" t="s">
        <v>526</v>
      </c>
      <c r="AC104" t="s">
        <v>527</v>
      </c>
      <c r="AD104" t="s">
        <v>528</v>
      </c>
      <c r="AE104" t="s">
        <v>745</v>
      </c>
      <c r="AG104" t="s">
        <v>751</v>
      </c>
      <c r="AH104">
        <v>0</v>
      </c>
      <c r="AI104">
        <v>219</v>
      </c>
      <c r="AJ104">
        <v>27</v>
      </c>
      <c r="AK104">
        <v>38</v>
      </c>
      <c r="AL104">
        <v>0.95</v>
      </c>
    </row>
    <row r="105" spans="1:38" x14ac:dyDescent="0.3">
      <c r="A105" t="s">
        <v>740</v>
      </c>
      <c r="B105">
        <v>125156</v>
      </c>
      <c r="C105">
        <v>2</v>
      </c>
      <c r="D105" t="s">
        <v>747</v>
      </c>
      <c r="E105" t="s">
        <v>748</v>
      </c>
      <c r="F105">
        <v>40</v>
      </c>
      <c r="G105">
        <v>24.44</v>
      </c>
      <c r="H105">
        <v>80.8</v>
      </c>
      <c r="I105">
        <v>17.98</v>
      </c>
      <c r="J105">
        <v>59.44</v>
      </c>
      <c r="K105">
        <v>24</v>
      </c>
      <c r="T105">
        <v>3</v>
      </c>
      <c r="U105">
        <v>1</v>
      </c>
      <c r="V105" t="s">
        <v>541</v>
      </c>
      <c r="W105">
        <v>80</v>
      </c>
      <c r="X105">
        <v>9</v>
      </c>
      <c r="Y105">
        <v>9</v>
      </c>
      <c r="Z105" t="s">
        <v>749</v>
      </c>
      <c r="AA105" t="s">
        <v>750</v>
      </c>
      <c r="AB105" t="s">
        <v>526</v>
      </c>
      <c r="AC105" t="s">
        <v>527</v>
      </c>
      <c r="AD105" t="s">
        <v>528</v>
      </c>
      <c r="AE105" t="s">
        <v>745</v>
      </c>
      <c r="AG105" t="s">
        <v>751</v>
      </c>
      <c r="AH105">
        <v>0</v>
      </c>
      <c r="AI105">
        <v>219</v>
      </c>
      <c r="AJ105">
        <v>27</v>
      </c>
      <c r="AK105">
        <v>38</v>
      </c>
      <c r="AL105">
        <v>0.95</v>
      </c>
    </row>
    <row r="106" spans="1:38" x14ac:dyDescent="0.3">
      <c r="A106" t="s">
        <v>740</v>
      </c>
      <c r="B106">
        <v>125156</v>
      </c>
      <c r="C106">
        <v>3</v>
      </c>
      <c r="D106" t="s">
        <v>747</v>
      </c>
      <c r="E106" t="s">
        <v>748</v>
      </c>
      <c r="F106">
        <v>40</v>
      </c>
      <c r="G106">
        <v>32.729999999999997</v>
      </c>
      <c r="H106">
        <v>108.2</v>
      </c>
      <c r="I106">
        <v>23.96</v>
      </c>
      <c r="J106">
        <v>79.22</v>
      </c>
      <c r="K106">
        <v>8</v>
      </c>
      <c r="T106">
        <v>3</v>
      </c>
      <c r="U106">
        <v>2</v>
      </c>
      <c r="V106" t="s">
        <v>541</v>
      </c>
      <c r="W106">
        <v>108</v>
      </c>
      <c r="X106">
        <v>9</v>
      </c>
      <c r="Y106">
        <v>9</v>
      </c>
      <c r="Z106" t="s">
        <v>749</v>
      </c>
      <c r="AA106" t="s">
        <v>750</v>
      </c>
      <c r="AB106" t="s">
        <v>526</v>
      </c>
      <c r="AC106" t="s">
        <v>527</v>
      </c>
      <c r="AD106" t="s">
        <v>528</v>
      </c>
      <c r="AE106" t="s">
        <v>745</v>
      </c>
      <c r="AG106" t="s">
        <v>751</v>
      </c>
      <c r="AH106">
        <v>0</v>
      </c>
      <c r="AI106">
        <v>219</v>
      </c>
      <c r="AJ106">
        <v>27</v>
      </c>
      <c r="AK106">
        <v>38</v>
      </c>
      <c r="AL106">
        <v>0.95</v>
      </c>
    </row>
    <row r="107" spans="1:38" x14ac:dyDescent="0.3">
      <c r="A107" t="s">
        <v>752</v>
      </c>
      <c r="B107">
        <v>100895</v>
      </c>
      <c r="C107">
        <v>1</v>
      </c>
      <c r="D107" t="s">
        <v>753</v>
      </c>
      <c r="E107" t="s">
        <v>754</v>
      </c>
      <c r="F107">
        <v>432</v>
      </c>
      <c r="G107">
        <v>26.44</v>
      </c>
      <c r="H107">
        <v>87.42</v>
      </c>
      <c r="I107">
        <v>17.86</v>
      </c>
      <c r="J107">
        <v>59.05</v>
      </c>
      <c r="K107">
        <v>299</v>
      </c>
      <c r="T107">
        <v>3</v>
      </c>
      <c r="U107">
        <v>1</v>
      </c>
      <c r="V107" t="s">
        <v>541</v>
      </c>
      <c r="W107">
        <v>87</v>
      </c>
      <c r="X107">
        <v>7</v>
      </c>
      <c r="Y107">
        <v>6</v>
      </c>
      <c r="Z107" t="s">
        <v>755</v>
      </c>
      <c r="AA107" t="s">
        <v>756</v>
      </c>
      <c r="AB107" t="s">
        <v>526</v>
      </c>
      <c r="AC107" t="s">
        <v>527</v>
      </c>
      <c r="AD107" t="s">
        <v>528</v>
      </c>
      <c r="AE107" t="s">
        <v>757</v>
      </c>
      <c r="AG107" t="s">
        <v>758</v>
      </c>
      <c r="AH107">
        <v>0</v>
      </c>
      <c r="AI107">
        <v>118</v>
      </c>
      <c r="AJ107">
        <v>22</v>
      </c>
      <c r="AK107">
        <v>324</v>
      </c>
      <c r="AL107">
        <v>0.75</v>
      </c>
    </row>
    <row r="108" spans="1:38" x14ac:dyDescent="0.3">
      <c r="A108" t="s">
        <v>752</v>
      </c>
      <c r="B108">
        <v>100895</v>
      </c>
      <c r="C108">
        <v>2</v>
      </c>
      <c r="D108" t="s">
        <v>753</v>
      </c>
      <c r="E108" t="s">
        <v>754</v>
      </c>
      <c r="F108">
        <v>432</v>
      </c>
      <c r="G108">
        <v>26.65</v>
      </c>
      <c r="H108">
        <v>88.1</v>
      </c>
      <c r="I108">
        <v>18</v>
      </c>
      <c r="J108">
        <v>59.52</v>
      </c>
      <c r="K108">
        <v>125</v>
      </c>
      <c r="T108">
        <v>3</v>
      </c>
      <c r="U108">
        <v>1</v>
      </c>
      <c r="V108" t="s">
        <v>541</v>
      </c>
      <c r="W108" t="s">
        <v>148</v>
      </c>
      <c r="X108">
        <v>7</v>
      </c>
      <c r="Y108">
        <v>6</v>
      </c>
      <c r="Z108" t="s">
        <v>755</v>
      </c>
      <c r="AA108" t="s">
        <v>756</v>
      </c>
      <c r="AB108" t="s">
        <v>526</v>
      </c>
      <c r="AC108" t="s">
        <v>527</v>
      </c>
      <c r="AD108" t="s">
        <v>528</v>
      </c>
      <c r="AE108" t="s">
        <v>757</v>
      </c>
      <c r="AG108" t="s">
        <v>758</v>
      </c>
      <c r="AH108">
        <v>0</v>
      </c>
      <c r="AI108">
        <v>118</v>
      </c>
      <c r="AJ108">
        <v>22</v>
      </c>
      <c r="AK108">
        <v>324</v>
      </c>
      <c r="AL108">
        <v>0.75</v>
      </c>
    </row>
    <row r="109" spans="1:38" x14ac:dyDescent="0.3">
      <c r="A109" t="s">
        <v>752</v>
      </c>
      <c r="B109">
        <v>100895</v>
      </c>
      <c r="C109">
        <v>3</v>
      </c>
      <c r="D109" t="s">
        <v>753</v>
      </c>
      <c r="E109" t="s">
        <v>754</v>
      </c>
      <c r="F109">
        <v>432</v>
      </c>
      <c r="G109">
        <v>26.68</v>
      </c>
      <c r="H109">
        <v>88.22</v>
      </c>
      <c r="I109">
        <v>18.010000000000002</v>
      </c>
      <c r="J109">
        <v>59.54</v>
      </c>
      <c r="K109">
        <v>1</v>
      </c>
      <c r="T109">
        <v>3</v>
      </c>
      <c r="U109">
        <v>1</v>
      </c>
      <c r="V109" t="s">
        <v>541</v>
      </c>
      <c r="W109" t="s">
        <v>149</v>
      </c>
      <c r="X109">
        <v>7</v>
      </c>
      <c r="Y109">
        <v>6</v>
      </c>
      <c r="Z109" t="s">
        <v>755</v>
      </c>
      <c r="AA109" t="s">
        <v>756</v>
      </c>
      <c r="AB109" t="s">
        <v>526</v>
      </c>
      <c r="AC109" t="s">
        <v>527</v>
      </c>
      <c r="AD109" t="s">
        <v>528</v>
      </c>
      <c r="AE109" t="s">
        <v>757</v>
      </c>
      <c r="AG109" t="s">
        <v>758</v>
      </c>
      <c r="AH109">
        <v>0</v>
      </c>
      <c r="AI109">
        <v>118</v>
      </c>
      <c r="AJ109">
        <v>22</v>
      </c>
      <c r="AK109">
        <v>324</v>
      </c>
      <c r="AL109">
        <v>0.75</v>
      </c>
    </row>
    <row r="110" spans="1:38" x14ac:dyDescent="0.3">
      <c r="A110" t="s">
        <v>752</v>
      </c>
      <c r="B110">
        <v>100895</v>
      </c>
      <c r="C110">
        <v>4</v>
      </c>
      <c r="D110" t="s">
        <v>753</v>
      </c>
      <c r="E110" t="s">
        <v>754</v>
      </c>
      <c r="F110">
        <v>432</v>
      </c>
      <c r="G110">
        <v>30.85</v>
      </c>
      <c r="H110">
        <v>101.99</v>
      </c>
      <c r="I110">
        <v>18.14</v>
      </c>
      <c r="J110">
        <v>59.98</v>
      </c>
      <c r="K110">
        <v>7</v>
      </c>
      <c r="T110">
        <v>3</v>
      </c>
      <c r="U110">
        <v>1</v>
      </c>
      <c r="V110" t="s">
        <v>541</v>
      </c>
      <c r="W110">
        <v>101</v>
      </c>
      <c r="X110">
        <v>7</v>
      </c>
      <c r="Y110">
        <v>6</v>
      </c>
      <c r="Z110" t="s">
        <v>755</v>
      </c>
      <c r="AA110" t="s">
        <v>756</v>
      </c>
      <c r="AB110" t="s">
        <v>526</v>
      </c>
      <c r="AC110" t="s">
        <v>527</v>
      </c>
      <c r="AD110" t="s">
        <v>528</v>
      </c>
      <c r="AE110" t="s">
        <v>757</v>
      </c>
      <c r="AG110" t="s">
        <v>758</v>
      </c>
      <c r="AH110">
        <v>0</v>
      </c>
      <c r="AI110">
        <v>118</v>
      </c>
      <c r="AJ110">
        <v>22</v>
      </c>
      <c r="AK110">
        <v>324</v>
      </c>
      <c r="AL110">
        <v>0.75</v>
      </c>
    </row>
    <row r="111" spans="1:38" x14ac:dyDescent="0.3">
      <c r="A111" t="s">
        <v>752</v>
      </c>
      <c r="B111">
        <v>118347</v>
      </c>
      <c r="C111">
        <v>1</v>
      </c>
      <c r="D111" t="s">
        <v>759</v>
      </c>
      <c r="E111" t="s">
        <v>760</v>
      </c>
      <c r="F111">
        <v>150</v>
      </c>
      <c r="G111">
        <v>13.09</v>
      </c>
      <c r="H111">
        <v>43.3</v>
      </c>
      <c r="I111">
        <v>9.42</v>
      </c>
      <c r="J111">
        <v>31.16</v>
      </c>
      <c r="K111">
        <v>2</v>
      </c>
      <c r="T111">
        <v>2</v>
      </c>
      <c r="U111">
        <v>1</v>
      </c>
      <c r="V111" t="s">
        <v>541</v>
      </c>
      <c r="W111" t="s">
        <v>761</v>
      </c>
      <c r="X111">
        <v>9</v>
      </c>
      <c r="Y111">
        <v>9</v>
      </c>
      <c r="Z111" t="s">
        <v>762</v>
      </c>
      <c r="AA111" t="s">
        <v>763</v>
      </c>
      <c r="AB111" t="s">
        <v>526</v>
      </c>
      <c r="AC111" t="s">
        <v>527</v>
      </c>
      <c r="AD111" t="s">
        <v>528</v>
      </c>
      <c r="AE111" t="s">
        <v>757</v>
      </c>
      <c r="AG111" t="s">
        <v>764</v>
      </c>
      <c r="AH111">
        <v>111</v>
      </c>
      <c r="AI111">
        <v>237</v>
      </c>
      <c r="AJ111">
        <v>26</v>
      </c>
      <c r="AK111">
        <v>103</v>
      </c>
      <c r="AL111">
        <v>0.69</v>
      </c>
    </row>
    <row r="112" spans="1:38" x14ac:dyDescent="0.3">
      <c r="A112" t="s">
        <v>752</v>
      </c>
      <c r="B112">
        <v>118347</v>
      </c>
      <c r="C112">
        <v>2</v>
      </c>
      <c r="D112" t="s">
        <v>759</v>
      </c>
      <c r="E112" t="s">
        <v>760</v>
      </c>
      <c r="F112">
        <v>150</v>
      </c>
      <c r="G112">
        <v>16.48</v>
      </c>
      <c r="H112">
        <v>54.51</v>
      </c>
      <c r="I112">
        <v>11.86</v>
      </c>
      <c r="J112">
        <v>39.229999999999997</v>
      </c>
      <c r="K112">
        <v>37</v>
      </c>
      <c r="T112">
        <v>2</v>
      </c>
      <c r="U112">
        <v>1</v>
      </c>
      <c r="V112" t="s">
        <v>541</v>
      </c>
      <c r="W112">
        <v>54</v>
      </c>
      <c r="X112">
        <v>9</v>
      </c>
      <c r="Y112">
        <v>9</v>
      </c>
      <c r="Z112" t="s">
        <v>762</v>
      </c>
      <c r="AA112" t="s">
        <v>763</v>
      </c>
      <c r="AB112" t="s">
        <v>526</v>
      </c>
      <c r="AC112" t="s">
        <v>527</v>
      </c>
      <c r="AD112" t="s">
        <v>528</v>
      </c>
      <c r="AE112" t="s">
        <v>757</v>
      </c>
      <c r="AG112" t="s">
        <v>764</v>
      </c>
      <c r="AH112">
        <v>111</v>
      </c>
      <c r="AI112">
        <v>237</v>
      </c>
      <c r="AJ112">
        <v>26</v>
      </c>
      <c r="AK112">
        <v>103</v>
      </c>
      <c r="AL112">
        <v>0.69</v>
      </c>
    </row>
    <row r="113" spans="1:38" x14ac:dyDescent="0.3">
      <c r="A113" t="s">
        <v>752</v>
      </c>
      <c r="B113">
        <v>105240</v>
      </c>
      <c r="C113">
        <v>1</v>
      </c>
      <c r="D113" t="s">
        <v>765</v>
      </c>
      <c r="E113" t="s">
        <v>766</v>
      </c>
      <c r="F113">
        <v>252</v>
      </c>
      <c r="G113">
        <v>7.78</v>
      </c>
      <c r="H113">
        <v>25.74</v>
      </c>
      <c r="I113">
        <v>7.78</v>
      </c>
      <c r="J113">
        <v>25.74</v>
      </c>
      <c r="K113">
        <v>66</v>
      </c>
      <c r="T113">
        <v>1</v>
      </c>
      <c r="U113">
        <v>1</v>
      </c>
      <c r="V113" t="s">
        <v>541</v>
      </c>
      <c r="W113" t="s">
        <v>152</v>
      </c>
      <c r="X113">
        <v>12</v>
      </c>
      <c r="Y113">
        <v>6</v>
      </c>
      <c r="Z113" t="s">
        <v>767</v>
      </c>
      <c r="AA113" t="s">
        <v>768</v>
      </c>
      <c r="AB113" t="s">
        <v>526</v>
      </c>
      <c r="AC113" t="s">
        <v>527</v>
      </c>
      <c r="AD113" t="s">
        <v>528</v>
      </c>
      <c r="AE113" t="s">
        <v>757</v>
      </c>
      <c r="AG113" t="s">
        <v>769</v>
      </c>
      <c r="AH113">
        <v>0</v>
      </c>
      <c r="AI113">
        <v>280</v>
      </c>
      <c r="AJ113">
        <v>38</v>
      </c>
      <c r="AK113">
        <v>127</v>
      </c>
      <c r="AL113">
        <v>0.5</v>
      </c>
    </row>
    <row r="114" spans="1:38" x14ac:dyDescent="0.3">
      <c r="A114" t="s">
        <v>752</v>
      </c>
      <c r="B114">
        <v>105240</v>
      </c>
      <c r="C114">
        <v>2</v>
      </c>
      <c r="D114" t="s">
        <v>765</v>
      </c>
      <c r="E114" t="s">
        <v>766</v>
      </c>
      <c r="F114">
        <v>252</v>
      </c>
      <c r="G114">
        <v>8.27</v>
      </c>
      <c r="H114">
        <v>27.36</v>
      </c>
      <c r="I114">
        <v>8.27</v>
      </c>
      <c r="J114">
        <v>27.36</v>
      </c>
      <c r="K114">
        <v>4</v>
      </c>
      <c r="T114">
        <v>1</v>
      </c>
      <c r="U114">
        <v>1</v>
      </c>
      <c r="V114" t="s">
        <v>541</v>
      </c>
      <c r="W114" t="s">
        <v>153</v>
      </c>
      <c r="X114">
        <v>12</v>
      </c>
      <c r="Y114">
        <v>6</v>
      </c>
      <c r="Z114" t="s">
        <v>767</v>
      </c>
      <c r="AA114" t="s">
        <v>768</v>
      </c>
      <c r="AB114" t="s">
        <v>526</v>
      </c>
      <c r="AC114" t="s">
        <v>527</v>
      </c>
      <c r="AD114" t="s">
        <v>528</v>
      </c>
      <c r="AE114" t="s">
        <v>757</v>
      </c>
      <c r="AG114" t="s">
        <v>769</v>
      </c>
      <c r="AH114">
        <v>0</v>
      </c>
      <c r="AI114">
        <v>280</v>
      </c>
      <c r="AJ114">
        <v>38</v>
      </c>
      <c r="AK114">
        <v>127</v>
      </c>
      <c r="AL114">
        <v>0.5</v>
      </c>
    </row>
    <row r="115" spans="1:38" x14ac:dyDescent="0.3">
      <c r="A115" t="s">
        <v>752</v>
      </c>
      <c r="B115">
        <v>105240</v>
      </c>
      <c r="C115">
        <v>3</v>
      </c>
      <c r="D115" t="s">
        <v>765</v>
      </c>
      <c r="E115" t="s">
        <v>766</v>
      </c>
      <c r="F115">
        <v>252</v>
      </c>
      <c r="G115">
        <v>10.59</v>
      </c>
      <c r="H115">
        <v>35.04</v>
      </c>
      <c r="I115">
        <v>10.59</v>
      </c>
      <c r="J115">
        <v>35.04</v>
      </c>
      <c r="K115">
        <v>1</v>
      </c>
      <c r="T115">
        <v>1</v>
      </c>
      <c r="U115">
        <v>1</v>
      </c>
      <c r="V115" t="s">
        <v>523</v>
      </c>
      <c r="W115">
        <v>35</v>
      </c>
      <c r="X115">
        <v>12</v>
      </c>
      <c r="Y115">
        <v>6</v>
      </c>
      <c r="Z115" t="s">
        <v>767</v>
      </c>
      <c r="AA115" t="s">
        <v>768</v>
      </c>
      <c r="AB115" t="s">
        <v>526</v>
      </c>
      <c r="AC115" t="s">
        <v>527</v>
      </c>
      <c r="AD115" t="s">
        <v>528</v>
      </c>
      <c r="AE115" t="s">
        <v>757</v>
      </c>
      <c r="AG115" t="s">
        <v>769</v>
      </c>
      <c r="AH115">
        <v>0</v>
      </c>
      <c r="AI115">
        <v>280</v>
      </c>
      <c r="AJ115">
        <v>38</v>
      </c>
      <c r="AK115">
        <v>127</v>
      </c>
      <c r="AL115">
        <v>0.5</v>
      </c>
    </row>
    <row r="116" spans="1:38" x14ac:dyDescent="0.3">
      <c r="A116" t="s">
        <v>752</v>
      </c>
      <c r="B116">
        <v>105240</v>
      </c>
      <c r="C116">
        <v>4</v>
      </c>
      <c r="D116" t="s">
        <v>765</v>
      </c>
      <c r="E116" t="s">
        <v>766</v>
      </c>
      <c r="F116">
        <v>252</v>
      </c>
      <c r="G116">
        <v>11.76</v>
      </c>
      <c r="H116">
        <v>38.880000000000003</v>
      </c>
      <c r="I116">
        <v>11.76</v>
      </c>
      <c r="J116">
        <v>38.880000000000003</v>
      </c>
      <c r="K116">
        <v>181</v>
      </c>
      <c r="T116">
        <v>2</v>
      </c>
      <c r="U116">
        <v>1</v>
      </c>
      <c r="V116" t="s">
        <v>541</v>
      </c>
      <c r="W116">
        <v>38</v>
      </c>
      <c r="X116">
        <v>12</v>
      </c>
      <c r="Y116">
        <v>6</v>
      </c>
      <c r="Z116" t="s">
        <v>767</v>
      </c>
      <c r="AA116" t="s">
        <v>768</v>
      </c>
      <c r="AB116" t="s">
        <v>526</v>
      </c>
      <c r="AC116" t="s">
        <v>527</v>
      </c>
      <c r="AD116" t="s">
        <v>528</v>
      </c>
      <c r="AE116" t="s">
        <v>757</v>
      </c>
      <c r="AG116" t="s">
        <v>769</v>
      </c>
      <c r="AH116">
        <v>0</v>
      </c>
      <c r="AI116">
        <v>280</v>
      </c>
      <c r="AJ116">
        <v>38</v>
      </c>
      <c r="AK116">
        <v>127</v>
      </c>
      <c r="AL116">
        <v>0.5</v>
      </c>
    </row>
    <row r="117" spans="1:38" x14ac:dyDescent="0.3">
      <c r="A117" t="s">
        <v>752</v>
      </c>
      <c r="B117">
        <v>105144</v>
      </c>
      <c r="C117">
        <v>1</v>
      </c>
      <c r="D117" t="s">
        <v>770</v>
      </c>
      <c r="E117" t="s">
        <v>771</v>
      </c>
      <c r="F117">
        <v>120</v>
      </c>
      <c r="G117">
        <v>19.34</v>
      </c>
      <c r="H117">
        <v>63.96</v>
      </c>
      <c r="I117">
        <v>19.34</v>
      </c>
      <c r="J117">
        <v>63.96</v>
      </c>
      <c r="K117">
        <v>62</v>
      </c>
      <c r="T117">
        <v>3</v>
      </c>
      <c r="U117">
        <v>1</v>
      </c>
      <c r="V117" t="s">
        <v>541</v>
      </c>
      <c r="W117" t="s">
        <v>772</v>
      </c>
      <c r="X117">
        <v>5</v>
      </c>
      <c r="Y117">
        <v>5</v>
      </c>
      <c r="Z117" t="s">
        <v>773</v>
      </c>
      <c r="AA117" t="s">
        <v>774</v>
      </c>
      <c r="AB117" t="s">
        <v>526</v>
      </c>
      <c r="AC117" t="s">
        <v>527</v>
      </c>
      <c r="AD117" t="s">
        <v>528</v>
      </c>
      <c r="AE117" t="s">
        <v>757</v>
      </c>
      <c r="AG117" t="s">
        <v>775</v>
      </c>
      <c r="AH117">
        <v>0</v>
      </c>
      <c r="AI117">
        <v>0</v>
      </c>
      <c r="AJ117">
        <v>0</v>
      </c>
      <c r="AK117">
        <v>0</v>
      </c>
      <c r="AL117">
        <v>0</v>
      </c>
    </row>
    <row r="118" spans="1:38" x14ac:dyDescent="0.3">
      <c r="A118" t="s">
        <v>752</v>
      </c>
      <c r="B118">
        <v>105144</v>
      </c>
      <c r="C118">
        <v>2</v>
      </c>
      <c r="D118" t="s">
        <v>770</v>
      </c>
      <c r="E118" t="s">
        <v>771</v>
      </c>
      <c r="F118">
        <v>120</v>
      </c>
      <c r="G118">
        <v>19.059999999999999</v>
      </c>
      <c r="H118">
        <v>63.02</v>
      </c>
      <c r="I118">
        <v>19.059999999999999</v>
      </c>
      <c r="J118">
        <v>63.02</v>
      </c>
      <c r="K118">
        <v>20</v>
      </c>
      <c r="T118">
        <v>3</v>
      </c>
      <c r="U118">
        <v>1</v>
      </c>
      <c r="V118" t="s">
        <v>541</v>
      </c>
      <c r="W118" t="s">
        <v>776</v>
      </c>
      <c r="X118">
        <v>5</v>
      </c>
      <c r="Y118">
        <v>5</v>
      </c>
      <c r="Z118" t="s">
        <v>773</v>
      </c>
      <c r="AA118" t="s">
        <v>774</v>
      </c>
      <c r="AB118" t="s">
        <v>526</v>
      </c>
      <c r="AC118" t="s">
        <v>527</v>
      </c>
      <c r="AD118" t="s">
        <v>528</v>
      </c>
      <c r="AE118" t="s">
        <v>757</v>
      </c>
      <c r="AG118" t="s">
        <v>775</v>
      </c>
      <c r="AH118">
        <v>0</v>
      </c>
      <c r="AI118">
        <v>0</v>
      </c>
      <c r="AJ118">
        <v>0</v>
      </c>
      <c r="AK118">
        <v>0</v>
      </c>
      <c r="AL118">
        <v>0</v>
      </c>
    </row>
    <row r="119" spans="1:38" x14ac:dyDescent="0.3">
      <c r="A119" t="s">
        <v>752</v>
      </c>
      <c r="B119">
        <v>105144</v>
      </c>
      <c r="C119">
        <v>3</v>
      </c>
      <c r="D119" t="s">
        <v>770</v>
      </c>
      <c r="E119" t="s">
        <v>771</v>
      </c>
      <c r="F119">
        <v>120</v>
      </c>
      <c r="G119">
        <v>19.39</v>
      </c>
      <c r="H119">
        <v>64.11</v>
      </c>
      <c r="I119">
        <v>19.39</v>
      </c>
      <c r="J119">
        <v>64.11</v>
      </c>
      <c r="K119">
        <v>28</v>
      </c>
      <c r="T119">
        <v>3</v>
      </c>
      <c r="U119">
        <v>1</v>
      </c>
      <c r="V119" t="s">
        <v>541</v>
      </c>
      <c r="W119" t="s">
        <v>777</v>
      </c>
      <c r="X119">
        <v>5</v>
      </c>
      <c r="Y119">
        <v>5</v>
      </c>
      <c r="Z119" t="s">
        <v>773</v>
      </c>
      <c r="AA119" t="s">
        <v>774</v>
      </c>
      <c r="AB119" t="s">
        <v>526</v>
      </c>
      <c r="AC119" t="s">
        <v>527</v>
      </c>
      <c r="AD119" t="s">
        <v>528</v>
      </c>
      <c r="AE119" t="s">
        <v>757</v>
      </c>
      <c r="AG119" t="s">
        <v>775</v>
      </c>
      <c r="AH119">
        <v>0</v>
      </c>
      <c r="AI119">
        <v>0</v>
      </c>
      <c r="AJ119">
        <v>0</v>
      </c>
      <c r="AK119">
        <v>0</v>
      </c>
      <c r="AL119">
        <v>0</v>
      </c>
    </row>
    <row r="120" spans="1:38" x14ac:dyDescent="0.3">
      <c r="A120" t="s">
        <v>752</v>
      </c>
      <c r="B120">
        <v>105144</v>
      </c>
      <c r="C120">
        <v>4</v>
      </c>
      <c r="D120" t="s">
        <v>770</v>
      </c>
      <c r="E120" t="s">
        <v>771</v>
      </c>
      <c r="F120">
        <v>120</v>
      </c>
      <c r="G120">
        <v>19.39</v>
      </c>
      <c r="H120">
        <v>64.099999999999994</v>
      </c>
      <c r="I120">
        <v>19.39</v>
      </c>
      <c r="J120">
        <v>64.099999999999994</v>
      </c>
      <c r="K120">
        <v>1</v>
      </c>
      <c r="T120">
        <v>3</v>
      </c>
      <c r="U120">
        <v>1</v>
      </c>
      <c r="V120" t="s">
        <v>541</v>
      </c>
      <c r="W120" t="s">
        <v>778</v>
      </c>
      <c r="X120">
        <v>5</v>
      </c>
      <c r="Y120">
        <v>5</v>
      </c>
      <c r="Z120" t="s">
        <v>773</v>
      </c>
      <c r="AA120" t="s">
        <v>774</v>
      </c>
      <c r="AB120" t="s">
        <v>526</v>
      </c>
      <c r="AC120" t="s">
        <v>527</v>
      </c>
      <c r="AD120" t="s">
        <v>528</v>
      </c>
      <c r="AE120" t="s">
        <v>757</v>
      </c>
      <c r="AG120" t="s">
        <v>775</v>
      </c>
      <c r="AH120">
        <v>0</v>
      </c>
      <c r="AI120">
        <v>0</v>
      </c>
      <c r="AJ120">
        <v>0</v>
      </c>
      <c r="AK120">
        <v>0</v>
      </c>
      <c r="AL120">
        <v>0</v>
      </c>
    </row>
    <row r="121" spans="1:38" x14ac:dyDescent="0.3">
      <c r="A121" t="s">
        <v>752</v>
      </c>
      <c r="B121">
        <v>105144</v>
      </c>
      <c r="C121">
        <v>5</v>
      </c>
      <c r="D121" t="s">
        <v>770</v>
      </c>
      <c r="E121" t="s">
        <v>771</v>
      </c>
      <c r="F121">
        <v>120</v>
      </c>
      <c r="G121">
        <v>19.440000000000001</v>
      </c>
      <c r="H121">
        <v>64.28</v>
      </c>
      <c r="I121">
        <v>19.440000000000001</v>
      </c>
      <c r="J121">
        <v>64.28</v>
      </c>
      <c r="K121">
        <v>1</v>
      </c>
      <c r="T121">
        <v>3</v>
      </c>
      <c r="U121">
        <v>1</v>
      </c>
      <c r="V121" t="s">
        <v>541</v>
      </c>
      <c r="W121" t="s">
        <v>779</v>
      </c>
      <c r="X121">
        <v>5</v>
      </c>
      <c r="Y121">
        <v>5</v>
      </c>
      <c r="Z121" t="s">
        <v>773</v>
      </c>
      <c r="AA121" t="s">
        <v>774</v>
      </c>
      <c r="AB121" t="s">
        <v>526</v>
      </c>
      <c r="AC121" t="s">
        <v>527</v>
      </c>
      <c r="AD121" t="s">
        <v>528</v>
      </c>
      <c r="AE121" t="s">
        <v>757</v>
      </c>
      <c r="AG121" t="s">
        <v>775</v>
      </c>
      <c r="AH121">
        <v>0</v>
      </c>
      <c r="AI121">
        <v>0</v>
      </c>
      <c r="AJ121">
        <v>0</v>
      </c>
      <c r="AK121">
        <v>0</v>
      </c>
      <c r="AL121">
        <v>0</v>
      </c>
    </row>
    <row r="122" spans="1:38" x14ac:dyDescent="0.3">
      <c r="A122" t="s">
        <v>752</v>
      </c>
      <c r="B122">
        <v>105144</v>
      </c>
      <c r="C122">
        <v>6</v>
      </c>
      <c r="D122" t="s">
        <v>770</v>
      </c>
      <c r="E122" t="s">
        <v>771</v>
      </c>
      <c r="F122">
        <v>120</v>
      </c>
      <c r="G122">
        <v>21.11</v>
      </c>
      <c r="H122">
        <v>69.81</v>
      </c>
      <c r="I122">
        <v>21.11</v>
      </c>
      <c r="J122">
        <v>69.81</v>
      </c>
      <c r="K122">
        <v>7</v>
      </c>
      <c r="T122">
        <v>3</v>
      </c>
      <c r="U122">
        <v>1</v>
      </c>
      <c r="V122" t="s">
        <v>541</v>
      </c>
      <c r="W122" t="s">
        <v>780</v>
      </c>
      <c r="X122">
        <v>5</v>
      </c>
      <c r="Y122">
        <v>5</v>
      </c>
      <c r="Z122" t="s">
        <v>773</v>
      </c>
      <c r="AA122" t="s">
        <v>774</v>
      </c>
      <c r="AB122" t="s">
        <v>526</v>
      </c>
      <c r="AC122" t="s">
        <v>527</v>
      </c>
      <c r="AD122" t="s">
        <v>528</v>
      </c>
      <c r="AE122" t="s">
        <v>757</v>
      </c>
      <c r="AG122" t="s">
        <v>775</v>
      </c>
      <c r="AH122">
        <v>0</v>
      </c>
      <c r="AI122">
        <v>0</v>
      </c>
      <c r="AJ122">
        <v>0</v>
      </c>
      <c r="AK122">
        <v>0</v>
      </c>
      <c r="AL122">
        <v>0</v>
      </c>
    </row>
    <row r="123" spans="1:38" x14ac:dyDescent="0.3">
      <c r="A123" t="s">
        <v>752</v>
      </c>
      <c r="B123">
        <v>105144</v>
      </c>
      <c r="C123">
        <v>7</v>
      </c>
      <c r="D123" t="s">
        <v>770</v>
      </c>
      <c r="E123" t="s">
        <v>771</v>
      </c>
      <c r="F123">
        <v>120</v>
      </c>
      <c r="G123">
        <v>21.11</v>
      </c>
      <c r="H123">
        <v>69.790000000000006</v>
      </c>
      <c r="I123">
        <v>21.11</v>
      </c>
      <c r="J123">
        <v>69.790000000000006</v>
      </c>
      <c r="K123">
        <v>1</v>
      </c>
      <c r="T123">
        <v>3</v>
      </c>
      <c r="U123">
        <v>1</v>
      </c>
      <c r="V123" t="s">
        <v>541</v>
      </c>
      <c r="W123" t="s">
        <v>781</v>
      </c>
      <c r="X123">
        <v>5</v>
      </c>
      <c r="Y123">
        <v>5</v>
      </c>
      <c r="Z123" t="s">
        <v>773</v>
      </c>
      <c r="AA123" t="s">
        <v>774</v>
      </c>
      <c r="AB123" t="s">
        <v>526</v>
      </c>
      <c r="AC123" t="s">
        <v>527</v>
      </c>
      <c r="AD123" t="s">
        <v>528</v>
      </c>
      <c r="AE123" t="s">
        <v>757</v>
      </c>
      <c r="AG123" t="s">
        <v>775</v>
      </c>
      <c r="AH123">
        <v>0</v>
      </c>
      <c r="AI123">
        <v>0</v>
      </c>
      <c r="AJ123">
        <v>0</v>
      </c>
      <c r="AK123">
        <v>0</v>
      </c>
      <c r="AL123">
        <v>0</v>
      </c>
    </row>
    <row r="124" spans="1:38" x14ac:dyDescent="0.3">
      <c r="A124" t="s">
        <v>752</v>
      </c>
      <c r="B124">
        <v>105600</v>
      </c>
      <c r="C124">
        <v>1</v>
      </c>
      <c r="D124" t="s">
        <v>782</v>
      </c>
      <c r="E124" t="s">
        <v>783</v>
      </c>
      <c r="F124">
        <v>122</v>
      </c>
      <c r="G124">
        <v>20.3</v>
      </c>
      <c r="H124">
        <v>67.14</v>
      </c>
      <c r="I124">
        <v>16.079999999999998</v>
      </c>
      <c r="J124">
        <v>53.19</v>
      </c>
      <c r="K124">
        <v>16</v>
      </c>
      <c r="T124">
        <v>3</v>
      </c>
      <c r="U124">
        <v>1</v>
      </c>
      <c r="V124" t="s">
        <v>541</v>
      </c>
      <c r="W124">
        <v>67</v>
      </c>
      <c r="X124">
        <v>5</v>
      </c>
      <c r="Y124">
        <v>4</v>
      </c>
      <c r="Z124" t="s">
        <v>784</v>
      </c>
      <c r="AA124" t="s">
        <v>785</v>
      </c>
      <c r="AB124" t="s">
        <v>526</v>
      </c>
      <c r="AC124" t="s">
        <v>527</v>
      </c>
      <c r="AD124" t="s">
        <v>528</v>
      </c>
      <c r="AE124" t="s">
        <v>757</v>
      </c>
      <c r="AG124" t="s">
        <v>786</v>
      </c>
      <c r="AH124">
        <v>0</v>
      </c>
      <c r="AI124">
        <v>0</v>
      </c>
      <c r="AJ124">
        <v>0</v>
      </c>
      <c r="AK124">
        <v>0</v>
      </c>
      <c r="AL124">
        <v>0</v>
      </c>
    </row>
    <row r="125" spans="1:38" x14ac:dyDescent="0.3">
      <c r="A125" t="s">
        <v>752</v>
      </c>
      <c r="B125">
        <v>105600</v>
      </c>
      <c r="C125">
        <v>2</v>
      </c>
      <c r="D125" t="s">
        <v>782</v>
      </c>
      <c r="E125" t="s">
        <v>783</v>
      </c>
      <c r="F125">
        <v>122</v>
      </c>
      <c r="G125">
        <v>20.99</v>
      </c>
      <c r="H125">
        <v>69.400000000000006</v>
      </c>
      <c r="I125">
        <v>16.63</v>
      </c>
      <c r="J125">
        <v>54.99</v>
      </c>
      <c r="K125">
        <v>16</v>
      </c>
      <c r="T125">
        <v>3</v>
      </c>
      <c r="U125">
        <v>1</v>
      </c>
      <c r="V125" t="s">
        <v>541</v>
      </c>
      <c r="W125" t="s">
        <v>781</v>
      </c>
      <c r="X125">
        <v>5</v>
      </c>
      <c r="Y125">
        <v>4</v>
      </c>
      <c r="Z125" t="s">
        <v>784</v>
      </c>
      <c r="AA125" t="s">
        <v>785</v>
      </c>
      <c r="AB125" t="s">
        <v>526</v>
      </c>
      <c r="AC125" t="s">
        <v>527</v>
      </c>
      <c r="AD125" t="s">
        <v>528</v>
      </c>
      <c r="AE125" t="s">
        <v>757</v>
      </c>
      <c r="AG125" t="s">
        <v>786</v>
      </c>
      <c r="AH125">
        <v>0</v>
      </c>
      <c r="AI125">
        <v>0</v>
      </c>
      <c r="AJ125">
        <v>0</v>
      </c>
      <c r="AK125">
        <v>0</v>
      </c>
      <c r="AL125">
        <v>0</v>
      </c>
    </row>
    <row r="126" spans="1:38" x14ac:dyDescent="0.3">
      <c r="A126" t="s">
        <v>752</v>
      </c>
      <c r="B126">
        <v>105600</v>
      </c>
      <c r="C126">
        <v>3</v>
      </c>
      <c r="D126" t="s">
        <v>782</v>
      </c>
      <c r="E126" t="s">
        <v>783</v>
      </c>
      <c r="F126">
        <v>122</v>
      </c>
      <c r="G126">
        <v>21.45</v>
      </c>
      <c r="H126">
        <v>70.92</v>
      </c>
      <c r="I126">
        <v>16.989999999999998</v>
      </c>
      <c r="J126">
        <v>56.19</v>
      </c>
      <c r="K126">
        <v>5</v>
      </c>
      <c r="T126">
        <v>3</v>
      </c>
      <c r="U126">
        <v>1</v>
      </c>
      <c r="V126" t="s">
        <v>541</v>
      </c>
      <c r="W126" t="s">
        <v>787</v>
      </c>
      <c r="X126">
        <v>5</v>
      </c>
      <c r="Y126">
        <v>4</v>
      </c>
      <c r="Z126" t="s">
        <v>784</v>
      </c>
      <c r="AA126" t="s">
        <v>785</v>
      </c>
      <c r="AB126" t="s">
        <v>526</v>
      </c>
      <c r="AC126" t="s">
        <v>527</v>
      </c>
      <c r="AD126" t="s">
        <v>528</v>
      </c>
      <c r="AE126" t="s">
        <v>757</v>
      </c>
      <c r="AG126" t="s">
        <v>786</v>
      </c>
      <c r="AH126">
        <v>0</v>
      </c>
      <c r="AI126">
        <v>0</v>
      </c>
      <c r="AJ126">
        <v>0</v>
      </c>
      <c r="AK126">
        <v>0</v>
      </c>
      <c r="AL126">
        <v>0</v>
      </c>
    </row>
    <row r="127" spans="1:38" x14ac:dyDescent="0.3">
      <c r="A127" t="s">
        <v>752</v>
      </c>
      <c r="B127">
        <v>105600</v>
      </c>
      <c r="C127">
        <v>4</v>
      </c>
      <c r="D127" t="s">
        <v>782</v>
      </c>
      <c r="E127" t="s">
        <v>783</v>
      </c>
      <c r="F127">
        <v>122</v>
      </c>
      <c r="G127">
        <v>22.01</v>
      </c>
      <c r="H127">
        <v>72.78</v>
      </c>
      <c r="I127">
        <v>17.440000000000001</v>
      </c>
      <c r="J127">
        <v>57.66</v>
      </c>
      <c r="K127">
        <v>16</v>
      </c>
      <c r="T127">
        <v>3</v>
      </c>
      <c r="U127">
        <v>1</v>
      </c>
      <c r="V127" t="s">
        <v>541</v>
      </c>
      <c r="W127" t="s">
        <v>91</v>
      </c>
      <c r="X127">
        <v>5</v>
      </c>
      <c r="Y127">
        <v>4</v>
      </c>
      <c r="Z127" t="s">
        <v>784</v>
      </c>
      <c r="AA127" t="s">
        <v>785</v>
      </c>
      <c r="AB127" t="s">
        <v>526</v>
      </c>
      <c r="AC127" t="s">
        <v>527</v>
      </c>
      <c r="AD127" t="s">
        <v>528</v>
      </c>
      <c r="AE127" t="s">
        <v>757</v>
      </c>
      <c r="AG127" t="s">
        <v>786</v>
      </c>
      <c r="AH127">
        <v>0</v>
      </c>
      <c r="AI127">
        <v>0</v>
      </c>
      <c r="AJ127">
        <v>0</v>
      </c>
      <c r="AK127">
        <v>0</v>
      </c>
      <c r="AL127">
        <v>0</v>
      </c>
    </row>
    <row r="128" spans="1:38" x14ac:dyDescent="0.3">
      <c r="A128" t="s">
        <v>752</v>
      </c>
      <c r="B128">
        <v>105600</v>
      </c>
      <c r="C128">
        <v>5</v>
      </c>
      <c r="D128" t="s">
        <v>782</v>
      </c>
      <c r="E128" t="s">
        <v>783</v>
      </c>
      <c r="F128">
        <v>122</v>
      </c>
      <c r="G128">
        <v>22.36</v>
      </c>
      <c r="H128">
        <v>73.95</v>
      </c>
      <c r="I128">
        <v>17.72</v>
      </c>
      <c r="J128">
        <v>58.59</v>
      </c>
      <c r="K128">
        <v>4</v>
      </c>
      <c r="T128">
        <v>3</v>
      </c>
      <c r="U128">
        <v>1</v>
      </c>
      <c r="V128" t="s">
        <v>541</v>
      </c>
      <c r="W128" t="s">
        <v>304</v>
      </c>
      <c r="X128">
        <v>5</v>
      </c>
      <c r="Y128">
        <v>4</v>
      </c>
      <c r="Z128" t="s">
        <v>784</v>
      </c>
      <c r="AA128" t="s">
        <v>785</v>
      </c>
      <c r="AB128" t="s">
        <v>526</v>
      </c>
      <c r="AC128" t="s">
        <v>527</v>
      </c>
      <c r="AD128" t="s">
        <v>528</v>
      </c>
      <c r="AE128" t="s">
        <v>757</v>
      </c>
      <c r="AG128" t="s">
        <v>786</v>
      </c>
      <c r="AH128">
        <v>0</v>
      </c>
      <c r="AI128">
        <v>0</v>
      </c>
      <c r="AJ128">
        <v>0</v>
      </c>
      <c r="AK128">
        <v>0</v>
      </c>
      <c r="AL128">
        <v>0</v>
      </c>
    </row>
    <row r="129" spans="1:38" x14ac:dyDescent="0.3">
      <c r="A129" t="s">
        <v>752</v>
      </c>
      <c r="B129">
        <v>105600</v>
      </c>
      <c r="C129">
        <v>6</v>
      </c>
      <c r="D129" t="s">
        <v>782</v>
      </c>
      <c r="E129" t="s">
        <v>783</v>
      </c>
      <c r="F129">
        <v>122</v>
      </c>
      <c r="G129">
        <v>22.47</v>
      </c>
      <c r="H129">
        <v>74.290000000000006</v>
      </c>
      <c r="I129">
        <v>17.8</v>
      </c>
      <c r="J129">
        <v>58.86</v>
      </c>
      <c r="K129">
        <v>35</v>
      </c>
      <c r="T129">
        <v>3</v>
      </c>
      <c r="U129">
        <v>1</v>
      </c>
      <c r="V129" t="s">
        <v>541</v>
      </c>
      <c r="W129" t="s">
        <v>335</v>
      </c>
      <c r="X129">
        <v>5</v>
      </c>
      <c r="Y129">
        <v>4</v>
      </c>
      <c r="Z129" t="s">
        <v>784</v>
      </c>
      <c r="AA129" t="s">
        <v>785</v>
      </c>
      <c r="AB129" t="s">
        <v>526</v>
      </c>
      <c r="AC129" t="s">
        <v>527</v>
      </c>
      <c r="AD129" t="s">
        <v>528</v>
      </c>
      <c r="AE129" t="s">
        <v>757</v>
      </c>
      <c r="AG129" t="s">
        <v>786</v>
      </c>
      <c r="AH129">
        <v>0</v>
      </c>
      <c r="AI129">
        <v>0</v>
      </c>
      <c r="AJ129">
        <v>0</v>
      </c>
      <c r="AK129">
        <v>0</v>
      </c>
      <c r="AL129">
        <v>0</v>
      </c>
    </row>
    <row r="130" spans="1:38" x14ac:dyDescent="0.3">
      <c r="A130" t="s">
        <v>752</v>
      </c>
      <c r="B130">
        <v>105600</v>
      </c>
      <c r="C130">
        <v>7</v>
      </c>
      <c r="D130" t="s">
        <v>782</v>
      </c>
      <c r="E130" t="s">
        <v>783</v>
      </c>
      <c r="F130">
        <v>122</v>
      </c>
      <c r="G130">
        <v>22.88</v>
      </c>
      <c r="H130">
        <v>75.66</v>
      </c>
      <c r="I130">
        <v>18.13</v>
      </c>
      <c r="J130">
        <v>59.94</v>
      </c>
      <c r="K130">
        <v>30</v>
      </c>
      <c r="T130">
        <v>3</v>
      </c>
      <c r="U130">
        <v>1</v>
      </c>
      <c r="V130" t="s">
        <v>541</v>
      </c>
      <c r="W130">
        <v>75</v>
      </c>
      <c r="X130">
        <v>5</v>
      </c>
      <c r="Y130">
        <v>4</v>
      </c>
      <c r="Z130" t="s">
        <v>784</v>
      </c>
      <c r="AA130" t="s">
        <v>785</v>
      </c>
      <c r="AB130" t="s">
        <v>526</v>
      </c>
      <c r="AC130" t="s">
        <v>527</v>
      </c>
      <c r="AD130" t="s">
        <v>528</v>
      </c>
      <c r="AE130" t="s">
        <v>757</v>
      </c>
      <c r="AG130" t="s">
        <v>786</v>
      </c>
      <c r="AH130">
        <v>0</v>
      </c>
      <c r="AI130">
        <v>0</v>
      </c>
      <c r="AJ130">
        <v>0</v>
      </c>
      <c r="AK130">
        <v>0</v>
      </c>
      <c r="AL130">
        <v>0</v>
      </c>
    </row>
    <row r="131" spans="1:38" x14ac:dyDescent="0.3">
      <c r="A131" t="s">
        <v>752</v>
      </c>
      <c r="B131">
        <v>17097</v>
      </c>
      <c r="C131">
        <v>1</v>
      </c>
      <c r="D131" t="s">
        <v>788</v>
      </c>
      <c r="E131" t="s">
        <v>789</v>
      </c>
      <c r="F131">
        <v>195</v>
      </c>
      <c r="G131">
        <v>24.8</v>
      </c>
      <c r="H131">
        <v>82.01</v>
      </c>
      <c r="I131">
        <v>17.809999999999999</v>
      </c>
      <c r="J131">
        <v>58.89</v>
      </c>
      <c r="K131">
        <v>195</v>
      </c>
      <c r="T131">
        <v>3</v>
      </c>
      <c r="U131">
        <v>1</v>
      </c>
      <c r="V131" t="s">
        <v>523</v>
      </c>
      <c r="W131">
        <v>82</v>
      </c>
      <c r="X131">
        <v>15</v>
      </c>
      <c r="Y131">
        <v>6</v>
      </c>
      <c r="Z131" t="s">
        <v>790</v>
      </c>
      <c r="AA131" t="s">
        <v>791</v>
      </c>
      <c r="AB131" t="s">
        <v>526</v>
      </c>
      <c r="AC131" t="s">
        <v>527</v>
      </c>
      <c r="AD131" t="s">
        <v>528</v>
      </c>
      <c r="AE131" t="s">
        <v>757</v>
      </c>
      <c r="AG131" t="s">
        <v>792</v>
      </c>
      <c r="AH131">
        <v>0</v>
      </c>
      <c r="AI131">
        <v>0</v>
      </c>
      <c r="AJ131">
        <v>0</v>
      </c>
      <c r="AK131">
        <v>0</v>
      </c>
      <c r="AL131">
        <v>0</v>
      </c>
    </row>
    <row r="132" spans="1:38" x14ac:dyDescent="0.3">
      <c r="A132" t="s">
        <v>752</v>
      </c>
      <c r="B132">
        <v>120340</v>
      </c>
      <c r="C132">
        <v>1</v>
      </c>
      <c r="D132" t="s">
        <v>793</v>
      </c>
      <c r="E132" t="s">
        <v>794</v>
      </c>
      <c r="F132">
        <v>98</v>
      </c>
      <c r="G132">
        <v>33</v>
      </c>
      <c r="H132">
        <v>109.1</v>
      </c>
      <c r="I132">
        <v>25.57</v>
      </c>
      <c r="J132">
        <v>84.54</v>
      </c>
      <c r="K132">
        <v>98</v>
      </c>
      <c r="T132">
        <v>3</v>
      </c>
      <c r="U132">
        <v>2</v>
      </c>
      <c r="V132" t="s">
        <v>523</v>
      </c>
      <c r="W132">
        <v>109</v>
      </c>
      <c r="X132">
        <v>5</v>
      </c>
      <c r="Y132">
        <v>5</v>
      </c>
      <c r="Z132" t="s">
        <v>795</v>
      </c>
      <c r="AA132" t="s">
        <v>796</v>
      </c>
      <c r="AB132" t="s">
        <v>526</v>
      </c>
      <c r="AC132" t="s">
        <v>527</v>
      </c>
      <c r="AD132" t="s">
        <v>528</v>
      </c>
      <c r="AE132" t="s">
        <v>757</v>
      </c>
      <c r="AG132" t="s">
        <v>797</v>
      </c>
      <c r="AH132">
        <v>0</v>
      </c>
      <c r="AI132">
        <v>166</v>
      </c>
      <c r="AJ132">
        <v>35</v>
      </c>
      <c r="AK132">
        <v>27</v>
      </c>
      <c r="AL132">
        <v>0.28000000000000003</v>
      </c>
    </row>
    <row r="133" spans="1:38" x14ac:dyDescent="0.3">
      <c r="A133" t="s">
        <v>752</v>
      </c>
      <c r="B133">
        <v>105211</v>
      </c>
      <c r="C133">
        <v>1</v>
      </c>
      <c r="D133" t="s">
        <v>798</v>
      </c>
      <c r="E133" t="s">
        <v>799</v>
      </c>
      <c r="F133">
        <v>185</v>
      </c>
      <c r="G133">
        <v>17.7</v>
      </c>
      <c r="H133">
        <v>58.52</v>
      </c>
      <c r="I133">
        <v>14.22</v>
      </c>
      <c r="J133">
        <v>47.01</v>
      </c>
      <c r="K133">
        <v>185</v>
      </c>
      <c r="T133">
        <v>2</v>
      </c>
      <c r="U133">
        <v>1</v>
      </c>
      <c r="V133" t="s">
        <v>541</v>
      </c>
      <c r="W133">
        <v>58</v>
      </c>
      <c r="X133">
        <v>5</v>
      </c>
      <c r="Y133">
        <v>5</v>
      </c>
      <c r="Z133" t="s">
        <v>800</v>
      </c>
      <c r="AA133" t="s">
        <v>801</v>
      </c>
      <c r="AB133" t="s">
        <v>526</v>
      </c>
      <c r="AC133" t="s">
        <v>527</v>
      </c>
      <c r="AD133" t="s">
        <v>528</v>
      </c>
      <c r="AE133" t="s">
        <v>757</v>
      </c>
      <c r="AG133" t="s">
        <v>802</v>
      </c>
      <c r="AH133">
        <v>0</v>
      </c>
      <c r="AI133">
        <v>0</v>
      </c>
      <c r="AJ133">
        <v>0</v>
      </c>
      <c r="AK133">
        <v>0</v>
      </c>
      <c r="AL133">
        <v>0</v>
      </c>
    </row>
    <row r="134" spans="1:38" x14ac:dyDescent="0.3">
      <c r="A134" t="s">
        <v>752</v>
      </c>
      <c r="B134">
        <v>105209</v>
      </c>
      <c r="C134">
        <v>1</v>
      </c>
      <c r="D134" t="s">
        <v>803</v>
      </c>
      <c r="E134" t="s">
        <v>804</v>
      </c>
      <c r="F134">
        <v>154</v>
      </c>
      <c r="G134">
        <v>19.059999999999999</v>
      </c>
      <c r="H134">
        <v>63.03</v>
      </c>
      <c r="I134">
        <v>14.78</v>
      </c>
      <c r="J134">
        <v>48.87</v>
      </c>
      <c r="K134">
        <v>48</v>
      </c>
      <c r="T134">
        <v>2</v>
      </c>
      <c r="U134">
        <v>1</v>
      </c>
      <c r="V134" t="s">
        <v>541</v>
      </c>
      <c r="W134">
        <v>63</v>
      </c>
      <c r="X134">
        <v>6</v>
      </c>
      <c r="Y134">
        <v>5</v>
      </c>
      <c r="Z134" t="s">
        <v>805</v>
      </c>
      <c r="AA134" t="s">
        <v>806</v>
      </c>
      <c r="AB134" t="s">
        <v>526</v>
      </c>
      <c r="AC134" t="s">
        <v>527</v>
      </c>
      <c r="AD134" t="s">
        <v>528</v>
      </c>
      <c r="AE134" t="s">
        <v>757</v>
      </c>
      <c r="AG134" t="s">
        <v>807</v>
      </c>
      <c r="AH134">
        <v>0</v>
      </c>
      <c r="AI134">
        <v>0</v>
      </c>
      <c r="AJ134">
        <v>0</v>
      </c>
      <c r="AK134">
        <v>0</v>
      </c>
      <c r="AL134">
        <v>0</v>
      </c>
    </row>
    <row r="135" spans="1:38" x14ac:dyDescent="0.3">
      <c r="A135" t="s">
        <v>752</v>
      </c>
      <c r="B135">
        <v>105209</v>
      </c>
      <c r="C135">
        <v>2</v>
      </c>
      <c r="D135" t="s">
        <v>803</v>
      </c>
      <c r="E135" t="s">
        <v>804</v>
      </c>
      <c r="F135">
        <v>154</v>
      </c>
      <c r="G135">
        <v>19.86</v>
      </c>
      <c r="H135">
        <v>65.67</v>
      </c>
      <c r="I135">
        <v>18.12</v>
      </c>
      <c r="J135">
        <v>59.91</v>
      </c>
      <c r="K135">
        <v>70</v>
      </c>
      <c r="T135">
        <v>3</v>
      </c>
      <c r="U135">
        <v>1</v>
      </c>
      <c r="V135" t="s">
        <v>541</v>
      </c>
      <c r="W135">
        <v>65</v>
      </c>
      <c r="X135">
        <v>6</v>
      </c>
      <c r="Y135">
        <v>5</v>
      </c>
      <c r="Z135" t="s">
        <v>805</v>
      </c>
      <c r="AA135" t="s">
        <v>806</v>
      </c>
      <c r="AB135" t="s">
        <v>526</v>
      </c>
      <c r="AC135" t="s">
        <v>527</v>
      </c>
      <c r="AD135" t="s">
        <v>528</v>
      </c>
      <c r="AE135" t="s">
        <v>757</v>
      </c>
      <c r="AG135" t="s">
        <v>807</v>
      </c>
      <c r="AH135">
        <v>0</v>
      </c>
      <c r="AI135">
        <v>0</v>
      </c>
      <c r="AJ135">
        <v>0</v>
      </c>
      <c r="AK135">
        <v>0</v>
      </c>
      <c r="AL135">
        <v>0</v>
      </c>
    </row>
    <row r="136" spans="1:38" x14ac:dyDescent="0.3">
      <c r="A136" t="s">
        <v>752</v>
      </c>
      <c r="B136">
        <v>105209</v>
      </c>
      <c r="C136">
        <v>3</v>
      </c>
      <c r="D136" t="s">
        <v>803</v>
      </c>
      <c r="E136" t="s">
        <v>804</v>
      </c>
      <c r="F136">
        <v>154</v>
      </c>
      <c r="G136">
        <v>22.65</v>
      </c>
      <c r="H136">
        <v>74.89</v>
      </c>
      <c r="I136">
        <v>17.850000000000001</v>
      </c>
      <c r="J136">
        <v>59.01</v>
      </c>
      <c r="K136">
        <v>36</v>
      </c>
      <c r="T136">
        <v>2</v>
      </c>
      <c r="U136">
        <v>1</v>
      </c>
      <c r="V136" t="s">
        <v>541</v>
      </c>
      <c r="W136">
        <v>74</v>
      </c>
      <c r="X136">
        <v>6</v>
      </c>
      <c r="Y136">
        <v>5</v>
      </c>
      <c r="Z136" t="s">
        <v>805</v>
      </c>
      <c r="AA136" t="s">
        <v>806</v>
      </c>
      <c r="AB136" t="s">
        <v>526</v>
      </c>
      <c r="AC136" t="s">
        <v>527</v>
      </c>
      <c r="AD136" t="s">
        <v>528</v>
      </c>
      <c r="AE136" t="s">
        <v>757</v>
      </c>
      <c r="AG136" t="s">
        <v>807</v>
      </c>
      <c r="AH136">
        <v>0</v>
      </c>
      <c r="AI136">
        <v>0</v>
      </c>
      <c r="AJ136">
        <v>0</v>
      </c>
      <c r="AK136">
        <v>0</v>
      </c>
      <c r="AL136">
        <v>0</v>
      </c>
    </row>
    <row r="137" spans="1:38" x14ac:dyDescent="0.3">
      <c r="A137" t="s">
        <v>752</v>
      </c>
      <c r="B137">
        <v>109122</v>
      </c>
      <c r="C137">
        <v>1</v>
      </c>
      <c r="D137" t="s">
        <v>808</v>
      </c>
      <c r="E137" t="s">
        <v>809</v>
      </c>
      <c r="F137">
        <v>80</v>
      </c>
      <c r="G137">
        <v>32.32</v>
      </c>
      <c r="H137">
        <v>106.85</v>
      </c>
      <c r="I137">
        <v>25.32</v>
      </c>
      <c r="J137">
        <v>83.71</v>
      </c>
      <c r="K137">
        <v>40</v>
      </c>
      <c r="T137">
        <v>3</v>
      </c>
      <c r="U137">
        <v>2</v>
      </c>
      <c r="V137" t="s">
        <v>541</v>
      </c>
      <c r="W137">
        <v>106</v>
      </c>
      <c r="X137">
        <v>5</v>
      </c>
      <c r="Y137">
        <v>5</v>
      </c>
      <c r="Z137" t="s">
        <v>810</v>
      </c>
      <c r="AA137" t="s">
        <v>811</v>
      </c>
      <c r="AB137" t="s">
        <v>526</v>
      </c>
      <c r="AC137" t="s">
        <v>527</v>
      </c>
      <c r="AD137" t="s">
        <v>528</v>
      </c>
      <c r="AE137" t="s">
        <v>757</v>
      </c>
      <c r="AG137" t="s">
        <v>812</v>
      </c>
      <c r="AH137">
        <v>0</v>
      </c>
      <c r="AI137">
        <v>0</v>
      </c>
      <c r="AJ137">
        <v>0</v>
      </c>
      <c r="AK137">
        <v>0</v>
      </c>
      <c r="AL137">
        <v>0</v>
      </c>
    </row>
    <row r="138" spans="1:38" x14ac:dyDescent="0.3">
      <c r="A138" t="s">
        <v>752</v>
      </c>
      <c r="B138">
        <v>109122</v>
      </c>
      <c r="C138">
        <v>2</v>
      </c>
      <c r="D138" t="s">
        <v>808</v>
      </c>
      <c r="E138" t="s">
        <v>809</v>
      </c>
      <c r="F138">
        <v>80</v>
      </c>
      <c r="G138">
        <v>32.65</v>
      </c>
      <c r="H138">
        <v>107.95</v>
      </c>
      <c r="I138">
        <v>25.58</v>
      </c>
      <c r="J138">
        <v>84.58</v>
      </c>
      <c r="K138">
        <v>40</v>
      </c>
      <c r="T138">
        <v>3</v>
      </c>
      <c r="U138">
        <v>2</v>
      </c>
      <c r="V138" t="s">
        <v>541</v>
      </c>
      <c r="W138">
        <v>107</v>
      </c>
      <c r="X138">
        <v>5</v>
      </c>
      <c r="Y138">
        <v>5</v>
      </c>
      <c r="Z138" t="s">
        <v>810</v>
      </c>
      <c r="AA138" t="s">
        <v>811</v>
      </c>
      <c r="AB138" t="s">
        <v>526</v>
      </c>
      <c r="AC138" t="s">
        <v>527</v>
      </c>
      <c r="AD138" t="s">
        <v>528</v>
      </c>
      <c r="AE138" t="s">
        <v>757</v>
      </c>
      <c r="AG138" t="s">
        <v>812</v>
      </c>
      <c r="AH138">
        <v>0</v>
      </c>
      <c r="AI138">
        <v>0</v>
      </c>
      <c r="AJ138">
        <v>0</v>
      </c>
      <c r="AK138">
        <v>0</v>
      </c>
      <c r="AL138">
        <v>0</v>
      </c>
    </row>
    <row r="139" spans="1:38" x14ac:dyDescent="0.3">
      <c r="A139" t="s">
        <v>752</v>
      </c>
      <c r="B139">
        <v>5388</v>
      </c>
      <c r="C139">
        <v>1</v>
      </c>
      <c r="D139" t="s">
        <v>813</v>
      </c>
      <c r="E139" t="s">
        <v>662</v>
      </c>
      <c r="F139">
        <v>244</v>
      </c>
      <c r="G139">
        <v>23.85</v>
      </c>
      <c r="H139">
        <v>78.849999999999994</v>
      </c>
      <c r="I139">
        <v>18.05</v>
      </c>
      <c r="J139">
        <v>59.7</v>
      </c>
      <c r="K139">
        <v>162</v>
      </c>
      <c r="T139">
        <v>2</v>
      </c>
      <c r="U139">
        <v>1</v>
      </c>
      <c r="V139" t="s">
        <v>523</v>
      </c>
      <c r="W139">
        <v>78</v>
      </c>
      <c r="X139">
        <v>18</v>
      </c>
      <c r="Y139">
        <v>9</v>
      </c>
      <c r="Z139" t="s">
        <v>814</v>
      </c>
      <c r="AA139" t="s">
        <v>815</v>
      </c>
      <c r="AB139" t="s">
        <v>526</v>
      </c>
      <c r="AC139" t="s">
        <v>527</v>
      </c>
      <c r="AD139" t="s">
        <v>528</v>
      </c>
      <c r="AE139" t="s">
        <v>757</v>
      </c>
      <c r="AG139" t="s">
        <v>816</v>
      </c>
      <c r="AH139">
        <v>0</v>
      </c>
      <c r="AI139">
        <v>279</v>
      </c>
      <c r="AJ139">
        <v>22</v>
      </c>
      <c r="AK139">
        <v>58</v>
      </c>
      <c r="AL139">
        <v>0.24</v>
      </c>
    </row>
    <row r="140" spans="1:38" x14ac:dyDescent="0.3">
      <c r="A140" t="s">
        <v>752</v>
      </c>
      <c r="B140">
        <v>5388</v>
      </c>
      <c r="C140">
        <v>2</v>
      </c>
      <c r="D140" t="s">
        <v>813</v>
      </c>
      <c r="E140" t="s">
        <v>662</v>
      </c>
      <c r="F140">
        <v>244</v>
      </c>
      <c r="G140">
        <v>33.82</v>
      </c>
      <c r="H140">
        <v>111.81</v>
      </c>
      <c r="I140">
        <v>25.6</v>
      </c>
      <c r="J140">
        <v>84.66</v>
      </c>
      <c r="K140">
        <v>82</v>
      </c>
      <c r="T140">
        <v>3</v>
      </c>
      <c r="U140">
        <v>2</v>
      </c>
      <c r="V140" t="s">
        <v>523</v>
      </c>
      <c r="W140">
        <v>111</v>
      </c>
      <c r="X140">
        <v>18</v>
      </c>
      <c r="Y140">
        <v>9</v>
      </c>
      <c r="Z140" t="s">
        <v>814</v>
      </c>
      <c r="AA140" t="s">
        <v>815</v>
      </c>
      <c r="AB140" t="s">
        <v>526</v>
      </c>
      <c r="AC140" t="s">
        <v>527</v>
      </c>
      <c r="AD140" t="s">
        <v>528</v>
      </c>
      <c r="AE140" t="s">
        <v>757</v>
      </c>
      <c r="AG140" t="s">
        <v>816</v>
      </c>
      <c r="AH140">
        <v>0</v>
      </c>
      <c r="AI140">
        <v>279</v>
      </c>
      <c r="AJ140">
        <v>22</v>
      </c>
      <c r="AK140">
        <v>58</v>
      </c>
      <c r="AL140">
        <v>0.24</v>
      </c>
    </row>
    <row r="141" spans="1:38" x14ac:dyDescent="0.3">
      <c r="A141" t="s">
        <v>752</v>
      </c>
      <c r="B141">
        <v>5384</v>
      </c>
      <c r="C141">
        <v>1</v>
      </c>
      <c r="D141" t="s">
        <v>817</v>
      </c>
      <c r="E141" t="s">
        <v>818</v>
      </c>
      <c r="F141">
        <v>223</v>
      </c>
      <c r="G141">
        <v>23.75</v>
      </c>
      <c r="H141">
        <v>78.52</v>
      </c>
      <c r="I141">
        <v>18.149999999999999</v>
      </c>
      <c r="J141">
        <v>60</v>
      </c>
      <c r="K141">
        <v>121</v>
      </c>
      <c r="T141">
        <v>3</v>
      </c>
      <c r="U141">
        <v>1</v>
      </c>
      <c r="V141" t="s">
        <v>523</v>
      </c>
      <c r="W141">
        <v>78</v>
      </c>
      <c r="X141">
        <v>18</v>
      </c>
      <c r="Y141">
        <v>10</v>
      </c>
      <c r="Z141" t="s">
        <v>819</v>
      </c>
      <c r="AA141" t="s">
        <v>820</v>
      </c>
      <c r="AB141" t="s">
        <v>526</v>
      </c>
      <c r="AC141" t="s">
        <v>527</v>
      </c>
      <c r="AD141" t="s">
        <v>528</v>
      </c>
      <c r="AE141" t="s">
        <v>757</v>
      </c>
      <c r="AG141" t="s">
        <v>821</v>
      </c>
      <c r="AH141">
        <v>0</v>
      </c>
      <c r="AI141">
        <v>265</v>
      </c>
      <c r="AJ141">
        <v>38</v>
      </c>
      <c r="AK141">
        <v>194</v>
      </c>
      <c r="AL141">
        <v>0.87</v>
      </c>
    </row>
    <row r="142" spans="1:38" x14ac:dyDescent="0.3">
      <c r="A142" t="s">
        <v>752</v>
      </c>
      <c r="B142">
        <v>5384</v>
      </c>
      <c r="C142">
        <v>2</v>
      </c>
      <c r="D142" t="s">
        <v>817</v>
      </c>
      <c r="E142" t="s">
        <v>818</v>
      </c>
      <c r="F142">
        <v>223</v>
      </c>
      <c r="G142">
        <v>31.99</v>
      </c>
      <c r="H142">
        <v>105.76</v>
      </c>
      <c r="I142">
        <v>25.67</v>
      </c>
      <c r="J142">
        <v>84.87</v>
      </c>
      <c r="K142">
        <v>102</v>
      </c>
      <c r="T142">
        <v>3</v>
      </c>
      <c r="U142">
        <v>2</v>
      </c>
      <c r="V142" t="s">
        <v>523</v>
      </c>
      <c r="W142">
        <v>105</v>
      </c>
      <c r="X142">
        <v>18</v>
      </c>
      <c r="Y142">
        <v>10</v>
      </c>
      <c r="Z142" t="s">
        <v>819</v>
      </c>
      <c r="AA142" t="s">
        <v>820</v>
      </c>
      <c r="AB142" t="s">
        <v>526</v>
      </c>
      <c r="AC142" t="s">
        <v>527</v>
      </c>
      <c r="AD142" t="s">
        <v>528</v>
      </c>
      <c r="AE142" t="s">
        <v>757</v>
      </c>
      <c r="AG142" t="s">
        <v>821</v>
      </c>
      <c r="AH142">
        <v>0</v>
      </c>
      <c r="AI142">
        <v>265</v>
      </c>
      <c r="AJ142">
        <v>38</v>
      </c>
      <c r="AK142">
        <v>194</v>
      </c>
      <c r="AL142">
        <v>0.87</v>
      </c>
    </row>
    <row r="143" spans="1:38" x14ac:dyDescent="0.3">
      <c r="A143" t="s">
        <v>752</v>
      </c>
      <c r="B143">
        <v>109161</v>
      </c>
      <c r="C143">
        <v>1</v>
      </c>
      <c r="D143" t="s">
        <v>822</v>
      </c>
      <c r="E143" t="s">
        <v>652</v>
      </c>
      <c r="F143">
        <v>110</v>
      </c>
      <c r="G143">
        <v>17.420000000000002</v>
      </c>
      <c r="H143">
        <v>57.6</v>
      </c>
      <c r="I143">
        <v>15.68</v>
      </c>
      <c r="J143">
        <v>51.84</v>
      </c>
      <c r="K143">
        <v>65</v>
      </c>
      <c r="T143">
        <v>3</v>
      </c>
      <c r="U143">
        <v>1</v>
      </c>
      <c r="V143" t="s">
        <v>541</v>
      </c>
      <c r="W143">
        <v>57</v>
      </c>
      <c r="X143">
        <v>5</v>
      </c>
      <c r="Y143">
        <v>5</v>
      </c>
      <c r="Z143" t="s">
        <v>823</v>
      </c>
      <c r="AA143" t="s">
        <v>824</v>
      </c>
      <c r="AB143" t="s">
        <v>526</v>
      </c>
      <c r="AC143" t="s">
        <v>527</v>
      </c>
      <c r="AD143" t="s">
        <v>528</v>
      </c>
      <c r="AE143" t="s">
        <v>757</v>
      </c>
      <c r="AG143" t="s">
        <v>825</v>
      </c>
      <c r="AH143">
        <v>0</v>
      </c>
      <c r="AI143">
        <v>122</v>
      </c>
      <c r="AJ143">
        <v>26</v>
      </c>
      <c r="AK143">
        <v>0</v>
      </c>
      <c r="AL143">
        <v>0</v>
      </c>
    </row>
    <row r="144" spans="1:38" x14ac:dyDescent="0.3">
      <c r="A144" t="s">
        <v>752</v>
      </c>
      <c r="B144">
        <v>109161</v>
      </c>
      <c r="C144">
        <v>2</v>
      </c>
      <c r="D144" t="s">
        <v>822</v>
      </c>
      <c r="E144" t="s">
        <v>652</v>
      </c>
      <c r="F144">
        <v>110</v>
      </c>
      <c r="G144">
        <v>18.29</v>
      </c>
      <c r="H144">
        <v>60.48</v>
      </c>
      <c r="I144">
        <v>16.55</v>
      </c>
      <c r="J144">
        <v>54.72</v>
      </c>
      <c r="K144">
        <v>40</v>
      </c>
      <c r="T144">
        <v>3</v>
      </c>
      <c r="U144">
        <v>1</v>
      </c>
      <c r="V144" t="s">
        <v>541</v>
      </c>
      <c r="W144">
        <v>60</v>
      </c>
      <c r="X144">
        <v>5</v>
      </c>
      <c r="Y144">
        <v>5</v>
      </c>
      <c r="Z144" t="s">
        <v>823</v>
      </c>
      <c r="AA144" t="s">
        <v>824</v>
      </c>
      <c r="AB144" t="s">
        <v>526</v>
      </c>
      <c r="AC144" t="s">
        <v>527</v>
      </c>
      <c r="AD144" t="s">
        <v>528</v>
      </c>
      <c r="AE144" t="s">
        <v>757</v>
      </c>
      <c r="AG144" t="s">
        <v>825</v>
      </c>
      <c r="AH144">
        <v>0</v>
      </c>
      <c r="AI144">
        <v>122</v>
      </c>
      <c r="AJ144">
        <v>26</v>
      </c>
      <c r="AK144">
        <v>0</v>
      </c>
      <c r="AL144">
        <v>0</v>
      </c>
    </row>
    <row r="145" spans="1:38" x14ac:dyDescent="0.3">
      <c r="A145" t="s">
        <v>752</v>
      </c>
      <c r="B145">
        <v>109161</v>
      </c>
      <c r="C145">
        <v>3</v>
      </c>
      <c r="D145" t="s">
        <v>822</v>
      </c>
      <c r="E145" t="s">
        <v>652</v>
      </c>
      <c r="F145">
        <v>110</v>
      </c>
      <c r="G145">
        <v>19.54</v>
      </c>
      <c r="H145">
        <v>64.62</v>
      </c>
      <c r="I145">
        <v>17.8</v>
      </c>
      <c r="J145">
        <v>58.86</v>
      </c>
      <c r="K145">
        <v>5</v>
      </c>
      <c r="T145">
        <v>3</v>
      </c>
      <c r="U145">
        <v>1</v>
      </c>
      <c r="V145" t="s">
        <v>541</v>
      </c>
      <c r="W145">
        <v>64</v>
      </c>
      <c r="X145">
        <v>5</v>
      </c>
      <c r="Y145">
        <v>5</v>
      </c>
      <c r="Z145" t="s">
        <v>823</v>
      </c>
      <c r="AA145" t="s">
        <v>824</v>
      </c>
      <c r="AB145" t="s">
        <v>526</v>
      </c>
      <c r="AC145" t="s">
        <v>527</v>
      </c>
      <c r="AD145" t="s">
        <v>528</v>
      </c>
      <c r="AE145" t="s">
        <v>757</v>
      </c>
      <c r="AG145" t="s">
        <v>825</v>
      </c>
      <c r="AH145">
        <v>0</v>
      </c>
      <c r="AI145">
        <v>122</v>
      </c>
      <c r="AJ145">
        <v>26</v>
      </c>
      <c r="AK145">
        <v>0</v>
      </c>
      <c r="AL145">
        <v>0</v>
      </c>
    </row>
    <row r="146" spans="1:38" x14ac:dyDescent="0.3">
      <c r="A146" t="s">
        <v>752</v>
      </c>
      <c r="B146">
        <v>15066</v>
      </c>
      <c r="C146">
        <v>1</v>
      </c>
      <c r="D146" t="s">
        <v>826</v>
      </c>
      <c r="E146" t="s">
        <v>522</v>
      </c>
      <c r="F146">
        <v>135</v>
      </c>
      <c r="G146">
        <v>21.32</v>
      </c>
      <c r="H146">
        <v>70.489999999999995</v>
      </c>
      <c r="I146">
        <v>18.11</v>
      </c>
      <c r="J146">
        <v>59.88</v>
      </c>
      <c r="K146">
        <v>105</v>
      </c>
      <c r="T146">
        <v>3</v>
      </c>
      <c r="U146">
        <v>1</v>
      </c>
      <c r="V146" t="s">
        <v>541</v>
      </c>
      <c r="W146">
        <v>70</v>
      </c>
      <c r="X146">
        <v>5</v>
      </c>
      <c r="Y146">
        <v>5</v>
      </c>
      <c r="Z146" t="s">
        <v>827</v>
      </c>
      <c r="AA146" t="s">
        <v>828</v>
      </c>
      <c r="AB146" t="s">
        <v>526</v>
      </c>
      <c r="AC146" t="s">
        <v>527</v>
      </c>
      <c r="AD146" t="s">
        <v>528</v>
      </c>
      <c r="AE146" t="s">
        <v>757</v>
      </c>
      <c r="AG146" t="s">
        <v>829</v>
      </c>
      <c r="AH146">
        <v>0</v>
      </c>
      <c r="AI146">
        <v>0</v>
      </c>
      <c r="AJ146">
        <v>0</v>
      </c>
      <c r="AK146">
        <v>0</v>
      </c>
      <c r="AL146">
        <v>0</v>
      </c>
    </row>
    <row r="147" spans="1:38" x14ac:dyDescent="0.3">
      <c r="A147" t="s">
        <v>752</v>
      </c>
      <c r="B147">
        <v>15066</v>
      </c>
      <c r="C147">
        <v>2</v>
      </c>
      <c r="D147" t="s">
        <v>826</v>
      </c>
      <c r="E147" t="s">
        <v>522</v>
      </c>
      <c r="F147">
        <v>135</v>
      </c>
      <c r="G147">
        <v>22.63</v>
      </c>
      <c r="H147">
        <v>74.84</v>
      </c>
      <c r="I147">
        <v>18.07</v>
      </c>
      <c r="J147">
        <v>59.74</v>
      </c>
      <c r="K147">
        <v>30</v>
      </c>
      <c r="T147">
        <v>3</v>
      </c>
      <c r="U147">
        <v>1</v>
      </c>
      <c r="V147" t="s">
        <v>541</v>
      </c>
      <c r="W147">
        <v>74</v>
      </c>
      <c r="X147">
        <v>5</v>
      </c>
      <c r="Y147">
        <v>5</v>
      </c>
      <c r="Z147" t="s">
        <v>827</v>
      </c>
      <c r="AA147" t="s">
        <v>828</v>
      </c>
      <c r="AB147" t="s">
        <v>526</v>
      </c>
      <c r="AC147" t="s">
        <v>527</v>
      </c>
      <c r="AD147" t="s">
        <v>528</v>
      </c>
      <c r="AE147" t="s">
        <v>757</v>
      </c>
      <c r="AG147" t="s">
        <v>829</v>
      </c>
      <c r="AH147">
        <v>0</v>
      </c>
      <c r="AI147">
        <v>0</v>
      </c>
      <c r="AJ147">
        <v>0</v>
      </c>
      <c r="AK147">
        <v>0</v>
      </c>
      <c r="AL147">
        <v>0</v>
      </c>
    </row>
    <row r="148" spans="1:38" x14ac:dyDescent="0.3">
      <c r="A148" t="s">
        <v>752</v>
      </c>
      <c r="B148">
        <v>105207</v>
      </c>
      <c r="C148">
        <v>1</v>
      </c>
      <c r="D148" t="s">
        <v>830</v>
      </c>
      <c r="E148" t="s">
        <v>831</v>
      </c>
      <c r="F148">
        <v>198</v>
      </c>
      <c r="G148">
        <v>21.33</v>
      </c>
      <c r="H148">
        <v>70.53</v>
      </c>
      <c r="I148">
        <v>18.11</v>
      </c>
      <c r="J148">
        <v>59.88</v>
      </c>
      <c r="K148">
        <v>100</v>
      </c>
      <c r="T148">
        <v>3</v>
      </c>
      <c r="U148">
        <v>1</v>
      </c>
      <c r="V148" t="s">
        <v>541</v>
      </c>
      <c r="W148" t="s">
        <v>832</v>
      </c>
      <c r="X148">
        <v>6</v>
      </c>
      <c r="Y148">
        <v>5</v>
      </c>
      <c r="Z148" t="s">
        <v>833</v>
      </c>
      <c r="AA148" t="s">
        <v>834</v>
      </c>
      <c r="AB148" t="s">
        <v>526</v>
      </c>
      <c r="AC148" t="s">
        <v>527</v>
      </c>
      <c r="AD148" t="s">
        <v>528</v>
      </c>
      <c r="AE148" t="s">
        <v>757</v>
      </c>
      <c r="AG148" t="s">
        <v>835</v>
      </c>
      <c r="AH148">
        <v>0</v>
      </c>
      <c r="AI148">
        <v>0</v>
      </c>
      <c r="AJ148">
        <v>0</v>
      </c>
      <c r="AK148">
        <v>0</v>
      </c>
      <c r="AL148">
        <v>0</v>
      </c>
    </row>
    <row r="149" spans="1:38" x14ac:dyDescent="0.3">
      <c r="A149" t="s">
        <v>752</v>
      </c>
      <c r="B149">
        <v>105207</v>
      </c>
      <c r="C149">
        <v>2</v>
      </c>
      <c r="D149" t="s">
        <v>830</v>
      </c>
      <c r="E149" t="s">
        <v>831</v>
      </c>
      <c r="F149">
        <v>198</v>
      </c>
      <c r="G149">
        <v>21.46</v>
      </c>
      <c r="H149">
        <v>70.97</v>
      </c>
      <c r="I149">
        <v>18.11</v>
      </c>
      <c r="J149">
        <v>59.88</v>
      </c>
      <c r="K149">
        <v>48</v>
      </c>
      <c r="T149">
        <v>3</v>
      </c>
      <c r="U149">
        <v>1</v>
      </c>
      <c r="V149" t="s">
        <v>541</v>
      </c>
      <c r="W149" t="s">
        <v>836</v>
      </c>
      <c r="X149">
        <v>6</v>
      </c>
      <c r="Y149">
        <v>5</v>
      </c>
      <c r="Z149" t="s">
        <v>833</v>
      </c>
      <c r="AA149" t="s">
        <v>834</v>
      </c>
      <c r="AB149" t="s">
        <v>526</v>
      </c>
      <c r="AC149" t="s">
        <v>527</v>
      </c>
      <c r="AD149" t="s">
        <v>528</v>
      </c>
      <c r="AE149" t="s">
        <v>757</v>
      </c>
      <c r="AG149" t="s">
        <v>835</v>
      </c>
      <c r="AH149">
        <v>0</v>
      </c>
      <c r="AI149">
        <v>0</v>
      </c>
      <c r="AJ149">
        <v>0</v>
      </c>
      <c r="AK149">
        <v>0</v>
      </c>
      <c r="AL149">
        <v>0</v>
      </c>
    </row>
    <row r="150" spans="1:38" x14ac:dyDescent="0.3">
      <c r="A150" t="s">
        <v>752</v>
      </c>
      <c r="B150">
        <v>105207</v>
      </c>
      <c r="C150">
        <v>3</v>
      </c>
      <c r="D150" t="s">
        <v>830</v>
      </c>
      <c r="E150" t="s">
        <v>831</v>
      </c>
      <c r="F150">
        <v>198</v>
      </c>
      <c r="G150">
        <v>21.33</v>
      </c>
      <c r="H150">
        <v>70.52</v>
      </c>
      <c r="I150">
        <v>18.11</v>
      </c>
      <c r="J150">
        <v>59.87</v>
      </c>
      <c r="K150">
        <v>30</v>
      </c>
      <c r="T150">
        <v>3</v>
      </c>
      <c r="U150">
        <v>1</v>
      </c>
      <c r="V150" t="s">
        <v>541</v>
      </c>
      <c r="W150" t="s">
        <v>787</v>
      </c>
      <c r="X150">
        <v>6</v>
      </c>
      <c r="Y150">
        <v>5</v>
      </c>
      <c r="Z150" t="s">
        <v>833</v>
      </c>
      <c r="AA150" t="s">
        <v>834</v>
      </c>
      <c r="AB150" t="s">
        <v>526</v>
      </c>
      <c r="AC150" t="s">
        <v>527</v>
      </c>
      <c r="AD150" t="s">
        <v>528</v>
      </c>
      <c r="AE150" t="s">
        <v>757</v>
      </c>
      <c r="AG150" t="s">
        <v>835</v>
      </c>
      <c r="AH150">
        <v>0</v>
      </c>
      <c r="AI150">
        <v>0</v>
      </c>
      <c r="AJ150">
        <v>0</v>
      </c>
      <c r="AK150">
        <v>0</v>
      </c>
      <c r="AL150">
        <v>0</v>
      </c>
    </row>
    <row r="151" spans="1:38" x14ac:dyDescent="0.3">
      <c r="A151" t="s">
        <v>752</v>
      </c>
      <c r="B151">
        <v>105207</v>
      </c>
      <c r="C151">
        <v>4</v>
      </c>
      <c r="D151" t="s">
        <v>830</v>
      </c>
      <c r="E151" t="s">
        <v>831</v>
      </c>
      <c r="F151">
        <v>198</v>
      </c>
      <c r="G151">
        <v>22.54</v>
      </c>
      <c r="H151">
        <v>74.540000000000006</v>
      </c>
      <c r="I151">
        <v>18.11</v>
      </c>
      <c r="J151">
        <v>59.87</v>
      </c>
      <c r="K151">
        <v>20</v>
      </c>
      <c r="T151">
        <v>3</v>
      </c>
      <c r="U151">
        <v>1</v>
      </c>
      <c r="V151" t="s">
        <v>541</v>
      </c>
      <c r="W151">
        <v>74</v>
      </c>
      <c r="X151">
        <v>6</v>
      </c>
      <c r="Y151">
        <v>5</v>
      </c>
      <c r="Z151" t="s">
        <v>833</v>
      </c>
      <c r="AA151" t="s">
        <v>834</v>
      </c>
      <c r="AB151" t="s">
        <v>526</v>
      </c>
      <c r="AC151" t="s">
        <v>527</v>
      </c>
      <c r="AD151" t="s">
        <v>528</v>
      </c>
      <c r="AE151" t="s">
        <v>757</v>
      </c>
      <c r="AG151" t="s">
        <v>835</v>
      </c>
      <c r="AH151">
        <v>0</v>
      </c>
      <c r="AI151">
        <v>0</v>
      </c>
      <c r="AJ151">
        <v>0</v>
      </c>
      <c r="AK151">
        <v>0</v>
      </c>
      <c r="AL151">
        <v>0</v>
      </c>
    </row>
    <row r="152" spans="1:38" x14ac:dyDescent="0.3">
      <c r="A152" t="s">
        <v>752</v>
      </c>
      <c r="B152">
        <v>17096</v>
      </c>
      <c r="C152">
        <v>1</v>
      </c>
      <c r="D152" t="s">
        <v>837</v>
      </c>
      <c r="E152" t="s">
        <v>838</v>
      </c>
      <c r="F152">
        <v>154</v>
      </c>
      <c r="G152">
        <v>25.65</v>
      </c>
      <c r="H152">
        <v>84.8</v>
      </c>
      <c r="I152">
        <v>18.14</v>
      </c>
      <c r="J152">
        <v>59.97</v>
      </c>
      <c r="K152">
        <v>154</v>
      </c>
      <c r="T152">
        <v>3</v>
      </c>
      <c r="U152">
        <v>1</v>
      </c>
      <c r="V152" t="s">
        <v>523</v>
      </c>
      <c r="W152">
        <v>84</v>
      </c>
      <c r="X152">
        <v>10</v>
      </c>
      <c r="Y152">
        <v>7</v>
      </c>
      <c r="Z152" t="s">
        <v>839</v>
      </c>
      <c r="AA152" t="s">
        <v>840</v>
      </c>
      <c r="AB152" t="s">
        <v>526</v>
      </c>
      <c r="AC152" t="s">
        <v>527</v>
      </c>
      <c r="AD152" t="s">
        <v>528</v>
      </c>
      <c r="AE152" t="s">
        <v>757</v>
      </c>
      <c r="AG152" t="s">
        <v>841</v>
      </c>
      <c r="AH152">
        <v>0</v>
      </c>
      <c r="AI152">
        <v>0</v>
      </c>
      <c r="AJ152">
        <v>0</v>
      </c>
      <c r="AK152">
        <v>136</v>
      </c>
      <c r="AL152">
        <v>0.88</v>
      </c>
    </row>
    <row r="153" spans="1:38" x14ac:dyDescent="0.3">
      <c r="A153" t="s">
        <v>752</v>
      </c>
      <c r="B153">
        <v>141580</v>
      </c>
      <c r="C153">
        <v>1</v>
      </c>
      <c r="D153" t="s">
        <v>842</v>
      </c>
      <c r="E153" t="s">
        <v>843</v>
      </c>
      <c r="F153">
        <v>54</v>
      </c>
      <c r="G153">
        <v>27.07</v>
      </c>
      <c r="H153">
        <v>89.51</v>
      </c>
      <c r="I153">
        <v>23.59</v>
      </c>
      <c r="J153">
        <v>78.010000000000005</v>
      </c>
      <c r="K153">
        <v>24</v>
      </c>
      <c r="T153">
        <v>3</v>
      </c>
      <c r="U153">
        <v>1</v>
      </c>
      <c r="V153" t="s">
        <v>541</v>
      </c>
      <c r="W153">
        <v>89</v>
      </c>
      <c r="X153">
        <v>3</v>
      </c>
      <c r="Y153">
        <v>3</v>
      </c>
      <c r="Z153" t="s">
        <v>844</v>
      </c>
      <c r="AA153" t="s">
        <v>845</v>
      </c>
      <c r="AB153" t="s">
        <v>526</v>
      </c>
      <c r="AC153" t="s">
        <v>527</v>
      </c>
      <c r="AD153" t="s">
        <v>528</v>
      </c>
      <c r="AE153" t="s">
        <v>757</v>
      </c>
      <c r="AG153" t="s">
        <v>846</v>
      </c>
      <c r="AH153">
        <v>0</v>
      </c>
      <c r="AI153">
        <v>82</v>
      </c>
      <c r="AJ153">
        <v>28</v>
      </c>
      <c r="AK153">
        <v>0</v>
      </c>
      <c r="AL153">
        <v>0</v>
      </c>
    </row>
    <row r="154" spans="1:38" x14ac:dyDescent="0.3">
      <c r="A154" t="s">
        <v>752</v>
      </c>
      <c r="B154">
        <v>141580</v>
      </c>
      <c r="C154">
        <v>2</v>
      </c>
      <c r="D154" t="s">
        <v>842</v>
      </c>
      <c r="E154" t="s">
        <v>843</v>
      </c>
      <c r="F154">
        <v>54</v>
      </c>
      <c r="G154">
        <v>29.12</v>
      </c>
      <c r="H154">
        <v>96.28</v>
      </c>
      <c r="I154">
        <v>25.64</v>
      </c>
      <c r="J154">
        <v>84.78</v>
      </c>
      <c r="K154">
        <v>27</v>
      </c>
      <c r="T154">
        <v>3</v>
      </c>
      <c r="U154">
        <v>2</v>
      </c>
      <c r="V154" t="s">
        <v>541</v>
      </c>
      <c r="W154" t="s">
        <v>847</v>
      </c>
      <c r="X154">
        <v>3</v>
      </c>
      <c r="Y154">
        <v>3</v>
      </c>
      <c r="Z154" t="s">
        <v>844</v>
      </c>
      <c r="AA154" t="s">
        <v>845</v>
      </c>
      <c r="AB154" t="s">
        <v>526</v>
      </c>
      <c r="AC154" t="s">
        <v>527</v>
      </c>
      <c r="AD154" t="s">
        <v>528</v>
      </c>
      <c r="AE154" t="s">
        <v>757</v>
      </c>
      <c r="AG154" t="s">
        <v>846</v>
      </c>
      <c r="AH154">
        <v>0</v>
      </c>
      <c r="AI154">
        <v>82</v>
      </c>
      <c r="AJ154">
        <v>28</v>
      </c>
      <c r="AK154">
        <v>0</v>
      </c>
      <c r="AL154">
        <v>0</v>
      </c>
    </row>
    <row r="155" spans="1:38" x14ac:dyDescent="0.3">
      <c r="A155" t="s">
        <v>752</v>
      </c>
      <c r="B155">
        <v>141580</v>
      </c>
      <c r="C155">
        <v>3</v>
      </c>
      <c r="D155" t="s">
        <v>842</v>
      </c>
      <c r="E155" t="s">
        <v>843</v>
      </c>
      <c r="F155">
        <v>54</v>
      </c>
      <c r="G155">
        <v>29.17</v>
      </c>
      <c r="H155">
        <v>96.46</v>
      </c>
      <c r="I155">
        <v>25.7</v>
      </c>
      <c r="J155">
        <v>84.96</v>
      </c>
      <c r="K155">
        <v>3</v>
      </c>
      <c r="T155">
        <v>3</v>
      </c>
      <c r="U155">
        <v>2</v>
      </c>
      <c r="V155" t="s">
        <v>541</v>
      </c>
      <c r="W155" t="s">
        <v>848</v>
      </c>
      <c r="X155">
        <v>3</v>
      </c>
      <c r="Y155">
        <v>3</v>
      </c>
      <c r="Z155" t="s">
        <v>844</v>
      </c>
      <c r="AA155" t="s">
        <v>845</v>
      </c>
      <c r="AB155" t="s">
        <v>526</v>
      </c>
      <c r="AC155" t="s">
        <v>527</v>
      </c>
      <c r="AD155" t="s">
        <v>528</v>
      </c>
      <c r="AE155" t="s">
        <v>757</v>
      </c>
      <c r="AG155" t="s">
        <v>846</v>
      </c>
      <c r="AH155">
        <v>0</v>
      </c>
      <c r="AI155">
        <v>82</v>
      </c>
      <c r="AJ155">
        <v>28</v>
      </c>
      <c r="AK155">
        <v>0</v>
      </c>
      <c r="AL155">
        <v>0</v>
      </c>
    </row>
    <row r="156" spans="1:38" x14ac:dyDescent="0.3">
      <c r="A156" t="s">
        <v>849</v>
      </c>
      <c r="B156">
        <v>101170</v>
      </c>
      <c r="C156">
        <v>1</v>
      </c>
      <c r="D156" t="s">
        <v>661</v>
      </c>
      <c r="E156" t="s">
        <v>850</v>
      </c>
      <c r="F156">
        <v>85</v>
      </c>
      <c r="G156">
        <v>19.78</v>
      </c>
      <c r="H156">
        <v>65.400000000000006</v>
      </c>
      <c r="I156">
        <v>18.04</v>
      </c>
      <c r="J156">
        <v>59.64</v>
      </c>
      <c r="K156">
        <v>50</v>
      </c>
      <c r="T156">
        <v>3</v>
      </c>
      <c r="U156">
        <v>1</v>
      </c>
      <c r="V156" t="s">
        <v>541</v>
      </c>
      <c r="W156">
        <v>65</v>
      </c>
      <c r="X156">
        <v>5</v>
      </c>
      <c r="Y156">
        <v>5</v>
      </c>
      <c r="Z156" t="s">
        <v>851</v>
      </c>
      <c r="AA156" t="s">
        <v>852</v>
      </c>
      <c r="AB156" t="s">
        <v>526</v>
      </c>
      <c r="AC156" t="s">
        <v>527</v>
      </c>
      <c r="AD156" t="s">
        <v>528</v>
      </c>
      <c r="AE156" t="s">
        <v>853</v>
      </c>
      <c r="AG156" t="s">
        <v>854</v>
      </c>
      <c r="AH156">
        <v>0</v>
      </c>
      <c r="AI156">
        <v>0</v>
      </c>
      <c r="AJ156">
        <v>0</v>
      </c>
      <c r="AK156">
        <v>0</v>
      </c>
      <c r="AL156">
        <v>0</v>
      </c>
    </row>
    <row r="157" spans="1:38" x14ac:dyDescent="0.3">
      <c r="A157" t="s">
        <v>849</v>
      </c>
      <c r="B157">
        <v>101170</v>
      </c>
      <c r="C157">
        <v>2</v>
      </c>
      <c r="D157" t="s">
        <v>661</v>
      </c>
      <c r="E157" t="s">
        <v>850</v>
      </c>
      <c r="F157">
        <v>85</v>
      </c>
      <c r="G157">
        <v>19.82</v>
      </c>
      <c r="H157">
        <v>65.53</v>
      </c>
      <c r="I157">
        <v>18.079999999999998</v>
      </c>
      <c r="J157">
        <v>59.77</v>
      </c>
      <c r="K157">
        <v>35</v>
      </c>
      <c r="T157">
        <v>3</v>
      </c>
      <c r="U157">
        <v>1</v>
      </c>
      <c r="V157" t="s">
        <v>541</v>
      </c>
      <c r="W157">
        <v>65</v>
      </c>
      <c r="X157">
        <v>5</v>
      </c>
      <c r="Y157">
        <v>5</v>
      </c>
      <c r="Z157" t="s">
        <v>851</v>
      </c>
      <c r="AA157" t="s">
        <v>852</v>
      </c>
      <c r="AB157" t="s">
        <v>526</v>
      </c>
      <c r="AC157" t="s">
        <v>527</v>
      </c>
      <c r="AD157" t="s">
        <v>528</v>
      </c>
      <c r="AE157" t="s">
        <v>853</v>
      </c>
      <c r="AG157" t="s">
        <v>854</v>
      </c>
      <c r="AH157">
        <v>0</v>
      </c>
      <c r="AI157">
        <v>0</v>
      </c>
      <c r="AJ157">
        <v>0</v>
      </c>
      <c r="AK157">
        <v>0</v>
      </c>
      <c r="AL157">
        <v>0</v>
      </c>
    </row>
    <row r="158" spans="1:38" x14ac:dyDescent="0.3">
      <c r="A158" t="s">
        <v>849</v>
      </c>
      <c r="B158">
        <v>22424</v>
      </c>
      <c r="C158">
        <v>1</v>
      </c>
      <c r="D158" t="s">
        <v>855</v>
      </c>
      <c r="E158" t="s">
        <v>856</v>
      </c>
      <c r="F158">
        <v>651</v>
      </c>
      <c r="G158">
        <v>38.07</v>
      </c>
      <c r="H158">
        <v>125.86</v>
      </c>
      <c r="I158">
        <v>30.8</v>
      </c>
      <c r="J158">
        <v>101.83</v>
      </c>
      <c r="K158">
        <v>179</v>
      </c>
      <c r="T158">
        <v>3</v>
      </c>
      <c r="U158">
        <v>2</v>
      </c>
      <c r="V158" t="s">
        <v>541</v>
      </c>
      <c r="W158">
        <v>125</v>
      </c>
      <c r="X158">
        <v>15</v>
      </c>
      <c r="Y158">
        <v>15</v>
      </c>
      <c r="Z158" t="s">
        <v>857</v>
      </c>
      <c r="AA158" t="s">
        <v>858</v>
      </c>
      <c r="AB158" t="s">
        <v>526</v>
      </c>
      <c r="AC158" t="s">
        <v>527</v>
      </c>
      <c r="AD158" t="s">
        <v>528</v>
      </c>
      <c r="AE158" t="s">
        <v>853</v>
      </c>
      <c r="AG158" t="s">
        <v>859</v>
      </c>
      <c r="AH158">
        <v>0</v>
      </c>
      <c r="AI158">
        <v>229</v>
      </c>
      <c r="AJ158">
        <v>21</v>
      </c>
      <c r="AK158">
        <v>1170</v>
      </c>
      <c r="AL158">
        <v>1.8</v>
      </c>
    </row>
    <row r="159" spans="1:38" x14ac:dyDescent="0.3">
      <c r="A159" t="s">
        <v>849</v>
      </c>
      <c r="B159">
        <v>22424</v>
      </c>
      <c r="C159">
        <v>2</v>
      </c>
      <c r="D159" t="s">
        <v>855</v>
      </c>
      <c r="E159" t="s">
        <v>856</v>
      </c>
      <c r="F159">
        <v>651</v>
      </c>
      <c r="G159">
        <v>48.65</v>
      </c>
      <c r="H159">
        <v>160.83000000000001</v>
      </c>
      <c r="I159">
        <v>40.81</v>
      </c>
      <c r="J159">
        <v>134.91</v>
      </c>
      <c r="K159">
        <v>177</v>
      </c>
      <c r="T159">
        <v>4</v>
      </c>
      <c r="U159">
        <v>2</v>
      </c>
      <c r="V159" t="s">
        <v>541</v>
      </c>
      <c r="W159" t="s">
        <v>159</v>
      </c>
      <c r="X159">
        <v>15</v>
      </c>
      <c r="Y159">
        <v>15</v>
      </c>
      <c r="Z159" t="s">
        <v>857</v>
      </c>
      <c r="AA159" t="s">
        <v>858</v>
      </c>
      <c r="AB159" t="s">
        <v>526</v>
      </c>
      <c r="AC159" t="s">
        <v>527</v>
      </c>
      <c r="AD159" t="s">
        <v>528</v>
      </c>
      <c r="AE159" t="s">
        <v>853</v>
      </c>
      <c r="AG159" t="s">
        <v>859</v>
      </c>
      <c r="AH159">
        <v>0</v>
      </c>
      <c r="AI159">
        <v>229</v>
      </c>
      <c r="AJ159">
        <v>21</v>
      </c>
      <c r="AK159">
        <v>1170</v>
      </c>
      <c r="AL159">
        <v>1.8</v>
      </c>
    </row>
    <row r="160" spans="1:38" x14ac:dyDescent="0.3">
      <c r="A160" t="s">
        <v>849</v>
      </c>
      <c r="B160">
        <v>22424</v>
      </c>
      <c r="C160">
        <v>3</v>
      </c>
      <c r="D160" t="s">
        <v>855</v>
      </c>
      <c r="E160" t="s">
        <v>856</v>
      </c>
      <c r="F160">
        <v>651</v>
      </c>
      <c r="G160">
        <v>48.96</v>
      </c>
      <c r="H160">
        <v>161.88</v>
      </c>
      <c r="I160">
        <v>40.799999999999997</v>
      </c>
      <c r="J160">
        <v>134.88999999999999</v>
      </c>
      <c r="K160">
        <v>145</v>
      </c>
      <c r="T160">
        <v>4</v>
      </c>
      <c r="U160">
        <v>2</v>
      </c>
      <c r="V160" t="s">
        <v>541</v>
      </c>
      <c r="W160" t="s">
        <v>160</v>
      </c>
      <c r="X160">
        <v>15</v>
      </c>
      <c r="Y160">
        <v>15</v>
      </c>
      <c r="Z160" t="s">
        <v>857</v>
      </c>
      <c r="AA160" t="s">
        <v>858</v>
      </c>
      <c r="AB160" t="s">
        <v>526</v>
      </c>
      <c r="AC160" t="s">
        <v>527</v>
      </c>
      <c r="AD160" t="s">
        <v>528</v>
      </c>
      <c r="AE160" t="s">
        <v>853</v>
      </c>
      <c r="AG160" t="s">
        <v>859</v>
      </c>
      <c r="AH160">
        <v>0</v>
      </c>
      <c r="AI160">
        <v>229</v>
      </c>
      <c r="AJ160">
        <v>21</v>
      </c>
      <c r="AK160">
        <v>1170</v>
      </c>
      <c r="AL160">
        <v>1.8</v>
      </c>
    </row>
    <row r="161" spans="1:38" x14ac:dyDescent="0.3">
      <c r="A161" t="s">
        <v>849</v>
      </c>
      <c r="B161">
        <v>22424</v>
      </c>
      <c r="C161">
        <v>4</v>
      </c>
      <c r="D161" t="s">
        <v>855</v>
      </c>
      <c r="E161" t="s">
        <v>856</v>
      </c>
      <c r="F161">
        <v>651</v>
      </c>
      <c r="G161">
        <v>60</v>
      </c>
      <c r="H161">
        <v>198.35</v>
      </c>
      <c r="I161">
        <v>50.43</v>
      </c>
      <c r="J161">
        <v>166.74</v>
      </c>
      <c r="K161">
        <v>150</v>
      </c>
      <c r="T161">
        <v>4</v>
      </c>
      <c r="U161">
        <v>2</v>
      </c>
      <c r="V161" t="s">
        <v>541</v>
      </c>
      <c r="W161">
        <v>198</v>
      </c>
      <c r="X161">
        <v>15</v>
      </c>
      <c r="Y161">
        <v>15</v>
      </c>
      <c r="Z161" t="s">
        <v>857</v>
      </c>
      <c r="AA161" t="s">
        <v>858</v>
      </c>
      <c r="AB161" t="s">
        <v>526</v>
      </c>
      <c r="AC161" t="s">
        <v>527</v>
      </c>
      <c r="AD161" t="s">
        <v>528</v>
      </c>
      <c r="AE161" t="s">
        <v>853</v>
      </c>
      <c r="AG161" t="s">
        <v>859</v>
      </c>
      <c r="AH161">
        <v>0</v>
      </c>
      <c r="AI161">
        <v>229</v>
      </c>
      <c r="AJ161">
        <v>21</v>
      </c>
      <c r="AK161">
        <v>1170</v>
      </c>
      <c r="AL161">
        <v>1.8</v>
      </c>
    </row>
    <row r="162" spans="1:38" x14ac:dyDescent="0.3">
      <c r="A162" t="s">
        <v>849</v>
      </c>
      <c r="B162">
        <v>5423</v>
      </c>
      <c r="C162">
        <v>1</v>
      </c>
      <c r="D162" t="s">
        <v>860</v>
      </c>
      <c r="E162" t="s">
        <v>861</v>
      </c>
      <c r="F162">
        <v>280</v>
      </c>
      <c r="G162">
        <v>17.420000000000002</v>
      </c>
      <c r="H162">
        <v>57.6</v>
      </c>
      <c r="I162">
        <v>15.68</v>
      </c>
      <c r="J162">
        <v>51.84</v>
      </c>
      <c r="K162">
        <v>260</v>
      </c>
      <c r="T162">
        <v>3</v>
      </c>
      <c r="U162">
        <v>1</v>
      </c>
      <c r="V162" t="s">
        <v>541</v>
      </c>
      <c r="W162">
        <v>57</v>
      </c>
      <c r="X162">
        <v>5</v>
      </c>
      <c r="Y162">
        <v>5</v>
      </c>
      <c r="Z162" t="s">
        <v>862</v>
      </c>
      <c r="AA162" t="s">
        <v>863</v>
      </c>
      <c r="AB162" t="s">
        <v>526</v>
      </c>
      <c r="AC162" t="s">
        <v>527</v>
      </c>
      <c r="AD162" t="s">
        <v>528</v>
      </c>
      <c r="AE162" t="s">
        <v>853</v>
      </c>
      <c r="AG162" t="s">
        <v>864</v>
      </c>
      <c r="AH162">
        <v>0</v>
      </c>
      <c r="AI162">
        <v>0</v>
      </c>
      <c r="AJ162">
        <v>0</v>
      </c>
      <c r="AK162">
        <v>0</v>
      </c>
      <c r="AL162">
        <v>0</v>
      </c>
    </row>
    <row r="163" spans="1:38" x14ac:dyDescent="0.3">
      <c r="A163" t="s">
        <v>849</v>
      </c>
      <c r="B163">
        <v>5423</v>
      </c>
      <c r="C163">
        <v>2</v>
      </c>
      <c r="D163" t="s">
        <v>860</v>
      </c>
      <c r="E163" t="s">
        <v>861</v>
      </c>
      <c r="F163">
        <v>280</v>
      </c>
      <c r="G163">
        <v>20.9</v>
      </c>
      <c r="H163">
        <v>69.12</v>
      </c>
      <c r="I163">
        <v>17.420000000000002</v>
      </c>
      <c r="J163">
        <v>57.6</v>
      </c>
      <c r="K163">
        <v>20</v>
      </c>
      <c r="T163">
        <v>3</v>
      </c>
      <c r="U163">
        <v>1</v>
      </c>
      <c r="V163" t="s">
        <v>541</v>
      </c>
      <c r="W163">
        <v>69</v>
      </c>
      <c r="X163">
        <v>5</v>
      </c>
      <c r="Y163">
        <v>5</v>
      </c>
      <c r="Z163" t="s">
        <v>862</v>
      </c>
      <c r="AA163" t="s">
        <v>863</v>
      </c>
      <c r="AB163" t="s">
        <v>526</v>
      </c>
      <c r="AC163" t="s">
        <v>527</v>
      </c>
      <c r="AD163" t="s">
        <v>528</v>
      </c>
      <c r="AE163" t="s">
        <v>853</v>
      </c>
      <c r="AG163" t="s">
        <v>864</v>
      </c>
      <c r="AH163">
        <v>0</v>
      </c>
      <c r="AI163">
        <v>0</v>
      </c>
      <c r="AJ163">
        <v>0</v>
      </c>
      <c r="AK163">
        <v>0</v>
      </c>
      <c r="AL163">
        <v>0</v>
      </c>
    </row>
    <row r="164" spans="1:38" x14ac:dyDescent="0.3">
      <c r="A164" t="s">
        <v>849</v>
      </c>
      <c r="B164">
        <v>5429</v>
      </c>
      <c r="C164">
        <v>1</v>
      </c>
      <c r="D164" t="s">
        <v>865</v>
      </c>
      <c r="E164" t="s">
        <v>866</v>
      </c>
      <c r="F164">
        <v>510</v>
      </c>
      <c r="G164">
        <v>30.99</v>
      </c>
      <c r="H164">
        <v>102.47</v>
      </c>
      <c r="I164">
        <v>25.64</v>
      </c>
      <c r="J164">
        <v>84.78</v>
      </c>
      <c r="K164">
        <v>270</v>
      </c>
      <c r="T164">
        <v>3</v>
      </c>
      <c r="U164">
        <v>2</v>
      </c>
      <c r="V164" t="s">
        <v>541</v>
      </c>
      <c r="W164" t="s">
        <v>165</v>
      </c>
      <c r="X164">
        <v>15</v>
      </c>
      <c r="Y164">
        <v>15</v>
      </c>
      <c r="Z164" t="s">
        <v>867</v>
      </c>
      <c r="AA164" t="s">
        <v>868</v>
      </c>
      <c r="AB164" t="s">
        <v>526</v>
      </c>
      <c r="AC164" t="s">
        <v>527</v>
      </c>
      <c r="AD164" t="s">
        <v>528</v>
      </c>
      <c r="AE164" t="s">
        <v>853</v>
      </c>
      <c r="AG164" t="s">
        <v>869</v>
      </c>
      <c r="AH164">
        <v>0</v>
      </c>
      <c r="AI164">
        <v>225</v>
      </c>
      <c r="AJ164">
        <v>24</v>
      </c>
      <c r="AK164">
        <v>408</v>
      </c>
      <c r="AL164">
        <v>0.8</v>
      </c>
    </row>
    <row r="165" spans="1:38" x14ac:dyDescent="0.3">
      <c r="A165" t="s">
        <v>849</v>
      </c>
      <c r="B165">
        <v>5429</v>
      </c>
      <c r="C165">
        <v>2</v>
      </c>
      <c r="D165" t="s">
        <v>865</v>
      </c>
      <c r="E165" t="s">
        <v>866</v>
      </c>
      <c r="F165">
        <v>510</v>
      </c>
      <c r="G165">
        <v>30.96</v>
      </c>
      <c r="H165">
        <v>102.38</v>
      </c>
      <c r="I165">
        <v>25.66</v>
      </c>
      <c r="J165">
        <v>84.84</v>
      </c>
      <c r="K165">
        <v>240</v>
      </c>
      <c r="T165">
        <v>3</v>
      </c>
      <c r="U165">
        <v>2</v>
      </c>
      <c r="V165" t="s">
        <v>541</v>
      </c>
      <c r="W165">
        <v>102</v>
      </c>
      <c r="X165">
        <v>15</v>
      </c>
      <c r="Y165">
        <v>15</v>
      </c>
      <c r="Z165" t="s">
        <v>867</v>
      </c>
      <c r="AA165" t="s">
        <v>868</v>
      </c>
      <c r="AB165" t="s">
        <v>526</v>
      </c>
      <c r="AC165" t="s">
        <v>527</v>
      </c>
      <c r="AD165" t="s">
        <v>528</v>
      </c>
      <c r="AE165" t="s">
        <v>853</v>
      </c>
      <c r="AG165" t="s">
        <v>869</v>
      </c>
      <c r="AH165">
        <v>0</v>
      </c>
      <c r="AI165">
        <v>225</v>
      </c>
      <c r="AJ165">
        <v>24</v>
      </c>
      <c r="AK165">
        <v>408</v>
      </c>
      <c r="AL165">
        <v>0.8</v>
      </c>
    </row>
    <row r="166" spans="1:38" x14ac:dyDescent="0.3">
      <c r="A166" t="s">
        <v>849</v>
      </c>
      <c r="B166">
        <v>102080</v>
      </c>
      <c r="C166">
        <v>1</v>
      </c>
      <c r="D166" t="s">
        <v>870</v>
      </c>
      <c r="E166" t="s">
        <v>871</v>
      </c>
      <c r="F166">
        <v>154</v>
      </c>
      <c r="G166">
        <v>11.03</v>
      </c>
      <c r="H166">
        <v>36.47</v>
      </c>
      <c r="I166">
        <v>7.7</v>
      </c>
      <c r="J166">
        <v>25.46</v>
      </c>
      <c r="K166">
        <v>48</v>
      </c>
      <c r="T166">
        <v>1</v>
      </c>
      <c r="U166">
        <v>1</v>
      </c>
      <c r="V166" t="s">
        <v>541</v>
      </c>
      <c r="W166">
        <v>36</v>
      </c>
      <c r="X166">
        <v>12</v>
      </c>
      <c r="Y166">
        <v>7</v>
      </c>
      <c r="Z166" t="s">
        <v>872</v>
      </c>
      <c r="AA166" t="s">
        <v>873</v>
      </c>
      <c r="AB166" t="s">
        <v>526</v>
      </c>
      <c r="AC166" t="s">
        <v>527</v>
      </c>
      <c r="AD166" t="s">
        <v>528</v>
      </c>
      <c r="AE166" t="s">
        <v>853</v>
      </c>
      <c r="AG166" t="s">
        <v>874</v>
      </c>
      <c r="AH166">
        <v>0</v>
      </c>
      <c r="AI166">
        <v>249</v>
      </c>
      <c r="AJ166">
        <v>30</v>
      </c>
      <c r="AK166">
        <v>112</v>
      </c>
      <c r="AL166">
        <v>0.73</v>
      </c>
    </row>
    <row r="167" spans="1:38" x14ac:dyDescent="0.3">
      <c r="A167" t="s">
        <v>849</v>
      </c>
      <c r="B167">
        <v>102080</v>
      </c>
      <c r="C167">
        <v>2</v>
      </c>
      <c r="D167" t="s">
        <v>870</v>
      </c>
      <c r="E167" t="s">
        <v>871</v>
      </c>
      <c r="F167">
        <v>154</v>
      </c>
      <c r="G167">
        <v>15.12</v>
      </c>
      <c r="H167">
        <v>50</v>
      </c>
      <c r="I167">
        <v>10.6</v>
      </c>
      <c r="J167">
        <v>35.06</v>
      </c>
      <c r="K167">
        <v>106</v>
      </c>
      <c r="T167">
        <v>1</v>
      </c>
      <c r="U167">
        <v>1</v>
      </c>
      <c r="V167" t="s">
        <v>541</v>
      </c>
      <c r="W167">
        <v>50</v>
      </c>
      <c r="X167">
        <v>12</v>
      </c>
      <c r="Y167">
        <v>7</v>
      </c>
      <c r="Z167" t="s">
        <v>872</v>
      </c>
      <c r="AA167" t="s">
        <v>873</v>
      </c>
      <c r="AB167" t="s">
        <v>526</v>
      </c>
      <c r="AC167" t="s">
        <v>527</v>
      </c>
      <c r="AD167" t="s">
        <v>528</v>
      </c>
      <c r="AE167" t="s">
        <v>853</v>
      </c>
      <c r="AG167" t="s">
        <v>874</v>
      </c>
      <c r="AH167">
        <v>0</v>
      </c>
      <c r="AI167">
        <v>249</v>
      </c>
      <c r="AJ167">
        <v>30</v>
      </c>
      <c r="AK167">
        <v>112</v>
      </c>
      <c r="AL167">
        <v>0.73</v>
      </c>
    </row>
    <row r="168" spans="1:38" x14ac:dyDescent="0.3">
      <c r="A168" t="s">
        <v>849</v>
      </c>
      <c r="B168">
        <v>101171</v>
      </c>
      <c r="C168">
        <v>1</v>
      </c>
      <c r="D168" t="s">
        <v>875</v>
      </c>
      <c r="E168" t="s">
        <v>876</v>
      </c>
      <c r="F168">
        <v>200</v>
      </c>
      <c r="G168">
        <v>13.53</v>
      </c>
      <c r="H168">
        <v>44.74</v>
      </c>
      <c r="I168">
        <v>11.32</v>
      </c>
      <c r="J168">
        <v>37.44</v>
      </c>
      <c r="K168">
        <v>200</v>
      </c>
      <c r="T168">
        <v>2</v>
      </c>
      <c r="U168">
        <v>1</v>
      </c>
      <c r="V168" t="s">
        <v>541</v>
      </c>
      <c r="W168">
        <v>44</v>
      </c>
      <c r="X168">
        <v>5</v>
      </c>
      <c r="Y168">
        <v>5</v>
      </c>
      <c r="Z168" t="s">
        <v>877</v>
      </c>
      <c r="AA168" t="s">
        <v>878</v>
      </c>
      <c r="AB168" t="s">
        <v>526</v>
      </c>
      <c r="AC168" t="s">
        <v>527</v>
      </c>
      <c r="AD168" t="s">
        <v>528</v>
      </c>
      <c r="AE168" t="s">
        <v>853</v>
      </c>
      <c r="AG168" t="s">
        <v>879</v>
      </c>
      <c r="AH168">
        <v>0</v>
      </c>
      <c r="AI168">
        <v>0</v>
      </c>
      <c r="AJ168">
        <v>0</v>
      </c>
      <c r="AK168">
        <v>0</v>
      </c>
      <c r="AL168">
        <v>0</v>
      </c>
    </row>
    <row r="169" spans="1:38" x14ac:dyDescent="0.3">
      <c r="A169" t="s">
        <v>849</v>
      </c>
      <c r="B169">
        <v>114411</v>
      </c>
      <c r="C169">
        <v>1</v>
      </c>
      <c r="D169" t="s">
        <v>880</v>
      </c>
      <c r="E169" t="s">
        <v>881</v>
      </c>
      <c r="F169">
        <v>14</v>
      </c>
      <c r="G169">
        <v>30.33</v>
      </c>
      <c r="H169">
        <v>100.28</v>
      </c>
      <c r="I169">
        <v>25.17</v>
      </c>
      <c r="J169">
        <v>83.22</v>
      </c>
      <c r="K169">
        <v>14</v>
      </c>
      <c r="T169">
        <v>3</v>
      </c>
      <c r="U169">
        <v>2</v>
      </c>
      <c r="V169" t="s">
        <v>541</v>
      </c>
      <c r="W169">
        <v>100</v>
      </c>
      <c r="X169">
        <v>9</v>
      </c>
      <c r="Y169">
        <v>9</v>
      </c>
      <c r="Z169" t="s">
        <v>882</v>
      </c>
      <c r="AA169" t="s">
        <v>883</v>
      </c>
      <c r="AB169" t="s">
        <v>526</v>
      </c>
      <c r="AC169" t="s">
        <v>527</v>
      </c>
      <c r="AD169" t="s">
        <v>528</v>
      </c>
      <c r="AE169" t="s">
        <v>853</v>
      </c>
      <c r="AG169" t="s">
        <v>884</v>
      </c>
      <c r="AH169">
        <v>0</v>
      </c>
      <c r="AI169">
        <v>305</v>
      </c>
      <c r="AJ169">
        <v>66</v>
      </c>
      <c r="AK169">
        <v>16</v>
      </c>
      <c r="AL169">
        <v>1.1399999999999999</v>
      </c>
    </row>
    <row r="170" spans="1:38" x14ac:dyDescent="0.3">
      <c r="A170" t="s">
        <v>849</v>
      </c>
      <c r="B170">
        <v>15073</v>
      </c>
      <c r="C170">
        <v>1</v>
      </c>
      <c r="D170" t="s">
        <v>885</v>
      </c>
      <c r="E170" t="s">
        <v>886</v>
      </c>
      <c r="F170">
        <v>630</v>
      </c>
      <c r="G170">
        <v>22.95</v>
      </c>
      <c r="H170">
        <v>75.87</v>
      </c>
      <c r="I170">
        <v>18.13</v>
      </c>
      <c r="J170">
        <v>59.95</v>
      </c>
      <c r="K170">
        <v>420</v>
      </c>
      <c r="T170">
        <v>3</v>
      </c>
      <c r="U170">
        <v>1</v>
      </c>
      <c r="V170" t="s">
        <v>541</v>
      </c>
      <c r="W170" t="s">
        <v>101</v>
      </c>
      <c r="X170">
        <v>15</v>
      </c>
      <c r="Y170">
        <v>15</v>
      </c>
      <c r="Z170" t="s">
        <v>887</v>
      </c>
      <c r="AA170" t="s">
        <v>888</v>
      </c>
      <c r="AB170" t="s">
        <v>526</v>
      </c>
      <c r="AC170" t="s">
        <v>527</v>
      </c>
      <c r="AD170" t="s">
        <v>528</v>
      </c>
      <c r="AE170" t="s">
        <v>853</v>
      </c>
      <c r="AG170" t="s">
        <v>889</v>
      </c>
      <c r="AH170">
        <v>0</v>
      </c>
      <c r="AI170">
        <v>0</v>
      </c>
      <c r="AJ170">
        <v>0</v>
      </c>
      <c r="AK170">
        <v>0</v>
      </c>
      <c r="AL170">
        <v>0</v>
      </c>
    </row>
    <row r="171" spans="1:38" x14ac:dyDescent="0.3">
      <c r="A171" t="s">
        <v>849</v>
      </c>
      <c r="B171">
        <v>15073</v>
      </c>
      <c r="C171">
        <v>2</v>
      </c>
      <c r="D171" t="s">
        <v>885</v>
      </c>
      <c r="E171" t="s">
        <v>886</v>
      </c>
      <c r="F171">
        <v>630</v>
      </c>
      <c r="G171">
        <v>22.84</v>
      </c>
      <c r="H171">
        <v>75.52</v>
      </c>
      <c r="I171">
        <v>18.13</v>
      </c>
      <c r="J171">
        <v>59.95</v>
      </c>
      <c r="K171">
        <v>210</v>
      </c>
      <c r="T171">
        <v>3</v>
      </c>
      <c r="U171">
        <v>1</v>
      </c>
      <c r="V171" t="s">
        <v>541</v>
      </c>
      <c r="W171" t="s">
        <v>100</v>
      </c>
      <c r="X171">
        <v>15</v>
      </c>
      <c r="Y171">
        <v>15</v>
      </c>
      <c r="Z171" t="s">
        <v>887</v>
      </c>
      <c r="AA171" t="s">
        <v>888</v>
      </c>
      <c r="AB171" t="s">
        <v>526</v>
      </c>
      <c r="AC171" t="s">
        <v>527</v>
      </c>
      <c r="AD171" t="s">
        <v>528</v>
      </c>
      <c r="AE171" t="s">
        <v>853</v>
      </c>
      <c r="AG171" t="s">
        <v>889</v>
      </c>
      <c r="AH171">
        <v>0</v>
      </c>
      <c r="AI171">
        <v>0</v>
      </c>
      <c r="AJ171">
        <v>0</v>
      </c>
      <c r="AK171">
        <v>0</v>
      </c>
      <c r="AL171">
        <v>0</v>
      </c>
    </row>
    <row r="172" spans="1:38" x14ac:dyDescent="0.3">
      <c r="A172" t="s">
        <v>849</v>
      </c>
      <c r="B172">
        <v>15068</v>
      </c>
      <c r="C172">
        <v>1</v>
      </c>
      <c r="D172" t="s">
        <v>890</v>
      </c>
      <c r="E172" t="s">
        <v>891</v>
      </c>
      <c r="F172">
        <v>1408</v>
      </c>
      <c r="G172">
        <v>23.47</v>
      </c>
      <c r="H172">
        <v>77.59</v>
      </c>
      <c r="I172">
        <v>18.05</v>
      </c>
      <c r="J172">
        <v>59.7</v>
      </c>
      <c r="K172">
        <v>144</v>
      </c>
      <c r="T172">
        <v>2</v>
      </c>
      <c r="U172">
        <v>1</v>
      </c>
      <c r="V172" t="s">
        <v>541</v>
      </c>
      <c r="W172">
        <v>77</v>
      </c>
      <c r="X172">
        <v>18</v>
      </c>
      <c r="Y172">
        <v>12</v>
      </c>
      <c r="Z172" t="s">
        <v>892</v>
      </c>
      <c r="AA172" t="s">
        <v>893</v>
      </c>
      <c r="AB172" t="s">
        <v>526</v>
      </c>
      <c r="AC172" t="s">
        <v>527</v>
      </c>
      <c r="AD172" t="s">
        <v>528</v>
      </c>
      <c r="AE172" t="s">
        <v>853</v>
      </c>
      <c r="AG172" t="s">
        <v>894</v>
      </c>
      <c r="AH172">
        <v>0</v>
      </c>
      <c r="AI172">
        <v>0</v>
      </c>
      <c r="AJ172">
        <v>0</v>
      </c>
      <c r="AK172">
        <v>0</v>
      </c>
      <c r="AL172">
        <v>0</v>
      </c>
    </row>
    <row r="173" spans="1:38" x14ac:dyDescent="0.3">
      <c r="A173" t="s">
        <v>849</v>
      </c>
      <c r="B173">
        <v>15068</v>
      </c>
      <c r="C173">
        <v>2</v>
      </c>
      <c r="D173" t="s">
        <v>890</v>
      </c>
      <c r="E173" t="s">
        <v>891</v>
      </c>
      <c r="F173">
        <v>1408</v>
      </c>
      <c r="G173">
        <v>23.66</v>
      </c>
      <c r="H173">
        <v>78.239999999999995</v>
      </c>
      <c r="I173">
        <v>18.12</v>
      </c>
      <c r="J173">
        <v>59.93</v>
      </c>
      <c r="K173">
        <v>704</v>
      </c>
      <c r="T173">
        <v>3</v>
      </c>
      <c r="U173">
        <v>1</v>
      </c>
      <c r="V173" t="s">
        <v>541</v>
      </c>
      <c r="W173" t="s">
        <v>173</v>
      </c>
      <c r="X173">
        <v>18</v>
      </c>
      <c r="Y173">
        <v>12</v>
      </c>
      <c r="Z173" t="s">
        <v>892</v>
      </c>
      <c r="AA173" t="s">
        <v>893</v>
      </c>
      <c r="AB173" t="s">
        <v>526</v>
      </c>
      <c r="AC173" t="s">
        <v>527</v>
      </c>
      <c r="AD173" t="s">
        <v>528</v>
      </c>
      <c r="AE173" t="s">
        <v>853</v>
      </c>
      <c r="AG173" t="s">
        <v>894</v>
      </c>
      <c r="AH173">
        <v>0</v>
      </c>
      <c r="AI173">
        <v>0</v>
      </c>
      <c r="AJ173">
        <v>0</v>
      </c>
      <c r="AK173">
        <v>0</v>
      </c>
      <c r="AL173">
        <v>0</v>
      </c>
    </row>
    <row r="174" spans="1:38" x14ac:dyDescent="0.3">
      <c r="A174" t="s">
        <v>849</v>
      </c>
      <c r="B174">
        <v>15068</v>
      </c>
      <c r="C174">
        <v>3</v>
      </c>
      <c r="D174" t="s">
        <v>890</v>
      </c>
      <c r="E174" t="s">
        <v>891</v>
      </c>
      <c r="F174">
        <v>1408</v>
      </c>
      <c r="G174">
        <v>23.69</v>
      </c>
      <c r="H174">
        <v>78.34</v>
      </c>
      <c r="I174">
        <v>18.149999999999999</v>
      </c>
      <c r="J174">
        <v>60</v>
      </c>
      <c r="K174">
        <v>560</v>
      </c>
      <c r="T174">
        <v>3</v>
      </c>
      <c r="U174">
        <v>1</v>
      </c>
      <c r="V174" t="s">
        <v>541</v>
      </c>
      <c r="W174" t="s">
        <v>174</v>
      </c>
      <c r="X174">
        <v>18</v>
      </c>
      <c r="Y174">
        <v>12</v>
      </c>
      <c r="Z174" t="s">
        <v>892</v>
      </c>
      <c r="AA174" t="s">
        <v>893</v>
      </c>
      <c r="AB174" t="s">
        <v>526</v>
      </c>
      <c r="AC174" t="s">
        <v>527</v>
      </c>
      <c r="AD174" t="s">
        <v>528</v>
      </c>
      <c r="AE174" t="s">
        <v>853</v>
      </c>
      <c r="AG174" t="s">
        <v>894</v>
      </c>
      <c r="AH174">
        <v>0</v>
      </c>
      <c r="AI174">
        <v>0</v>
      </c>
      <c r="AJ174">
        <v>0</v>
      </c>
      <c r="AK174">
        <v>0</v>
      </c>
      <c r="AL174">
        <v>0</v>
      </c>
    </row>
    <row r="175" spans="1:38" x14ac:dyDescent="0.3">
      <c r="A175" t="s">
        <v>849</v>
      </c>
      <c r="B175">
        <v>136990</v>
      </c>
      <c r="C175">
        <v>1</v>
      </c>
      <c r="D175" t="s">
        <v>895</v>
      </c>
      <c r="E175" t="s">
        <v>896</v>
      </c>
      <c r="F175">
        <v>164</v>
      </c>
      <c r="G175">
        <v>25.59</v>
      </c>
      <c r="H175">
        <v>84.6</v>
      </c>
      <c r="I175">
        <v>18.010000000000002</v>
      </c>
      <c r="J175">
        <v>59.55</v>
      </c>
      <c r="K175">
        <v>164</v>
      </c>
      <c r="T175">
        <v>3</v>
      </c>
      <c r="U175">
        <v>2</v>
      </c>
      <c r="V175" t="s">
        <v>541</v>
      </c>
      <c r="W175">
        <v>84</v>
      </c>
      <c r="X175">
        <v>22</v>
      </c>
      <c r="Y175">
        <v>19</v>
      </c>
      <c r="Z175" t="s">
        <v>897</v>
      </c>
      <c r="AA175" t="s">
        <v>898</v>
      </c>
      <c r="AB175" t="s">
        <v>526</v>
      </c>
      <c r="AC175" t="s">
        <v>527</v>
      </c>
      <c r="AD175" t="s">
        <v>528</v>
      </c>
      <c r="AE175" t="s">
        <v>853</v>
      </c>
      <c r="AG175" t="s">
        <v>899</v>
      </c>
      <c r="AH175">
        <v>0</v>
      </c>
      <c r="AI175">
        <v>214</v>
      </c>
      <c r="AJ175">
        <v>0</v>
      </c>
      <c r="AK175">
        <v>164</v>
      </c>
      <c r="AL175">
        <v>1</v>
      </c>
    </row>
    <row r="176" spans="1:38" x14ac:dyDescent="0.3">
      <c r="A176" t="s">
        <v>849</v>
      </c>
      <c r="B176">
        <v>5453</v>
      </c>
      <c r="C176">
        <v>1</v>
      </c>
      <c r="D176" t="s">
        <v>900</v>
      </c>
      <c r="E176" t="s">
        <v>901</v>
      </c>
      <c r="F176">
        <v>419</v>
      </c>
      <c r="G176">
        <v>36.159999999999997</v>
      </c>
      <c r="H176">
        <v>119.57</v>
      </c>
      <c r="I176">
        <v>30.24</v>
      </c>
      <c r="J176">
        <v>99.99</v>
      </c>
      <c r="K176">
        <v>299</v>
      </c>
      <c r="T176">
        <v>4</v>
      </c>
      <c r="U176">
        <v>2</v>
      </c>
      <c r="V176" t="s">
        <v>541</v>
      </c>
      <c r="W176">
        <v>119</v>
      </c>
      <c r="X176">
        <v>15</v>
      </c>
      <c r="Y176">
        <v>14</v>
      </c>
      <c r="Z176" t="s">
        <v>902</v>
      </c>
      <c r="AA176" t="s">
        <v>903</v>
      </c>
      <c r="AB176" t="s">
        <v>526</v>
      </c>
      <c r="AC176" t="s">
        <v>527</v>
      </c>
      <c r="AD176" t="s">
        <v>528</v>
      </c>
      <c r="AE176" t="s">
        <v>853</v>
      </c>
      <c r="AG176" t="s">
        <v>904</v>
      </c>
      <c r="AH176">
        <v>0</v>
      </c>
      <c r="AI176">
        <v>0</v>
      </c>
      <c r="AJ176">
        <v>0</v>
      </c>
      <c r="AK176">
        <v>528</v>
      </c>
      <c r="AL176">
        <v>1.26</v>
      </c>
    </row>
    <row r="177" spans="1:38" x14ac:dyDescent="0.3">
      <c r="A177" t="s">
        <v>849</v>
      </c>
      <c r="B177">
        <v>5453</v>
      </c>
      <c r="C177">
        <v>2</v>
      </c>
      <c r="D177" t="s">
        <v>900</v>
      </c>
      <c r="E177" t="s">
        <v>901</v>
      </c>
      <c r="F177">
        <v>419</v>
      </c>
      <c r="G177">
        <v>48.79</v>
      </c>
      <c r="H177">
        <v>161.29</v>
      </c>
      <c r="I177">
        <v>40.799999999999997</v>
      </c>
      <c r="J177">
        <v>134.88</v>
      </c>
      <c r="K177">
        <v>120</v>
      </c>
      <c r="T177">
        <v>4</v>
      </c>
      <c r="U177">
        <v>2</v>
      </c>
      <c r="V177" t="s">
        <v>541</v>
      </c>
      <c r="W177">
        <v>161</v>
      </c>
      <c r="X177">
        <v>15</v>
      </c>
      <c r="Y177">
        <v>14</v>
      </c>
      <c r="Z177" t="s">
        <v>902</v>
      </c>
      <c r="AA177" t="s">
        <v>903</v>
      </c>
      <c r="AB177" t="s">
        <v>526</v>
      </c>
      <c r="AC177" t="s">
        <v>527</v>
      </c>
      <c r="AD177" t="s">
        <v>528</v>
      </c>
      <c r="AE177" t="s">
        <v>853</v>
      </c>
      <c r="AG177" t="s">
        <v>904</v>
      </c>
      <c r="AH177">
        <v>0</v>
      </c>
      <c r="AI177">
        <v>0</v>
      </c>
      <c r="AJ177">
        <v>0</v>
      </c>
      <c r="AK177">
        <v>528</v>
      </c>
      <c r="AL177">
        <v>1.26</v>
      </c>
    </row>
    <row r="178" spans="1:38" x14ac:dyDescent="0.3">
      <c r="A178" t="s">
        <v>849</v>
      </c>
      <c r="B178">
        <v>15067</v>
      </c>
      <c r="C178">
        <v>1</v>
      </c>
      <c r="D178" t="s">
        <v>905</v>
      </c>
      <c r="E178" t="s">
        <v>906</v>
      </c>
      <c r="F178">
        <v>208</v>
      </c>
      <c r="G178">
        <v>37.07</v>
      </c>
      <c r="H178">
        <v>122.55</v>
      </c>
      <c r="I178">
        <v>29.96</v>
      </c>
      <c r="J178">
        <v>99.06</v>
      </c>
      <c r="K178">
        <v>118</v>
      </c>
      <c r="T178">
        <v>3</v>
      </c>
      <c r="U178">
        <v>2</v>
      </c>
      <c r="V178" t="s">
        <v>541</v>
      </c>
      <c r="W178">
        <v>122</v>
      </c>
      <c r="X178">
        <v>15</v>
      </c>
      <c r="Y178">
        <v>15</v>
      </c>
      <c r="Z178" t="s">
        <v>907</v>
      </c>
      <c r="AA178" t="s">
        <v>908</v>
      </c>
      <c r="AB178" t="s">
        <v>526</v>
      </c>
      <c r="AC178" t="s">
        <v>527</v>
      </c>
      <c r="AD178" t="s">
        <v>528</v>
      </c>
      <c r="AE178" t="s">
        <v>853</v>
      </c>
      <c r="AG178" t="s">
        <v>909</v>
      </c>
      <c r="AH178">
        <v>0</v>
      </c>
      <c r="AI178">
        <v>0</v>
      </c>
      <c r="AJ178">
        <v>0</v>
      </c>
      <c r="AK178">
        <v>0</v>
      </c>
      <c r="AL178">
        <v>0</v>
      </c>
    </row>
    <row r="179" spans="1:38" x14ac:dyDescent="0.3">
      <c r="A179" t="s">
        <v>849</v>
      </c>
      <c r="B179">
        <v>15067</v>
      </c>
      <c r="C179">
        <v>2</v>
      </c>
      <c r="D179" t="s">
        <v>905</v>
      </c>
      <c r="E179" t="s">
        <v>906</v>
      </c>
      <c r="F179">
        <v>208</v>
      </c>
      <c r="G179">
        <v>47.77</v>
      </c>
      <c r="H179">
        <v>157.94</v>
      </c>
      <c r="I179">
        <v>40.72</v>
      </c>
      <c r="J179">
        <v>134.63999999999999</v>
      </c>
      <c r="K179">
        <v>90</v>
      </c>
      <c r="T179">
        <v>4</v>
      </c>
      <c r="U179">
        <v>2</v>
      </c>
      <c r="V179" t="s">
        <v>541</v>
      </c>
      <c r="W179">
        <v>157</v>
      </c>
      <c r="X179">
        <v>15</v>
      </c>
      <c r="Y179">
        <v>15</v>
      </c>
      <c r="Z179" t="s">
        <v>907</v>
      </c>
      <c r="AA179" t="s">
        <v>908</v>
      </c>
      <c r="AB179" t="s">
        <v>526</v>
      </c>
      <c r="AC179" t="s">
        <v>527</v>
      </c>
      <c r="AD179" t="s">
        <v>528</v>
      </c>
      <c r="AE179" t="s">
        <v>853</v>
      </c>
      <c r="AG179" t="s">
        <v>909</v>
      </c>
      <c r="AH179">
        <v>0</v>
      </c>
      <c r="AI179">
        <v>0</v>
      </c>
      <c r="AJ179">
        <v>0</v>
      </c>
      <c r="AK179">
        <v>0</v>
      </c>
      <c r="AL179">
        <v>0</v>
      </c>
    </row>
    <row r="180" spans="1:38" x14ac:dyDescent="0.3">
      <c r="A180" t="s">
        <v>849</v>
      </c>
      <c r="B180">
        <v>5395</v>
      </c>
      <c r="C180">
        <v>1</v>
      </c>
      <c r="D180" t="s">
        <v>910</v>
      </c>
      <c r="E180" t="s">
        <v>911</v>
      </c>
      <c r="F180">
        <v>510</v>
      </c>
      <c r="G180">
        <v>31.26</v>
      </c>
      <c r="H180">
        <v>103.34</v>
      </c>
      <c r="I180">
        <v>25.7</v>
      </c>
      <c r="J180">
        <v>84.96</v>
      </c>
      <c r="K180">
        <v>510</v>
      </c>
      <c r="T180">
        <v>3</v>
      </c>
      <c r="U180">
        <v>2</v>
      </c>
      <c r="V180" t="s">
        <v>541</v>
      </c>
      <c r="W180">
        <v>103</v>
      </c>
      <c r="X180">
        <v>15</v>
      </c>
      <c r="Y180">
        <v>15</v>
      </c>
      <c r="Z180" t="s">
        <v>912</v>
      </c>
      <c r="AA180" t="s">
        <v>913</v>
      </c>
      <c r="AB180" t="s">
        <v>526</v>
      </c>
      <c r="AC180" t="s">
        <v>527</v>
      </c>
      <c r="AD180" t="s">
        <v>528</v>
      </c>
      <c r="AE180" t="s">
        <v>853</v>
      </c>
      <c r="AG180" t="s">
        <v>914</v>
      </c>
      <c r="AH180">
        <v>0</v>
      </c>
      <c r="AI180">
        <v>223</v>
      </c>
      <c r="AJ180">
        <v>23</v>
      </c>
      <c r="AK180">
        <v>460</v>
      </c>
      <c r="AL180">
        <v>0.9</v>
      </c>
    </row>
    <row r="181" spans="1:38" x14ac:dyDescent="0.3">
      <c r="A181" t="s">
        <v>849</v>
      </c>
      <c r="B181">
        <v>5412</v>
      </c>
      <c r="C181">
        <v>1</v>
      </c>
      <c r="D181" t="s">
        <v>915</v>
      </c>
      <c r="E181" t="s">
        <v>916</v>
      </c>
      <c r="F181">
        <v>216</v>
      </c>
      <c r="G181">
        <v>38.96</v>
      </c>
      <c r="H181">
        <v>128.80000000000001</v>
      </c>
      <c r="I181">
        <v>32.67</v>
      </c>
      <c r="J181">
        <v>108.03</v>
      </c>
      <c r="K181">
        <v>216</v>
      </c>
      <c r="T181">
        <v>4</v>
      </c>
      <c r="U181">
        <v>2</v>
      </c>
      <c r="V181" t="s">
        <v>541</v>
      </c>
      <c r="W181">
        <v>128</v>
      </c>
      <c r="X181">
        <v>15</v>
      </c>
      <c r="Y181">
        <v>12</v>
      </c>
      <c r="Z181" t="s">
        <v>917</v>
      </c>
      <c r="AA181" t="s">
        <v>918</v>
      </c>
      <c r="AB181" t="s">
        <v>526</v>
      </c>
      <c r="AC181" t="s">
        <v>527</v>
      </c>
      <c r="AD181" t="s">
        <v>528</v>
      </c>
      <c r="AE181" t="s">
        <v>853</v>
      </c>
      <c r="AG181" t="s">
        <v>919</v>
      </c>
      <c r="AH181">
        <v>0</v>
      </c>
      <c r="AI181">
        <v>0</v>
      </c>
      <c r="AJ181">
        <v>0</v>
      </c>
      <c r="AK181">
        <v>432</v>
      </c>
      <c r="AL181">
        <v>2</v>
      </c>
    </row>
    <row r="182" spans="1:38" x14ac:dyDescent="0.3">
      <c r="A182" t="s">
        <v>849</v>
      </c>
      <c r="B182">
        <v>5390</v>
      </c>
      <c r="C182">
        <v>1</v>
      </c>
      <c r="D182" t="s">
        <v>920</v>
      </c>
      <c r="E182" t="s">
        <v>911</v>
      </c>
      <c r="F182">
        <v>826</v>
      </c>
      <c r="G182">
        <v>22.63</v>
      </c>
      <c r="H182">
        <v>74.819999999999993</v>
      </c>
      <c r="I182">
        <v>18.14</v>
      </c>
      <c r="J182">
        <v>59.98</v>
      </c>
      <c r="K182">
        <v>826</v>
      </c>
      <c r="T182">
        <v>3</v>
      </c>
      <c r="U182">
        <v>1</v>
      </c>
      <c r="V182" t="s">
        <v>541</v>
      </c>
      <c r="W182">
        <v>74</v>
      </c>
      <c r="X182">
        <v>15</v>
      </c>
      <c r="Y182">
        <v>12</v>
      </c>
      <c r="Z182" t="s">
        <v>921</v>
      </c>
      <c r="AA182" t="s">
        <v>922</v>
      </c>
      <c r="AB182" t="s">
        <v>526</v>
      </c>
      <c r="AC182" t="s">
        <v>527</v>
      </c>
      <c r="AD182" t="s">
        <v>528</v>
      </c>
      <c r="AE182" t="s">
        <v>853</v>
      </c>
      <c r="AG182" t="s">
        <v>923</v>
      </c>
      <c r="AH182">
        <v>0</v>
      </c>
      <c r="AI182">
        <v>0</v>
      </c>
      <c r="AJ182">
        <v>0</v>
      </c>
      <c r="AK182">
        <v>660</v>
      </c>
      <c r="AL182">
        <v>0.8</v>
      </c>
    </row>
    <row r="183" spans="1:38" x14ac:dyDescent="0.3">
      <c r="A183" t="s">
        <v>849</v>
      </c>
      <c r="B183">
        <v>121052</v>
      </c>
      <c r="C183">
        <v>1</v>
      </c>
      <c r="D183" t="s">
        <v>924</v>
      </c>
      <c r="E183" t="s">
        <v>925</v>
      </c>
      <c r="F183">
        <v>1390</v>
      </c>
      <c r="G183">
        <v>15.86</v>
      </c>
      <c r="H183">
        <v>52.46</v>
      </c>
      <c r="I183">
        <v>10.58</v>
      </c>
      <c r="J183">
        <v>34.99</v>
      </c>
      <c r="K183">
        <v>48</v>
      </c>
      <c r="T183">
        <v>1</v>
      </c>
      <c r="U183">
        <v>1</v>
      </c>
      <c r="V183" t="s">
        <v>541</v>
      </c>
      <c r="W183">
        <v>52</v>
      </c>
      <c r="X183">
        <v>20</v>
      </c>
      <c r="Y183">
        <v>11</v>
      </c>
      <c r="Z183" t="s">
        <v>926</v>
      </c>
      <c r="AA183" t="s">
        <v>927</v>
      </c>
      <c r="AB183" t="s">
        <v>526</v>
      </c>
      <c r="AC183" t="s">
        <v>527</v>
      </c>
      <c r="AD183" t="s">
        <v>528</v>
      </c>
      <c r="AE183" t="s">
        <v>853</v>
      </c>
      <c r="AG183" t="s">
        <v>928</v>
      </c>
      <c r="AH183">
        <v>72</v>
      </c>
      <c r="AI183">
        <v>217</v>
      </c>
      <c r="AJ183">
        <v>21</v>
      </c>
      <c r="AK183">
        <v>1741</v>
      </c>
      <c r="AL183">
        <v>1.25</v>
      </c>
    </row>
    <row r="184" spans="1:38" x14ac:dyDescent="0.3">
      <c r="A184" t="s">
        <v>849</v>
      </c>
      <c r="B184">
        <v>121052</v>
      </c>
      <c r="C184">
        <v>2</v>
      </c>
      <c r="D184" t="s">
        <v>924</v>
      </c>
      <c r="E184" t="s">
        <v>925</v>
      </c>
      <c r="F184">
        <v>1390</v>
      </c>
      <c r="G184">
        <v>25.21</v>
      </c>
      <c r="H184">
        <v>83.34</v>
      </c>
      <c r="I184">
        <v>18.14</v>
      </c>
      <c r="J184">
        <v>59.98</v>
      </c>
      <c r="K184">
        <v>101</v>
      </c>
      <c r="T184">
        <v>3</v>
      </c>
      <c r="U184">
        <v>2</v>
      </c>
      <c r="V184" t="s">
        <v>541</v>
      </c>
      <c r="W184" t="s">
        <v>187</v>
      </c>
      <c r="X184">
        <v>20</v>
      </c>
      <c r="Y184">
        <v>11</v>
      </c>
      <c r="Z184" t="s">
        <v>926</v>
      </c>
      <c r="AA184" t="s">
        <v>927</v>
      </c>
      <c r="AB184" t="s">
        <v>526</v>
      </c>
      <c r="AC184" t="s">
        <v>527</v>
      </c>
      <c r="AD184" t="s">
        <v>528</v>
      </c>
      <c r="AE184" t="s">
        <v>853</v>
      </c>
      <c r="AG184" t="s">
        <v>928</v>
      </c>
      <c r="AH184">
        <v>72</v>
      </c>
      <c r="AI184">
        <v>217</v>
      </c>
      <c r="AJ184">
        <v>21</v>
      </c>
      <c r="AK184">
        <v>1741</v>
      </c>
      <c r="AL184">
        <v>1.25</v>
      </c>
    </row>
    <row r="185" spans="1:38" x14ac:dyDescent="0.3">
      <c r="A185" t="s">
        <v>849</v>
      </c>
      <c r="B185">
        <v>121052</v>
      </c>
      <c r="C185">
        <v>3</v>
      </c>
      <c r="D185" t="s">
        <v>924</v>
      </c>
      <c r="E185" t="s">
        <v>925</v>
      </c>
      <c r="F185">
        <v>1390</v>
      </c>
      <c r="G185">
        <v>25.34</v>
      </c>
      <c r="H185">
        <v>83.78</v>
      </c>
      <c r="I185">
        <v>18.14</v>
      </c>
      <c r="J185">
        <v>59.98</v>
      </c>
      <c r="K185">
        <v>69</v>
      </c>
      <c r="T185">
        <v>3</v>
      </c>
      <c r="U185">
        <v>2</v>
      </c>
      <c r="V185" t="s">
        <v>541</v>
      </c>
      <c r="W185" t="s">
        <v>188</v>
      </c>
      <c r="X185">
        <v>20</v>
      </c>
      <c r="Y185">
        <v>11</v>
      </c>
      <c r="Z185" t="s">
        <v>926</v>
      </c>
      <c r="AA185" t="s">
        <v>927</v>
      </c>
      <c r="AB185" t="s">
        <v>526</v>
      </c>
      <c r="AC185" t="s">
        <v>527</v>
      </c>
      <c r="AD185" t="s">
        <v>528</v>
      </c>
      <c r="AE185" t="s">
        <v>853</v>
      </c>
      <c r="AG185" t="s">
        <v>928</v>
      </c>
      <c r="AH185">
        <v>72</v>
      </c>
      <c r="AI185">
        <v>217</v>
      </c>
      <c r="AJ185">
        <v>21</v>
      </c>
      <c r="AK185">
        <v>1741</v>
      </c>
      <c r="AL185">
        <v>1.25</v>
      </c>
    </row>
    <row r="186" spans="1:38" x14ac:dyDescent="0.3">
      <c r="A186" t="s">
        <v>849</v>
      </c>
      <c r="B186">
        <v>121052</v>
      </c>
      <c r="C186">
        <v>4</v>
      </c>
      <c r="D186" t="s">
        <v>924</v>
      </c>
      <c r="E186" t="s">
        <v>925</v>
      </c>
      <c r="F186">
        <v>1390</v>
      </c>
      <c r="G186">
        <v>25.45</v>
      </c>
      <c r="H186">
        <v>84.15</v>
      </c>
      <c r="I186">
        <v>18.14</v>
      </c>
      <c r="J186">
        <v>59.99</v>
      </c>
      <c r="K186">
        <v>103</v>
      </c>
      <c r="T186">
        <v>3</v>
      </c>
      <c r="U186">
        <v>2</v>
      </c>
      <c r="V186" t="s">
        <v>541</v>
      </c>
      <c r="W186" t="s">
        <v>190</v>
      </c>
      <c r="X186">
        <v>20</v>
      </c>
      <c r="Y186">
        <v>11</v>
      </c>
      <c r="Z186" t="s">
        <v>926</v>
      </c>
      <c r="AA186" t="s">
        <v>927</v>
      </c>
      <c r="AB186" t="s">
        <v>526</v>
      </c>
      <c r="AC186" t="s">
        <v>527</v>
      </c>
      <c r="AD186" t="s">
        <v>528</v>
      </c>
      <c r="AE186" t="s">
        <v>853</v>
      </c>
      <c r="AG186" t="s">
        <v>928</v>
      </c>
      <c r="AH186">
        <v>72</v>
      </c>
      <c r="AI186">
        <v>217</v>
      </c>
      <c r="AJ186">
        <v>21</v>
      </c>
      <c r="AK186">
        <v>1741</v>
      </c>
      <c r="AL186">
        <v>1.25</v>
      </c>
    </row>
    <row r="187" spans="1:38" x14ac:dyDescent="0.3">
      <c r="A187" t="s">
        <v>849</v>
      </c>
      <c r="B187">
        <v>121052</v>
      </c>
      <c r="C187">
        <v>5</v>
      </c>
      <c r="D187" t="s">
        <v>924</v>
      </c>
      <c r="E187" t="s">
        <v>925</v>
      </c>
      <c r="F187">
        <v>1390</v>
      </c>
      <c r="G187">
        <v>25.43</v>
      </c>
      <c r="H187">
        <v>84.08</v>
      </c>
      <c r="I187">
        <v>18.14</v>
      </c>
      <c r="J187">
        <v>59.98</v>
      </c>
      <c r="K187">
        <v>36</v>
      </c>
      <c r="T187">
        <v>3</v>
      </c>
      <c r="U187">
        <v>2</v>
      </c>
      <c r="V187" t="s">
        <v>541</v>
      </c>
      <c r="W187" t="s">
        <v>191</v>
      </c>
      <c r="X187">
        <v>20</v>
      </c>
      <c r="Y187">
        <v>11</v>
      </c>
      <c r="Z187" t="s">
        <v>926</v>
      </c>
      <c r="AA187" t="s">
        <v>927</v>
      </c>
      <c r="AB187" t="s">
        <v>526</v>
      </c>
      <c r="AC187" t="s">
        <v>527</v>
      </c>
      <c r="AD187" t="s">
        <v>528</v>
      </c>
      <c r="AE187" t="s">
        <v>853</v>
      </c>
      <c r="AG187" t="s">
        <v>928</v>
      </c>
      <c r="AH187">
        <v>72</v>
      </c>
      <c r="AI187">
        <v>217</v>
      </c>
      <c r="AJ187">
        <v>21</v>
      </c>
      <c r="AK187">
        <v>1741</v>
      </c>
      <c r="AL187">
        <v>1.25</v>
      </c>
    </row>
    <row r="188" spans="1:38" x14ac:dyDescent="0.3">
      <c r="A188" t="s">
        <v>849</v>
      </c>
      <c r="B188">
        <v>121052</v>
      </c>
      <c r="C188">
        <v>6</v>
      </c>
      <c r="D188" t="s">
        <v>924</v>
      </c>
      <c r="E188" t="s">
        <v>925</v>
      </c>
      <c r="F188">
        <v>1390</v>
      </c>
      <c r="G188">
        <v>33.03</v>
      </c>
      <c r="H188">
        <v>109.22</v>
      </c>
      <c r="I188">
        <v>25.7</v>
      </c>
      <c r="J188">
        <v>84.99</v>
      </c>
      <c r="K188">
        <v>414</v>
      </c>
      <c r="T188">
        <v>3</v>
      </c>
      <c r="U188">
        <v>2</v>
      </c>
      <c r="V188" t="s">
        <v>541</v>
      </c>
      <c r="W188" t="s">
        <v>124</v>
      </c>
      <c r="X188">
        <v>20</v>
      </c>
      <c r="Y188">
        <v>11</v>
      </c>
      <c r="Z188" t="s">
        <v>926</v>
      </c>
      <c r="AA188" t="s">
        <v>927</v>
      </c>
      <c r="AB188" t="s">
        <v>526</v>
      </c>
      <c r="AC188" t="s">
        <v>527</v>
      </c>
      <c r="AD188" t="s">
        <v>528</v>
      </c>
      <c r="AE188" t="s">
        <v>853</v>
      </c>
      <c r="AG188" t="s">
        <v>928</v>
      </c>
      <c r="AH188">
        <v>72</v>
      </c>
      <c r="AI188">
        <v>217</v>
      </c>
      <c r="AJ188">
        <v>21</v>
      </c>
      <c r="AK188">
        <v>1741</v>
      </c>
      <c r="AL188">
        <v>1.25</v>
      </c>
    </row>
    <row r="189" spans="1:38" x14ac:dyDescent="0.3">
      <c r="A189" t="s">
        <v>849</v>
      </c>
      <c r="B189">
        <v>121052</v>
      </c>
      <c r="C189">
        <v>7</v>
      </c>
      <c r="D189" t="s">
        <v>924</v>
      </c>
      <c r="E189" t="s">
        <v>925</v>
      </c>
      <c r="F189">
        <v>1390</v>
      </c>
      <c r="G189">
        <v>33.090000000000003</v>
      </c>
      <c r="H189">
        <v>109.42</v>
      </c>
      <c r="I189">
        <v>25.7</v>
      </c>
      <c r="J189">
        <v>84.98</v>
      </c>
      <c r="K189">
        <v>323</v>
      </c>
      <c r="T189">
        <v>3</v>
      </c>
      <c r="U189">
        <v>2</v>
      </c>
      <c r="V189" t="s">
        <v>541</v>
      </c>
      <c r="W189" t="s">
        <v>192</v>
      </c>
      <c r="X189">
        <v>20</v>
      </c>
      <c r="Y189">
        <v>11</v>
      </c>
      <c r="Z189" t="s">
        <v>926</v>
      </c>
      <c r="AA189" t="s">
        <v>927</v>
      </c>
      <c r="AB189" t="s">
        <v>526</v>
      </c>
      <c r="AC189" t="s">
        <v>527</v>
      </c>
      <c r="AD189" t="s">
        <v>528</v>
      </c>
      <c r="AE189" t="s">
        <v>853</v>
      </c>
      <c r="AG189" t="s">
        <v>928</v>
      </c>
      <c r="AH189">
        <v>72</v>
      </c>
      <c r="AI189">
        <v>217</v>
      </c>
      <c r="AJ189">
        <v>21</v>
      </c>
      <c r="AK189">
        <v>1741</v>
      </c>
      <c r="AL189">
        <v>1.25</v>
      </c>
    </row>
    <row r="190" spans="1:38" x14ac:dyDescent="0.3">
      <c r="A190" t="s">
        <v>849</v>
      </c>
      <c r="B190">
        <v>121052</v>
      </c>
      <c r="C190">
        <v>8</v>
      </c>
      <c r="D190" t="s">
        <v>924</v>
      </c>
      <c r="E190" t="s">
        <v>925</v>
      </c>
      <c r="F190">
        <v>1390</v>
      </c>
      <c r="G190">
        <v>32.99</v>
      </c>
      <c r="H190">
        <v>109.09</v>
      </c>
      <c r="I190">
        <v>25.7</v>
      </c>
      <c r="J190">
        <v>84.97</v>
      </c>
      <c r="K190">
        <v>58</v>
      </c>
      <c r="T190">
        <v>3</v>
      </c>
      <c r="U190">
        <v>2</v>
      </c>
      <c r="V190" t="s">
        <v>541</v>
      </c>
      <c r="W190" t="s">
        <v>193</v>
      </c>
      <c r="X190">
        <v>20</v>
      </c>
      <c r="Y190">
        <v>11</v>
      </c>
      <c r="Z190" t="s">
        <v>926</v>
      </c>
      <c r="AA190" t="s">
        <v>927</v>
      </c>
      <c r="AB190" t="s">
        <v>526</v>
      </c>
      <c r="AC190" t="s">
        <v>527</v>
      </c>
      <c r="AD190" t="s">
        <v>528</v>
      </c>
      <c r="AE190" t="s">
        <v>853</v>
      </c>
      <c r="AG190" t="s">
        <v>928</v>
      </c>
      <c r="AH190">
        <v>72</v>
      </c>
      <c r="AI190">
        <v>217</v>
      </c>
      <c r="AJ190">
        <v>21</v>
      </c>
      <c r="AK190">
        <v>1741</v>
      </c>
      <c r="AL190">
        <v>1.25</v>
      </c>
    </row>
    <row r="191" spans="1:38" x14ac:dyDescent="0.3">
      <c r="A191" t="s">
        <v>849</v>
      </c>
      <c r="B191">
        <v>121052</v>
      </c>
      <c r="C191">
        <v>9</v>
      </c>
      <c r="D191" t="s">
        <v>924</v>
      </c>
      <c r="E191" t="s">
        <v>925</v>
      </c>
      <c r="F191">
        <v>1390</v>
      </c>
      <c r="G191">
        <v>39.4</v>
      </c>
      <c r="H191">
        <v>130.27000000000001</v>
      </c>
      <c r="I191">
        <v>30.85</v>
      </c>
      <c r="J191">
        <v>101.99</v>
      </c>
      <c r="K191">
        <v>84</v>
      </c>
      <c r="T191">
        <v>4</v>
      </c>
      <c r="U191">
        <v>2</v>
      </c>
      <c r="V191" t="s">
        <v>541</v>
      </c>
      <c r="W191" t="s">
        <v>194</v>
      </c>
      <c r="X191">
        <v>20</v>
      </c>
      <c r="Y191">
        <v>11</v>
      </c>
      <c r="Z191" t="s">
        <v>926</v>
      </c>
      <c r="AA191" t="s">
        <v>927</v>
      </c>
      <c r="AB191" t="s">
        <v>526</v>
      </c>
      <c r="AC191" t="s">
        <v>527</v>
      </c>
      <c r="AD191" t="s">
        <v>528</v>
      </c>
      <c r="AE191" t="s">
        <v>853</v>
      </c>
      <c r="AG191" t="s">
        <v>928</v>
      </c>
      <c r="AH191">
        <v>72</v>
      </c>
      <c r="AI191">
        <v>217</v>
      </c>
      <c r="AJ191">
        <v>21</v>
      </c>
      <c r="AK191">
        <v>1741</v>
      </c>
      <c r="AL191">
        <v>1.25</v>
      </c>
    </row>
    <row r="192" spans="1:38" x14ac:dyDescent="0.3">
      <c r="A192" t="s">
        <v>849</v>
      </c>
      <c r="B192">
        <v>121052</v>
      </c>
      <c r="C192">
        <v>10</v>
      </c>
      <c r="D192" t="s">
        <v>924</v>
      </c>
      <c r="E192" t="s">
        <v>925</v>
      </c>
      <c r="F192">
        <v>1390</v>
      </c>
      <c r="G192">
        <v>39.44</v>
      </c>
      <c r="H192">
        <v>130.41</v>
      </c>
      <c r="I192">
        <v>30.85</v>
      </c>
      <c r="J192">
        <v>101.99</v>
      </c>
      <c r="K192">
        <v>42</v>
      </c>
      <c r="T192">
        <v>4</v>
      </c>
      <c r="U192">
        <v>2</v>
      </c>
      <c r="V192" t="s">
        <v>541</v>
      </c>
      <c r="W192" t="s">
        <v>195</v>
      </c>
      <c r="X192">
        <v>20</v>
      </c>
      <c r="Y192">
        <v>11</v>
      </c>
      <c r="Z192" t="s">
        <v>926</v>
      </c>
      <c r="AA192" t="s">
        <v>927</v>
      </c>
      <c r="AB192" t="s">
        <v>526</v>
      </c>
      <c r="AC192" t="s">
        <v>527</v>
      </c>
      <c r="AD192" t="s">
        <v>528</v>
      </c>
      <c r="AE192" t="s">
        <v>853</v>
      </c>
      <c r="AG192" t="s">
        <v>928</v>
      </c>
      <c r="AH192">
        <v>72</v>
      </c>
      <c r="AI192">
        <v>217</v>
      </c>
      <c r="AJ192">
        <v>21</v>
      </c>
      <c r="AK192">
        <v>1741</v>
      </c>
      <c r="AL192">
        <v>1.25</v>
      </c>
    </row>
    <row r="193" spans="1:38" x14ac:dyDescent="0.3">
      <c r="A193" t="s">
        <v>849</v>
      </c>
      <c r="B193">
        <v>121052</v>
      </c>
      <c r="C193">
        <v>11</v>
      </c>
      <c r="D193" t="s">
        <v>924</v>
      </c>
      <c r="E193" t="s">
        <v>925</v>
      </c>
      <c r="F193">
        <v>1390</v>
      </c>
      <c r="G193">
        <v>42.94</v>
      </c>
      <c r="H193">
        <v>141.97</v>
      </c>
      <c r="I193">
        <v>35.24</v>
      </c>
      <c r="J193">
        <v>116.5</v>
      </c>
      <c r="K193">
        <v>40</v>
      </c>
      <c r="T193">
        <v>4</v>
      </c>
      <c r="U193">
        <v>2</v>
      </c>
      <c r="V193" t="s">
        <v>541</v>
      </c>
      <c r="W193">
        <v>141</v>
      </c>
      <c r="X193">
        <v>20</v>
      </c>
      <c r="Y193">
        <v>11</v>
      </c>
      <c r="Z193" t="s">
        <v>926</v>
      </c>
      <c r="AA193" t="s">
        <v>927</v>
      </c>
      <c r="AB193" t="s">
        <v>526</v>
      </c>
      <c r="AC193" t="s">
        <v>527</v>
      </c>
      <c r="AD193" t="s">
        <v>528</v>
      </c>
      <c r="AE193" t="s">
        <v>853</v>
      </c>
      <c r="AG193" t="s">
        <v>928</v>
      </c>
      <c r="AH193">
        <v>72</v>
      </c>
      <c r="AI193">
        <v>217</v>
      </c>
      <c r="AJ193">
        <v>21</v>
      </c>
      <c r="AK193">
        <v>1741</v>
      </c>
      <c r="AL193">
        <v>1.25</v>
      </c>
    </row>
    <row r="194" spans="1:38" x14ac:dyDescent="0.3">
      <c r="A194" t="s">
        <v>849</v>
      </c>
      <c r="B194">
        <v>111977</v>
      </c>
      <c r="C194">
        <v>1</v>
      </c>
      <c r="D194" t="s">
        <v>929</v>
      </c>
      <c r="E194" t="s">
        <v>930</v>
      </c>
      <c r="F194">
        <v>54</v>
      </c>
      <c r="G194">
        <v>17.829999999999998</v>
      </c>
      <c r="H194">
        <v>58.95</v>
      </c>
      <c r="I194">
        <v>12.1</v>
      </c>
      <c r="J194">
        <v>40</v>
      </c>
      <c r="K194">
        <v>1</v>
      </c>
      <c r="T194">
        <v>2</v>
      </c>
      <c r="U194">
        <v>1</v>
      </c>
      <c r="V194" t="s">
        <v>523</v>
      </c>
      <c r="W194">
        <v>58</v>
      </c>
      <c r="X194">
        <v>8</v>
      </c>
      <c r="Y194">
        <v>8</v>
      </c>
      <c r="Z194" t="s">
        <v>931</v>
      </c>
      <c r="AA194" t="s">
        <v>932</v>
      </c>
      <c r="AB194" t="s">
        <v>526</v>
      </c>
      <c r="AC194" t="s">
        <v>527</v>
      </c>
      <c r="AD194" t="s">
        <v>528</v>
      </c>
      <c r="AE194" t="s">
        <v>853</v>
      </c>
      <c r="AG194" t="s">
        <v>933</v>
      </c>
      <c r="AH194">
        <v>0</v>
      </c>
      <c r="AI194">
        <v>306</v>
      </c>
      <c r="AJ194">
        <v>50</v>
      </c>
      <c r="AK194">
        <v>53</v>
      </c>
      <c r="AL194">
        <v>0.98</v>
      </c>
    </row>
    <row r="195" spans="1:38" x14ac:dyDescent="0.3">
      <c r="A195" t="s">
        <v>849</v>
      </c>
      <c r="B195">
        <v>111977</v>
      </c>
      <c r="C195">
        <v>2</v>
      </c>
      <c r="D195" t="s">
        <v>929</v>
      </c>
      <c r="E195" t="s">
        <v>930</v>
      </c>
      <c r="F195">
        <v>54</v>
      </c>
      <c r="G195">
        <v>18.7</v>
      </c>
      <c r="H195">
        <v>61.83</v>
      </c>
      <c r="I195">
        <v>12.79</v>
      </c>
      <c r="J195">
        <v>42.3</v>
      </c>
      <c r="K195">
        <v>6</v>
      </c>
      <c r="T195">
        <v>1</v>
      </c>
      <c r="U195">
        <v>1</v>
      </c>
      <c r="V195" t="s">
        <v>541</v>
      </c>
      <c r="W195">
        <v>61</v>
      </c>
      <c r="X195">
        <v>8</v>
      </c>
      <c r="Y195">
        <v>8</v>
      </c>
      <c r="Z195" t="s">
        <v>931</v>
      </c>
      <c r="AA195" t="s">
        <v>932</v>
      </c>
      <c r="AB195" t="s">
        <v>526</v>
      </c>
      <c r="AC195" t="s">
        <v>527</v>
      </c>
      <c r="AD195" t="s">
        <v>528</v>
      </c>
      <c r="AE195" t="s">
        <v>853</v>
      </c>
      <c r="AG195" t="s">
        <v>933</v>
      </c>
      <c r="AH195">
        <v>0</v>
      </c>
      <c r="AI195">
        <v>306</v>
      </c>
      <c r="AJ195">
        <v>50</v>
      </c>
      <c r="AK195">
        <v>53</v>
      </c>
      <c r="AL195">
        <v>0.98</v>
      </c>
    </row>
    <row r="196" spans="1:38" x14ac:dyDescent="0.3">
      <c r="A196" t="s">
        <v>849</v>
      </c>
      <c r="B196">
        <v>111977</v>
      </c>
      <c r="C196">
        <v>3</v>
      </c>
      <c r="D196" t="s">
        <v>929</v>
      </c>
      <c r="E196" t="s">
        <v>930</v>
      </c>
      <c r="F196">
        <v>54</v>
      </c>
      <c r="G196">
        <v>21.63</v>
      </c>
      <c r="H196">
        <v>71.53</v>
      </c>
      <c r="I196">
        <v>14.85</v>
      </c>
      <c r="J196">
        <v>49.12</v>
      </c>
      <c r="K196">
        <v>47</v>
      </c>
      <c r="T196">
        <v>1</v>
      </c>
      <c r="U196">
        <v>1</v>
      </c>
      <c r="V196" t="s">
        <v>541</v>
      </c>
      <c r="W196">
        <v>71</v>
      </c>
      <c r="X196">
        <v>8</v>
      </c>
      <c r="Y196">
        <v>8</v>
      </c>
      <c r="Z196" t="s">
        <v>931</v>
      </c>
      <c r="AA196" t="s">
        <v>932</v>
      </c>
      <c r="AB196" t="s">
        <v>526</v>
      </c>
      <c r="AC196" t="s">
        <v>527</v>
      </c>
      <c r="AD196" t="s">
        <v>528</v>
      </c>
      <c r="AE196" t="s">
        <v>853</v>
      </c>
      <c r="AG196" t="s">
        <v>933</v>
      </c>
      <c r="AH196">
        <v>0</v>
      </c>
      <c r="AI196">
        <v>306</v>
      </c>
      <c r="AJ196">
        <v>50</v>
      </c>
      <c r="AK196">
        <v>53</v>
      </c>
      <c r="AL196">
        <v>0.98</v>
      </c>
    </row>
    <row r="197" spans="1:38" x14ac:dyDescent="0.3">
      <c r="A197" t="s">
        <v>849</v>
      </c>
      <c r="B197">
        <v>5455</v>
      </c>
      <c r="C197">
        <v>1</v>
      </c>
      <c r="D197" t="s">
        <v>934</v>
      </c>
      <c r="E197" t="s">
        <v>906</v>
      </c>
      <c r="F197">
        <v>294</v>
      </c>
      <c r="G197">
        <v>39.93</v>
      </c>
      <c r="H197">
        <v>132.01</v>
      </c>
      <c r="I197">
        <v>32.979999999999997</v>
      </c>
      <c r="J197">
        <v>109.03</v>
      </c>
      <c r="K197">
        <v>246</v>
      </c>
      <c r="T197">
        <v>3</v>
      </c>
      <c r="U197">
        <v>2</v>
      </c>
      <c r="V197" t="s">
        <v>541</v>
      </c>
      <c r="W197">
        <v>132</v>
      </c>
      <c r="X197">
        <v>15</v>
      </c>
      <c r="Y197">
        <v>12</v>
      </c>
      <c r="Z197" t="s">
        <v>935</v>
      </c>
      <c r="AA197" t="s">
        <v>936</v>
      </c>
      <c r="AB197" t="s">
        <v>526</v>
      </c>
      <c r="AC197" t="s">
        <v>527</v>
      </c>
      <c r="AD197" t="s">
        <v>528</v>
      </c>
      <c r="AE197" t="s">
        <v>853</v>
      </c>
      <c r="AG197" t="s">
        <v>937</v>
      </c>
      <c r="AH197">
        <v>0</v>
      </c>
      <c r="AI197">
        <v>227</v>
      </c>
      <c r="AJ197">
        <v>24</v>
      </c>
      <c r="AK197">
        <v>0</v>
      </c>
      <c r="AL197">
        <v>0</v>
      </c>
    </row>
    <row r="198" spans="1:38" x14ac:dyDescent="0.3">
      <c r="A198" t="s">
        <v>849</v>
      </c>
      <c r="B198">
        <v>5455</v>
      </c>
      <c r="C198">
        <v>2</v>
      </c>
      <c r="D198" t="s">
        <v>934</v>
      </c>
      <c r="E198" t="s">
        <v>906</v>
      </c>
      <c r="F198">
        <v>294</v>
      </c>
      <c r="G198">
        <v>53.27</v>
      </c>
      <c r="H198">
        <v>176.1</v>
      </c>
      <c r="I198">
        <v>43.66</v>
      </c>
      <c r="J198">
        <v>144.36000000000001</v>
      </c>
      <c r="K198">
        <v>48</v>
      </c>
      <c r="T198">
        <v>4</v>
      </c>
      <c r="U198">
        <v>2</v>
      </c>
      <c r="V198" t="s">
        <v>541</v>
      </c>
      <c r="W198">
        <v>176</v>
      </c>
      <c r="X198">
        <v>15</v>
      </c>
      <c r="Y198">
        <v>12</v>
      </c>
      <c r="Z198" t="s">
        <v>935</v>
      </c>
      <c r="AA198" t="s">
        <v>936</v>
      </c>
      <c r="AB198" t="s">
        <v>526</v>
      </c>
      <c r="AC198" t="s">
        <v>527</v>
      </c>
      <c r="AD198" t="s">
        <v>528</v>
      </c>
      <c r="AE198" t="s">
        <v>853</v>
      </c>
      <c r="AG198" t="s">
        <v>937</v>
      </c>
      <c r="AH198">
        <v>0</v>
      </c>
      <c r="AI198">
        <v>227</v>
      </c>
      <c r="AJ198">
        <v>24</v>
      </c>
      <c r="AK198">
        <v>0</v>
      </c>
      <c r="AL198">
        <v>0</v>
      </c>
    </row>
    <row r="199" spans="1:38" x14ac:dyDescent="0.3">
      <c r="A199" t="s">
        <v>849</v>
      </c>
      <c r="B199">
        <v>5396</v>
      </c>
      <c r="C199">
        <v>1</v>
      </c>
      <c r="D199" t="s">
        <v>938</v>
      </c>
      <c r="E199" t="s">
        <v>939</v>
      </c>
      <c r="F199">
        <v>390</v>
      </c>
      <c r="G199">
        <v>32.29</v>
      </c>
      <c r="H199">
        <v>106.76</v>
      </c>
      <c r="I199">
        <v>25.58</v>
      </c>
      <c r="J199">
        <v>84.59</v>
      </c>
      <c r="K199">
        <v>248</v>
      </c>
      <c r="T199">
        <v>3</v>
      </c>
      <c r="U199">
        <v>2</v>
      </c>
      <c r="V199" t="s">
        <v>541</v>
      </c>
      <c r="W199">
        <v>106</v>
      </c>
      <c r="X199">
        <v>17</v>
      </c>
      <c r="Y199">
        <v>14</v>
      </c>
      <c r="Z199" t="s">
        <v>940</v>
      </c>
      <c r="AA199" t="s">
        <v>941</v>
      </c>
      <c r="AB199" t="s">
        <v>526</v>
      </c>
      <c r="AC199" t="s">
        <v>527</v>
      </c>
      <c r="AD199" t="s">
        <v>528</v>
      </c>
      <c r="AE199" t="s">
        <v>853</v>
      </c>
      <c r="AG199" t="s">
        <v>942</v>
      </c>
      <c r="AH199">
        <v>0</v>
      </c>
      <c r="AI199">
        <v>233</v>
      </c>
      <c r="AJ199">
        <v>22</v>
      </c>
      <c r="AK199">
        <v>402</v>
      </c>
      <c r="AL199">
        <v>1.03</v>
      </c>
    </row>
    <row r="200" spans="1:38" x14ac:dyDescent="0.3">
      <c r="A200" t="s">
        <v>849</v>
      </c>
      <c r="B200">
        <v>5396</v>
      </c>
      <c r="C200">
        <v>2</v>
      </c>
      <c r="D200" t="s">
        <v>938</v>
      </c>
      <c r="E200" t="s">
        <v>939</v>
      </c>
      <c r="F200">
        <v>390</v>
      </c>
      <c r="G200">
        <v>32.4</v>
      </c>
      <c r="H200">
        <v>107.11</v>
      </c>
      <c r="I200">
        <v>25.7</v>
      </c>
      <c r="J200">
        <v>84.96</v>
      </c>
      <c r="K200">
        <v>142</v>
      </c>
      <c r="T200">
        <v>3</v>
      </c>
      <c r="U200">
        <v>2</v>
      </c>
      <c r="V200" t="s">
        <v>541</v>
      </c>
      <c r="W200" t="s">
        <v>199</v>
      </c>
      <c r="X200">
        <v>17</v>
      </c>
      <c r="Y200">
        <v>14</v>
      </c>
      <c r="Z200" t="s">
        <v>940</v>
      </c>
      <c r="AA200" t="s">
        <v>941</v>
      </c>
      <c r="AB200" t="s">
        <v>526</v>
      </c>
      <c r="AC200" t="s">
        <v>527</v>
      </c>
      <c r="AD200" t="s">
        <v>528</v>
      </c>
      <c r="AE200" t="s">
        <v>853</v>
      </c>
      <c r="AG200" t="s">
        <v>942</v>
      </c>
      <c r="AH200">
        <v>0</v>
      </c>
      <c r="AI200">
        <v>233</v>
      </c>
      <c r="AJ200">
        <v>22</v>
      </c>
      <c r="AK200">
        <v>402</v>
      </c>
      <c r="AL200">
        <v>1.03</v>
      </c>
    </row>
    <row r="201" spans="1:38" x14ac:dyDescent="0.3">
      <c r="A201" t="s">
        <v>849</v>
      </c>
      <c r="B201">
        <v>22683</v>
      </c>
      <c r="C201">
        <v>1</v>
      </c>
      <c r="D201" t="s">
        <v>943</v>
      </c>
      <c r="E201" t="s">
        <v>944</v>
      </c>
      <c r="F201">
        <v>428</v>
      </c>
      <c r="G201">
        <v>23.51</v>
      </c>
      <c r="H201">
        <v>77.73</v>
      </c>
      <c r="I201">
        <v>18.010000000000002</v>
      </c>
      <c r="J201">
        <v>59.55</v>
      </c>
      <c r="K201">
        <v>428</v>
      </c>
      <c r="T201">
        <v>2</v>
      </c>
      <c r="U201">
        <v>1</v>
      </c>
      <c r="V201" t="s">
        <v>541</v>
      </c>
      <c r="W201">
        <v>77</v>
      </c>
      <c r="X201">
        <v>18</v>
      </c>
      <c r="Y201">
        <v>13</v>
      </c>
      <c r="Z201" t="s">
        <v>945</v>
      </c>
      <c r="AA201" t="s">
        <v>946</v>
      </c>
      <c r="AB201" t="s">
        <v>526</v>
      </c>
      <c r="AC201" t="s">
        <v>527</v>
      </c>
      <c r="AD201" t="s">
        <v>528</v>
      </c>
      <c r="AE201" t="s">
        <v>853</v>
      </c>
      <c r="AG201" t="s">
        <v>947</v>
      </c>
      <c r="AH201">
        <v>0</v>
      </c>
      <c r="AI201">
        <v>214</v>
      </c>
      <c r="AJ201">
        <v>22</v>
      </c>
      <c r="AK201">
        <v>402</v>
      </c>
      <c r="AL201">
        <v>0.94</v>
      </c>
    </row>
    <row r="202" spans="1:38" x14ac:dyDescent="0.3">
      <c r="A202" t="s">
        <v>849</v>
      </c>
      <c r="B202">
        <v>15070</v>
      </c>
      <c r="C202">
        <v>1</v>
      </c>
      <c r="D202" t="s">
        <v>948</v>
      </c>
      <c r="E202" t="s">
        <v>949</v>
      </c>
      <c r="F202">
        <v>531</v>
      </c>
      <c r="G202">
        <v>24.9</v>
      </c>
      <c r="H202">
        <v>82.33</v>
      </c>
      <c r="I202">
        <v>17.850000000000001</v>
      </c>
      <c r="J202">
        <v>59.02</v>
      </c>
      <c r="K202">
        <v>531</v>
      </c>
      <c r="T202">
        <v>2</v>
      </c>
      <c r="U202">
        <v>1</v>
      </c>
      <c r="V202" t="s">
        <v>523</v>
      </c>
      <c r="W202">
        <v>82</v>
      </c>
      <c r="X202">
        <v>18</v>
      </c>
      <c r="Y202">
        <v>15</v>
      </c>
      <c r="Z202" t="s">
        <v>950</v>
      </c>
      <c r="AA202" t="s">
        <v>951</v>
      </c>
      <c r="AB202" t="s">
        <v>526</v>
      </c>
      <c r="AC202" t="s">
        <v>527</v>
      </c>
      <c r="AD202" t="s">
        <v>528</v>
      </c>
      <c r="AE202" t="s">
        <v>853</v>
      </c>
      <c r="AG202" t="s">
        <v>952</v>
      </c>
      <c r="AH202">
        <v>0</v>
      </c>
      <c r="AI202">
        <v>0</v>
      </c>
      <c r="AJ202">
        <v>0</v>
      </c>
      <c r="AK202">
        <v>0</v>
      </c>
      <c r="AL202">
        <v>0</v>
      </c>
    </row>
    <row r="203" spans="1:38" x14ac:dyDescent="0.3">
      <c r="A203" t="s">
        <v>849</v>
      </c>
      <c r="B203">
        <v>5415</v>
      </c>
      <c r="C203">
        <v>1</v>
      </c>
      <c r="D203" t="s">
        <v>953</v>
      </c>
      <c r="E203" t="s">
        <v>911</v>
      </c>
      <c r="F203">
        <v>630</v>
      </c>
      <c r="G203">
        <v>23.84</v>
      </c>
      <c r="H203">
        <v>78.83</v>
      </c>
      <c r="I203">
        <v>18.14</v>
      </c>
      <c r="J203">
        <v>59.97</v>
      </c>
      <c r="K203">
        <v>630</v>
      </c>
      <c r="T203">
        <v>3</v>
      </c>
      <c r="U203">
        <v>1</v>
      </c>
      <c r="V203" t="s">
        <v>541</v>
      </c>
      <c r="W203">
        <v>78</v>
      </c>
      <c r="X203">
        <v>18</v>
      </c>
      <c r="Y203">
        <v>9</v>
      </c>
      <c r="Z203" t="s">
        <v>954</v>
      </c>
      <c r="AA203" t="s">
        <v>955</v>
      </c>
      <c r="AB203" t="s">
        <v>526</v>
      </c>
      <c r="AC203" t="s">
        <v>527</v>
      </c>
      <c r="AD203" t="s">
        <v>528</v>
      </c>
      <c r="AE203" t="s">
        <v>853</v>
      </c>
      <c r="AG203" t="s">
        <v>956</v>
      </c>
      <c r="AH203">
        <v>0</v>
      </c>
      <c r="AI203">
        <v>0</v>
      </c>
      <c r="AJ203">
        <v>0</v>
      </c>
      <c r="AK203">
        <v>0</v>
      </c>
      <c r="AL203">
        <v>0</v>
      </c>
    </row>
    <row r="204" spans="1:38" x14ac:dyDescent="0.3">
      <c r="A204" t="s">
        <v>849</v>
      </c>
      <c r="B204">
        <v>19717</v>
      </c>
      <c r="C204">
        <v>1</v>
      </c>
      <c r="D204" t="s">
        <v>957</v>
      </c>
      <c r="E204" t="s">
        <v>958</v>
      </c>
      <c r="F204">
        <v>95</v>
      </c>
      <c r="G204">
        <v>30.71</v>
      </c>
      <c r="H204">
        <v>101.53</v>
      </c>
      <c r="I204">
        <v>25.1</v>
      </c>
      <c r="J204">
        <v>82.98</v>
      </c>
      <c r="K204">
        <v>85</v>
      </c>
      <c r="T204">
        <v>3</v>
      </c>
      <c r="U204">
        <v>2</v>
      </c>
      <c r="V204" t="s">
        <v>541</v>
      </c>
      <c r="W204" t="s">
        <v>959</v>
      </c>
      <c r="X204">
        <v>15</v>
      </c>
      <c r="Y204">
        <v>5</v>
      </c>
      <c r="Z204" t="s">
        <v>960</v>
      </c>
      <c r="AA204" t="s">
        <v>961</v>
      </c>
      <c r="AB204" t="s">
        <v>526</v>
      </c>
      <c r="AC204" t="s">
        <v>527</v>
      </c>
      <c r="AD204" t="s">
        <v>528</v>
      </c>
      <c r="AE204" t="s">
        <v>853</v>
      </c>
      <c r="AG204" t="s">
        <v>962</v>
      </c>
      <c r="AH204">
        <v>0</v>
      </c>
      <c r="AI204">
        <v>203</v>
      </c>
      <c r="AJ204">
        <v>20</v>
      </c>
      <c r="AK204">
        <v>97</v>
      </c>
      <c r="AL204">
        <v>1.02</v>
      </c>
    </row>
    <row r="205" spans="1:38" x14ac:dyDescent="0.3">
      <c r="A205" t="s">
        <v>849</v>
      </c>
      <c r="B205">
        <v>19717</v>
      </c>
      <c r="C205">
        <v>2</v>
      </c>
      <c r="D205" t="s">
        <v>957</v>
      </c>
      <c r="E205" t="s">
        <v>958</v>
      </c>
      <c r="F205">
        <v>95</v>
      </c>
      <c r="G205">
        <v>31.04</v>
      </c>
      <c r="H205">
        <v>102.63</v>
      </c>
      <c r="I205">
        <v>25.37</v>
      </c>
      <c r="J205">
        <v>83.88</v>
      </c>
      <c r="K205">
        <v>5</v>
      </c>
      <c r="T205">
        <v>3</v>
      </c>
      <c r="U205">
        <v>2</v>
      </c>
      <c r="V205" t="s">
        <v>541</v>
      </c>
      <c r="W205" t="s">
        <v>400</v>
      </c>
      <c r="X205">
        <v>15</v>
      </c>
      <c r="Y205">
        <v>5</v>
      </c>
      <c r="Z205" t="s">
        <v>960</v>
      </c>
      <c r="AA205" t="s">
        <v>961</v>
      </c>
      <c r="AB205" t="s">
        <v>526</v>
      </c>
      <c r="AC205" t="s">
        <v>527</v>
      </c>
      <c r="AD205" t="s">
        <v>528</v>
      </c>
      <c r="AE205" t="s">
        <v>853</v>
      </c>
      <c r="AG205" t="s">
        <v>962</v>
      </c>
      <c r="AH205">
        <v>0</v>
      </c>
      <c r="AI205">
        <v>203</v>
      </c>
      <c r="AJ205">
        <v>20</v>
      </c>
      <c r="AK205">
        <v>97</v>
      </c>
      <c r="AL205">
        <v>1.02</v>
      </c>
    </row>
    <row r="206" spans="1:38" x14ac:dyDescent="0.3">
      <c r="A206" t="s">
        <v>849</v>
      </c>
      <c r="B206">
        <v>19717</v>
      </c>
      <c r="C206">
        <v>3</v>
      </c>
      <c r="D206" t="s">
        <v>957</v>
      </c>
      <c r="E206" t="s">
        <v>958</v>
      </c>
      <c r="F206">
        <v>95</v>
      </c>
      <c r="G206">
        <v>34.35</v>
      </c>
      <c r="H206">
        <v>113.57</v>
      </c>
      <c r="I206">
        <v>28.07</v>
      </c>
      <c r="J206">
        <v>92.82</v>
      </c>
      <c r="K206">
        <v>5</v>
      </c>
      <c r="T206">
        <v>3</v>
      </c>
      <c r="U206">
        <v>2</v>
      </c>
      <c r="V206" t="s">
        <v>541</v>
      </c>
      <c r="W206">
        <v>113</v>
      </c>
      <c r="X206">
        <v>15</v>
      </c>
      <c r="Y206">
        <v>5</v>
      </c>
      <c r="Z206" t="s">
        <v>960</v>
      </c>
      <c r="AA206" t="s">
        <v>961</v>
      </c>
      <c r="AB206" t="s">
        <v>526</v>
      </c>
      <c r="AC206" t="s">
        <v>527</v>
      </c>
      <c r="AD206" t="s">
        <v>528</v>
      </c>
      <c r="AE206" t="s">
        <v>853</v>
      </c>
      <c r="AG206" t="s">
        <v>962</v>
      </c>
      <c r="AH206">
        <v>0</v>
      </c>
      <c r="AI206">
        <v>203</v>
      </c>
      <c r="AJ206">
        <v>20</v>
      </c>
      <c r="AK206">
        <v>97</v>
      </c>
      <c r="AL206">
        <v>1.02</v>
      </c>
    </row>
    <row r="207" spans="1:38" x14ac:dyDescent="0.3">
      <c r="A207" t="s">
        <v>849</v>
      </c>
      <c r="B207">
        <v>5457</v>
      </c>
      <c r="C207">
        <v>1</v>
      </c>
      <c r="D207" t="s">
        <v>963</v>
      </c>
      <c r="E207" t="s">
        <v>642</v>
      </c>
      <c r="F207">
        <v>297</v>
      </c>
      <c r="G207">
        <v>36.44</v>
      </c>
      <c r="H207">
        <v>120.47</v>
      </c>
      <c r="I207">
        <v>30.2</v>
      </c>
      <c r="J207">
        <v>99.86</v>
      </c>
      <c r="K207">
        <v>90</v>
      </c>
      <c r="T207">
        <v>4</v>
      </c>
      <c r="U207">
        <v>2</v>
      </c>
      <c r="V207" t="s">
        <v>541</v>
      </c>
      <c r="W207">
        <v>120</v>
      </c>
      <c r="X207">
        <v>15</v>
      </c>
      <c r="Y207">
        <v>15</v>
      </c>
      <c r="Z207" t="s">
        <v>964</v>
      </c>
      <c r="AA207" t="s">
        <v>965</v>
      </c>
      <c r="AB207" t="s">
        <v>526</v>
      </c>
      <c r="AC207" t="s">
        <v>527</v>
      </c>
      <c r="AD207" t="s">
        <v>528</v>
      </c>
      <c r="AE207" t="s">
        <v>853</v>
      </c>
      <c r="AG207" t="s">
        <v>966</v>
      </c>
      <c r="AH207">
        <v>0</v>
      </c>
      <c r="AI207">
        <v>0</v>
      </c>
      <c r="AJ207">
        <v>0</v>
      </c>
      <c r="AK207">
        <v>0</v>
      </c>
      <c r="AL207">
        <v>0</v>
      </c>
    </row>
    <row r="208" spans="1:38" x14ac:dyDescent="0.3">
      <c r="A208" t="s">
        <v>849</v>
      </c>
      <c r="B208">
        <v>5457</v>
      </c>
      <c r="C208">
        <v>2</v>
      </c>
      <c r="D208" t="s">
        <v>963</v>
      </c>
      <c r="E208" t="s">
        <v>642</v>
      </c>
      <c r="F208">
        <v>297</v>
      </c>
      <c r="G208">
        <v>47.83</v>
      </c>
      <c r="H208">
        <v>158.12</v>
      </c>
      <c r="I208">
        <v>40.82</v>
      </c>
      <c r="J208">
        <v>134.97</v>
      </c>
      <c r="K208">
        <v>207</v>
      </c>
      <c r="T208">
        <v>4</v>
      </c>
      <c r="U208">
        <v>2</v>
      </c>
      <c r="V208" t="s">
        <v>541</v>
      </c>
      <c r="W208">
        <v>158</v>
      </c>
      <c r="X208">
        <v>15</v>
      </c>
      <c r="Y208">
        <v>15</v>
      </c>
      <c r="Z208" t="s">
        <v>964</v>
      </c>
      <c r="AA208" t="s">
        <v>965</v>
      </c>
      <c r="AB208" t="s">
        <v>526</v>
      </c>
      <c r="AC208" t="s">
        <v>527</v>
      </c>
      <c r="AD208" t="s">
        <v>528</v>
      </c>
      <c r="AE208" t="s">
        <v>853</v>
      </c>
      <c r="AG208" t="s">
        <v>966</v>
      </c>
      <c r="AH208">
        <v>0</v>
      </c>
      <c r="AI208">
        <v>0</v>
      </c>
      <c r="AJ208">
        <v>0</v>
      </c>
      <c r="AK208">
        <v>0</v>
      </c>
      <c r="AL208">
        <v>0</v>
      </c>
    </row>
    <row r="209" spans="1:38" x14ac:dyDescent="0.3">
      <c r="A209" t="s">
        <v>849</v>
      </c>
      <c r="B209">
        <v>24709</v>
      </c>
      <c r="C209">
        <v>1</v>
      </c>
      <c r="D209" t="s">
        <v>967</v>
      </c>
      <c r="E209" t="s">
        <v>901</v>
      </c>
      <c r="F209">
        <v>419</v>
      </c>
      <c r="G209">
        <v>36.130000000000003</v>
      </c>
      <c r="H209">
        <v>119.45</v>
      </c>
      <c r="I209">
        <v>30.24</v>
      </c>
      <c r="J209">
        <v>99.98</v>
      </c>
      <c r="K209">
        <v>299</v>
      </c>
      <c r="T209">
        <v>4</v>
      </c>
      <c r="U209">
        <v>2</v>
      </c>
      <c r="V209" t="s">
        <v>541</v>
      </c>
      <c r="W209">
        <v>119</v>
      </c>
      <c r="X209">
        <v>15</v>
      </c>
      <c r="Y209">
        <v>14</v>
      </c>
      <c r="Z209" t="s">
        <v>968</v>
      </c>
      <c r="AA209" t="s">
        <v>903</v>
      </c>
      <c r="AB209" t="s">
        <v>526</v>
      </c>
      <c r="AC209" t="s">
        <v>527</v>
      </c>
      <c r="AD209" t="s">
        <v>528</v>
      </c>
      <c r="AE209" t="s">
        <v>853</v>
      </c>
      <c r="AG209" t="s">
        <v>969</v>
      </c>
      <c r="AH209">
        <v>0</v>
      </c>
      <c r="AI209">
        <v>0</v>
      </c>
      <c r="AJ209">
        <v>0</v>
      </c>
      <c r="AK209">
        <v>528</v>
      </c>
      <c r="AL209">
        <v>1.26</v>
      </c>
    </row>
    <row r="210" spans="1:38" x14ac:dyDescent="0.3">
      <c r="A210" t="s">
        <v>849</v>
      </c>
      <c r="B210">
        <v>24709</v>
      </c>
      <c r="C210">
        <v>2</v>
      </c>
      <c r="D210" t="s">
        <v>967</v>
      </c>
      <c r="E210" t="s">
        <v>901</v>
      </c>
      <c r="F210">
        <v>419</v>
      </c>
      <c r="G210">
        <v>48.75</v>
      </c>
      <c r="H210">
        <v>161.16</v>
      </c>
      <c r="I210">
        <v>40.799999999999997</v>
      </c>
      <c r="J210">
        <v>134.9</v>
      </c>
      <c r="K210">
        <v>120</v>
      </c>
      <c r="T210">
        <v>4</v>
      </c>
      <c r="U210">
        <v>2</v>
      </c>
      <c r="V210" t="s">
        <v>541</v>
      </c>
      <c r="W210">
        <v>161</v>
      </c>
      <c r="X210">
        <v>15</v>
      </c>
      <c r="Y210">
        <v>14</v>
      </c>
      <c r="Z210" t="s">
        <v>968</v>
      </c>
      <c r="AA210" t="s">
        <v>903</v>
      </c>
      <c r="AB210" t="s">
        <v>526</v>
      </c>
      <c r="AC210" t="s">
        <v>527</v>
      </c>
      <c r="AD210" t="s">
        <v>528</v>
      </c>
      <c r="AE210" t="s">
        <v>853</v>
      </c>
      <c r="AG210" t="s">
        <v>969</v>
      </c>
      <c r="AH210">
        <v>0</v>
      </c>
      <c r="AI210">
        <v>0</v>
      </c>
      <c r="AJ210">
        <v>0</v>
      </c>
      <c r="AK210">
        <v>528</v>
      </c>
      <c r="AL210">
        <v>1.26</v>
      </c>
    </row>
    <row r="211" spans="1:38" x14ac:dyDescent="0.3">
      <c r="A211" t="s">
        <v>849</v>
      </c>
      <c r="B211">
        <v>15071</v>
      </c>
      <c r="C211">
        <v>1</v>
      </c>
      <c r="D211" t="s">
        <v>970</v>
      </c>
      <c r="E211" t="s">
        <v>548</v>
      </c>
      <c r="F211">
        <v>112</v>
      </c>
      <c r="G211">
        <v>24.87</v>
      </c>
      <c r="H211">
        <v>82.24</v>
      </c>
      <c r="I211">
        <v>20.36</v>
      </c>
      <c r="J211">
        <v>67.33</v>
      </c>
      <c r="K211">
        <v>34</v>
      </c>
      <c r="T211">
        <v>3</v>
      </c>
      <c r="U211">
        <v>1</v>
      </c>
      <c r="V211" t="s">
        <v>541</v>
      </c>
      <c r="W211">
        <v>82</v>
      </c>
      <c r="X211">
        <v>13</v>
      </c>
      <c r="Y211">
        <v>7</v>
      </c>
      <c r="Z211" t="s">
        <v>971</v>
      </c>
      <c r="AA211" t="s">
        <v>972</v>
      </c>
      <c r="AB211" t="s">
        <v>526</v>
      </c>
      <c r="AC211" t="s">
        <v>527</v>
      </c>
      <c r="AD211" t="s">
        <v>528</v>
      </c>
      <c r="AE211" t="s">
        <v>853</v>
      </c>
      <c r="AG211" t="s">
        <v>973</v>
      </c>
      <c r="AH211">
        <v>0</v>
      </c>
      <c r="AI211">
        <v>0</v>
      </c>
      <c r="AJ211">
        <v>0</v>
      </c>
      <c r="AK211">
        <v>0</v>
      </c>
      <c r="AL211">
        <v>0</v>
      </c>
    </row>
    <row r="212" spans="1:38" x14ac:dyDescent="0.3">
      <c r="A212" t="s">
        <v>849</v>
      </c>
      <c r="B212">
        <v>15071</v>
      </c>
      <c r="C212">
        <v>2</v>
      </c>
      <c r="D212" t="s">
        <v>970</v>
      </c>
      <c r="E212" t="s">
        <v>548</v>
      </c>
      <c r="F212">
        <v>112</v>
      </c>
      <c r="G212">
        <v>26.89</v>
      </c>
      <c r="H212">
        <v>88.91</v>
      </c>
      <c r="I212">
        <v>22.01</v>
      </c>
      <c r="J212">
        <v>72.790000000000006</v>
      </c>
      <c r="K212">
        <v>78</v>
      </c>
      <c r="T212">
        <v>3</v>
      </c>
      <c r="U212">
        <v>1</v>
      </c>
      <c r="V212" t="s">
        <v>541</v>
      </c>
      <c r="W212">
        <v>88</v>
      </c>
      <c r="X212">
        <v>13</v>
      </c>
      <c r="Y212">
        <v>7</v>
      </c>
      <c r="Z212" t="s">
        <v>971</v>
      </c>
      <c r="AA212" t="s">
        <v>972</v>
      </c>
      <c r="AB212" t="s">
        <v>526</v>
      </c>
      <c r="AC212" t="s">
        <v>527</v>
      </c>
      <c r="AD212" t="s">
        <v>528</v>
      </c>
      <c r="AE212" t="s">
        <v>853</v>
      </c>
      <c r="AG212" t="s">
        <v>973</v>
      </c>
      <c r="AH212">
        <v>0</v>
      </c>
      <c r="AI212">
        <v>0</v>
      </c>
      <c r="AJ212">
        <v>0</v>
      </c>
      <c r="AK212">
        <v>0</v>
      </c>
      <c r="AL212">
        <v>0</v>
      </c>
    </row>
    <row r="213" spans="1:38" x14ac:dyDescent="0.3">
      <c r="A213" t="s">
        <v>849</v>
      </c>
      <c r="B213">
        <v>5419</v>
      </c>
      <c r="C213">
        <v>1</v>
      </c>
      <c r="D213" t="s">
        <v>974</v>
      </c>
      <c r="E213" t="s">
        <v>916</v>
      </c>
      <c r="F213">
        <v>930</v>
      </c>
      <c r="G213">
        <v>22.99</v>
      </c>
      <c r="H213">
        <v>76.03</v>
      </c>
      <c r="I213">
        <v>18.14</v>
      </c>
      <c r="J213">
        <v>59.98</v>
      </c>
      <c r="K213">
        <v>930</v>
      </c>
      <c r="T213">
        <v>3</v>
      </c>
      <c r="U213">
        <v>1</v>
      </c>
      <c r="V213" t="s">
        <v>541</v>
      </c>
      <c r="W213">
        <v>76</v>
      </c>
      <c r="X213">
        <v>15</v>
      </c>
      <c r="Y213">
        <v>15</v>
      </c>
      <c r="Z213" t="s">
        <v>975</v>
      </c>
      <c r="AA213" t="s">
        <v>976</v>
      </c>
      <c r="AB213" t="s">
        <v>526</v>
      </c>
      <c r="AC213" t="s">
        <v>527</v>
      </c>
      <c r="AD213" t="s">
        <v>528</v>
      </c>
      <c r="AE213" t="s">
        <v>853</v>
      </c>
      <c r="AG213" t="s">
        <v>977</v>
      </c>
      <c r="AH213">
        <v>0</v>
      </c>
      <c r="AI213">
        <v>213</v>
      </c>
      <c r="AJ213">
        <v>29</v>
      </c>
      <c r="AK213">
        <v>744</v>
      </c>
      <c r="AL213">
        <v>0.8</v>
      </c>
    </row>
    <row r="214" spans="1:38" x14ac:dyDescent="0.3">
      <c r="A214" t="s">
        <v>849</v>
      </c>
      <c r="B214">
        <v>5409</v>
      </c>
      <c r="C214">
        <v>1</v>
      </c>
      <c r="D214" t="s">
        <v>978</v>
      </c>
      <c r="E214" t="s">
        <v>662</v>
      </c>
      <c r="F214">
        <v>396</v>
      </c>
      <c r="G214">
        <v>31.28</v>
      </c>
      <c r="H214">
        <v>103.43</v>
      </c>
      <c r="I214">
        <v>25.62</v>
      </c>
      <c r="J214">
        <v>84.72</v>
      </c>
      <c r="K214">
        <v>276</v>
      </c>
      <c r="T214">
        <v>3</v>
      </c>
      <c r="U214">
        <v>2</v>
      </c>
      <c r="V214" t="s">
        <v>541</v>
      </c>
      <c r="W214">
        <v>103</v>
      </c>
      <c r="X214">
        <v>15</v>
      </c>
      <c r="Y214">
        <v>3</v>
      </c>
      <c r="Z214" t="s">
        <v>979</v>
      </c>
      <c r="AA214" t="s">
        <v>980</v>
      </c>
      <c r="AB214" t="s">
        <v>526</v>
      </c>
      <c r="AC214" t="s">
        <v>527</v>
      </c>
      <c r="AD214" t="s">
        <v>528</v>
      </c>
      <c r="AE214" t="s">
        <v>853</v>
      </c>
      <c r="AG214" t="s">
        <v>981</v>
      </c>
      <c r="AH214">
        <v>0</v>
      </c>
      <c r="AI214">
        <v>0</v>
      </c>
      <c r="AJ214">
        <v>0</v>
      </c>
      <c r="AK214">
        <v>183</v>
      </c>
      <c r="AL214">
        <v>0.46</v>
      </c>
    </row>
    <row r="215" spans="1:38" x14ac:dyDescent="0.3">
      <c r="A215" t="s">
        <v>849</v>
      </c>
      <c r="B215">
        <v>5409</v>
      </c>
      <c r="C215">
        <v>2</v>
      </c>
      <c r="D215" t="s">
        <v>978</v>
      </c>
      <c r="E215" t="s">
        <v>662</v>
      </c>
      <c r="F215">
        <v>396</v>
      </c>
      <c r="G215">
        <v>46.32</v>
      </c>
      <c r="H215">
        <v>153.15</v>
      </c>
      <c r="I215">
        <v>40.72</v>
      </c>
      <c r="J215">
        <v>134.63999999999999</v>
      </c>
      <c r="K215">
        <v>18</v>
      </c>
      <c r="T215">
        <v>4</v>
      </c>
      <c r="U215">
        <v>2</v>
      </c>
      <c r="V215" t="s">
        <v>541</v>
      </c>
      <c r="W215">
        <v>153</v>
      </c>
      <c r="X215">
        <v>15</v>
      </c>
      <c r="Y215">
        <v>3</v>
      </c>
      <c r="Z215" t="s">
        <v>979</v>
      </c>
      <c r="AA215" t="s">
        <v>980</v>
      </c>
      <c r="AB215" t="s">
        <v>526</v>
      </c>
      <c r="AC215" t="s">
        <v>527</v>
      </c>
      <c r="AD215" t="s">
        <v>528</v>
      </c>
      <c r="AE215" t="s">
        <v>853</v>
      </c>
      <c r="AG215" t="s">
        <v>981</v>
      </c>
      <c r="AH215">
        <v>0</v>
      </c>
      <c r="AI215">
        <v>0</v>
      </c>
      <c r="AJ215">
        <v>0</v>
      </c>
      <c r="AK215">
        <v>183</v>
      </c>
      <c r="AL215">
        <v>0.46</v>
      </c>
    </row>
    <row r="216" spans="1:38" x14ac:dyDescent="0.3">
      <c r="A216" t="s">
        <v>849</v>
      </c>
      <c r="B216">
        <v>5409</v>
      </c>
      <c r="C216">
        <v>3</v>
      </c>
      <c r="D216" t="s">
        <v>978</v>
      </c>
      <c r="E216" t="s">
        <v>662</v>
      </c>
      <c r="F216">
        <v>396</v>
      </c>
      <c r="G216">
        <v>48.3</v>
      </c>
      <c r="H216">
        <v>159.69</v>
      </c>
      <c r="I216">
        <v>41.99</v>
      </c>
      <c r="J216">
        <v>138.84</v>
      </c>
      <c r="K216">
        <v>90</v>
      </c>
      <c r="T216">
        <v>4</v>
      </c>
      <c r="U216">
        <v>2</v>
      </c>
      <c r="V216" t="s">
        <v>541</v>
      </c>
      <c r="W216">
        <v>159</v>
      </c>
      <c r="X216">
        <v>15</v>
      </c>
      <c r="Y216">
        <v>3</v>
      </c>
      <c r="Z216" t="s">
        <v>979</v>
      </c>
      <c r="AA216" t="s">
        <v>980</v>
      </c>
      <c r="AB216" t="s">
        <v>526</v>
      </c>
      <c r="AC216" t="s">
        <v>527</v>
      </c>
      <c r="AD216" t="s">
        <v>528</v>
      </c>
      <c r="AE216" t="s">
        <v>853</v>
      </c>
      <c r="AG216" t="s">
        <v>981</v>
      </c>
      <c r="AH216">
        <v>0</v>
      </c>
      <c r="AI216">
        <v>0</v>
      </c>
      <c r="AJ216">
        <v>0</v>
      </c>
      <c r="AK216">
        <v>183</v>
      </c>
      <c r="AL216">
        <v>0.46</v>
      </c>
    </row>
    <row r="217" spans="1:38" x14ac:dyDescent="0.3">
      <c r="A217" t="s">
        <v>849</v>
      </c>
      <c r="B217">
        <v>5409</v>
      </c>
      <c r="C217">
        <v>4</v>
      </c>
      <c r="D217" t="s">
        <v>978</v>
      </c>
      <c r="E217" t="s">
        <v>662</v>
      </c>
      <c r="F217">
        <v>396</v>
      </c>
      <c r="G217">
        <v>55.7</v>
      </c>
      <c r="H217">
        <v>184.14</v>
      </c>
      <c r="I217">
        <v>49.34</v>
      </c>
      <c r="J217">
        <v>163.11000000000001</v>
      </c>
      <c r="K217">
        <v>12</v>
      </c>
      <c r="T217">
        <v>4</v>
      </c>
      <c r="U217">
        <v>2</v>
      </c>
      <c r="V217" t="s">
        <v>541</v>
      </c>
      <c r="W217">
        <v>184</v>
      </c>
      <c r="X217">
        <v>15</v>
      </c>
      <c r="Y217">
        <v>3</v>
      </c>
      <c r="Z217" t="s">
        <v>979</v>
      </c>
      <c r="AA217" t="s">
        <v>980</v>
      </c>
      <c r="AB217" t="s">
        <v>526</v>
      </c>
      <c r="AC217" t="s">
        <v>527</v>
      </c>
      <c r="AD217" t="s">
        <v>528</v>
      </c>
      <c r="AE217" t="s">
        <v>853</v>
      </c>
      <c r="AG217" t="s">
        <v>981</v>
      </c>
      <c r="AH217">
        <v>0</v>
      </c>
      <c r="AI217">
        <v>0</v>
      </c>
      <c r="AJ217">
        <v>0</v>
      </c>
      <c r="AK217">
        <v>183</v>
      </c>
      <c r="AL217">
        <v>0.46</v>
      </c>
    </row>
    <row r="218" spans="1:38" x14ac:dyDescent="0.3">
      <c r="A218" t="s">
        <v>849</v>
      </c>
      <c r="B218">
        <v>137710</v>
      </c>
      <c r="C218">
        <v>1</v>
      </c>
      <c r="D218" t="s">
        <v>982</v>
      </c>
      <c r="F218">
        <v>19</v>
      </c>
      <c r="G218">
        <v>27.7</v>
      </c>
      <c r="H218">
        <v>91.6</v>
      </c>
      <c r="I218">
        <v>23.03</v>
      </c>
      <c r="J218">
        <v>76.14</v>
      </c>
      <c r="K218">
        <v>7</v>
      </c>
      <c r="T218">
        <v>3</v>
      </c>
      <c r="U218">
        <v>2</v>
      </c>
      <c r="V218" t="s">
        <v>541</v>
      </c>
      <c r="W218">
        <v>91</v>
      </c>
      <c r="X218">
        <v>7</v>
      </c>
      <c r="Y218">
        <v>6</v>
      </c>
      <c r="Z218" t="s">
        <v>983</v>
      </c>
      <c r="AA218" t="s">
        <v>984</v>
      </c>
      <c r="AB218" t="s">
        <v>526</v>
      </c>
      <c r="AC218" t="s">
        <v>527</v>
      </c>
      <c r="AD218" t="s">
        <v>528</v>
      </c>
      <c r="AE218" t="s">
        <v>853</v>
      </c>
      <c r="AG218" t="s">
        <v>985</v>
      </c>
      <c r="AH218">
        <v>0</v>
      </c>
      <c r="AI218">
        <v>181</v>
      </c>
      <c r="AJ218">
        <v>30</v>
      </c>
      <c r="AK218">
        <v>16</v>
      </c>
      <c r="AL218">
        <v>0.84</v>
      </c>
    </row>
    <row r="219" spans="1:38" x14ac:dyDescent="0.3">
      <c r="A219" t="s">
        <v>849</v>
      </c>
      <c r="B219">
        <v>137710</v>
      </c>
      <c r="C219">
        <v>2</v>
      </c>
      <c r="D219" t="s">
        <v>982</v>
      </c>
      <c r="F219">
        <v>19</v>
      </c>
      <c r="G219">
        <v>31.71</v>
      </c>
      <c r="H219">
        <v>104.84</v>
      </c>
      <c r="I219">
        <v>25.64</v>
      </c>
      <c r="J219">
        <v>84.77</v>
      </c>
      <c r="K219">
        <v>12</v>
      </c>
      <c r="T219">
        <v>3</v>
      </c>
      <c r="U219">
        <v>2</v>
      </c>
      <c r="V219" t="s">
        <v>541</v>
      </c>
      <c r="W219">
        <v>104</v>
      </c>
      <c r="X219">
        <v>7</v>
      </c>
      <c r="Y219">
        <v>6</v>
      </c>
      <c r="Z219" t="s">
        <v>983</v>
      </c>
      <c r="AA219" t="s">
        <v>984</v>
      </c>
      <c r="AB219" t="s">
        <v>526</v>
      </c>
      <c r="AC219" t="s">
        <v>527</v>
      </c>
      <c r="AD219" t="s">
        <v>528</v>
      </c>
      <c r="AE219" t="s">
        <v>853</v>
      </c>
      <c r="AG219" t="s">
        <v>985</v>
      </c>
      <c r="AH219">
        <v>0</v>
      </c>
      <c r="AI219">
        <v>181</v>
      </c>
      <c r="AJ219">
        <v>30</v>
      </c>
      <c r="AK219">
        <v>16</v>
      </c>
      <c r="AL219">
        <v>0.84</v>
      </c>
    </row>
    <row r="220" spans="1:38" x14ac:dyDescent="0.3">
      <c r="A220" t="s">
        <v>849</v>
      </c>
      <c r="B220">
        <v>111890</v>
      </c>
      <c r="C220">
        <v>1</v>
      </c>
      <c r="D220" t="s">
        <v>986</v>
      </c>
      <c r="E220" t="s">
        <v>930</v>
      </c>
      <c r="F220">
        <v>66</v>
      </c>
      <c r="G220">
        <v>17.41</v>
      </c>
      <c r="H220">
        <v>57.56</v>
      </c>
      <c r="I220">
        <v>12.1</v>
      </c>
      <c r="J220">
        <v>40</v>
      </c>
      <c r="K220">
        <v>2</v>
      </c>
      <c r="T220">
        <v>1</v>
      </c>
      <c r="U220">
        <v>1</v>
      </c>
      <c r="V220" t="s">
        <v>523</v>
      </c>
      <c r="W220">
        <v>57</v>
      </c>
      <c r="X220">
        <v>8</v>
      </c>
      <c r="Y220">
        <v>8</v>
      </c>
      <c r="Z220" t="s">
        <v>987</v>
      </c>
      <c r="AA220" t="s">
        <v>988</v>
      </c>
      <c r="AB220" t="s">
        <v>526</v>
      </c>
      <c r="AC220" t="s">
        <v>527</v>
      </c>
      <c r="AD220" t="s">
        <v>528</v>
      </c>
      <c r="AE220" t="s">
        <v>853</v>
      </c>
      <c r="AG220" t="s">
        <v>989</v>
      </c>
      <c r="AH220">
        <v>0</v>
      </c>
      <c r="AI220">
        <v>339</v>
      </c>
      <c r="AJ220">
        <v>56</v>
      </c>
      <c r="AK220">
        <v>61</v>
      </c>
      <c r="AL220">
        <v>0.92</v>
      </c>
    </row>
    <row r="221" spans="1:38" x14ac:dyDescent="0.3">
      <c r="A221" t="s">
        <v>849</v>
      </c>
      <c r="B221">
        <v>111890</v>
      </c>
      <c r="C221">
        <v>2</v>
      </c>
      <c r="D221" t="s">
        <v>986</v>
      </c>
      <c r="E221" t="s">
        <v>930</v>
      </c>
      <c r="F221">
        <v>66</v>
      </c>
      <c r="G221">
        <v>18.25</v>
      </c>
      <c r="H221">
        <v>60.36</v>
      </c>
      <c r="I221">
        <v>12.79</v>
      </c>
      <c r="J221">
        <v>42.3</v>
      </c>
      <c r="K221">
        <v>6</v>
      </c>
      <c r="T221">
        <v>1</v>
      </c>
      <c r="U221">
        <v>1</v>
      </c>
      <c r="V221" t="s">
        <v>523</v>
      </c>
      <c r="W221">
        <v>60</v>
      </c>
      <c r="X221">
        <v>8</v>
      </c>
      <c r="Y221">
        <v>8</v>
      </c>
      <c r="Z221" t="s">
        <v>987</v>
      </c>
      <c r="AA221" t="s">
        <v>988</v>
      </c>
      <c r="AB221" t="s">
        <v>526</v>
      </c>
      <c r="AC221" t="s">
        <v>527</v>
      </c>
      <c r="AD221" t="s">
        <v>528</v>
      </c>
      <c r="AE221" t="s">
        <v>853</v>
      </c>
      <c r="AG221" t="s">
        <v>989</v>
      </c>
      <c r="AH221">
        <v>0</v>
      </c>
      <c r="AI221">
        <v>339</v>
      </c>
      <c r="AJ221">
        <v>56</v>
      </c>
      <c r="AK221">
        <v>61</v>
      </c>
      <c r="AL221">
        <v>0.92</v>
      </c>
    </row>
    <row r="222" spans="1:38" x14ac:dyDescent="0.3">
      <c r="A222" t="s">
        <v>849</v>
      </c>
      <c r="B222">
        <v>111890</v>
      </c>
      <c r="C222">
        <v>3</v>
      </c>
      <c r="D222" t="s">
        <v>986</v>
      </c>
      <c r="E222" t="s">
        <v>930</v>
      </c>
      <c r="F222">
        <v>66</v>
      </c>
      <c r="G222">
        <v>21.12</v>
      </c>
      <c r="H222">
        <v>69.819999999999993</v>
      </c>
      <c r="I222">
        <v>14.85</v>
      </c>
      <c r="J222">
        <v>49.12</v>
      </c>
      <c r="K222">
        <v>58</v>
      </c>
      <c r="T222">
        <v>1</v>
      </c>
      <c r="U222">
        <v>1</v>
      </c>
      <c r="V222" t="s">
        <v>523</v>
      </c>
      <c r="W222">
        <v>69</v>
      </c>
      <c r="X222">
        <v>8</v>
      </c>
      <c r="Y222">
        <v>8</v>
      </c>
      <c r="Z222" t="s">
        <v>987</v>
      </c>
      <c r="AA222" t="s">
        <v>988</v>
      </c>
      <c r="AB222" t="s">
        <v>526</v>
      </c>
      <c r="AC222" t="s">
        <v>527</v>
      </c>
      <c r="AD222" t="s">
        <v>528</v>
      </c>
      <c r="AE222" t="s">
        <v>853</v>
      </c>
      <c r="AG222" t="s">
        <v>989</v>
      </c>
      <c r="AH222">
        <v>0</v>
      </c>
      <c r="AI222">
        <v>339</v>
      </c>
      <c r="AJ222">
        <v>56</v>
      </c>
      <c r="AK222">
        <v>61</v>
      </c>
      <c r="AL222">
        <v>0.92</v>
      </c>
    </row>
    <row r="223" spans="1:38" x14ac:dyDescent="0.3">
      <c r="A223" t="s">
        <v>849</v>
      </c>
      <c r="B223">
        <v>121041</v>
      </c>
      <c r="C223">
        <v>1</v>
      </c>
      <c r="D223" t="s">
        <v>990</v>
      </c>
      <c r="E223" t="s">
        <v>991</v>
      </c>
      <c r="F223">
        <v>80</v>
      </c>
      <c r="G223">
        <v>15.35</v>
      </c>
      <c r="H223">
        <v>50.76</v>
      </c>
      <c r="I223">
        <v>13.61</v>
      </c>
      <c r="J223">
        <v>45</v>
      </c>
      <c r="K223">
        <v>80</v>
      </c>
      <c r="T223">
        <v>2</v>
      </c>
      <c r="U223">
        <v>1</v>
      </c>
      <c r="V223" t="s">
        <v>541</v>
      </c>
      <c r="W223">
        <v>50</v>
      </c>
      <c r="X223">
        <v>5</v>
      </c>
      <c r="Y223">
        <v>5</v>
      </c>
      <c r="Z223" t="s">
        <v>992</v>
      </c>
      <c r="AA223" t="s">
        <v>993</v>
      </c>
      <c r="AB223" t="s">
        <v>526</v>
      </c>
      <c r="AC223" t="s">
        <v>527</v>
      </c>
      <c r="AD223" t="s">
        <v>528</v>
      </c>
      <c r="AE223" t="s">
        <v>853</v>
      </c>
      <c r="AG223" t="s">
        <v>994</v>
      </c>
      <c r="AH223">
        <v>0</v>
      </c>
      <c r="AI223">
        <v>0</v>
      </c>
      <c r="AJ223">
        <v>0</v>
      </c>
      <c r="AK223">
        <v>0</v>
      </c>
      <c r="AL223">
        <v>0</v>
      </c>
    </row>
    <row r="224" spans="1:38" x14ac:dyDescent="0.3">
      <c r="A224" t="s">
        <v>849</v>
      </c>
      <c r="B224">
        <v>5393</v>
      </c>
      <c r="C224">
        <v>1</v>
      </c>
      <c r="D224" t="s">
        <v>995</v>
      </c>
      <c r="E224" t="s">
        <v>996</v>
      </c>
      <c r="F224">
        <v>390</v>
      </c>
      <c r="G224">
        <v>31.49</v>
      </c>
      <c r="H224">
        <v>104.1</v>
      </c>
      <c r="I224">
        <v>25.68</v>
      </c>
      <c r="J224">
        <v>84.9</v>
      </c>
      <c r="K224">
        <v>390</v>
      </c>
      <c r="T224">
        <v>3</v>
      </c>
      <c r="U224">
        <v>2</v>
      </c>
      <c r="V224" t="s">
        <v>541</v>
      </c>
      <c r="W224">
        <v>104</v>
      </c>
      <c r="X224">
        <v>15</v>
      </c>
      <c r="Y224">
        <v>15</v>
      </c>
      <c r="Z224" t="s">
        <v>997</v>
      </c>
      <c r="AA224" t="s">
        <v>998</v>
      </c>
      <c r="AB224" t="s">
        <v>526</v>
      </c>
      <c r="AC224" t="s">
        <v>527</v>
      </c>
      <c r="AD224" t="s">
        <v>528</v>
      </c>
      <c r="AE224" t="s">
        <v>853</v>
      </c>
      <c r="AG224" t="s">
        <v>999</v>
      </c>
      <c r="AH224">
        <v>0</v>
      </c>
      <c r="AI224">
        <v>233</v>
      </c>
      <c r="AJ224">
        <v>23</v>
      </c>
      <c r="AK224">
        <v>0</v>
      </c>
      <c r="AL224">
        <v>0</v>
      </c>
    </row>
    <row r="225" spans="1:38" x14ac:dyDescent="0.3">
      <c r="A225" t="s">
        <v>1000</v>
      </c>
      <c r="B225">
        <v>105193</v>
      </c>
      <c r="C225">
        <v>1</v>
      </c>
      <c r="D225" t="s">
        <v>1001</v>
      </c>
      <c r="E225" t="s">
        <v>1002</v>
      </c>
      <c r="F225">
        <v>160</v>
      </c>
      <c r="G225">
        <v>48.22</v>
      </c>
      <c r="H225">
        <v>159.41999999999999</v>
      </c>
      <c r="I225">
        <v>39.56</v>
      </c>
      <c r="J225">
        <v>130.80000000000001</v>
      </c>
      <c r="K225">
        <v>40</v>
      </c>
      <c r="T225">
        <v>3</v>
      </c>
      <c r="U225">
        <v>2</v>
      </c>
      <c r="V225" t="s">
        <v>541</v>
      </c>
      <c r="W225" t="s">
        <v>1003</v>
      </c>
      <c r="X225">
        <v>10</v>
      </c>
      <c r="Y225">
        <v>10</v>
      </c>
      <c r="Z225" t="s">
        <v>1004</v>
      </c>
      <c r="AA225" t="s">
        <v>1005</v>
      </c>
      <c r="AB225" t="s">
        <v>526</v>
      </c>
      <c r="AC225" t="s">
        <v>527</v>
      </c>
      <c r="AD225" t="s">
        <v>528</v>
      </c>
      <c r="AE225" t="s">
        <v>1006</v>
      </c>
      <c r="AG225" t="s">
        <v>1007</v>
      </c>
      <c r="AH225">
        <v>0</v>
      </c>
      <c r="AI225">
        <v>225</v>
      </c>
      <c r="AJ225">
        <v>26</v>
      </c>
      <c r="AK225">
        <v>331</v>
      </c>
      <c r="AL225">
        <v>2.0699999999999998</v>
      </c>
    </row>
    <row r="226" spans="1:38" x14ac:dyDescent="0.3">
      <c r="A226" t="s">
        <v>1000</v>
      </c>
      <c r="B226">
        <v>105193</v>
      </c>
      <c r="C226">
        <v>2</v>
      </c>
      <c r="D226" t="s">
        <v>1001</v>
      </c>
      <c r="E226" t="s">
        <v>1002</v>
      </c>
      <c r="F226">
        <v>160</v>
      </c>
      <c r="G226">
        <v>48.2</v>
      </c>
      <c r="H226">
        <v>159.36000000000001</v>
      </c>
      <c r="I226">
        <v>39.58</v>
      </c>
      <c r="J226">
        <v>130.87</v>
      </c>
      <c r="K226">
        <v>40</v>
      </c>
      <c r="T226">
        <v>3</v>
      </c>
      <c r="U226">
        <v>2</v>
      </c>
      <c r="V226" t="s">
        <v>541</v>
      </c>
      <c r="W226" t="s">
        <v>1008</v>
      </c>
      <c r="X226">
        <v>10</v>
      </c>
      <c r="Y226">
        <v>10</v>
      </c>
      <c r="Z226" t="s">
        <v>1004</v>
      </c>
      <c r="AA226" t="s">
        <v>1005</v>
      </c>
      <c r="AB226" t="s">
        <v>526</v>
      </c>
      <c r="AC226" t="s">
        <v>527</v>
      </c>
      <c r="AD226" t="s">
        <v>528</v>
      </c>
      <c r="AE226" t="s">
        <v>1006</v>
      </c>
      <c r="AG226" t="s">
        <v>1007</v>
      </c>
      <c r="AH226">
        <v>0</v>
      </c>
      <c r="AI226">
        <v>225</v>
      </c>
      <c r="AJ226">
        <v>26</v>
      </c>
      <c r="AK226">
        <v>331</v>
      </c>
      <c r="AL226">
        <v>2.0699999999999998</v>
      </c>
    </row>
    <row r="227" spans="1:38" x14ac:dyDescent="0.3">
      <c r="A227" t="s">
        <v>1000</v>
      </c>
      <c r="B227">
        <v>105193</v>
      </c>
      <c r="C227">
        <v>3</v>
      </c>
      <c r="D227" t="s">
        <v>1001</v>
      </c>
      <c r="E227" t="s">
        <v>1002</v>
      </c>
      <c r="F227">
        <v>160</v>
      </c>
      <c r="G227">
        <v>49.4</v>
      </c>
      <c r="H227">
        <v>163.32</v>
      </c>
      <c r="I227">
        <v>39.56</v>
      </c>
      <c r="J227">
        <v>130.80000000000001</v>
      </c>
      <c r="K227">
        <v>40</v>
      </c>
      <c r="T227">
        <v>3</v>
      </c>
      <c r="U227">
        <v>2</v>
      </c>
      <c r="V227" t="s">
        <v>541</v>
      </c>
      <c r="W227">
        <v>163</v>
      </c>
      <c r="X227">
        <v>10</v>
      </c>
      <c r="Y227">
        <v>10</v>
      </c>
      <c r="Z227" t="s">
        <v>1004</v>
      </c>
      <c r="AA227" t="s">
        <v>1005</v>
      </c>
      <c r="AB227" t="s">
        <v>526</v>
      </c>
      <c r="AC227" t="s">
        <v>527</v>
      </c>
      <c r="AD227" t="s">
        <v>528</v>
      </c>
      <c r="AE227" t="s">
        <v>1006</v>
      </c>
      <c r="AG227" t="s">
        <v>1007</v>
      </c>
      <c r="AH227">
        <v>0</v>
      </c>
      <c r="AI227">
        <v>225</v>
      </c>
      <c r="AJ227">
        <v>26</v>
      </c>
      <c r="AK227">
        <v>331</v>
      </c>
      <c r="AL227">
        <v>2.0699999999999998</v>
      </c>
    </row>
    <row r="228" spans="1:38" x14ac:dyDescent="0.3">
      <c r="A228" t="s">
        <v>1000</v>
      </c>
      <c r="B228">
        <v>105193</v>
      </c>
      <c r="C228">
        <v>4</v>
      </c>
      <c r="D228" t="s">
        <v>1001</v>
      </c>
      <c r="E228" t="s">
        <v>1002</v>
      </c>
      <c r="F228">
        <v>160</v>
      </c>
      <c r="G228">
        <v>63.99</v>
      </c>
      <c r="H228">
        <v>211.56</v>
      </c>
      <c r="I228">
        <v>51.36</v>
      </c>
      <c r="J228">
        <v>169.79</v>
      </c>
      <c r="K228">
        <v>40</v>
      </c>
      <c r="T228">
        <v>4</v>
      </c>
      <c r="U228">
        <v>3</v>
      </c>
      <c r="V228" t="s">
        <v>541</v>
      </c>
      <c r="W228">
        <v>211</v>
      </c>
      <c r="X228">
        <v>10</v>
      </c>
      <c r="Y228">
        <v>10</v>
      </c>
      <c r="Z228" t="s">
        <v>1004</v>
      </c>
      <c r="AA228" t="s">
        <v>1005</v>
      </c>
      <c r="AB228" t="s">
        <v>526</v>
      </c>
      <c r="AC228" t="s">
        <v>527</v>
      </c>
      <c r="AD228" t="s">
        <v>528</v>
      </c>
      <c r="AE228" t="s">
        <v>1006</v>
      </c>
      <c r="AG228" t="s">
        <v>1007</v>
      </c>
      <c r="AH228">
        <v>0</v>
      </c>
      <c r="AI228">
        <v>225</v>
      </c>
      <c r="AJ228">
        <v>26</v>
      </c>
      <c r="AK228">
        <v>331</v>
      </c>
      <c r="AL228">
        <v>2.0699999999999998</v>
      </c>
    </row>
    <row r="229" spans="1:38" x14ac:dyDescent="0.3">
      <c r="A229" t="s">
        <v>1000</v>
      </c>
      <c r="B229">
        <v>125391</v>
      </c>
      <c r="C229">
        <v>1</v>
      </c>
      <c r="D229" t="s">
        <v>1009</v>
      </c>
      <c r="E229" t="s">
        <v>1010</v>
      </c>
      <c r="F229">
        <v>248</v>
      </c>
      <c r="G229">
        <v>29.37</v>
      </c>
      <c r="H229">
        <v>97.12</v>
      </c>
      <c r="I229">
        <v>22.6</v>
      </c>
      <c r="J229">
        <v>74.72</v>
      </c>
      <c r="K229">
        <v>64</v>
      </c>
      <c r="T229">
        <v>3</v>
      </c>
      <c r="U229">
        <v>2</v>
      </c>
      <c r="V229" t="s">
        <v>541</v>
      </c>
      <c r="W229">
        <v>97</v>
      </c>
      <c r="X229">
        <v>17</v>
      </c>
      <c r="Y229">
        <v>14</v>
      </c>
      <c r="Z229" t="s">
        <v>1011</v>
      </c>
      <c r="AA229" t="s">
        <v>1012</v>
      </c>
      <c r="AB229" t="s">
        <v>526</v>
      </c>
      <c r="AC229" t="s">
        <v>527</v>
      </c>
      <c r="AD229" t="s">
        <v>528</v>
      </c>
      <c r="AE229" t="s">
        <v>1006</v>
      </c>
      <c r="AG229" t="s">
        <v>1013</v>
      </c>
      <c r="AH229">
        <v>0</v>
      </c>
      <c r="AI229">
        <v>226</v>
      </c>
      <c r="AJ229">
        <v>40</v>
      </c>
      <c r="AK229">
        <v>323</v>
      </c>
      <c r="AL229">
        <v>1.3</v>
      </c>
    </row>
    <row r="230" spans="1:38" x14ac:dyDescent="0.3">
      <c r="A230" t="s">
        <v>1000</v>
      </c>
      <c r="B230">
        <v>125391</v>
      </c>
      <c r="C230">
        <v>2</v>
      </c>
      <c r="D230" t="s">
        <v>1009</v>
      </c>
      <c r="E230" t="s">
        <v>1010</v>
      </c>
      <c r="F230">
        <v>248</v>
      </c>
      <c r="G230">
        <v>33.29</v>
      </c>
      <c r="H230">
        <v>110.06</v>
      </c>
      <c r="I230">
        <v>25.7</v>
      </c>
      <c r="J230">
        <v>84.99</v>
      </c>
      <c r="K230">
        <v>184</v>
      </c>
      <c r="T230">
        <v>3</v>
      </c>
      <c r="U230">
        <v>2</v>
      </c>
      <c r="V230" t="s">
        <v>541</v>
      </c>
      <c r="W230">
        <v>110</v>
      </c>
      <c r="X230">
        <v>17</v>
      </c>
      <c r="Y230">
        <v>14</v>
      </c>
      <c r="Z230" t="s">
        <v>1011</v>
      </c>
      <c r="AA230" t="s">
        <v>1012</v>
      </c>
      <c r="AB230" t="s">
        <v>526</v>
      </c>
      <c r="AC230" t="s">
        <v>527</v>
      </c>
      <c r="AD230" t="s">
        <v>528</v>
      </c>
      <c r="AE230" t="s">
        <v>1006</v>
      </c>
      <c r="AG230" t="s">
        <v>1013</v>
      </c>
      <c r="AH230">
        <v>0</v>
      </c>
      <c r="AI230">
        <v>226</v>
      </c>
      <c r="AJ230">
        <v>40</v>
      </c>
      <c r="AK230">
        <v>323</v>
      </c>
      <c r="AL230">
        <v>1.3</v>
      </c>
    </row>
    <row r="231" spans="1:38" x14ac:dyDescent="0.3">
      <c r="A231" t="s">
        <v>1000</v>
      </c>
      <c r="B231">
        <v>109125</v>
      </c>
      <c r="C231">
        <v>1</v>
      </c>
      <c r="D231" t="s">
        <v>1014</v>
      </c>
      <c r="E231" t="s">
        <v>1015</v>
      </c>
      <c r="F231">
        <v>110</v>
      </c>
      <c r="G231">
        <v>19.850000000000001</v>
      </c>
      <c r="H231">
        <v>65.63</v>
      </c>
      <c r="I231">
        <v>16.739999999999998</v>
      </c>
      <c r="J231">
        <v>55.35</v>
      </c>
      <c r="K231">
        <v>40</v>
      </c>
      <c r="T231">
        <v>2</v>
      </c>
      <c r="U231">
        <v>1</v>
      </c>
      <c r="V231" t="s">
        <v>541</v>
      </c>
      <c r="W231" t="s">
        <v>1016</v>
      </c>
      <c r="X231">
        <v>5</v>
      </c>
      <c r="Y231">
        <v>5</v>
      </c>
      <c r="Z231" t="s">
        <v>1017</v>
      </c>
      <c r="AA231" t="s">
        <v>1018</v>
      </c>
      <c r="AB231" t="s">
        <v>526</v>
      </c>
      <c r="AC231" t="s">
        <v>527</v>
      </c>
      <c r="AD231" t="s">
        <v>528</v>
      </c>
      <c r="AE231" t="s">
        <v>1006</v>
      </c>
      <c r="AG231" t="s">
        <v>1019</v>
      </c>
      <c r="AH231">
        <v>0</v>
      </c>
      <c r="AI231">
        <v>0</v>
      </c>
      <c r="AJ231">
        <v>0</v>
      </c>
      <c r="AK231">
        <v>0</v>
      </c>
      <c r="AL231">
        <v>0</v>
      </c>
    </row>
    <row r="232" spans="1:38" x14ac:dyDescent="0.3">
      <c r="A232" t="s">
        <v>1000</v>
      </c>
      <c r="B232">
        <v>109125</v>
      </c>
      <c r="C232">
        <v>2</v>
      </c>
      <c r="D232" t="s">
        <v>1014</v>
      </c>
      <c r="E232" t="s">
        <v>1015</v>
      </c>
      <c r="F232">
        <v>110</v>
      </c>
      <c r="G232">
        <v>19.8</v>
      </c>
      <c r="H232">
        <v>65.48</v>
      </c>
      <c r="I232">
        <v>16.690000000000001</v>
      </c>
      <c r="J232">
        <v>55.2</v>
      </c>
      <c r="K232">
        <v>5</v>
      </c>
      <c r="T232">
        <v>2</v>
      </c>
      <c r="U232">
        <v>1</v>
      </c>
      <c r="V232" t="s">
        <v>541</v>
      </c>
      <c r="W232" t="s">
        <v>371</v>
      </c>
      <c r="X232">
        <v>5</v>
      </c>
      <c r="Y232">
        <v>5</v>
      </c>
      <c r="Z232" t="s">
        <v>1017</v>
      </c>
      <c r="AA232" t="s">
        <v>1018</v>
      </c>
      <c r="AB232" t="s">
        <v>526</v>
      </c>
      <c r="AC232" t="s">
        <v>527</v>
      </c>
      <c r="AD232" t="s">
        <v>528</v>
      </c>
      <c r="AE232" t="s">
        <v>1006</v>
      </c>
      <c r="AG232" t="s">
        <v>1019</v>
      </c>
      <c r="AH232">
        <v>0</v>
      </c>
      <c r="AI232">
        <v>0</v>
      </c>
      <c r="AJ232">
        <v>0</v>
      </c>
      <c r="AK232">
        <v>0</v>
      </c>
      <c r="AL232">
        <v>0</v>
      </c>
    </row>
    <row r="233" spans="1:38" x14ac:dyDescent="0.3">
      <c r="A233" t="s">
        <v>1000</v>
      </c>
      <c r="B233">
        <v>109125</v>
      </c>
      <c r="C233">
        <v>3</v>
      </c>
      <c r="D233" t="s">
        <v>1014</v>
      </c>
      <c r="E233" t="s">
        <v>1015</v>
      </c>
      <c r="F233">
        <v>110</v>
      </c>
      <c r="G233">
        <v>21.34</v>
      </c>
      <c r="H233">
        <v>70.569999999999993</v>
      </c>
      <c r="I233">
        <v>18.12</v>
      </c>
      <c r="J233">
        <v>59.91</v>
      </c>
      <c r="K233">
        <v>5</v>
      </c>
      <c r="T233">
        <v>3</v>
      </c>
      <c r="U233">
        <v>1</v>
      </c>
      <c r="V233" t="s">
        <v>541</v>
      </c>
      <c r="W233">
        <v>70</v>
      </c>
      <c r="X233">
        <v>5</v>
      </c>
      <c r="Y233">
        <v>5</v>
      </c>
      <c r="Z233" t="s">
        <v>1017</v>
      </c>
      <c r="AA233" t="s">
        <v>1018</v>
      </c>
      <c r="AB233" t="s">
        <v>526</v>
      </c>
      <c r="AC233" t="s">
        <v>527</v>
      </c>
      <c r="AD233" t="s">
        <v>528</v>
      </c>
      <c r="AE233" t="s">
        <v>1006</v>
      </c>
      <c r="AG233" t="s">
        <v>1019</v>
      </c>
      <c r="AH233">
        <v>0</v>
      </c>
      <c r="AI233">
        <v>0</v>
      </c>
      <c r="AJ233">
        <v>0</v>
      </c>
      <c r="AK233">
        <v>0</v>
      </c>
      <c r="AL233">
        <v>0</v>
      </c>
    </row>
    <row r="234" spans="1:38" x14ac:dyDescent="0.3">
      <c r="A234" t="s">
        <v>1000</v>
      </c>
      <c r="B234">
        <v>109125</v>
      </c>
      <c r="C234">
        <v>4</v>
      </c>
      <c r="D234" t="s">
        <v>1014</v>
      </c>
      <c r="E234" t="s">
        <v>1015</v>
      </c>
      <c r="F234">
        <v>110</v>
      </c>
      <c r="G234">
        <v>29.64</v>
      </c>
      <c r="H234">
        <v>98.01</v>
      </c>
      <c r="I234">
        <v>25.53</v>
      </c>
      <c r="J234">
        <v>84.42</v>
      </c>
      <c r="K234">
        <v>30</v>
      </c>
      <c r="T234">
        <v>3</v>
      </c>
      <c r="U234">
        <v>2</v>
      </c>
      <c r="V234" t="s">
        <v>541</v>
      </c>
      <c r="W234">
        <v>98</v>
      </c>
      <c r="X234">
        <v>5</v>
      </c>
      <c r="Y234">
        <v>5</v>
      </c>
      <c r="Z234" t="s">
        <v>1017</v>
      </c>
      <c r="AA234" t="s">
        <v>1018</v>
      </c>
      <c r="AB234" t="s">
        <v>526</v>
      </c>
      <c r="AC234" t="s">
        <v>527</v>
      </c>
      <c r="AD234" t="s">
        <v>528</v>
      </c>
      <c r="AE234" t="s">
        <v>1006</v>
      </c>
      <c r="AG234" t="s">
        <v>1019</v>
      </c>
      <c r="AH234">
        <v>0</v>
      </c>
      <c r="AI234">
        <v>0</v>
      </c>
      <c r="AJ234">
        <v>0</v>
      </c>
      <c r="AK234">
        <v>0</v>
      </c>
      <c r="AL234">
        <v>0</v>
      </c>
    </row>
    <row r="235" spans="1:38" x14ac:dyDescent="0.3">
      <c r="A235" t="s">
        <v>1000</v>
      </c>
      <c r="B235">
        <v>109125</v>
      </c>
      <c r="C235">
        <v>5</v>
      </c>
      <c r="D235" t="s">
        <v>1014</v>
      </c>
      <c r="E235" t="s">
        <v>1015</v>
      </c>
      <c r="F235">
        <v>110</v>
      </c>
      <c r="G235">
        <v>33.82</v>
      </c>
      <c r="H235">
        <v>111.81</v>
      </c>
      <c r="I235">
        <v>27.97</v>
      </c>
      <c r="J235">
        <v>92.47</v>
      </c>
      <c r="K235">
        <v>30</v>
      </c>
      <c r="T235">
        <v>3</v>
      </c>
      <c r="U235">
        <v>2</v>
      </c>
      <c r="V235" t="s">
        <v>541</v>
      </c>
      <c r="W235">
        <v>111</v>
      </c>
      <c r="X235">
        <v>5</v>
      </c>
      <c r="Y235">
        <v>5</v>
      </c>
      <c r="Z235" t="s">
        <v>1017</v>
      </c>
      <c r="AA235" t="s">
        <v>1018</v>
      </c>
      <c r="AB235" t="s">
        <v>526</v>
      </c>
      <c r="AC235" t="s">
        <v>527</v>
      </c>
      <c r="AD235" t="s">
        <v>528</v>
      </c>
      <c r="AE235" t="s">
        <v>1006</v>
      </c>
      <c r="AG235" t="s">
        <v>1019</v>
      </c>
      <c r="AH235">
        <v>0</v>
      </c>
      <c r="AI235">
        <v>0</v>
      </c>
      <c r="AJ235">
        <v>0</v>
      </c>
      <c r="AK235">
        <v>0</v>
      </c>
      <c r="AL235">
        <v>0</v>
      </c>
    </row>
    <row r="236" spans="1:38" x14ac:dyDescent="0.3">
      <c r="A236" t="s">
        <v>1000</v>
      </c>
      <c r="B236">
        <v>101172</v>
      </c>
      <c r="C236">
        <v>1</v>
      </c>
      <c r="D236" t="s">
        <v>1020</v>
      </c>
      <c r="E236" t="s">
        <v>1021</v>
      </c>
      <c r="F236">
        <v>99</v>
      </c>
      <c r="G236">
        <v>16.8</v>
      </c>
      <c r="H236">
        <v>55.56</v>
      </c>
      <c r="I236">
        <v>12.47</v>
      </c>
      <c r="J236">
        <v>41.25</v>
      </c>
      <c r="K236">
        <v>7</v>
      </c>
      <c r="T236">
        <v>2</v>
      </c>
      <c r="U236">
        <v>1</v>
      </c>
      <c r="V236" t="s">
        <v>541</v>
      </c>
      <c r="W236">
        <v>55</v>
      </c>
      <c r="X236">
        <v>12</v>
      </c>
      <c r="Y236">
        <v>6</v>
      </c>
      <c r="Z236" t="s">
        <v>1022</v>
      </c>
      <c r="AA236" t="s">
        <v>1023</v>
      </c>
      <c r="AB236" t="s">
        <v>526</v>
      </c>
      <c r="AC236" t="s">
        <v>527</v>
      </c>
      <c r="AD236" t="s">
        <v>528</v>
      </c>
      <c r="AE236" t="s">
        <v>1006</v>
      </c>
      <c r="AG236" t="s">
        <v>1024</v>
      </c>
      <c r="AH236">
        <v>0</v>
      </c>
      <c r="AI236">
        <v>26</v>
      </c>
      <c r="AJ236">
        <v>21</v>
      </c>
      <c r="AK236">
        <v>71</v>
      </c>
      <c r="AL236">
        <v>0.72</v>
      </c>
    </row>
    <row r="237" spans="1:38" x14ac:dyDescent="0.3">
      <c r="A237" t="s">
        <v>1000</v>
      </c>
      <c r="B237">
        <v>101172</v>
      </c>
      <c r="C237">
        <v>2</v>
      </c>
      <c r="D237" t="s">
        <v>1020</v>
      </c>
      <c r="E237" t="s">
        <v>1021</v>
      </c>
      <c r="F237">
        <v>99</v>
      </c>
      <c r="G237">
        <v>16.8</v>
      </c>
      <c r="H237">
        <v>55.57</v>
      </c>
      <c r="I237">
        <v>12.48</v>
      </c>
      <c r="J237">
        <v>41.26</v>
      </c>
      <c r="K237">
        <v>1</v>
      </c>
      <c r="T237">
        <v>2</v>
      </c>
      <c r="U237">
        <v>1</v>
      </c>
      <c r="V237" t="s">
        <v>523</v>
      </c>
      <c r="W237">
        <v>55</v>
      </c>
      <c r="X237">
        <v>12</v>
      </c>
      <c r="Y237">
        <v>6</v>
      </c>
      <c r="Z237" t="s">
        <v>1022</v>
      </c>
      <c r="AA237" t="s">
        <v>1023</v>
      </c>
      <c r="AB237" t="s">
        <v>526</v>
      </c>
      <c r="AC237" t="s">
        <v>527</v>
      </c>
      <c r="AD237" t="s">
        <v>528</v>
      </c>
      <c r="AE237" t="s">
        <v>1006</v>
      </c>
      <c r="AG237" t="s">
        <v>1024</v>
      </c>
      <c r="AH237">
        <v>0</v>
      </c>
      <c r="AI237">
        <v>26</v>
      </c>
      <c r="AJ237">
        <v>21</v>
      </c>
      <c r="AK237">
        <v>71</v>
      </c>
      <c r="AL237">
        <v>0.72</v>
      </c>
    </row>
    <row r="238" spans="1:38" x14ac:dyDescent="0.3">
      <c r="A238" t="s">
        <v>1000</v>
      </c>
      <c r="B238">
        <v>101172</v>
      </c>
      <c r="C238">
        <v>3</v>
      </c>
      <c r="D238" t="s">
        <v>1020</v>
      </c>
      <c r="E238" t="s">
        <v>1021</v>
      </c>
      <c r="F238">
        <v>99</v>
      </c>
      <c r="G238">
        <v>24.04</v>
      </c>
      <c r="H238">
        <v>79.48</v>
      </c>
      <c r="I238">
        <v>18.14</v>
      </c>
      <c r="J238">
        <v>59.98</v>
      </c>
      <c r="K238">
        <v>91</v>
      </c>
      <c r="T238">
        <v>3</v>
      </c>
      <c r="U238">
        <v>1</v>
      </c>
      <c r="V238" t="s">
        <v>541</v>
      </c>
      <c r="W238">
        <v>79</v>
      </c>
      <c r="X238">
        <v>12</v>
      </c>
      <c r="Y238">
        <v>6</v>
      </c>
      <c r="Z238" t="s">
        <v>1022</v>
      </c>
      <c r="AA238" t="s">
        <v>1023</v>
      </c>
      <c r="AB238" t="s">
        <v>526</v>
      </c>
      <c r="AC238" t="s">
        <v>527</v>
      </c>
      <c r="AD238" t="s">
        <v>528</v>
      </c>
      <c r="AE238" t="s">
        <v>1006</v>
      </c>
      <c r="AG238" t="s">
        <v>1024</v>
      </c>
      <c r="AH238">
        <v>0</v>
      </c>
      <c r="AI238">
        <v>26</v>
      </c>
      <c r="AJ238">
        <v>21</v>
      </c>
      <c r="AK238">
        <v>71</v>
      </c>
      <c r="AL238">
        <v>0.72</v>
      </c>
    </row>
    <row r="239" spans="1:38" x14ac:dyDescent="0.3">
      <c r="A239" t="s">
        <v>1000</v>
      </c>
      <c r="B239">
        <v>5460</v>
      </c>
      <c r="C239">
        <v>1</v>
      </c>
      <c r="D239" t="s">
        <v>1025</v>
      </c>
      <c r="E239" t="s">
        <v>1026</v>
      </c>
      <c r="F239">
        <v>120</v>
      </c>
      <c r="G239">
        <v>24.65</v>
      </c>
      <c r="H239">
        <v>81.52</v>
      </c>
      <c r="I239">
        <v>21.68</v>
      </c>
      <c r="J239">
        <v>71.680000000000007</v>
      </c>
      <c r="K239">
        <v>30</v>
      </c>
      <c r="T239">
        <v>3</v>
      </c>
      <c r="U239">
        <v>1</v>
      </c>
      <c r="V239" t="s">
        <v>541</v>
      </c>
      <c r="W239">
        <v>81</v>
      </c>
      <c r="X239">
        <v>5</v>
      </c>
      <c r="Y239">
        <v>5</v>
      </c>
      <c r="Z239" t="s">
        <v>1027</v>
      </c>
      <c r="AA239" t="s">
        <v>1028</v>
      </c>
      <c r="AB239" t="s">
        <v>526</v>
      </c>
      <c r="AC239" t="s">
        <v>527</v>
      </c>
      <c r="AD239" t="s">
        <v>528</v>
      </c>
      <c r="AE239" t="s">
        <v>1006</v>
      </c>
      <c r="AG239" t="s">
        <v>1029</v>
      </c>
      <c r="AH239">
        <v>0</v>
      </c>
      <c r="AI239">
        <v>0</v>
      </c>
      <c r="AJ239">
        <v>0</v>
      </c>
      <c r="AK239">
        <v>0</v>
      </c>
      <c r="AL239">
        <v>0</v>
      </c>
    </row>
    <row r="240" spans="1:38" x14ac:dyDescent="0.3">
      <c r="A240" t="s">
        <v>1000</v>
      </c>
      <c r="B240">
        <v>5460</v>
      </c>
      <c r="C240">
        <v>2</v>
      </c>
      <c r="D240" t="s">
        <v>1025</v>
      </c>
      <c r="E240" t="s">
        <v>1026</v>
      </c>
      <c r="F240">
        <v>120</v>
      </c>
      <c r="G240">
        <v>27.15</v>
      </c>
      <c r="H240">
        <v>89.78</v>
      </c>
      <c r="I240">
        <v>24.05</v>
      </c>
      <c r="J240">
        <v>79.510000000000005</v>
      </c>
      <c r="K240">
        <v>40</v>
      </c>
      <c r="T240">
        <v>3</v>
      </c>
      <c r="U240">
        <v>1</v>
      </c>
      <c r="V240" t="s">
        <v>541</v>
      </c>
      <c r="W240" t="s">
        <v>1030</v>
      </c>
      <c r="X240">
        <v>5</v>
      </c>
      <c r="Y240">
        <v>5</v>
      </c>
      <c r="Z240" t="s">
        <v>1027</v>
      </c>
      <c r="AA240" t="s">
        <v>1028</v>
      </c>
      <c r="AB240" t="s">
        <v>526</v>
      </c>
      <c r="AC240" t="s">
        <v>527</v>
      </c>
      <c r="AD240" t="s">
        <v>528</v>
      </c>
      <c r="AE240" t="s">
        <v>1006</v>
      </c>
      <c r="AG240" t="s">
        <v>1029</v>
      </c>
      <c r="AH240">
        <v>0</v>
      </c>
      <c r="AI240">
        <v>0</v>
      </c>
      <c r="AJ240">
        <v>0</v>
      </c>
      <c r="AK240">
        <v>0</v>
      </c>
      <c r="AL240">
        <v>0</v>
      </c>
    </row>
    <row r="241" spans="1:38" x14ac:dyDescent="0.3">
      <c r="A241" t="s">
        <v>1000</v>
      </c>
      <c r="B241">
        <v>5460</v>
      </c>
      <c r="C241">
        <v>3</v>
      </c>
      <c r="D241" t="s">
        <v>1025</v>
      </c>
      <c r="E241" t="s">
        <v>1026</v>
      </c>
      <c r="F241">
        <v>120</v>
      </c>
      <c r="G241">
        <v>27.03</v>
      </c>
      <c r="H241">
        <v>89.38</v>
      </c>
      <c r="I241">
        <v>22.3</v>
      </c>
      <c r="J241">
        <v>73.75</v>
      </c>
      <c r="K241">
        <v>5</v>
      </c>
      <c r="T241">
        <v>3</v>
      </c>
      <c r="U241">
        <v>1</v>
      </c>
      <c r="V241" t="s">
        <v>541</v>
      </c>
      <c r="W241" t="s">
        <v>1031</v>
      </c>
      <c r="X241">
        <v>5</v>
      </c>
      <c r="Y241">
        <v>5</v>
      </c>
      <c r="Z241" t="s">
        <v>1027</v>
      </c>
      <c r="AA241" t="s">
        <v>1028</v>
      </c>
      <c r="AB241" t="s">
        <v>526</v>
      </c>
      <c r="AC241" t="s">
        <v>527</v>
      </c>
      <c r="AD241" t="s">
        <v>528</v>
      </c>
      <c r="AE241" t="s">
        <v>1006</v>
      </c>
      <c r="AG241" t="s">
        <v>1029</v>
      </c>
      <c r="AH241">
        <v>0</v>
      </c>
      <c r="AI241">
        <v>0</v>
      </c>
      <c r="AJ241">
        <v>0</v>
      </c>
      <c r="AK241">
        <v>0</v>
      </c>
      <c r="AL241">
        <v>0</v>
      </c>
    </row>
    <row r="242" spans="1:38" x14ac:dyDescent="0.3">
      <c r="A242" t="s">
        <v>1000</v>
      </c>
      <c r="B242">
        <v>5460</v>
      </c>
      <c r="C242">
        <v>4</v>
      </c>
      <c r="D242" t="s">
        <v>1025</v>
      </c>
      <c r="E242" t="s">
        <v>1026</v>
      </c>
      <c r="F242">
        <v>120</v>
      </c>
      <c r="G242">
        <v>28.74</v>
      </c>
      <c r="H242">
        <v>95.02</v>
      </c>
      <c r="I242">
        <v>25.39</v>
      </c>
      <c r="J242">
        <v>83.94</v>
      </c>
      <c r="K242">
        <v>30</v>
      </c>
      <c r="T242">
        <v>3</v>
      </c>
      <c r="U242">
        <v>1</v>
      </c>
      <c r="V242" t="s">
        <v>541</v>
      </c>
      <c r="W242" t="s">
        <v>218</v>
      </c>
      <c r="X242">
        <v>5</v>
      </c>
      <c r="Y242">
        <v>5</v>
      </c>
      <c r="Z242" t="s">
        <v>1027</v>
      </c>
      <c r="AA242" t="s">
        <v>1028</v>
      </c>
      <c r="AB242" t="s">
        <v>526</v>
      </c>
      <c r="AC242" t="s">
        <v>527</v>
      </c>
      <c r="AD242" t="s">
        <v>528</v>
      </c>
      <c r="AE242" t="s">
        <v>1006</v>
      </c>
      <c r="AG242" t="s">
        <v>1029</v>
      </c>
      <c r="AH242">
        <v>0</v>
      </c>
      <c r="AI242">
        <v>0</v>
      </c>
      <c r="AJ242">
        <v>0</v>
      </c>
      <c r="AK242">
        <v>0</v>
      </c>
      <c r="AL242">
        <v>0</v>
      </c>
    </row>
    <row r="243" spans="1:38" x14ac:dyDescent="0.3">
      <c r="A243" t="s">
        <v>1000</v>
      </c>
      <c r="B243">
        <v>5460</v>
      </c>
      <c r="C243">
        <v>5</v>
      </c>
      <c r="D243" t="s">
        <v>1025</v>
      </c>
      <c r="E243" t="s">
        <v>1026</v>
      </c>
      <c r="F243">
        <v>120</v>
      </c>
      <c r="G243">
        <v>28.95</v>
      </c>
      <c r="H243">
        <v>95.71</v>
      </c>
      <c r="I243">
        <v>24.1</v>
      </c>
      <c r="J243">
        <v>79.69</v>
      </c>
      <c r="K243">
        <v>5</v>
      </c>
      <c r="T243">
        <v>3</v>
      </c>
      <c r="U243">
        <v>1</v>
      </c>
      <c r="V243" t="s">
        <v>541</v>
      </c>
      <c r="W243" t="s">
        <v>217</v>
      </c>
      <c r="X243">
        <v>5</v>
      </c>
      <c r="Y243">
        <v>5</v>
      </c>
      <c r="Z243" t="s">
        <v>1027</v>
      </c>
      <c r="AA243" t="s">
        <v>1028</v>
      </c>
      <c r="AB243" t="s">
        <v>526</v>
      </c>
      <c r="AC243" t="s">
        <v>527</v>
      </c>
      <c r="AD243" t="s">
        <v>528</v>
      </c>
      <c r="AE243" t="s">
        <v>1006</v>
      </c>
      <c r="AG243" t="s">
        <v>1029</v>
      </c>
      <c r="AH243">
        <v>0</v>
      </c>
      <c r="AI243">
        <v>0</v>
      </c>
      <c r="AJ243">
        <v>0</v>
      </c>
      <c r="AK243">
        <v>0</v>
      </c>
      <c r="AL243">
        <v>0</v>
      </c>
    </row>
    <row r="244" spans="1:38" x14ac:dyDescent="0.3">
      <c r="A244" t="s">
        <v>1000</v>
      </c>
      <c r="B244">
        <v>5460</v>
      </c>
      <c r="C244">
        <v>6</v>
      </c>
      <c r="D244" t="s">
        <v>1025</v>
      </c>
      <c r="E244" t="s">
        <v>1026</v>
      </c>
      <c r="F244">
        <v>120</v>
      </c>
      <c r="G244">
        <v>39.04</v>
      </c>
      <c r="H244">
        <v>129.08000000000001</v>
      </c>
      <c r="I244">
        <v>35.15</v>
      </c>
      <c r="J244">
        <v>116.23</v>
      </c>
      <c r="K244">
        <v>10</v>
      </c>
      <c r="T244">
        <v>4</v>
      </c>
      <c r="U244">
        <v>2</v>
      </c>
      <c r="V244" t="s">
        <v>541</v>
      </c>
      <c r="W244">
        <v>129</v>
      </c>
      <c r="X244">
        <v>5</v>
      </c>
      <c r="Y244">
        <v>5</v>
      </c>
      <c r="Z244" t="s">
        <v>1027</v>
      </c>
      <c r="AA244" t="s">
        <v>1028</v>
      </c>
      <c r="AB244" t="s">
        <v>526</v>
      </c>
      <c r="AC244" t="s">
        <v>527</v>
      </c>
      <c r="AD244" t="s">
        <v>528</v>
      </c>
      <c r="AE244" t="s">
        <v>1006</v>
      </c>
      <c r="AG244" t="s">
        <v>1029</v>
      </c>
      <c r="AH244">
        <v>0</v>
      </c>
      <c r="AI244">
        <v>0</v>
      </c>
      <c r="AJ244">
        <v>0</v>
      </c>
      <c r="AK244">
        <v>0</v>
      </c>
      <c r="AL244">
        <v>0</v>
      </c>
    </row>
    <row r="245" spans="1:38" x14ac:dyDescent="0.3">
      <c r="A245" t="s">
        <v>1032</v>
      </c>
      <c r="B245">
        <v>131772</v>
      </c>
      <c r="C245">
        <v>1</v>
      </c>
      <c r="D245" t="s">
        <v>1033</v>
      </c>
      <c r="E245" t="s">
        <v>1034</v>
      </c>
      <c r="F245">
        <v>48</v>
      </c>
      <c r="G245">
        <v>19.73</v>
      </c>
      <c r="H245">
        <v>65.25</v>
      </c>
      <c r="I245">
        <v>15.77</v>
      </c>
      <c r="J245">
        <v>52.15</v>
      </c>
      <c r="K245">
        <v>12</v>
      </c>
      <c r="T245">
        <v>3</v>
      </c>
      <c r="U245">
        <v>1</v>
      </c>
      <c r="V245" t="s">
        <v>541</v>
      </c>
      <c r="W245">
        <v>65</v>
      </c>
      <c r="X245">
        <v>9</v>
      </c>
      <c r="Y245">
        <v>9</v>
      </c>
      <c r="Z245" t="s">
        <v>1035</v>
      </c>
      <c r="AA245" t="s">
        <v>1036</v>
      </c>
      <c r="AB245" t="s">
        <v>526</v>
      </c>
      <c r="AC245" t="s">
        <v>527</v>
      </c>
      <c r="AD245" t="s">
        <v>528</v>
      </c>
      <c r="AE245" t="s">
        <v>1037</v>
      </c>
      <c r="AG245" t="s">
        <v>1038</v>
      </c>
      <c r="AH245">
        <v>0</v>
      </c>
      <c r="AI245">
        <v>521</v>
      </c>
      <c r="AJ245">
        <v>67</v>
      </c>
      <c r="AK245">
        <v>0</v>
      </c>
      <c r="AL245">
        <v>0</v>
      </c>
    </row>
    <row r="246" spans="1:38" x14ac:dyDescent="0.3">
      <c r="A246" t="s">
        <v>1032</v>
      </c>
      <c r="B246">
        <v>131772</v>
      </c>
      <c r="C246">
        <v>2</v>
      </c>
      <c r="D246" t="s">
        <v>1033</v>
      </c>
      <c r="E246" t="s">
        <v>1034</v>
      </c>
      <c r="F246">
        <v>48</v>
      </c>
      <c r="G246">
        <v>24.96</v>
      </c>
      <c r="H246">
        <v>82.53</v>
      </c>
      <c r="I246">
        <v>19.940000000000001</v>
      </c>
      <c r="J246">
        <v>65.92</v>
      </c>
      <c r="K246">
        <v>30</v>
      </c>
      <c r="T246">
        <v>3</v>
      </c>
      <c r="U246">
        <v>2</v>
      </c>
      <c r="V246" t="s">
        <v>541</v>
      </c>
      <c r="W246">
        <v>82</v>
      </c>
      <c r="X246">
        <v>9</v>
      </c>
      <c r="Y246">
        <v>9</v>
      </c>
      <c r="Z246" t="s">
        <v>1035</v>
      </c>
      <c r="AA246" t="s">
        <v>1036</v>
      </c>
      <c r="AB246" t="s">
        <v>526</v>
      </c>
      <c r="AC246" t="s">
        <v>527</v>
      </c>
      <c r="AD246" t="s">
        <v>528</v>
      </c>
      <c r="AE246" t="s">
        <v>1037</v>
      </c>
      <c r="AG246" t="s">
        <v>1038</v>
      </c>
      <c r="AH246">
        <v>0</v>
      </c>
      <c r="AI246">
        <v>521</v>
      </c>
      <c r="AJ246">
        <v>67</v>
      </c>
      <c r="AK246">
        <v>0</v>
      </c>
      <c r="AL246">
        <v>0</v>
      </c>
    </row>
    <row r="247" spans="1:38" x14ac:dyDescent="0.3">
      <c r="A247" t="s">
        <v>1032</v>
      </c>
      <c r="B247">
        <v>131772</v>
      </c>
      <c r="C247">
        <v>3</v>
      </c>
      <c r="D247" t="s">
        <v>1033</v>
      </c>
      <c r="E247" t="s">
        <v>1034</v>
      </c>
      <c r="F247">
        <v>48</v>
      </c>
      <c r="G247">
        <v>30.11</v>
      </c>
      <c r="H247">
        <v>99.56</v>
      </c>
      <c r="I247">
        <v>24.14</v>
      </c>
      <c r="J247">
        <v>79.81</v>
      </c>
      <c r="K247">
        <v>6</v>
      </c>
      <c r="T247">
        <v>3</v>
      </c>
      <c r="U247">
        <v>2</v>
      </c>
      <c r="V247" t="s">
        <v>541</v>
      </c>
      <c r="W247">
        <v>99</v>
      </c>
      <c r="X247">
        <v>9</v>
      </c>
      <c r="Y247">
        <v>9</v>
      </c>
      <c r="Z247" t="s">
        <v>1035</v>
      </c>
      <c r="AA247" t="s">
        <v>1036</v>
      </c>
      <c r="AB247" t="s">
        <v>526</v>
      </c>
      <c r="AC247" t="s">
        <v>527</v>
      </c>
      <c r="AD247" t="s">
        <v>528</v>
      </c>
      <c r="AE247" t="s">
        <v>1037</v>
      </c>
      <c r="AG247" t="s">
        <v>1038</v>
      </c>
      <c r="AH247">
        <v>0</v>
      </c>
      <c r="AI247">
        <v>521</v>
      </c>
      <c r="AJ247">
        <v>67</v>
      </c>
      <c r="AK247">
        <v>0</v>
      </c>
      <c r="AL247">
        <v>0</v>
      </c>
    </row>
    <row r="248" spans="1:38" x14ac:dyDescent="0.3">
      <c r="A248" t="s">
        <v>1039</v>
      </c>
      <c r="B248">
        <v>19718</v>
      </c>
      <c r="C248">
        <v>1</v>
      </c>
      <c r="D248" t="s">
        <v>1040</v>
      </c>
      <c r="E248" t="s">
        <v>1041</v>
      </c>
      <c r="F248">
        <v>400</v>
      </c>
      <c r="G248">
        <v>22.42</v>
      </c>
      <c r="H248">
        <v>74.14</v>
      </c>
      <c r="I248">
        <v>17.71</v>
      </c>
      <c r="J248">
        <v>58.55</v>
      </c>
      <c r="K248">
        <v>32</v>
      </c>
      <c r="T248">
        <v>3</v>
      </c>
      <c r="U248">
        <v>1</v>
      </c>
      <c r="V248" t="s">
        <v>541</v>
      </c>
      <c r="W248">
        <v>74</v>
      </c>
      <c r="X248">
        <v>19</v>
      </c>
      <c r="Y248">
        <v>9</v>
      </c>
      <c r="Z248" t="s">
        <v>1042</v>
      </c>
      <c r="AA248" t="s">
        <v>1043</v>
      </c>
      <c r="AB248" t="s">
        <v>526</v>
      </c>
      <c r="AC248" t="s">
        <v>527</v>
      </c>
      <c r="AD248" t="s">
        <v>528</v>
      </c>
      <c r="AE248" t="s">
        <v>1044</v>
      </c>
      <c r="AG248" t="s">
        <v>1045</v>
      </c>
      <c r="AH248">
        <v>0</v>
      </c>
      <c r="AI248">
        <v>247</v>
      </c>
      <c r="AJ248">
        <v>19</v>
      </c>
      <c r="AK248">
        <v>540</v>
      </c>
      <c r="AL248">
        <v>1.35</v>
      </c>
    </row>
    <row r="249" spans="1:38" x14ac:dyDescent="0.3">
      <c r="A249" t="s">
        <v>1039</v>
      </c>
      <c r="B249">
        <v>19718</v>
      </c>
      <c r="C249">
        <v>2</v>
      </c>
      <c r="D249" t="s">
        <v>1040</v>
      </c>
      <c r="E249" t="s">
        <v>1041</v>
      </c>
      <c r="F249">
        <v>400</v>
      </c>
      <c r="G249">
        <v>31.1</v>
      </c>
      <c r="H249">
        <v>102.81</v>
      </c>
      <c r="I249">
        <v>24.56</v>
      </c>
      <c r="J249">
        <v>81.209999999999994</v>
      </c>
      <c r="K249">
        <v>68</v>
      </c>
      <c r="T249">
        <v>3</v>
      </c>
      <c r="U249">
        <v>2</v>
      </c>
      <c r="V249" t="s">
        <v>541</v>
      </c>
      <c r="W249">
        <v>102</v>
      </c>
      <c r="X249">
        <v>19</v>
      </c>
      <c r="Y249">
        <v>9</v>
      </c>
      <c r="Z249" t="s">
        <v>1042</v>
      </c>
      <c r="AA249" t="s">
        <v>1043</v>
      </c>
      <c r="AB249" t="s">
        <v>526</v>
      </c>
      <c r="AC249" t="s">
        <v>527</v>
      </c>
      <c r="AD249" t="s">
        <v>528</v>
      </c>
      <c r="AE249" t="s">
        <v>1044</v>
      </c>
      <c r="AG249" t="s">
        <v>1045</v>
      </c>
      <c r="AH249">
        <v>0</v>
      </c>
      <c r="AI249">
        <v>247</v>
      </c>
      <c r="AJ249">
        <v>19</v>
      </c>
      <c r="AK249">
        <v>540</v>
      </c>
      <c r="AL249">
        <v>1.35</v>
      </c>
    </row>
    <row r="250" spans="1:38" x14ac:dyDescent="0.3">
      <c r="A250" t="s">
        <v>1039</v>
      </c>
      <c r="B250">
        <v>19718</v>
      </c>
      <c r="C250">
        <v>3</v>
      </c>
      <c r="D250" t="s">
        <v>1040</v>
      </c>
      <c r="E250" t="s">
        <v>1041</v>
      </c>
      <c r="F250">
        <v>400</v>
      </c>
      <c r="G250">
        <v>38</v>
      </c>
      <c r="H250">
        <v>125.62</v>
      </c>
      <c r="I250">
        <v>30.25</v>
      </c>
      <c r="J250">
        <v>100.03</v>
      </c>
      <c r="K250">
        <v>200</v>
      </c>
      <c r="T250">
        <v>3</v>
      </c>
      <c r="U250">
        <v>2</v>
      </c>
      <c r="V250" t="s">
        <v>541</v>
      </c>
      <c r="W250">
        <v>125</v>
      </c>
      <c r="X250">
        <v>19</v>
      </c>
      <c r="Y250">
        <v>9</v>
      </c>
      <c r="Z250" t="s">
        <v>1042</v>
      </c>
      <c r="AA250" t="s">
        <v>1043</v>
      </c>
      <c r="AB250" t="s">
        <v>526</v>
      </c>
      <c r="AC250" t="s">
        <v>527</v>
      </c>
      <c r="AD250" t="s">
        <v>528</v>
      </c>
      <c r="AE250" t="s">
        <v>1044</v>
      </c>
      <c r="AG250" t="s">
        <v>1045</v>
      </c>
      <c r="AH250">
        <v>0</v>
      </c>
      <c r="AI250">
        <v>247</v>
      </c>
      <c r="AJ250">
        <v>19</v>
      </c>
      <c r="AK250">
        <v>540</v>
      </c>
      <c r="AL250">
        <v>1.35</v>
      </c>
    </row>
    <row r="251" spans="1:38" x14ac:dyDescent="0.3">
      <c r="A251" t="s">
        <v>1039</v>
      </c>
      <c r="B251">
        <v>19718</v>
      </c>
      <c r="C251">
        <v>4</v>
      </c>
      <c r="D251" t="s">
        <v>1040</v>
      </c>
      <c r="E251" t="s">
        <v>1041</v>
      </c>
      <c r="F251">
        <v>400</v>
      </c>
      <c r="G251">
        <v>51.17</v>
      </c>
      <c r="H251">
        <v>169.17</v>
      </c>
      <c r="I251">
        <v>41.15</v>
      </c>
      <c r="J251">
        <v>136.06</v>
      </c>
      <c r="K251">
        <v>100</v>
      </c>
      <c r="T251">
        <v>4</v>
      </c>
      <c r="U251">
        <v>2</v>
      </c>
      <c r="V251" t="s">
        <v>541</v>
      </c>
      <c r="W251">
        <v>169</v>
      </c>
      <c r="X251">
        <v>19</v>
      </c>
      <c r="Y251">
        <v>9</v>
      </c>
      <c r="Z251" t="s">
        <v>1042</v>
      </c>
      <c r="AA251" t="s">
        <v>1043</v>
      </c>
      <c r="AB251" t="s">
        <v>526</v>
      </c>
      <c r="AC251" t="s">
        <v>527</v>
      </c>
      <c r="AD251" t="s">
        <v>528</v>
      </c>
      <c r="AE251" t="s">
        <v>1044</v>
      </c>
      <c r="AG251" t="s">
        <v>1045</v>
      </c>
      <c r="AH251">
        <v>0</v>
      </c>
      <c r="AI251">
        <v>247</v>
      </c>
      <c r="AJ251">
        <v>19</v>
      </c>
      <c r="AK251">
        <v>540</v>
      </c>
      <c r="AL251">
        <v>1.35</v>
      </c>
    </row>
    <row r="252" spans="1:38" x14ac:dyDescent="0.3">
      <c r="A252" t="s">
        <v>1039</v>
      </c>
      <c r="B252">
        <v>110199</v>
      </c>
      <c r="C252">
        <v>1</v>
      </c>
      <c r="D252" t="s">
        <v>1046</v>
      </c>
      <c r="E252" t="s">
        <v>1047</v>
      </c>
      <c r="F252">
        <v>821</v>
      </c>
      <c r="G252">
        <v>23.8</v>
      </c>
      <c r="H252">
        <v>78.709999999999994</v>
      </c>
      <c r="I252">
        <v>18.11</v>
      </c>
      <c r="J252">
        <v>59.9</v>
      </c>
      <c r="K252">
        <v>32</v>
      </c>
      <c r="T252">
        <v>3</v>
      </c>
      <c r="U252">
        <v>2</v>
      </c>
      <c r="V252" t="s">
        <v>541</v>
      </c>
      <c r="W252">
        <v>78</v>
      </c>
      <c r="X252">
        <v>23</v>
      </c>
      <c r="Y252">
        <v>11</v>
      </c>
      <c r="Z252" t="s">
        <v>1048</v>
      </c>
      <c r="AA252" t="s">
        <v>1049</v>
      </c>
      <c r="AB252" t="s">
        <v>526</v>
      </c>
      <c r="AC252" t="s">
        <v>527</v>
      </c>
      <c r="AD252" t="s">
        <v>528</v>
      </c>
      <c r="AE252" t="s">
        <v>1044</v>
      </c>
      <c r="AG252" t="s">
        <v>1050</v>
      </c>
      <c r="AH252">
        <v>70</v>
      </c>
      <c r="AI252">
        <v>226</v>
      </c>
      <c r="AJ252">
        <v>18</v>
      </c>
      <c r="AK252">
        <v>1001</v>
      </c>
      <c r="AL252">
        <v>1.22</v>
      </c>
    </row>
    <row r="253" spans="1:38" x14ac:dyDescent="0.3">
      <c r="A253" t="s">
        <v>1039</v>
      </c>
      <c r="B253">
        <v>110199</v>
      </c>
      <c r="C253">
        <v>2</v>
      </c>
      <c r="D253" t="s">
        <v>1046</v>
      </c>
      <c r="E253" t="s">
        <v>1047</v>
      </c>
      <c r="F253">
        <v>821</v>
      </c>
      <c r="G253">
        <v>28.75</v>
      </c>
      <c r="H253">
        <v>95.06</v>
      </c>
      <c r="I253">
        <v>21.86</v>
      </c>
      <c r="J253">
        <v>72.28</v>
      </c>
      <c r="K253">
        <v>35</v>
      </c>
      <c r="T253">
        <v>3</v>
      </c>
      <c r="U253">
        <v>2</v>
      </c>
      <c r="V253" t="s">
        <v>541</v>
      </c>
      <c r="W253" t="s">
        <v>217</v>
      </c>
      <c r="X253">
        <v>23</v>
      </c>
      <c r="Y253">
        <v>11</v>
      </c>
      <c r="Z253" t="s">
        <v>1048</v>
      </c>
      <c r="AA253" t="s">
        <v>1049</v>
      </c>
      <c r="AB253" t="s">
        <v>526</v>
      </c>
      <c r="AC253" t="s">
        <v>527</v>
      </c>
      <c r="AD253" t="s">
        <v>528</v>
      </c>
      <c r="AE253" t="s">
        <v>1044</v>
      </c>
      <c r="AG253" t="s">
        <v>1050</v>
      </c>
      <c r="AH253">
        <v>70</v>
      </c>
      <c r="AI253">
        <v>226</v>
      </c>
      <c r="AJ253">
        <v>18</v>
      </c>
      <c r="AK253">
        <v>1001</v>
      </c>
      <c r="AL253">
        <v>1.22</v>
      </c>
    </row>
    <row r="254" spans="1:38" x14ac:dyDescent="0.3">
      <c r="A254" t="s">
        <v>1039</v>
      </c>
      <c r="B254">
        <v>110199</v>
      </c>
      <c r="C254">
        <v>3</v>
      </c>
      <c r="D254" t="s">
        <v>1046</v>
      </c>
      <c r="E254" t="s">
        <v>1047</v>
      </c>
      <c r="F254">
        <v>821</v>
      </c>
      <c r="G254">
        <v>28.89</v>
      </c>
      <c r="H254">
        <v>95.51</v>
      </c>
      <c r="I254">
        <v>21.87</v>
      </c>
      <c r="J254">
        <v>72.319999999999993</v>
      </c>
      <c r="K254">
        <v>20</v>
      </c>
      <c r="T254">
        <v>3</v>
      </c>
      <c r="U254">
        <v>2</v>
      </c>
      <c r="V254" t="s">
        <v>541</v>
      </c>
      <c r="W254" t="s">
        <v>218</v>
      </c>
      <c r="X254">
        <v>23</v>
      </c>
      <c r="Y254">
        <v>11</v>
      </c>
      <c r="Z254" t="s">
        <v>1048</v>
      </c>
      <c r="AA254" t="s">
        <v>1049</v>
      </c>
      <c r="AB254" t="s">
        <v>526</v>
      </c>
      <c r="AC254" t="s">
        <v>527</v>
      </c>
      <c r="AD254" t="s">
        <v>528</v>
      </c>
      <c r="AE254" t="s">
        <v>1044</v>
      </c>
      <c r="AG254" t="s">
        <v>1050</v>
      </c>
      <c r="AH254">
        <v>70</v>
      </c>
      <c r="AI254">
        <v>226</v>
      </c>
      <c r="AJ254">
        <v>18</v>
      </c>
      <c r="AK254">
        <v>1001</v>
      </c>
      <c r="AL254">
        <v>1.22</v>
      </c>
    </row>
    <row r="255" spans="1:38" x14ac:dyDescent="0.3">
      <c r="A255" t="s">
        <v>1039</v>
      </c>
      <c r="B255">
        <v>110199</v>
      </c>
      <c r="C255">
        <v>4</v>
      </c>
      <c r="D255" t="s">
        <v>1046</v>
      </c>
      <c r="E255" t="s">
        <v>1047</v>
      </c>
      <c r="F255">
        <v>821</v>
      </c>
      <c r="G255">
        <v>33.659999999999997</v>
      </c>
      <c r="H255">
        <v>111.3</v>
      </c>
      <c r="I255">
        <v>25.7</v>
      </c>
      <c r="J255">
        <v>84.97</v>
      </c>
      <c r="K255">
        <v>332</v>
      </c>
      <c r="T255">
        <v>3</v>
      </c>
      <c r="U255">
        <v>2</v>
      </c>
      <c r="V255" t="s">
        <v>541</v>
      </c>
      <c r="W255" t="s">
        <v>220</v>
      </c>
      <c r="X255">
        <v>23</v>
      </c>
      <c r="Y255">
        <v>11</v>
      </c>
      <c r="Z255" t="s">
        <v>1048</v>
      </c>
      <c r="AA255" t="s">
        <v>1049</v>
      </c>
      <c r="AB255" t="s">
        <v>526</v>
      </c>
      <c r="AC255" t="s">
        <v>527</v>
      </c>
      <c r="AD255" t="s">
        <v>528</v>
      </c>
      <c r="AE255" t="s">
        <v>1044</v>
      </c>
      <c r="AG255" t="s">
        <v>1050</v>
      </c>
      <c r="AH255">
        <v>70</v>
      </c>
      <c r="AI255">
        <v>226</v>
      </c>
      <c r="AJ255">
        <v>18</v>
      </c>
      <c r="AK255">
        <v>1001</v>
      </c>
      <c r="AL255">
        <v>1.22</v>
      </c>
    </row>
    <row r="256" spans="1:38" x14ac:dyDescent="0.3">
      <c r="A256" t="s">
        <v>1039</v>
      </c>
      <c r="B256">
        <v>110199</v>
      </c>
      <c r="C256">
        <v>5</v>
      </c>
      <c r="D256" t="s">
        <v>1046</v>
      </c>
      <c r="E256" t="s">
        <v>1047</v>
      </c>
      <c r="F256">
        <v>821</v>
      </c>
      <c r="G256">
        <v>33.61</v>
      </c>
      <c r="H256">
        <v>111.11</v>
      </c>
      <c r="I256">
        <v>25.7</v>
      </c>
      <c r="J256">
        <v>84.98</v>
      </c>
      <c r="K256">
        <v>262</v>
      </c>
      <c r="T256">
        <v>3</v>
      </c>
      <c r="U256">
        <v>2</v>
      </c>
      <c r="V256" t="s">
        <v>541</v>
      </c>
      <c r="W256" t="s">
        <v>221</v>
      </c>
      <c r="X256">
        <v>23</v>
      </c>
      <c r="Y256">
        <v>11</v>
      </c>
      <c r="Z256" t="s">
        <v>1048</v>
      </c>
      <c r="AA256" t="s">
        <v>1049</v>
      </c>
      <c r="AB256" t="s">
        <v>526</v>
      </c>
      <c r="AC256" t="s">
        <v>527</v>
      </c>
      <c r="AD256" t="s">
        <v>528</v>
      </c>
      <c r="AE256" t="s">
        <v>1044</v>
      </c>
      <c r="AG256" t="s">
        <v>1050</v>
      </c>
      <c r="AH256">
        <v>70</v>
      </c>
      <c r="AI256">
        <v>226</v>
      </c>
      <c r="AJ256">
        <v>18</v>
      </c>
      <c r="AK256">
        <v>1001</v>
      </c>
      <c r="AL256">
        <v>1.22</v>
      </c>
    </row>
    <row r="257" spans="1:38" x14ac:dyDescent="0.3">
      <c r="A257" t="s">
        <v>1039</v>
      </c>
      <c r="B257">
        <v>110199</v>
      </c>
      <c r="C257">
        <v>6</v>
      </c>
      <c r="D257" t="s">
        <v>1046</v>
      </c>
      <c r="E257" t="s">
        <v>1047</v>
      </c>
      <c r="F257">
        <v>821</v>
      </c>
      <c r="G257">
        <v>40.880000000000003</v>
      </c>
      <c r="H257">
        <v>135.16</v>
      </c>
      <c r="I257">
        <v>31.39</v>
      </c>
      <c r="J257">
        <v>103.79</v>
      </c>
      <c r="K257">
        <v>70</v>
      </c>
      <c r="T257">
        <v>4</v>
      </c>
      <c r="U257">
        <v>2</v>
      </c>
      <c r="V257" t="s">
        <v>541</v>
      </c>
      <c r="W257">
        <v>135</v>
      </c>
      <c r="X257">
        <v>23</v>
      </c>
      <c r="Y257">
        <v>11</v>
      </c>
      <c r="Z257" t="s">
        <v>1048</v>
      </c>
      <c r="AA257" t="s">
        <v>1049</v>
      </c>
      <c r="AB257" t="s">
        <v>526</v>
      </c>
      <c r="AC257" t="s">
        <v>527</v>
      </c>
      <c r="AD257" t="s">
        <v>528</v>
      </c>
      <c r="AE257" t="s">
        <v>1044</v>
      </c>
      <c r="AG257" t="s">
        <v>1050</v>
      </c>
      <c r="AH257">
        <v>70</v>
      </c>
      <c r="AI257">
        <v>226</v>
      </c>
      <c r="AJ257">
        <v>18</v>
      </c>
      <c r="AK257">
        <v>1001</v>
      </c>
      <c r="AL257">
        <v>1.22</v>
      </c>
    </row>
    <row r="258" spans="1:38" x14ac:dyDescent="0.3">
      <c r="A258" t="s">
        <v>1039</v>
      </c>
      <c r="B258">
        <v>15075</v>
      </c>
      <c r="C258">
        <v>1</v>
      </c>
      <c r="D258" t="s">
        <v>1051</v>
      </c>
      <c r="E258" t="s">
        <v>1052</v>
      </c>
      <c r="F258">
        <v>302</v>
      </c>
      <c r="G258">
        <v>31.11</v>
      </c>
      <c r="H258">
        <v>102.87</v>
      </c>
      <c r="I258">
        <v>25.69</v>
      </c>
      <c r="J258">
        <v>84.94</v>
      </c>
      <c r="K258">
        <v>302</v>
      </c>
      <c r="T258">
        <v>3</v>
      </c>
      <c r="U258">
        <v>2</v>
      </c>
      <c r="V258" t="s">
        <v>541</v>
      </c>
      <c r="W258">
        <v>102</v>
      </c>
      <c r="X258">
        <v>15</v>
      </c>
      <c r="Y258">
        <v>11</v>
      </c>
      <c r="Z258" t="s">
        <v>1053</v>
      </c>
      <c r="AA258" t="s">
        <v>1054</v>
      </c>
      <c r="AB258" t="s">
        <v>526</v>
      </c>
      <c r="AC258" t="s">
        <v>527</v>
      </c>
      <c r="AD258" t="s">
        <v>528</v>
      </c>
      <c r="AE258" t="s">
        <v>1044</v>
      </c>
      <c r="AG258" t="s">
        <v>1055</v>
      </c>
      <c r="AH258">
        <v>0</v>
      </c>
      <c r="AI258">
        <v>0</v>
      </c>
      <c r="AJ258">
        <v>0</v>
      </c>
      <c r="AK258">
        <v>0</v>
      </c>
      <c r="AL258">
        <v>0</v>
      </c>
    </row>
    <row r="259" spans="1:38" x14ac:dyDescent="0.3">
      <c r="A259" t="s">
        <v>1056</v>
      </c>
      <c r="B259">
        <v>110064</v>
      </c>
      <c r="C259">
        <v>1</v>
      </c>
      <c r="D259" t="s">
        <v>1057</v>
      </c>
      <c r="E259" t="s">
        <v>1058</v>
      </c>
      <c r="F259">
        <v>446</v>
      </c>
      <c r="G259">
        <v>19.36</v>
      </c>
      <c r="H259">
        <v>64.03</v>
      </c>
      <c r="I259">
        <v>14.63</v>
      </c>
      <c r="J259">
        <v>48.38</v>
      </c>
      <c r="K259">
        <v>56</v>
      </c>
      <c r="T259">
        <v>2</v>
      </c>
      <c r="U259">
        <v>1</v>
      </c>
      <c r="V259" t="s">
        <v>541</v>
      </c>
      <c r="W259">
        <v>64</v>
      </c>
      <c r="X259">
        <v>9</v>
      </c>
      <c r="Y259">
        <v>7</v>
      </c>
      <c r="Z259" t="s">
        <v>1059</v>
      </c>
      <c r="AA259" t="s">
        <v>1060</v>
      </c>
      <c r="AB259" t="s">
        <v>526</v>
      </c>
      <c r="AC259" t="s">
        <v>527</v>
      </c>
      <c r="AD259" t="s">
        <v>528</v>
      </c>
      <c r="AE259" t="s">
        <v>1061</v>
      </c>
      <c r="AG259" t="s">
        <v>1062</v>
      </c>
      <c r="AH259">
        <v>0</v>
      </c>
      <c r="AI259">
        <v>78</v>
      </c>
      <c r="AJ259">
        <v>13</v>
      </c>
      <c r="AK259">
        <v>556</v>
      </c>
      <c r="AL259">
        <v>1.25</v>
      </c>
    </row>
    <row r="260" spans="1:38" x14ac:dyDescent="0.3">
      <c r="A260" t="s">
        <v>1056</v>
      </c>
      <c r="B260">
        <v>110064</v>
      </c>
      <c r="C260">
        <v>2</v>
      </c>
      <c r="D260" t="s">
        <v>1057</v>
      </c>
      <c r="E260" t="s">
        <v>1058</v>
      </c>
      <c r="F260">
        <v>446</v>
      </c>
      <c r="G260">
        <v>27.67</v>
      </c>
      <c r="H260">
        <v>91.5</v>
      </c>
      <c r="I260">
        <v>21.23</v>
      </c>
      <c r="J260">
        <v>70.2</v>
      </c>
      <c r="K260">
        <v>84</v>
      </c>
      <c r="T260">
        <v>3</v>
      </c>
      <c r="U260">
        <v>2</v>
      </c>
      <c r="V260" t="s">
        <v>541</v>
      </c>
      <c r="W260">
        <v>91</v>
      </c>
      <c r="X260">
        <v>9</v>
      </c>
      <c r="Y260">
        <v>7</v>
      </c>
      <c r="Z260" t="s">
        <v>1059</v>
      </c>
      <c r="AA260" t="s">
        <v>1060</v>
      </c>
      <c r="AB260" t="s">
        <v>526</v>
      </c>
      <c r="AC260" t="s">
        <v>527</v>
      </c>
      <c r="AD260" t="s">
        <v>528</v>
      </c>
      <c r="AE260" t="s">
        <v>1061</v>
      </c>
      <c r="AG260" t="s">
        <v>1062</v>
      </c>
      <c r="AH260">
        <v>0</v>
      </c>
      <c r="AI260">
        <v>78</v>
      </c>
      <c r="AJ260">
        <v>13</v>
      </c>
      <c r="AK260">
        <v>556</v>
      </c>
      <c r="AL260">
        <v>1.25</v>
      </c>
    </row>
    <row r="261" spans="1:38" x14ac:dyDescent="0.3">
      <c r="A261" t="s">
        <v>1056</v>
      </c>
      <c r="B261">
        <v>110064</v>
      </c>
      <c r="C261">
        <v>3</v>
      </c>
      <c r="D261" t="s">
        <v>1057</v>
      </c>
      <c r="E261" t="s">
        <v>1058</v>
      </c>
      <c r="F261">
        <v>446</v>
      </c>
      <c r="G261">
        <v>31.27</v>
      </c>
      <c r="H261">
        <v>103.38</v>
      </c>
      <c r="I261">
        <v>25.63</v>
      </c>
      <c r="J261">
        <v>84.73</v>
      </c>
      <c r="K261">
        <v>90</v>
      </c>
      <c r="T261">
        <v>3</v>
      </c>
      <c r="U261">
        <v>2</v>
      </c>
      <c r="V261" t="s">
        <v>541</v>
      </c>
      <c r="W261" t="s">
        <v>226</v>
      </c>
      <c r="X261">
        <v>9</v>
      </c>
      <c r="Y261">
        <v>7</v>
      </c>
      <c r="Z261" t="s">
        <v>1059</v>
      </c>
      <c r="AA261" t="s">
        <v>1060</v>
      </c>
      <c r="AB261" t="s">
        <v>526</v>
      </c>
      <c r="AC261" t="s">
        <v>527</v>
      </c>
      <c r="AD261" t="s">
        <v>528</v>
      </c>
      <c r="AE261" t="s">
        <v>1061</v>
      </c>
      <c r="AG261" t="s">
        <v>1062</v>
      </c>
      <c r="AH261">
        <v>0</v>
      </c>
      <c r="AI261">
        <v>78</v>
      </c>
      <c r="AJ261">
        <v>13</v>
      </c>
      <c r="AK261">
        <v>556</v>
      </c>
      <c r="AL261">
        <v>1.25</v>
      </c>
    </row>
    <row r="262" spans="1:38" x14ac:dyDescent="0.3">
      <c r="A262" t="s">
        <v>1056</v>
      </c>
      <c r="B262">
        <v>110064</v>
      </c>
      <c r="C262">
        <v>4</v>
      </c>
      <c r="D262" t="s">
        <v>1057</v>
      </c>
      <c r="E262" t="s">
        <v>1058</v>
      </c>
      <c r="F262">
        <v>446</v>
      </c>
      <c r="G262">
        <v>31.36</v>
      </c>
      <c r="H262">
        <v>103.69</v>
      </c>
      <c r="I262">
        <v>25.66</v>
      </c>
      <c r="J262">
        <v>84.85</v>
      </c>
      <c r="K262">
        <v>90</v>
      </c>
      <c r="T262">
        <v>3</v>
      </c>
      <c r="U262">
        <v>2</v>
      </c>
      <c r="V262" t="s">
        <v>541</v>
      </c>
      <c r="W262" t="s">
        <v>227</v>
      </c>
      <c r="X262">
        <v>9</v>
      </c>
      <c r="Y262">
        <v>7</v>
      </c>
      <c r="Z262" t="s">
        <v>1059</v>
      </c>
      <c r="AA262" t="s">
        <v>1060</v>
      </c>
      <c r="AB262" t="s">
        <v>526</v>
      </c>
      <c r="AC262" t="s">
        <v>527</v>
      </c>
      <c r="AD262" t="s">
        <v>528</v>
      </c>
      <c r="AE262" t="s">
        <v>1061</v>
      </c>
      <c r="AG262" t="s">
        <v>1062</v>
      </c>
      <c r="AH262">
        <v>0</v>
      </c>
      <c r="AI262">
        <v>78</v>
      </c>
      <c r="AJ262">
        <v>13</v>
      </c>
      <c r="AK262">
        <v>556</v>
      </c>
      <c r="AL262">
        <v>1.25</v>
      </c>
    </row>
    <row r="263" spans="1:38" x14ac:dyDescent="0.3">
      <c r="A263" t="s">
        <v>1056</v>
      </c>
      <c r="B263">
        <v>110064</v>
      </c>
      <c r="C263">
        <v>5</v>
      </c>
      <c r="D263" t="s">
        <v>1057</v>
      </c>
      <c r="E263" t="s">
        <v>1058</v>
      </c>
      <c r="F263">
        <v>446</v>
      </c>
      <c r="G263">
        <v>32.81</v>
      </c>
      <c r="H263">
        <v>108.47</v>
      </c>
      <c r="I263">
        <v>25.65</v>
      </c>
      <c r="J263">
        <v>84.82</v>
      </c>
      <c r="K263">
        <v>126</v>
      </c>
      <c r="T263">
        <v>3</v>
      </c>
      <c r="U263">
        <v>2</v>
      </c>
      <c r="V263" t="s">
        <v>541</v>
      </c>
      <c r="W263">
        <v>108</v>
      </c>
      <c r="X263">
        <v>9</v>
      </c>
      <c r="Y263">
        <v>7</v>
      </c>
      <c r="Z263" t="s">
        <v>1059</v>
      </c>
      <c r="AA263" t="s">
        <v>1060</v>
      </c>
      <c r="AB263" t="s">
        <v>526</v>
      </c>
      <c r="AC263" t="s">
        <v>527</v>
      </c>
      <c r="AD263" t="s">
        <v>528</v>
      </c>
      <c r="AE263" t="s">
        <v>1061</v>
      </c>
      <c r="AG263" t="s">
        <v>1062</v>
      </c>
      <c r="AH263">
        <v>0</v>
      </c>
      <c r="AI263">
        <v>78</v>
      </c>
      <c r="AJ263">
        <v>13</v>
      </c>
      <c r="AK263">
        <v>556</v>
      </c>
      <c r="AL263">
        <v>1.25</v>
      </c>
    </row>
    <row r="264" spans="1:38" x14ac:dyDescent="0.3">
      <c r="A264" t="s">
        <v>1063</v>
      </c>
      <c r="B264">
        <v>5636</v>
      </c>
      <c r="C264">
        <v>1</v>
      </c>
      <c r="D264" t="s">
        <v>1064</v>
      </c>
      <c r="E264" t="s">
        <v>996</v>
      </c>
      <c r="F264">
        <v>164</v>
      </c>
      <c r="G264">
        <v>23.57</v>
      </c>
      <c r="H264">
        <v>77.92</v>
      </c>
      <c r="I264">
        <v>18.12</v>
      </c>
      <c r="J264">
        <v>59.92</v>
      </c>
      <c r="K264">
        <v>20</v>
      </c>
      <c r="T264">
        <v>3</v>
      </c>
      <c r="U264">
        <v>1</v>
      </c>
      <c r="V264" t="s">
        <v>541</v>
      </c>
      <c r="W264">
        <v>77</v>
      </c>
      <c r="X264">
        <v>12</v>
      </c>
      <c r="Y264">
        <v>8</v>
      </c>
      <c r="Z264" t="s">
        <v>1065</v>
      </c>
      <c r="AA264" t="s">
        <v>1066</v>
      </c>
      <c r="AB264" t="s">
        <v>526</v>
      </c>
      <c r="AC264" t="s">
        <v>527</v>
      </c>
      <c r="AD264" t="s">
        <v>528</v>
      </c>
      <c r="AE264" t="s">
        <v>1067</v>
      </c>
      <c r="AG264" t="s">
        <v>1068</v>
      </c>
      <c r="AH264">
        <v>0</v>
      </c>
      <c r="AI264">
        <v>200</v>
      </c>
      <c r="AJ264">
        <v>22</v>
      </c>
      <c r="AK264">
        <v>182</v>
      </c>
      <c r="AL264">
        <v>1.1100000000000001</v>
      </c>
    </row>
    <row r="265" spans="1:38" x14ac:dyDescent="0.3">
      <c r="A265" t="s">
        <v>1063</v>
      </c>
      <c r="B265">
        <v>5636</v>
      </c>
      <c r="C265">
        <v>2</v>
      </c>
      <c r="D265" t="s">
        <v>1064</v>
      </c>
      <c r="E265" t="s">
        <v>996</v>
      </c>
      <c r="F265">
        <v>164</v>
      </c>
      <c r="G265">
        <v>31.72</v>
      </c>
      <c r="H265">
        <v>104.88</v>
      </c>
      <c r="I265">
        <v>25.7</v>
      </c>
      <c r="J265">
        <v>84.97</v>
      </c>
      <c r="K265">
        <v>108</v>
      </c>
      <c r="T265">
        <v>3</v>
      </c>
      <c r="U265">
        <v>2</v>
      </c>
      <c r="V265" t="s">
        <v>541</v>
      </c>
      <c r="W265">
        <v>104</v>
      </c>
      <c r="X265">
        <v>12</v>
      </c>
      <c r="Y265">
        <v>8</v>
      </c>
      <c r="Z265" t="s">
        <v>1065</v>
      </c>
      <c r="AA265" t="s">
        <v>1066</v>
      </c>
      <c r="AB265" t="s">
        <v>526</v>
      </c>
      <c r="AC265" t="s">
        <v>527</v>
      </c>
      <c r="AD265" t="s">
        <v>528</v>
      </c>
      <c r="AE265" t="s">
        <v>1067</v>
      </c>
      <c r="AG265" t="s">
        <v>1068</v>
      </c>
      <c r="AH265">
        <v>0</v>
      </c>
      <c r="AI265">
        <v>200</v>
      </c>
      <c r="AJ265">
        <v>22</v>
      </c>
      <c r="AK265">
        <v>182</v>
      </c>
      <c r="AL265">
        <v>1.1100000000000001</v>
      </c>
    </row>
    <row r="266" spans="1:38" x14ac:dyDescent="0.3">
      <c r="A266" t="s">
        <v>1063</v>
      </c>
      <c r="B266">
        <v>5636</v>
      </c>
      <c r="C266">
        <v>3</v>
      </c>
      <c r="D266" t="s">
        <v>1064</v>
      </c>
      <c r="E266" t="s">
        <v>996</v>
      </c>
      <c r="F266">
        <v>164</v>
      </c>
      <c r="G266">
        <v>49.07</v>
      </c>
      <c r="H266">
        <v>162.24</v>
      </c>
      <c r="I266">
        <v>41.82</v>
      </c>
      <c r="J266">
        <v>138.27000000000001</v>
      </c>
      <c r="K266">
        <v>36</v>
      </c>
      <c r="T266">
        <v>4</v>
      </c>
      <c r="U266">
        <v>2</v>
      </c>
      <c r="V266" t="s">
        <v>541</v>
      </c>
      <c r="W266">
        <v>162</v>
      </c>
      <c r="X266">
        <v>12</v>
      </c>
      <c r="Y266">
        <v>8</v>
      </c>
      <c r="Z266" t="s">
        <v>1065</v>
      </c>
      <c r="AA266" t="s">
        <v>1066</v>
      </c>
      <c r="AB266" t="s">
        <v>526</v>
      </c>
      <c r="AC266" t="s">
        <v>527</v>
      </c>
      <c r="AD266" t="s">
        <v>528</v>
      </c>
      <c r="AE266" t="s">
        <v>1067</v>
      </c>
      <c r="AG266" t="s">
        <v>1068</v>
      </c>
      <c r="AH266">
        <v>0</v>
      </c>
      <c r="AI266">
        <v>200</v>
      </c>
      <c r="AJ266">
        <v>22</v>
      </c>
      <c r="AK266">
        <v>182</v>
      </c>
      <c r="AL266">
        <v>1.1100000000000001</v>
      </c>
    </row>
    <row r="267" spans="1:38" x14ac:dyDescent="0.3">
      <c r="A267" t="s">
        <v>1063</v>
      </c>
      <c r="B267">
        <v>15076</v>
      </c>
      <c r="C267">
        <v>1</v>
      </c>
      <c r="D267" t="s">
        <v>1069</v>
      </c>
      <c r="E267" t="s">
        <v>1070</v>
      </c>
      <c r="F267">
        <v>230</v>
      </c>
      <c r="G267">
        <v>25.73</v>
      </c>
      <c r="H267">
        <v>85.07</v>
      </c>
      <c r="I267">
        <v>18.13</v>
      </c>
      <c r="J267">
        <v>59.94</v>
      </c>
      <c r="K267">
        <v>230</v>
      </c>
      <c r="T267">
        <v>3</v>
      </c>
      <c r="U267">
        <v>1</v>
      </c>
      <c r="V267" t="s">
        <v>523</v>
      </c>
      <c r="W267">
        <v>85</v>
      </c>
      <c r="X267">
        <v>15</v>
      </c>
      <c r="Y267">
        <v>7</v>
      </c>
      <c r="Z267" t="s">
        <v>1071</v>
      </c>
      <c r="AA267" t="s">
        <v>1072</v>
      </c>
      <c r="AB267" t="s">
        <v>526</v>
      </c>
      <c r="AC267" t="s">
        <v>527</v>
      </c>
      <c r="AD267" t="s">
        <v>528</v>
      </c>
      <c r="AE267" t="s">
        <v>1067</v>
      </c>
      <c r="AG267" t="s">
        <v>1073</v>
      </c>
      <c r="AH267">
        <v>0</v>
      </c>
      <c r="AI267">
        <v>0</v>
      </c>
      <c r="AJ267">
        <v>0</v>
      </c>
      <c r="AK267">
        <v>110</v>
      </c>
      <c r="AL267">
        <v>0.48</v>
      </c>
    </row>
    <row r="268" spans="1:38" x14ac:dyDescent="0.3">
      <c r="A268" t="s">
        <v>1063</v>
      </c>
      <c r="B268">
        <v>116041</v>
      </c>
      <c r="C268">
        <v>1</v>
      </c>
      <c r="D268" t="s">
        <v>1074</v>
      </c>
      <c r="E268" t="s">
        <v>958</v>
      </c>
      <c r="F268">
        <v>60</v>
      </c>
      <c r="G268">
        <v>29.8</v>
      </c>
      <c r="H268">
        <v>98.52</v>
      </c>
      <c r="I268">
        <v>22.28</v>
      </c>
      <c r="J268">
        <v>73.66</v>
      </c>
      <c r="K268">
        <v>1</v>
      </c>
      <c r="T268">
        <v>3</v>
      </c>
      <c r="U268">
        <v>2</v>
      </c>
      <c r="V268" t="s">
        <v>541</v>
      </c>
      <c r="W268">
        <v>98</v>
      </c>
      <c r="X268">
        <v>10</v>
      </c>
      <c r="Y268">
        <v>10</v>
      </c>
      <c r="Z268" t="s">
        <v>1075</v>
      </c>
      <c r="AA268" t="s">
        <v>1076</v>
      </c>
      <c r="AB268" t="s">
        <v>526</v>
      </c>
      <c r="AC268" t="s">
        <v>527</v>
      </c>
      <c r="AD268" t="s">
        <v>528</v>
      </c>
      <c r="AE268" t="s">
        <v>1067</v>
      </c>
      <c r="AG268" t="s">
        <v>1077</v>
      </c>
      <c r="AH268">
        <v>0</v>
      </c>
      <c r="AI268">
        <v>157</v>
      </c>
      <c r="AJ268">
        <v>18</v>
      </c>
      <c r="AK268">
        <v>60</v>
      </c>
      <c r="AL268">
        <v>1</v>
      </c>
    </row>
    <row r="269" spans="1:38" x14ac:dyDescent="0.3">
      <c r="A269" t="s">
        <v>1063</v>
      </c>
      <c r="B269">
        <v>116041</v>
      </c>
      <c r="C269">
        <v>2</v>
      </c>
      <c r="D269" t="s">
        <v>1074</v>
      </c>
      <c r="E269" t="s">
        <v>958</v>
      </c>
      <c r="F269">
        <v>60</v>
      </c>
      <c r="G269">
        <v>33.86</v>
      </c>
      <c r="H269">
        <v>111.94</v>
      </c>
      <c r="I269">
        <v>25.38</v>
      </c>
      <c r="J269">
        <v>83.92</v>
      </c>
      <c r="K269">
        <v>1</v>
      </c>
      <c r="T269">
        <v>3</v>
      </c>
      <c r="U269">
        <v>2</v>
      </c>
      <c r="V269" t="s">
        <v>541</v>
      </c>
      <c r="W269" t="s">
        <v>220</v>
      </c>
      <c r="X269">
        <v>10</v>
      </c>
      <c r="Y269">
        <v>10</v>
      </c>
      <c r="Z269" t="s">
        <v>1075</v>
      </c>
      <c r="AA269" t="s">
        <v>1076</v>
      </c>
      <c r="AB269" t="s">
        <v>526</v>
      </c>
      <c r="AC269" t="s">
        <v>527</v>
      </c>
      <c r="AD269" t="s">
        <v>528</v>
      </c>
      <c r="AE269" t="s">
        <v>1067</v>
      </c>
      <c r="AG269" t="s">
        <v>1077</v>
      </c>
      <c r="AH269">
        <v>0</v>
      </c>
      <c r="AI269">
        <v>157</v>
      </c>
      <c r="AJ269">
        <v>18</v>
      </c>
      <c r="AK269">
        <v>60</v>
      </c>
      <c r="AL269">
        <v>1</v>
      </c>
    </row>
    <row r="270" spans="1:38" x14ac:dyDescent="0.3">
      <c r="A270" t="s">
        <v>1063</v>
      </c>
      <c r="B270">
        <v>116041</v>
      </c>
      <c r="C270">
        <v>3</v>
      </c>
      <c r="D270" t="s">
        <v>1074</v>
      </c>
      <c r="E270" t="s">
        <v>958</v>
      </c>
      <c r="F270">
        <v>60</v>
      </c>
      <c r="G270">
        <v>34.119999999999997</v>
      </c>
      <c r="H270">
        <v>112.81</v>
      </c>
      <c r="I270">
        <v>25.67</v>
      </c>
      <c r="J270">
        <v>84.86</v>
      </c>
      <c r="K270">
        <v>58</v>
      </c>
      <c r="T270">
        <v>3</v>
      </c>
      <c r="U270">
        <v>2</v>
      </c>
      <c r="V270" t="s">
        <v>541</v>
      </c>
      <c r="W270" t="s">
        <v>249</v>
      </c>
      <c r="X270">
        <v>10</v>
      </c>
      <c r="Y270">
        <v>10</v>
      </c>
      <c r="Z270" t="s">
        <v>1075</v>
      </c>
      <c r="AA270" t="s">
        <v>1076</v>
      </c>
      <c r="AB270" t="s">
        <v>526</v>
      </c>
      <c r="AC270" t="s">
        <v>527</v>
      </c>
      <c r="AD270" t="s">
        <v>528</v>
      </c>
      <c r="AE270" t="s">
        <v>1067</v>
      </c>
      <c r="AG270" t="s">
        <v>1077</v>
      </c>
      <c r="AH270">
        <v>0</v>
      </c>
      <c r="AI270">
        <v>157</v>
      </c>
      <c r="AJ270">
        <v>18</v>
      </c>
      <c r="AK270">
        <v>60</v>
      </c>
      <c r="AL270">
        <v>1</v>
      </c>
    </row>
    <row r="271" spans="1:38" x14ac:dyDescent="0.3">
      <c r="A271" t="s">
        <v>1063</v>
      </c>
      <c r="B271">
        <v>5619</v>
      </c>
      <c r="C271">
        <v>1</v>
      </c>
      <c r="D271" t="s">
        <v>1078</v>
      </c>
      <c r="E271" t="s">
        <v>866</v>
      </c>
      <c r="F271">
        <v>440</v>
      </c>
      <c r="G271">
        <v>23.08</v>
      </c>
      <c r="H271">
        <v>76.33</v>
      </c>
      <c r="I271">
        <v>18.149999999999999</v>
      </c>
      <c r="J271">
        <v>60</v>
      </c>
      <c r="K271">
        <v>178</v>
      </c>
      <c r="T271">
        <v>3</v>
      </c>
      <c r="U271">
        <v>1</v>
      </c>
      <c r="V271" t="s">
        <v>523</v>
      </c>
      <c r="W271">
        <v>76</v>
      </c>
      <c r="X271">
        <v>11</v>
      </c>
      <c r="Y271">
        <v>7</v>
      </c>
      <c r="Z271" t="s">
        <v>1079</v>
      </c>
      <c r="AA271" t="s">
        <v>1080</v>
      </c>
      <c r="AB271" t="s">
        <v>526</v>
      </c>
      <c r="AC271" t="s">
        <v>527</v>
      </c>
      <c r="AD271" t="s">
        <v>528</v>
      </c>
      <c r="AE271" t="s">
        <v>1067</v>
      </c>
      <c r="AG271" t="s">
        <v>1081</v>
      </c>
      <c r="AH271">
        <v>0</v>
      </c>
      <c r="AI271">
        <v>0</v>
      </c>
      <c r="AJ271">
        <v>0</v>
      </c>
      <c r="AK271">
        <v>0</v>
      </c>
      <c r="AL271">
        <v>0</v>
      </c>
    </row>
    <row r="272" spans="1:38" x14ac:dyDescent="0.3">
      <c r="A272" t="s">
        <v>1063</v>
      </c>
      <c r="B272">
        <v>5619</v>
      </c>
      <c r="C272">
        <v>2</v>
      </c>
      <c r="D272" t="s">
        <v>1078</v>
      </c>
      <c r="E272" t="s">
        <v>866</v>
      </c>
      <c r="F272">
        <v>440</v>
      </c>
      <c r="G272">
        <v>32.78</v>
      </c>
      <c r="H272">
        <v>108.39</v>
      </c>
      <c r="I272">
        <v>25.69</v>
      </c>
      <c r="J272">
        <v>84.93</v>
      </c>
      <c r="K272">
        <v>172</v>
      </c>
      <c r="T272">
        <v>3</v>
      </c>
      <c r="U272">
        <v>2</v>
      </c>
      <c r="V272" t="s">
        <v>541</v>
      </c>
      <c r="W272">
        <v>108</v>
      </c>
      <c r="X272">
        <v>11</v>
      </c>
      <c r="Y272">
        <v>7</v>
      </c>
      <c r="Z272" t="s">
        <v>1079</v>
      </c>
      <c r="AA272" t="s">
        <v>1080</v>
      </c>
      <c r="AB272" t="s">
        <v>526</v>
      </c>
      <c r="AC272" t="s">
        <v>527</v>
      </c>
      <c r="AD272" t="s">
        <v>528</v>
      </c>
      <c r="AE272" t="s">
        <v>1067</v>
      </c>
      <c r="AG272" t="s">
        <v>1081</v>
      </c>
      <c r="AH272">
        <v>0</v>
      </c>
      <c r="AI272">
        <v>0</v>
      </c>
      <c r="AJ272">
        <v>0</v>
      </c>
      <c r="AK272">
        <v>0</v>
      </c>
      <c r="AL272">
        <v>0</v>
      </c>
    </row>
    <row r="273" spans="1:38" x14ac:dyDescent="0.3">
      <c r="A273" t="s">
        <v>1063</v>
      </c>
      <c r="B273">
        <v>5619</v>
      </c>
      <c r="C273">
        <v>3</v>
      </c>
      <c r="D273" t="s">
        <v>1078</v>
      </c>
      <c r="E273" t="s">
        <v>866</v>
      </c>
      <c r="F273">
        <v>440</v>
      </c>
      <c r="G273">
        <v>47.68</v>
      </c>
      <c r="H273">
        <v>157.63999999999999</v>
      </c>
      <c r="I273">
        <v>39.24</v>
      </c>
      <c r="J273">
        <v>129.74</v>
      </c>
      <c r="K273">
        <v>72</v>
      </c>
      <c r="T273">
        <v>4</v>
      </c>
      <c r="U273">
        <v>2</v>
      </c>
      <c r="V273" t="s">
        <v>541</v>
      </c>
      <c r="W273">
        <v>157</v>
      </c>
      <c r="X273">
        <v>11</v>
      </c>
      <c r="Y273">
        <v>7</v>
      </c>
      <c r="Z273" t="s">
        <v>1079</v>
      </c>
      <c r="AA273" t="s">
        <v>1080</v>
      </c>
      <c r="AB273" t="s">
        <v>526</v>
      </c>
      <c r="AC273" t="s">
        <v>527</v>
      </c>
      <c r="AD273" t="s">
        <v>528</v>
      </c>
      <c r="AE273" t="s">
        <v>1067</v>
      </c>
      <c r="AG273" t="s">
        <v>1081</v>
      </c>
      <c r="AH273">
        <v>0</v>
      </c>
      <c r="AI273">
        <v>0</v>
      </c>
      <c r="AJ273">
        <v>0</v>
      </c>
      <c r="AK273">
        <v>0</v>
      </c>
      <c r="AL273">
        <v>0</v>
      </c>
    </row>
    <row r="274" spans="1:38" x14ac:dyDescent="0.3">
      <c r="A274" t="s">
        <v>1063</v>
      </c>
      <c r="B274">
        <v>5619</v>
      </c>
      <c r="C274">
        <v>4</v>
      </c>
      <c r="D274" t="s">
        <v>1078</v>
      </c>
      <c r="E274" t="s">
        <v>866</v>
      </c>
      <c r="F274">
        <v>440</v>
      </c>
      <c r="G274">
        <v>61.07</v>
      </c>
      <c r="H274">
        <v>201.91</v>
      </c>
      <c r="I274">
        <v>49.82</v>
      </c>
      <c r="J274">
        <v>164.7</v>
      </c>
      <c r="K274">
        <v>18</v>
      </c>
      <c r="T274">
        <v>5</v>
      </c>
      <c r="U274">
        <v>2</v>
      </c>
      <c r="V274" t="s">
        <v>541</v>
      </c>
      <c r="W274">
        <v>201</v>
      </c>
      <c r="X274">
        <v>11</v>
      </c>
      <c r="Y274">
        <v>7</v>
      </c>
      <c r="Z274" t="s">
        <v>1079</v>
      </c>
      <c r="AA274" t="s">
        <v>1080</v>
      </c>
      <c r="AB274" t="s">
        <v>526</v>
      </c>
      <c r="AC274" t="s">
        <v>527</v>
      </c>
      <c r="AD274" t="s">
        <v>528</v>
      </c>
      <c r="AE274" t="s">
        <v>1067</v>
      </c>
      <c r="AG274" t="s">
        <v>1081</v>
      </c>
      <c r="AH274">
        <v>0</v>
      </c>
      <c r="AI274">
        <v>0</v>
      </c>
      <c r="AJ274">
        <v>0</v>
      </c>
      <c r="AK274">
        <v>0</v>
      </c>
      <c r="AL274">
        <v>0</v>
      </c>
    </row>
    <row r="275" spans="1:38" x14ac:dyDescent="0.3">
      <c r="A275" t="s">
        <v>1063</v>
      </c>
      <c r="B275">
        <v>5613</v>
      </c>
      <c r="C275">
        <v>1</v>
      </c>
      <c r="D275" t="s">
        <v>1082</v>
      </c>
      <c r="E275" t="s">
        <v>1083</v>
      </c>
      <c r="F275">
        <v>258</v>
      </c>
      <c r="G275">
        <v>20.85</v>
      </c>
      <c r="H275">
        <v>68.95</v>
      </c>
      <c r="I275">
        <v>14.3</v>
      </c>
      <c r="J275">
        <v>47.28</v>
      </c>
      <c r="K275">
        <v>87</v>
      </c>
      <c r="T275">
        <v>2</v>
      </c>
      <c r="U275">
        <v>1</v>
      </c>
      <c r="V275" t="s">
        <v>523</v>
      </c>
      <c r="W275">
        <v>68</v>
      </c>
      <c r="X275">
        <v>19</v>
      </c>
      <c r="Y275">
        <v>7</v>
      </c>
      <c r="Z275" t="s">
        <v>1084</v>
      </c>
      <c r="AA275" t="s">
        <v>1085</v>
      </c>
      <c r="AB275" t="s">
        <v>526</v>
      </c>
      <c r="AC275" t="s">
        <v>527</v>
      </c>
      <c r="AD275" t="s">
        <v>528</v>
      </c>
      <c r="AE275" t="s">
        <v>1067</v>
      </c>
      <c r="AG275" t="s">
        <v>1086</v>
      </c>
      <c r="AH275">
        <v>0</v>
      </c>
      <c r="AI275">
        <v>231</v>
      </c>
      <c r="AJ275">
        <v>15</v>
      </c>
      <c r="AK275">
        <v>204</v>
      </c>
      <c r="AL275">
        <v>0.79</v>
      </c>
    </row>
    <row r="276" spans="1:38" x14ac:dyDescent="0.3">
      <c r="A276" t="s">
        <v>1063</v>
      </c>
      <c r="B276">
        <v>5613</v>
      </c>
      <c r="C276">
        <v>2</v>
      </c>
      <c r="D276" t="s">
        <v>1082</v>
      </c>
      <c r="E276" t="s">
        <v>1083</v>
      </c>
      <c r="F276">
        <v>258</v>
      </c>
      <c r="G276">
        <v>22.93</v>
      </c>
      <c r="H276">
        <v>75.819999999999993</v>
      </c>
      <c r="I276">
        <v>15.72</v>
      </c>
      <c r="J276">
        <v>51.99</v>
      </c>
      <c r="K276">
        <v>19</v>
      </c>
      <c r="T276">
        <v>2</v>
      </c>
      <c r="U276">
        <v>1</v>
      </c>
      <c r="V276" t="s">
        <v>523</v>
      </c>
      <c r="W276">
        <v>75</v>
      </c>
      <c r="X276">
        <v>19</v>
      </c>
      <c r="Y276">
        <v>7</v>
      </c>
      <c r="Z276" t="s">
        <v>1084</v>
      </c>
      <c r="AA276" t="s">
        <v>1085</v>
      </c>
      <c r="AB276" t="s">
        <v>526</v>
      </c>
      <c r="AC276" t="s">
        <v>527</v>
      </c>
      <c r="AD276" t="s">
        <v>528</v>
      </c>
      <c r="AE276" t="s">
        <v>1067</v>
      </c>
      <c r="AG276" t="s">
        <v>1086</v>
      </c>
      <c r="AH276">
        <v>0</v>
      </c>
      <c r="AI276">
        <v>231</v>
      </c>
      <c r="AJ276">
        <v>15</v>
      </c>
      <c r="AK276">
        <v>204</v>
      </c>
      <c r="AL276">
        <v>0.79</v>
      </c>
    </row>
    <row r="277" spans="1:38" x14ac:dyDescent="0.3">
      <c r="A277" t="s">
        <v>1063</v>
      </c>
      <c r="B277">
        <v>5613</v>
      </c>
      <c r="C277">
        <v>3</v>
      </c>
      <c r="D277" t="s">
        <v>1082</v>
      </c>
      <c r="E277" t="s">
        <v>1083</v>
      </c>
      <c r="F277">
        <v>258</v>
      </c>
      <c r="G277">
        <v>28.32</v>
      </c>
      <c r="H277">
        <v>93.64</v>
      </c>
      <c r="I277">
        <v>23.52</v>
      </c>
      <c r="J277">
        <v>77.760000000000005</v>
      </c>
      <c r="K277">
        <v>38</v>
      </c>
      <c r="T277">
        <v>3</v>
      </c>
      <c r="U277">
        <v>1</v>
      </c>
      <c r="V277" t="s">
        <v>523</v>
      </c>
      <c r="W277">
        <v>93</v>
      </c>
      <c r="X277">
        <v>19</v>
      </c>
      <c r="Y277">
        <v>7</v>
      </c>
      <c r="Z277" t="s">
        <v>1084</v>
      </c>
      <c r="AA277" t="s">
        <v>1085</v>
      </c>
      <c r="AB277" t="s">
        <v>526</v>
      </c>
      <c r="AC277" t="s">
        <v>527</v>
      </c>
      <c r="AD277" t="s">
        <v>528</v>
      </c>
      <c r="AE277" t="s">
        <v>1067</v>
      </c>
      <c r="AG277" t="s">
        <v>1086</v>
      </c>
      <c r="AH277">
        <v>0</v>
      </c>
      <c r="AI277">
        <v>231</v>
      </c>
      <c r="AJ277">
        <v>15</v>
      </c>
      <c r="AK277">
        <v>204</v>
      </c>
      <c r="AL277">
        <v>0.79</v>
      </c>
    </row>
    <row r="278" spans="1:38" x14ac:dyDescent="0.3">
      <c r="A278" t="s">
        <v>1063</v>
      </c>
      <c r="B278">
        <v>5613</v>
      </c>
      <c r="C278">
        <v>4</v>
      </c>
      <c r="D278" t="s">
        <v>1082</v>
      </c>
      <c r="E278" t="s">
        <v>1083</v>
      </c>
      <c r="F278">
        <v>258</v>
      </c>
      <c r="G278">
        <v>30.92</v>
      </c>
      <c r="H278">
        <v>102.24</v>
      </c>
      <c r="I278">
        <v>25.68</v>
      </c>
      <c r="J278">
        <v>84.91</v>
      </c>
      <c r="K278">
        <v>38</v>
      </c>
      <c r="T278">
        <v>3</v>
      </c>
      <c r="U278">
        <v>2</v>
      </c>
      <c r="V278" t="s">
        <v>523</v>
      </c>
      <c r="W278">
        <v>102</v>
      </c>
      <c r="X278">
        <v>19</v>
      </c>
      <c r="Y278">
        <v>7</v>
      </c>
      <c r="Z278" t="s">
        <v>1084</v>
      </c>
      <c r="AA278" t="s">
        <v>1085</v>
      </c>
      <c r="AB278" t="s">
        <v>526</v>
      </c>
      <c r="AC278" t="s">
        <v>527</v>
      </c>
      <c r="AD278" t="s">
        <v>528</v>
      </c>
      <c r="AE278" t="s">
        <v>1067</v>
      </c>
      <c r="AG278" t="s">
        <v>1086</v>
      </c>
      <c r="AH278">
        <v>0</v>
      </c>
      <c r="AI278">
        <v>231</v>
      </c>
      <c r="AJ278">
        <v>15</v>
      </c>
      <c r="AK278">
        <v>204</v>
      </c>
      <c r="AL278">
        <v>0.79</v>
      </c>
    </row>
    <row r="279" spans="1:38" x14ac:dyDescent="0.3">
      <c r="A279" t="s">
        <v>1063</v>
      </c>
      <c r="B279">
        <v>5613</v>
      </c>
      <c r="C279">
        <v>5</v>
      </c>
      <c r="D279" t="s">
        <v>1082</v>
      </c>
      <c r="E279" t="s">
        <v>1083</v>
      </c>
      <c r="F279">
        <v>258</v>
      </c>
      <c r="G279">
        <v>42.31</v>
      </c>
      <c r="H279">
        <v>139.88999999999999</v>
      </c>
      <c r="I279">
        <v>36.22</v>
      </c>
      <c r="J279">
        <v>119.76</v>
      </c>
      <c r="K279">
        <v>76</v>
      </c>
      <c r="T279">
        <v>4</v>
      </c>
      <c r="U279">
        <v>2</v>
      </c>
      <c r="V279" t="s">
        <v>541</v>
      </c>
      <c r="W279">
        <v>139</v>
      </c>
      <c r="X279">
        <v>19</v>
      </c>
      <c r="Y279">
        <v>7</v>
      </c>
      <c r="Z279" t="s">
        <v>1084</v>
      </c>
      <c r="AA279" t="s">
        <v>1085</v>
      </c>
      <c r="AB279" t="s">
        <v>526</v>
      </c>
      <c r="AC279" t="s">
        <v>527</v>
      </c>
      <c r="AD279" t="s">
        <v>528</v>
      </c>
      <c r="AE279" t="s">
        <v>1067</v>
      </c>
      <c r="AG279" t="s">
        <v>1086</v>
      </c>
      <c r="AH279">
        <v>0</v>
      </c>
      <c r="AI279">
        <v>231</v>
      </c>
      <c r="AJ279">
        <v>15</v>
      </c>
      <c r="AK279">
        <v>204</v>
      </c>
      <c r="AL279">
        <v>0.79</v>
      </c>
    </row>
    <row r="280" spans="1:38" x14ac:dyDescent="0.3">
      <c r="A280" t="s">
        <v>1063</v>
      </c>
      <c r="B280">
        <v>104612</v>
      </c>
      <c r="C280">
        <v>1</v>
      </c>
      <c r="D280" t="s">
        <v>1087</v>
      </c>
      <c r="E280" t="s">
        <v>1088</v>
      </c>
      <c r="F280">
        <v>155</v>
      </c>
      <c r="G280">
        <v>31.35</v>
      </c>
      <c r="H280">
        <v>103.64</v>
      </c>
      <c r="I280">
        <v>24.42</v>
      </c>
      <c r="J280">
        <v>80.73</v>
      </c>
      <c r="K280">
        <v>40</v>
      </c>
      <c r="T280">
        <v>3</v>
      </c>
      <c r="U280">
        <v>2</v>
      </c>
      <c r="V280" t="s">
        <v>541</v>
      </c>
      <c r="W280">
        <v>103</v>
      </c>
      <c r="X280">
        <v>10</v>
      </c>
      <c r="Y280">
        <v>10</v>
      </c>
      <c r="Z280" t="s">
        <v>1089</v>
      </c>
      <c r="AA280" t="s">
        <v>1090</v>
      </c>
      <c r="AB280" t="s">
        <v>526</v>
      </c>
      <c r="AC280" t="s">
        <v>527</v>
      </c>
      <c r="AD280" t="s">
        <v>528</v>
      </c>
      <c r="AE280" t="s">
        <v>1067</v>
      </c>
      <c r="AG280" t="s">
        <v>1091</v>
      </c>
      <c r="AH280">
        <v>0</v>
      </c>
      <c r="AI280">
        <v>192</v>
      </c>
      <c r="AJ280">
        <v>27</v>
      </c>
      <c r="AK280">
        <v>164</v>
      </c>
      <c r="AL280">
        <v>1.06</v>
      </c>
    </row>
    <row r="281" spans="1:38" x14ac:dyDescent="0.3">
      <c r="A281" t="s">
        <v>1063</v>
      </c>
      <c r="B281">
        <v>104612</v>
      </c>
      <c r="C281">
        <v>2</v>
      </c>
      <c r="D281" t="s">
        <v>1087</v>
      </c>
      <c r="E281" t="s">
        <v>1088</v>
      </c>
      <c r="F281">
        <v>155</v>
      </c>
      <c r="G281">
        <v>32.950000000000003</v>
      </c>
      <c r="H281">
        <v>108.93</v>
      </c>
      <c r="I281">
        <v>25.69</v>
      </c>
      <c r="J281">
        <v>84.94</v>
      </c>
      <c r="K281">
        <v>115</v>
      </c>
      <c r="T281">
        <v>3</v>
      </c>
      <c r="U281">
        <v>2</v>
      </c>
      <c r="V281" t="s">
        <v>541</v>
      </c>
      <c r="W281">
        <v>108</v>
      </c>
      <c r="X281">
        <v>10</v>
      </c>
      <c r="Y281">
        <v>10</v>
      </c>
      <c r="Z281" t="s">
        <v>1089</v>
      </c>
      <c r="AA281" t="s">
        <v>1090</v>
      </c>
      <c r="AB281" t="s">
        <v>526</v>
      </c>
      <c r="AC281" t="s">
        <v>527</v>
      </c>
      <c r="AD281" t="s">
        <v>528</v>
      </c>
      <c r="AE281" t="s">
        <v>1067</v>
      </c>
      <c r="AG281" t="s">
        <v>1091</v>
      </c>
      <c r="AH281">
        <v>0</v>
      </c>
      <c r="AI281">
        <v>192</v>
      </c>
      <c r="AJ281">
        <v>27</v>
      </c>
      <c r="AK281">
        <v>164</v>
      </c>
      <c r="AL281">
        <v>1.06</v>
      </c>
    </row>
    <row r="282" spans="1:38" x14ac:dyDescent="0.3">
      <c r="A282" t="s">
        <v>1063</v>
      </c>
      <c r="B282">
        <v>106216</v>
      </c>
      <c r="C282">
        <v>1</v>
      </c>
      <c r="D282" t="s">
        <v>1092</v>
      </c>
      <c r="E282" t="s">
        <v>1093</v>
      </c>
      <c r="F282">
        <v>32</v>
      </c>
      <c r="G282">
        <v>24.2</v>
      </c>
      <c r="H282">
        <v>80.010000000000005</v>
      </c>
      <c r="I282">
        <v>18.91</v>
      </c>
      <c r="J282">
        <v>62.52</v>
      </c>
      <c r="K282">
        <v>1</v>
      </c>
      <c r="T282">
        <v>3</v>
      </c>
      <c r="U282">
        <v>2</v>
      </c>
      <c r="V282" t="s">
        <v>541</v>
      </c>
      <c r="W282">
        <v>80</v>
      </c>
      <c r="X282">
        <v>9</v>
      </c>
      <c r="Y282">
        <v>7</v>
      </c>
      <c r="Z282" t="s">
        <v>1094</v>
      </c>
      <c r="AA282" t="s">
        <v>1095</v>
      </c>
      <c r="AB282" t="s">
        <v>526</v>
      </c>
      <c r="AC282" t="s">
        <v>527</v>
      </c>
      <c r="AD282" t="s">
        <v>528</v>
      </c>
      <c r="AE282" t="s">
        <v>1067</v>
      </c>
      <c r="AG282" t="s">
        <v>1096</v>
      </c>
      <c r="AH282">
        <v>0</v>
      </c>
      <c r="AI282">
        <v>203</v>
      </c>
      <c r="AJ282">
        <v>31</v>
      </c>
      <c r="AK282">
        <v>32</v>
      </c>
      <c r="AL282">
        <v>1</v>
      </c>
    </row>
    <row r="283" spans="1:38" x14ac:dyDescent="0.3">
      <c r="A283" t="s">
        <v>1063</v>
      </c>
      <c r="B283">
        <v>106216</v>
      </c>
      <c r="C283">
        <v>2</v>
      </c>
      <c r="D283" t="s">
        <v>1092</v>
      </c>
      <c r="E283" t="s">
        <v>1093</v>
      </c>
      <c r="F283">
        <v>32</v>
      </c>
      <c r="G283">
        <v>27.92</v>
      </c>
      <c r="H283">
        <v>92.32</v>
      </c>
      <c r="I283">
        <v>21.97</v>
      </c>
      <c r="J283">
        <v>72.63</v>
      </c>
      <c r="K283">
        <v>2</v>
      </c>
      <c r="T283">
        <v>3</v>
      </c>
      <c r="U283">
        <v>2</v>
      </c>
      <c r="V283" t="s">
        <v>541</v>
      </c>
      <c r="W283">
        <v>92</v>
      </c>
      <c r="X283">
        <v>9</v>
      </c>
      <c r="Y283">
        <v>7</v>
      </c>
      <c r="Z283" t="s">
        <v>1094</v>
      </c>
      <c r="AA283" t="s">
        <v>1095</v>
      </c>
      <c r="AB283" t="s">
        <v>526</v>
      </c>
      <c r="AC283" t="s">
        <v>527</v>
      </c>
      <c r="AD283" t="s">
        <v>528</v>
      </c>
      <c r="AE283" t="s">
        <v>1067</v>
      </c>
      <c r="AG283" t="s">
        <v>1096</v>
      </c>
      <c r="AH283">
        <v>0</v>
      </c>
      <c r="AI283">
        <v>203</v>
      </c>
      <c r="AJ283">
        <v>31</v>
      </c>
      <c r="AK283">
        <v>32</v>
      </c>
      <c r="AL283">
        <v>1</v>
      </c>
    </row>
    <row r="284" spans="1:38" x14ac:dyDescent="0.3">
      <c r="A284" t="s">
        <v>1063</v>
      </c>
      <c r="B284">
        <v>106216</v>
      </c>
      <c r="C284">
        <v>3</v>
      </c>
      <c r="D284" t="s">
        <v>1092</v>
      </c>
      <c r="E284" t="s">
        <v>1093</v>
      </c>
      <c r="F284">
        <v>32</v>
      </c>
      <c r="G284">
        <v>28.74</v>
      </c>
      <c r="H284">
        <v>95.04</v>
      </c>
      <c r="I284">
        <v>22.57</v>
      </c>
      <c r="J284">
        <v>74.64</v>
      </c>
      <c r="K284">
        <v>8</v>
      </c>
      <c r="T284">
        <v>3</v>
      </c>
      <c r="U284">
        <v>2</v>
      </c>
      <c r="V284" t="s">
        <v>541</v>
      </c>
      <c r="W284" t="s">
        <v>217</v>
      </c>
      <c r="X284">
        <v>9</v>
      </c>
      <c r="Y284">
        <v>7</v>
      </c>
      <c r="Z284" t="s">
        <v>1094</v>
      </c>
      <c r="AA284" t="s">
        <v>1095</v>
      </c>
      <c r="AB284" t="s">
        <v>526</v>
      </c>
      <c r="AC284" t="s">
        <v>527</v>
      </c>
      <c r="AD284" t="s">
        <v>528</v>
      </c>
      <c r="AE284" t="s">
        <v>1067</v>
      </c>
      <c r="AG284" t="s">
        <v>1096</v>
      </c>
      <c r="AH284">
        <v>0</v>
      </c>
      <c r="AI284">
        <v>203</v>
      </c>
      <c r="AJ284">
        <v>31</v>
      </c>
      <c r="AK284">
        <v>32</v>
      </c>
      <c r="AL284">
        <v>1</v>
      </c>
    </row>
    <row r="285" spans="1:38" x14ac:dyDescent="0.3">
      <c r="A285" t="s">
        <v>1063</v>
      </c>
      <c r="B285">
        <v>106216</v>
      </c>
      <c r="C285">
        <v>4</v>
      </c>
      <c r="D285" t="s">
        <v>1092</v>
      </c>
      <c r="E285" t="s">
        <v>1093</v>
      </c>
      <c r="F285">
        <v>32</v>
      </c>
      <c r="G285">
        <v>29.07</v>
      </c>
      <c r="H285">
        <v>96.13</v>
      </c>
      <c r="I285">
        <v>22.85</v>
      </c>
      <c r="J285">
        <v>75.540000000000006</v>
      </c>
      <c r="K285">
        <v>9</v>
      </c>
      <c r="T285">
        <v>3</v>
      </c>
      <c r="U285">
        <v>2</v>
      </c>
      <c r="V285" t="s">
        <v>541</v>
      </c>
      <c r="W285" t="s">
        <v>848</v>
      </c>
      <c r="X285">
        <v>9</v>
      </c>
      <c r="Y285">
        <v>7</v>
      </c>
      <c r="Z285" t="s">
        <v>1094</v>
      </c>
      <c r="AA285" t="s">
        <v>1095</v>
      </c>
      <c r="AB285" t="s">
        <v>526</v>
      </c>
      <c r="AC285" t="s">
        <v>527</v>
      </c>
      <c r="AD285" t="s">
        <v>528</v>
      </c>
      <c r="AE285" t="s">
        <v>1067</v>
      </c>
      <c r="AG285" t="s">
        <v>1096</v>
      </c>
      <c r="AH285">
        <v>0</v>
      </c>
      <c r="AI285">
        <v>203</v>
      </c>
      <c r="AJ285">
        <v>31</v>
      </c>
      <c r="AK285">
        <v>32</v>
      </c>
      <c r="AL285">
        <v>1</v>
      </c>
    </row>
    <row r="286" spans="1:38" x14ac:dyDescent="0.3">
      <c r="A286" t="s">
        <v>1063</v>
      </c>
      <c r="B286">
        <v>106216</v>
      </c>
      <c r="C286">
        <v>5</v>
      </c>
      <c r="D286" t="s">
        <v>1092</v>
      </c>
      <c r="E286" t="s">
        <v>1093</v>
      </c>
      <c r="F286">
        <v>32</v>
      </c>
      <c r="G286">
        <v>29.54</v>
      </c>
      <c r="H286">
        <v>97.68</v>
      </c>
      <c r="I286">
        <v>23.17</v>
      </c>
      <c r="J286">
        <v>76.62</v>
      </c>
      <c r="K286">
        <v>10</v>
      </c>
      <c r="T286">
        <v>3</v>
      </c>
      <c r="U286">
        <v>2</v>
      </c>
      <c r="V286" t="s">
        <v>541</v>
      </c>
      <c r="W286">
        <v>97</v>
      </c>
      <c r="X286">
        <v>9</v>
      </c>
      <c r="Y286">
        <v>7</v>
      </c>
      <c r="Z286" t="s">
        <v>1094</v>
      </c>
      <c r="AA286" t="s">
        <v>1095</v>
      </c>
      <c r="AB286" t="s">
        <v>526</v>
      </c>
      <c r="AC286" t="s">
        <v>527</v>
      </c>
      <c r="AD286" t="s">
        <v>528</v>
      </c>
      <c r="AE286" t="s">
        <v>1067</v>
      </c>
      <c r="AG286" t="s">
        <v>1096</v>
      </c>
      <c r="AH286">
        <v>0</v>
      </c>
      <c r="AI286">
        <v>203</v>
      </c>
      <c r="AJ286">
        <v>31</v>
      </c>
      <c r="AK286">
        <v>32</v>
      </c>
      <c r="AL286">
        <v>1</v>
      </c>
    </row>
    <row r="287" spans="1:38" x14ac:dyDescent="0.3">
      <c r="A287" t="s">
        <v>1063</v>
      </c>
      <c r="B287">
        <v>106216</v>
      </c>
      <c r="C287">
        <v>6</v>
      </c>
      <c r="D287" t="s">
        <v>1092</v>
      </c>
      <c r="E287" t="s">
        <v>1093</v>
      </c>
      <c r="F287">
        <v>32</v>
      </c>
      <c r="G287">
        <v>31.08</v>
      </c>
      <c r="H287">
        <v>102.75</v>
      </c>
      <c r="I287">
        <v>23.84</v>
      </c>
      <c r="J287">
        <v>78.81</v>
      </c>
      <c r="K287">
        <v>2</v>
      </c>
      <c r="T287">
        <v>3</v>
      </c>
      <c r="U287">
        <v>2</v>
      </c>
      <c r="V287" t="s">
        <v>541</v>
      </c>
      <c r="W287">
        <v>102</v>
      </c>
      <c r="X287">
        <v>9</v>
      </c>
      <c r="Y287">
        <v>7</v>
      </c>
      <c r="Z287" t="s">
        <v>1094</v>
      </c>
      <c r="AA287" t="s">
        <v>1095</v>
      </c>
      <c r="AB287" t="s">
        <v>526</v>
      </c>
      <c r="AC287" t="s">
        <v>527</v>
      </c>
      <c r="AD287" t="s">
        <v>528</v>
      </c>
      <c r="AE287" t="s">
        <v>1067</v>
      </c>
      <c r="AG287" t="s">
        <v>1096</v>
      </c>
      <c r="AH287">
        <v>0</v>
      </c>
      <c r="AI287">
        <v>203</v>
      </c>
      <c r="AJ287">
        <v>31</v>
      </c>
      <c r="AK287">
        <v>32</v>
      </c>
      <c r="AL287">
        <v>1</v>
      </c>
    </row>
    <row r="288" spans="1:38" x14ac:dyDescent="0.3">
      <c r="A288" t="s">
        <v>1063</v>
      </c>
      <c r="B288">
        <v>17100</v>
      </c>
      <c r="C288">
        <v>1</v>
      </c>
      <c r="D288" t="s">
        <v>1097</v>
      </c>
      <c r="E288" t="s">
        <v>1083</v>
      </c>
      <c r="F288">
        <v>121</v>
      </c>
      <c r="G288">
        <v>23.09</v>
      </c>
      <c r="H288">
        <v>76.34</v>
      </c>
      <c r="I288">
        <v>18.100000000000001</v>
      </c>
      <c r="J288">
        <v>59.85</v>
      </c>
      <c r="K288">
        <v>61</v>
      </c>
      <c r="T288">
        <v>3</v>
      </c>
      <c r="U288">
        <v>1</v>
      </c>
      <c r="V288" t="s">
        <v>541</v>
      </c>
      <c r="W288">
        <v>76</v>
      </c>
      <c r="X288">
        <v>18</v>
      </c>
      <c r="Y288">
        <v>6</v>
      </c>
      <c r="Z288" t="s">
        <v>1098</v>
      </c>
      <c r="AA288" t="s">
        <v>1099</v>
      </c>
      <c r="AB288" t="s">
        <v>526</v>
      </c>
      <c r="AC288" t="s">
        <v>527</v>
      </c>
      <c r="AD288" t="s">
        <v>528</v>
      </c>
      <c r="AE288" t="s">
        <v>1067</v>
      </c>
      <c r="AG288" t="s">
        <v>1100</v>
      </c>
      <c r="AH288">
        <v>0</v>
      </c>
      <c r="AI288">
        <v>226</v>
      </c>
      <c r="AJ288">
        <v>19</v>
      </c>
      <c r="AK288">
        <v>115</v>
      </c>
      <c r="AL288">
        <v>0.95</v>
      </c>
    </row>
    <row r="289" spans="1:38" x14ac:dyDescent="0.3">
      <c r="A289" t="s">
        <v>1063</v>
      </c>
      <c r="B289">
        <v>17100</v>
      </c>
      <c r="C289">
        <v>2</v>
      </c>
      <c r="D289" t="s">
        <v>1097</v>
      </c>
      <c r="E289" t="s">
        <v>1083</v>
      </c>
      <c r="F289">
        <v>121</v>
      </c>
      <c r="G289">
        <v>32.590000000000003</v>
      </c>
      <c r="H289">
        <v>107.74</v>
      </c>
      <c r="I289">
        <v>25.54</v>
      </c>
      <c r="J289">
        <v>84.46</v>
      </c>
      <c r="K289">
        <v>52</v>
      </c>
      <c r="T289">
        <v>3</v>
      </c>
      <c r="U289">
        <v>2</v>
      </c>
      <c r="V289" t="s">
        <v>541</v>
      </c>
      <c r="W289" t="s">
        <v>348</v>
      </c>
      <c r="X289">
        <v>18</v>
      </c>
      <c r="Y289">
        <v>6</v>
      </c>
      <c r="Z289" t="s">
        <v>1098</v>
      </c>
      <c r="AA289" t="s">
        <v>1099</v>
      </c>
      <c r="AB289" t="s">
        <v>526</v>
      </c>
      <c r="AC289" t="s">
        <v>527</v>
      </c>
      <c r="AD289" t="s">
        <v>528</v>
      </c>
      <c r="AE289" t="s">
        <v>1067</v>
      </c>
      <c r="AG289" t="s">
        <v>1100</v>
      </c>
      <c r="AH289">
        <v>0</v>
      </c>
      <c r="AI289">
        <v>226</v>
      </c>
      <c r="AJ289">
        <v>19</v>
      </c>
      <c r="AK289">
        <v>115</v>
      </c>
      <c r="AL289">
        <v>0.95</v>
      </c>
    </row>
    <row r="290" spans="1:38" x14ac:dyDescent="0.3">
      <c r="A290" t="s">
        <v>1063</v>
      </c>
      <c r="B290">
        <v>17100</v>
      </c>
      <c r="C290">
        <v>3</v>
      </c>
      <c r="D290" t="s">
        <v>1097</v>
      </c>
      <c r="E290" t="s">
        <v>1083</v>
      </c>
      <c r="F290">
        <v>121</v>
      </c>
      <c r="G290">
        <v>32.64</v>
      </c>
      <c r="H290">
        <v>107.92</v>
      </c>
      <c r="I290">
        <v>25.59</v>
      </c>
      <c r="J290">
        <v>84.6</v>
      </c>
      <c r="K290">
        <v>8</v>
      </c>
      <c r="T290">
        <v>3</v>
      </c>
      <c r="U290">
        <v>2</v>
      </c>
      <c r="V290" t="s">
        <v>541</v>
      </c>
      <c r="W290" t="s">
        <v>1101</v>
      </c>
      <c r="X290">
        <v>18</v>
      </c>
      <c r="Y290">
        <v>6</v>
      </c>
      <c r="Z290" t="s">
        <v>1098</v>
      </c>
      <c r="AA290" t="s">
        <v>1099</v>
      </c>
      <c r="AB290" t="s">
        <v>526</v>
      </c>
      <c r="AC290" t="s">
        <v>527</v>
      </c>
      <c r="AD290" t="s">
        <v>528</v>
      </c>
      <c r="AE290" t="s">
        <v>1067</v>
      </c>
      <c r="AG290" t="s">
        <v>1100</v>
      </c>
      <c r="AH290">
        <v>0</v>
      </c>
      <c r="AI290">
        <v>226</v>
      </c>
      <c r="AJ290">
        <v>19</v>
      </c>
      <c r="AK290">
        <v>115</v>
      </c>
      <c r="AL290">
        <v>0.95</v>
      </c>
    </row>
    <row r="291" spans="1:38" x14ac:dyDescent="0.3">
      <c r="A291" t="s">
        <v>1063</v>
      </c>
      <c r="B291">
        <v>15078</v>
      </c>
      <c r="C291">
        <v>1</v>
      </c>
      <c r="D291" t="s">
        <v>1102</v>
      </c>
      <c r="E291" t="s">
        <v>1103</v>
      </c>
      <c r="F291">
        <v>323</v>
      </c>
      <c r="G291">
        <v>26.27</v>
      </c>
      <c r="H291">
        <v>86.87</v>
      </c>
      <c r="I291">
        <v>18.12</v>
      </c>
      <c r="J291">
        <v>59.92</v>
      </c>
      <c r="K291">
        <v>38</v>
      </c>
      <c r="T291">
        <v>3</v>
      </c>
      <c r="U291">
        <v>1</v>
      </c>
      <c r="V291" t="s">
        <v>541</v>
      </c>
      <c r="W291">
        <v>86</v>
      </c>
      <c r="X291">
        <v>19</v>
      </c>
      <c r="Y291">
        <v>16</v>
      </c>
      <c r="Z291" t="s">
        <v>1104</v>
      </c>
      <c r="AA291" t="s">
        <v>1105</v>
      </c>
      <c r="AB291" t="s">
        <v>526</v>
      </c>
      <c r="AC291" t="s">
        <v>527</v>
      </c>
      <c r="AD291" t="s">
        <v>528</v>
      </c>
      <c r="AE291" t="s">
        <v>1067</v>
      </c>
      <c r="AG291" t="s">
        <v>1106</v>
      </c>
      <c r="AH291">
        <v>0</v>
      </c>
      <c r="AI291">
        <v>225</v>
      </c>
      <c r="AJ291">
        <v>14</v>
      </c>
      <c r="AK291">
        <v>353</v>
      </c>
      <c r="AL291">
        <v>1.0900000000000001</v>
      </c>
    </row>
    <row r="292" spans="1:38" x14ac:dyDescent="0.3">
      <c r="A292" t="s">
        <v>1063</v>
      </c>
      <c r="B292">
        <v>15078</v>
      </c>
      <c r="C292">
        <v>2</v>
      </c>
      <c r="D292" t="s">
        <v>1102</v>
      </c>
      <c r="E292" t="s">
        <v>1103</v>
      </c>
      <c r="F292">
        <v>323</v>
      </c>
      <c r="G292">
        <v>35.299999999999997</v>
      </c>
      <c r="H292">
        <v>116.7</v>
      </c>
      <c r="I292">
        <v>25.7</v>
      </c>
      <c r="J292">
        <v>84.97</v>
      </c>
      <c r="K292">
        <v>202</v>
      </c>
      <c r="T292">
        <v>3</v>
      </c>
      <c r="U292">
        <v>2</v>
      </c>
      <c r="V292" t="s">
        <v>541</v>
      </c>
      <c r="W292">
        <v>116</v>
      </c>
      <c r="X292">
        <v>19</v>
      </c>
      <c r="Y292">
        <v>16</v>
      </c>
      <c r="Z292" t="s">
        <v>1104</v>
      </c>
      <c r="AA292" t="s">
        <v>1105</v>
      </c>
      <c r="AB292" t="s">
        <v>526</v>
      </c>
      <c r="AC292" t="s">
        <v>527</v>
      </c>
      <c r="AD292" t="s">
        <v>528</v>
      </c>
      <c r="AE292" t="s">
        <v>1067</v>
      </c>
      <c r="AG292" t="s">
        <v>1106</v>
      </c>
      <c r="AH292">
        <v>0</v>
      </c>
      <c r="AI292">
        <v>225</v>
      </c>
      <c r="AJ292">
        <v>14</v>
      </c>
      <c r="AK292">
        <v>353</v>
      </c>
      <c r="AL292">
        <v>1.0900000000000001</v>
      </c>
    </row>
    <row r="293" spans="1:38" x14ac:dyDescent="0.3">
      <c r="A293" t="s">
        <v>1063</v>
      </c>
      <c r="B293">
        <v>15078</v>
      </c>
      <c r="C293">
        <v>3</v>
      </c>
      <c r="D293" t="s">
        <v>1102</v>
      </c>
      <c r="E293" t="s">
        <v>1103</v>
      </c>
      <c r="F293">
        <v>323</v>
      </c>
      <c r="G293">
        <v>45.75</v>
      </c>
      <c r="H293">
        <v>151.27000000000001</v>
      </c>
      <c r="I293">
        <v>34.479999999999997</v>
      </c>
      <c r="J293">
        <v>114</v>
      </c>
      <c r="K293">
        <v>51</v>
      </c>
      <c r="T293">
        <v>4</v>
      </c>
      <c r="U293">
        <v>2</v>
      </c>
      <c r="V293" t="s">
        <v>541</v>
      </c>
      <c r="W293">
        <v>151</v>
      </c>
      <c r="X293">
        <v>19</v>
      </c>
      <c r="Y293">
        <v>16</v>
      </c>
      <c r="Z293" t="s">
        <v>1104</v>
      </c>
      <c r="AA293" t="s">
        <v>1105</v>
      </c>
      <c r="AB293" t="s">
        <v>526</v>
      </c>
      <c r="AC293" t="s">
        <v>527</v>
      </c>
      <c r="AD293" t="s">
        <v>528</v>
      </c>
      <c r="AE293" t="s">
        <v>1067</v>
      </c>
      <c r="AG293" t="s">
        <v>1106</v>
      </c>
      <c r="AH293">
        <v>0</v>
      </c>
      <c r="AI293">
        <v>225</v>
      </c>
      <c r="AJ293">
        <v>14</v>
      </c>
      <c r="AK293">
        <v>353</v>
      </c>
      <c r="AL293">
        <v>1.0900000000000001</v>
      </c>
    </row>
    <row r="294" spans="1:38" x14ac:dyDescent="0.3">
      <c r="A294" t="s">
        <v>1063</v>
      </c>
      <c r="B294">
        <v>15078</v>
      </c>
      <c r="C294">
        <v>4</v>
      </c>
      <c r="D294" t="s">
        <v>1102</v>
      </c>
      <c r="E294" t="s">
        <v>1103</v>
      </c>
      <c r="F294">
        <v>323</v>
      </c>
      <c r="G294">
        <v>54.5</v>
      </c>
      <c r="H294">
        <v>180.17</v>
      </c>
      <c r="I294">
        <v>41.82</v>
      </c>
      <c r="J294">
        <v>138.27000000000001</v>
      </c>
      <c r="K294">
        <v>32</v>
      </c>
      <c r="T294">
        <v>4</v>
      </c>
      <c r="U294">
        <v>2</v>
      </c>
      <c r="V294" t="s">
        <v>541</v>
      </c>
      <c r="W294">
        <v>180</v>
      </c>
      <c r="X294">
        <v>19</v>
      </c>
      <c r="Y294">
        <v>16</v>
      </c>
      <c r="Z294" t="s">
        <v>1104</v>
      </c>
      <c r="AA294" t="s">
        <v>1105</v>
      </c>
      <c r="AB294" t="s">
        <v>526</v>
      </c>
      <c r="AC294" t="s">
        <v>527</v>
      </c>
      <c r="AD294" t="s">
        <v>528</v>
      </c>
      <c r="AE294" t="s">
        <v>1067</v>
      </c>
      <c r="AG294" t="s">
        <v>1106</v>
      </c>
      <c r="AH294">
        <v>0</v>
      </c>
      <c r="AI294">
        <v>225</v>
      </c>
      <c r="AJ294">
        <v>14</v>
      </c>
      <c r="AK294">
        <v>353</v>
      </c>
      <c r="AL294">
        <v>1.0900000000000001</v>
      </c>
    </row>
    <row r="295" spans="1:38" x14ac:dyDescent="0.3">
      <c r="A295" t="s">
        <v>1063</v>
      </c>
      <c r="B295">
        <v>104031</v>
      </c>
      <c r="C295">
        <v>1</v>
      </c>
      <c r="D295" t="s">
        <v>1107</v>
      </c>
      <c r="E295" t="s">
        <v>1108</v>
      </c>
      <c r="F295">
        <v>49</v>
      </c>
      <c r="G295">
        <v>18.86</v>
      </c>
      <c r="H295">
        <v>62.35</v>
      </c>
      <c r="I295">
        <v>14.01</v>
      </c>
      <c r="J295">
        <v>46.34</v>
      </c>
      <c r="K295">
        <v>1</v>
      </c>
      <c r="T295">
        <v>2</v>
      </c>
      <c r="U295">
        <v>1</v>
      </c>
      <c r="V295" t="s">
        <v>541</v>
      </c>
      <c r="W295" t="s">
        <v>1109</v>
      </c>
      <c r="X295">
        <v>9</v>
      </c>
      <c r="Y295">
        <v>6</v>
      </c>
      <c r="Z295" t="s">
        <v>1110</v>
      </c>
      <c r="AA295" t="s">
        <v>1111</v>
      </c>
      <c r="AB295" t="s">
        <v>526</v>
      </c>
      <c r="AC295" t="s">
        <v>527</v>
      </c>
      <c r="AD295" t="s">
        <v>528</v>
      </c>
      <c r="AE295" t="s">
        <v>1067</v>
      </c>
      <c r="AG295" t="s">
        <v>1112</v>
      </c>
      <c r="AH295">
        <v>0</v>
      </c>
      <c r="AI295">
        <v>209</v>
      </c>
      <c r="AJ295">
        <v>35</v>
      </c>
      <c r="AK295">
        <v>43</v>
      </c>
      <c r="AL295">
        <v>0.88</v>
      </c>
    </row>
    <row r="296" spans="1:38" x14ac:dyDescent="0.3">
      <c r="A296" t="s">
        <v>1063</v>
      </c>
      <c r="B296">
        <v>104031</v>
      </c>
      <c r="C296">
        <v>2</v>
      </c>
      <c r="D296" t="s">
        <v>1107</v>
      </c>
      <c r="E296" t="s">
        <v>1108</v>
      </c>
      <c r="F296">
        <v>49</v>
      </c>
      <c r="G296">
        <v>20.25</v>
      </c>
      <c r="H296">
        <v>66.959999999999994</v>
      </c>
      <c r="I296">
        <v>15.26</v>
      </c>
      <c r="J296">
        <v>50.46</v>
      </c>
      <c r="K296">
        <v>1</v>
      </c>
      <c r="T296">
        <v>2</v>
      </c>
      <c r="U296">
        <v>1</v>
      </c>
      <c r="V296" t="s">
        <v>541</v>
      </c>
      <c r="W296" t="s">
        <v>1113</v>
      </c>
      <c r="X296">
        <v>9</v>
      </c>
      <c r="Y296">
        <v>6</v>
      </c>
      <c r="Z296" t="s">
        <v>1110</v>
      </c>
      <c r="AA296" t="s">
        <v>1111</v>
      </c>
      <c r="AB296" t="s">
        <v>526</v>
      </c>
      <c r="AC296" t="s">
        <v>527</v>
      </c>
      <c r="AD296" t="s">
        <v>528</v>
      </c>
      <c r="AE296" t="s">
        <v>1067</v>
      </c>
      <c r="AG296" t="s">
        <v>1112</v>
      </c>
      <c r="AH296">
        <v>0</v>
      </c>
      <c r="AI296">
        <v>209</v>
      </c>
      <c r="AJ296">
        <v>35</v>
      </c>
      <c r="AK296">
        <v>43</v>
      </c>
      <c r="AL296">
        <v>0.88</v>
      </c>
    </row>
    <row r="297" spans="1:38" x14ac:dyDescent="0.3">
      <c r="A297" t="s">
        <v>1063</v>
      </c>
      <c r="B297">
        <v>104031</v>
      </c>
      <c r="C297">
        <v>3</v>
      </c>
      <c r="D297" t="s">
        <v>1107</v>
      </c>
      <c r="E297" t="s">
        <v>1108</v>
      </c>
      <c r="F297">
        <v>49</v>
      </c>
      <c r="G297">
        <v>20.6</v>
      </c>
      <c r="H297">
        <v>68.12</v>
      </c>
      <c r="I297">
        <v>15.01</v>
      </c>
      <c r="J297">
        <v>49.62</v>
      </c>
      <c r="K297">
        <v>1</v>
      </c>
      <c r="T297">
        <v>2</v>
      </c>
      <c r="U297">
        <v>1</v>
      </c>
      <c r="V297" t="s">
        <v>541</v>
      </c>
      <c r="W297" t="s">
        <v>1114</v>
      </c>
      <c r="X297">
        <v>9</v>
      </c>
      <c r="Y297">
        <v>6</v>
      </c>
      <c r="Z297" t="s">
        <v>1110</v>
      </c>
      <c r="AA297" t="s">
        <v>1111</v>
      </c>
      <c r="AB297" t="s">
        <v>526</v>
      </c>
      <c r="AC297" t="s">
        <v>527</v>
      </c>
      <c r="AD297" t="s">
        <v>528</v>
      </c>
      <c r="AE297" t="s">
        <v>1067</v>
      </c>
      <c r="AG297" t="s">
        <v>1112</v>
      </c>
      <c r="AH297">
        <v>0</v>
      </c>
      <c r="AI297">
        <v>209</v>
      </c>
      <c r="AJ297">
        <v>35</v>
      </c>
      <c r="AK297">
        <v>43</v>
      </c>
      <c r="AL297">
        <v>0.88</v>
      </c>
    </row>
    <row r="298" spans="1:38" x14ac:dyDescent="0.3">
      <c r="A298" t="s">
        <v>1063</v>
      </c>
      <c r="B298">
        <v>104031</v>
      </c>
      <c r="C298">
        <v>4</v>
      </c>
      <c r="D298" t="s">
        <v>1107</v>
      </c>
      <c r="E298" t="s">
        <v>1108</v>
      </c>
      <c r="F298">
        <v>49</v>
      </c>
      <c r="G298">
        <v>21</v>
      </c>
      <c r="H298">
        <v>69.430000000000007</v>
      </c>
      <c r="I298">
        <v>15.73</v>
      </c>
      <c r="J298">
        <v>52</v>
      </c>
      <c r="K298">
        <v>2</v>
      </c>
      <c r="T298">
        <v>2</v>
      </c>
      <c r="U298">
        <v>1</v>
      </c>
      <c r="V298" t="s">
        <v>541</v>
      </c>
      <c r="W298" t="s">
        <v>1115</v>
      </c>
      <c r="X298">
        <v>9</v>
      </c>
      <c r="Y298">
        <v>6</v>
      </c>
      <c r="Z298" t="s">
        <v>1110</v>
      </c>
      <c r="AA298" t="s">
        <v>1111</v>
      </c>
      <c r="AB298" t="s">
        <v>526</v>
      </c>
      <c r="AC298" t="s">
        <v>527</v>
      </c>
      <c r="AD298" t="s">
        <v>528</v>
      </c>
      <c r="AE298" t="s">
        <v>1067</v>
      </c>
      <c r="AG298" t="s">
        <v>1112</v>
      </c>
      <c r="AH298">
        <v>0</v>
      </c>
      <c r="AI298">
        <v>209</v>
      </c>
      <c r="AJ298">
        <v>35</v>
      </c>
      <c r="AK298">
        <v>43</v>
      </c>
      <c r="AL298">
        <v>0.88</v>
      </c>
    </row>
    <row r="299" spans="1:38" x14ac:dyDescent="0.3">
      <c r="A299" t="s">
        <v>1063</v>
      </c>
      <c r="B299">
        <v>104031</v>
      </c>
      <c r="C299">
        <v>5</v>
      </c>
      <c r="D299" t="s">
        <v>1107</v>
      </c>
      <c r="E299" t="s">
        <v>1108</v>
      </c>
      <c r="F299">
        <v>49</v>
      </c>
      <c r="G299">
        <v>21.45</v>
      </c>
      <c r="H299">
        <v>70.930000000000007</v>
      </c>
      <c r="I299">
        <v>16.16</v>
      </c>
      <c r="J299">
        <v>53.43</v>
      </c>
      <c r="K299">
        <v>5</v>
      </c>
      <c r="T299">
        <v>2</v>
      </c>
      <c r="U299">
        <v>1</v>
      </c>
      <c r="V299" t="s">
        <v>541</v>
      </c>
      <c r="W299" t="s">
        <v>1116</v>
      </c>
      <c r="X299">
        <v>9</v>
      </c>
      <c r="Y299">
        <v>6</v>
      </c>
      <c r="Z299" t="s">
        <v>1110</v>
      </c>
      <c r="AA299" t="s">
        <v>1111</v>
      </c>
      <c r="AB299" t="s">
        <v>526</v>
      </c>
      <c r="AC299" t="s">
        <v>527</v>
      </c>
      <c r="AD299" t="s">
        <v>528</v>
      </c>
      <c r="AE299" t="s">
        <v>1067</v>
      </c>
      <c r="AG299" t="s">
        <v>1112</v>
      </c>
      <c r="AH299">
        <v>0</v>
      </c>
      <c r="AI299">
        <v>209</v>
      </c>
      <c r="AJ299">
        <v>35</v>
      </c>
      <c r="AK299">
        <v>43</v>
      </c>
      <c r="AL299">
        <v>0.88</v>
      </c>
    </row>
    <row r="300" spans="1:38" x14ac:dyDescent="0.3">
      <c r="A300" t="s">
        <v>1063</v>
      </c>
      <c r="B300">
        <v>104031</v>
      </c>
      <c r="C300">
        <v>6</v>
      </c>
      <c r="D300" t="s">
        <v>1107</v>
      </c>
      <c r="E300" t="s">
        <v>1108</v>
      </c>
      <c r="F300">
        <v>49</v>
      </c>
      <c r="G300">
        <v>22.16</v>
      </c>
      <c r="H300">
        <v>73.27</v>
      </c>
      <c r="I300">
        <v>16.760000000000002</v>
      </c>
      <c r="J300">
        <v>55.41</v>
      </c>
      <c r="K300">
        <v>1</v>
      </c>
      <c r="T300">
        <v>2</v>
      </c>
      <c r="U300">
        <v>1</v>
      </c>
      <c r="V300" t="s">
        <v>541</v>
      </c>
      <c r="W300" t="s">
        <v>306</v>
      </c>
      <c r="X300">
        <v>9</v>
      </c>
      <c r="Y300">
        <v>6</v>
      </c>
      <c r="Z300" t="s">
        <v>1110</v>
      </c>
      <c r="AA300" t="s">
        <v>1111</v>
      </c>
      <c r="AB300" t="s">
        <v>526</v>
      </c>
      <c r="AC300" t="s">
        <v>527</v>
      </c>
      <c r="AD300" t="s">
        <v>528</v>
      </c>
      <c r="AE300" t="s">
        <v>1067</v>
      </c>
      <c r="AG300" t="s">
        <v>1112</v>
      </c>
      <c r="AH300">
        <v>0</v>
      </c>
      <c r="AI300">
        <v>209</v>
      </c>
      <c r="AJ300">
        <v>35</v>
      </c>
      <c r="AK300">
        <v>43</v>
      </c>
      <c r="AL300">
        <v>0.88</v>
      </c>
    </row>
    <row r="301" spans="1:38" x14ac:dyDescent="0.3">
      <c r="A301" t="s">
        <v>1063</v>
      </c>
      <c r="B301">
        <v>104031</v>
      </c>
      <c r="C301">
        <v>7</v>
      </c>
      <c r="D301" t="s">
        <v>1107</v>
      </c>
      <c r="E301" t="s">
        <v>1108</v>
      </c>
      <c r="F301">
        <v>49</v>
      </c>
      <c r="G301">
        <v>22.87</v>
      </c>
      <c r="H301">
        <v>75.63</v>
      </c>
      <c r="I301">
        <v>17.23</v>
      </c>
      <c r="J301">
        <v>56.98</v>
      </c>
      <c r="K301">
        <v>4</v>
      </c>
      <c r="T301">
        <v>2</v>
      </c>
      <c r="U301">
        <v>1</v>
      </c>
      <c r="V301" t="s">
        <v>541</v>
      </c>
      <c r="W301" t="s">
        <v>1117</v>
      </c>
      <c r="X301">
        <v>9</v>
      </c>
      <c r="Y301">
        <v>6</v>
      </c>
      <c r="Z301" t="s">
        <v>1110</v>
      </c>
      <c r="AA301" t="s">
        <v>1111</v>
      </c>
      <c r="AB301" t="s">
        <v>526</v>
      </c>
      <c r="AC301" t="s">
        <v>527</v>
      </c>
      <c r="AD301" t="s">
        <v>528</v>
      </c>
      <c r="AE301" t="s">
        <v>1067</v>
      </c>
      <c r="AG301" t="s">
        <v>1112</v>
      </c>
      <c r="AH301">
        <v>0</v>
      </c>
      <c r="AI301">
        <v>209</v>
      </c>
      <c r="AJ301">
        <v>35</v>
      </c>
      <c r="AK301">
        <v>43</v>
      </c>
      <c r="AL301">
        <v>0.88</v>
      </c>
    </row>
    <row r="302" spans="1:38" x14ac:dyDescent="0.3">
      <c r="A302" t="s">
        <v>1063</v>
      </c>
      <c r="B302">
        <v>104031</v>
      </c>
      <c r="C302">
        <v>8</v>
      </c>
      <c r="D302" t="s">
        <v>1107</v>
      </c>
      <c r="E302" t="s">
        <v>1108</v>
      </c>
      <c r="F302">
        <v>49</v>
      </c>
      <c r="G302">
        <v>22.96</v>
      </c>
      <c r="H302">
        <v>75.930000000000007</v>
      </c>
      <c r="I302">
        <v>17.39</v>
      </c>
      <c r="J302">
        <v>57.51</v>
      </c>
      <c r="K302">
        <v>1</v>
      </c>
      <c r="T302">
        <v>2</v>
      </c>
      <c r="U302">
        <v>1</v>
      </c>
      <c r="V302" t="s">
        <v>541</v>
      </c>
      <c r="W302" t="s">
        <v>100</v>
      </c>
      <c r="X302">
        <v>9</v>
      </c>
      <c r="Y302">
        <v>6</v>
      </c>
      <c r="Z302" t="s">
        <v>1110</v>
      </c>
      <c r="AA302" t="s">
        <v>1111</v>
      </c>
      <c r="AB302" t="s">
        <v>526</v>
      </c>
      <c r="AC302" t="s">
        <v>527</v>
      </c>
      <c r="AD302" t="s">
        <v>528</v>
      </c>
      <c r="AE302" t="s">
        <v>1067</v>
      </c>
      <c r="AG302" t="s">
        <v>1112</v>
      </c>
      <c r="AH302">
        <v>0</v>
      </c>
      <c r="AI302">
        <v>209</v>
      </c>
      <c r="AJ302">
        <v>35</v>
      </c>
      <c r="AK302">
        <v>43</v>
      </c>
      <c r="AL302">
        <v>0.88</v>
      </c>
    </row>
    <row r="303" spans="1:38" x14ac:dyDescent="0.3">
      <c r="A303" t="s">
        <v>1063</v>
      </c>
      <c r="B303">
        <v>104031</v>
      </c>
      <c r="C303">
        <v>9</v>
      </c>
      <c r="D303" t="s">
        <v>1107</v>
      </c>
      <c r="E303" t="s">
        <v>1108</v>
      </c>
      <c r="F303">
        <v>49</v>
      </c>
      <c r="G303">
        <v>23.09</v>
      </c>
      <c r="H303">
        <v>76.34</v>
      </c>
      <c r="I303">
        <v>17.309999999999999</v>
      </c>
      <c r="J303">
        <v>57.25</v>
      </c>
      <c r="K303">
        <v>6</v>
      </c>
      <c r="T303">
        <v>2</v>
      </c>
      <c r="U303">
        <v>1</v>
      </c>
      <c r="V303" t="s">
        <v>541</v>
      </c>
      <c r="W303" t="s">
        <v>1118</v>
      </c>
      <c r="X303">
        <v>9</v>
      </c>
      <c r="Y303">
        <v>6</v>
      </c>
      <c r="Z303" t="s">
        <v>1110</v>
      </c>
      <c r="AA303" t="s">
        <v>1111</v>
      </c>
      <c r="AB303" t="s">
        <v>526</v>
      </c>
      <c r="AC303" t="s">
        <v>527</v>
      </c>
      <c r="AD303" t="s">
        <v>528</v>
      </c>
      <c r="AE303" t="s">
        <v>1067</v>
      </c>
      <c r="AG303" t="s">
        <v>1112</v>
      </c>
      <c r="AH303">
        <v>0</v>
      </c>
      <c r="AI303">
        <v>209</v>
      </c>
      <c r="AJ303">
        <v>35</v>
      </c>
      <c r="AK303">
        <v>43</v>
      </c>
      <c r="AL303">
        <v>0.88</v>
      </c>
    </row>
    <row r="304" spans="1:38" x14ac:dyDescent="0.3">
      <c r="A304" t="s">
        <v>1063</v>
      </c>
      <c r="B304">
        <v>104031</v>
      </c>
      <c r="C304">
        <v>10</v>
      </c>
      <c r="D304" t="s">
        <v>1107</v>
      </c>
      <c r="E304" t="s">
        <v>1108</v>
      </c>
      <c r="F304">
        <v>49</v>
      </c>
      <c r="G304">
        <v>23.53</v>
      </c>
      <c r="H304">
        <v>77.8</v>
      </c>
      <c r="I304">
        <v>17.7</v>
      </c>
      <c r="J304">
        <v>58.54</v>
      </c>
      <c r="K304">
        <v>5</v>
      </c>
      <c r="T304">
        <v>2</v>
      </c>
      <c r="U304">
        <v>1</v>
      </c>
      <c r="V304" t="s">
        <v>541</v>
      </c>
      <c r="W304" t="s">
        <v>357</v>
      </c>
      <c r="X304">
        <v>9</v>
      </c>
      <c r="Y304">
        <v>6</v>
      </c>
      <c r="Z304" t="s">
        <v>1110</v>
      </c>
      <c r="AA304" t="s">
        <v>1111</v>
      </c>
      <c r="AB304" t="s">
        <v>526</v>
      </c>
      <c r="AC304" t="s">
        <v>527</v>
      </c>
      <c r="AD304" t="s">
        <v>528</v>
      </c>
      <c r="AE304" t="s">
        <v>1067</v>
      </c>
      <c r="AG304" t="s">
        <v>1112</v>
      </c>
      <c r="AH304">
        <v>0</v>
      </c>
      <c r="AI304">
        <v>209</v>
      </c>
      <c r="AJ304">
        <v>35</v>
      </c>
      <c r="AK304">
        <v>43</v>
      </c>
      <c r="AL304">
        <v>0.88</v>
      </c>
    </row>
    <row r="305" spans="1:38" x14ac:dyDescent="0.3">
      <c r="A305" t="s">
        <v>1063</v>
      </c>
      <c r="B305">
        <v>104031</v>
      </c>
      <c r="C305">
        <v>11</v>
      </c>
      <c r="D305" t="s">
        <v>1107</v>
      </c>
      <c r="E305" t="s">
        <v>1108</v>
      </c>
      <c r="F305">
        <v>49</v>
      </c>
      <c r="G305">
        <v>23.9</v>
      </c>
      <c r="H305">
        <v>79.010000000000005</v>
      </c>
      <c r="I305">
        <v>18.12</v>
      </c>
      <c r="J305">
        <v>59.91</v>
      </c>
      <c r="K305">
        <v>5</v>
      </c>
      <c r="T305">
        <v>2</v>
      </c>
      <c r="U305">
        <v>1</v>
      </c>
      <c r="V305" t="s">
        <v>541</v>
      </c>
      <c r="W305" t="s">
        <v>1119</v>
      </c>
      <c r="X305">
        <v>9</v>
      </c>
      <c r="Y305">
        <v>6</v>
      </c>
      <c r="Z305" t="s">
        <v>1110</v>
      </c>
      <c r="AA305" t="s">
        <v>1111</v>
      </c>
      <c r="AB305" t="s">
        <v>526</v>
      </c>
      <c r="AC305" t="s">
        <v>527</v>
      </c>
      <c r="AD305" t="s">
        <v>528</v>
      </c>
      <c r="AE305" t="s">
        <v>1067</v>
      </c>
      <c r="AG305" t="s">
        <v>1112</v>
      </c>
      <c r="AH305">
        <v>0</v>
      </c>
      <c r="AI305">
        <v>209</v>
      </c>
      <c r="AJ305">
        <v>35</v>
      </c>
      <c r="AK305">
        <v>43</v>
      </c>
      <c r="AL305">
        <v>0.88</v>
      </c>
    </row>
    <row r="306" spans="1:38" x14ac:dyDescent="0.3">
      <c r="A306" t="s">
        <v>1063</v>
      </c>
      <c r="B306">
        <v>104031</v>
      </c>
      <c r="C306">
        <v>12</v>
      </c>
      <c r="D306" t="s">
        <v>1107</v>
      </c>
      <c r="E306" t="s">
        <v>1108</v>
      </c>
      <c r="F306">
        <v>49</v>
      </c>
      <c r="G306">
        <v>23.9</v>
      </c>
      <c r="H306">
        <v>79.010000000000005</v>
      </c>
      <c r="I306">
        <v>18.12</v>
      </c>
      <c r="J306">
        <v>59.91</v>
      </c>
      <c r="K306">
        <v>1</v>
      </c>
      <c r="T306">
        <v>2</v>
      </c>
      <c r="U306">
        <v>1</v>
      </c>
      <c r="V306" t="s">
        <v>541</v>
      </c>
      <c r="W306" t="s">
        <v>1120</v>
      </c>
      <c r="X306">
        <v>9</v>
      </c>
      <c r="Y306">
        <v>6</v>
      </c>
      <c r="Z306" t="s">
        <v>1110</v>
      </c>
      <c r="AA306" t="s">
        <v>1111</v>
      </c>
      <c r="AB306" t="s">
        <v>526</v>
      </c>
      <c r="AC306" t="s">
        <v>527</v>
      </c>
      <c r="AD306" t="s">
        <v>528</v>
      </c>
      <c r="AE306" t="s">
        <v>1067</v>
      </c>
      <c r="AG306" t="s">
        <v>1112</v>
      </c>
      <c r="AH306">
        <v>0</v>
      </c>
      <c r="AI306">
        <v>209</v>
      </c>
      <c r="AJ306">
        <v>35</v>
      </c>
      <c r="AK306">
        <v>43</v>
      </c>
      <c r="AL306">
        <v>0.88</v>
      </c>
    </row>
    <row r="307" spans="1:38" x14ac:dyDescent="0.3">
      <c r="A307" t="s">
        <v>1063</v>
      </c>
      <c r="B307">
        <v>104031</v>
      </c>
      <c r="C307">
        <v>13</v>
      </c>
      <c r="D307" t="s">
        <v>1107</v>
      </c>
      <c r="E307" t="s">
        <v>1108</v>
      </c>
      <c r="F307">
        <v>49</v>
      </c>
      <c r="G307">
        <v>24.15</v>
      </c>
      <c r="H307">
        <v>79.86</v>
      </c>
      <c r="I307">
        <v>17.739999999999998</v>
      </c>
      <c r="J307">
        <v>58.67</v>
      </c>
      <c r="K307">
        <v>1</v>
      </c>
      <c r="T307">
        <v>2</v>
      </c>
      <c r="U307">
        <v>1</v>
      </c>
      <c r="V307" t="s">
        <v>541</v>
      </c>
      <c r="W307" t="s">
        <v>1121</v>
      </c>
      <c r="X307">
        <v>9</v>
      </c>
      <c r="Y307">
        <v>6</v>
      </c>
      <c r="Z307" t="s">
        <v>1110</v>
      </c>
      <c r="AA307" t="s">
        <v>1111</v>
      </c>
      <c r="AB307" t="s">
        <v>526</v>
      </c>
      <c r="AC307" t="s">
        <v>527</v>
      </c>
      <c r="AD307" t="s">
        <v>528</v>
      </c>
      <c r="AE307" t="s">
        <v>1067</v>
      </c>
      <c r="AG307" t="s">
        <v>1112</v>
      </c>
      <c r="AH307">
        <v>0</v>
      </c>
      <c r="AI307">
        <v>209</v>
      </c>
      <c r="AJ307">
        <v>35</v>
      </c>
      <c r="AK307">
        <v>43</v>
      </c>
      <c r="AL307">
        <v>0.88</v>
      </c>
    </row>
    <row r="308" spans="1:38" x14ac:dyDescent="0.3">
      <c r="A308" t="s">
        <v>1063</v>
      </c>
      <c r="B308">
        <v>104031</v>
      </c>
      <c r="C308">
        <v>14</v>
      </c>
      <c r="D308" t="s">
        <v>1107</v>
      </c>
      <c r="E308" t="s">
        <v>1108</v>
      </c>
      <c r="F308">
        <v>49</v>
      </c>
      <c r="G308">
        <v>24.7</v>
      </c>
      <c r="H308">
        <v>81.680000000000007</v>
      </c>
      <c r="I308">
        <v>18.579999999999998</v>
      </c>
      <c r="J308">
        <v>61.45</v>
      </c>
      <c r="K308">
        <v>1</v>
      </c>
      <c r="T308">
        <v>2</v>
      </c>
      <c r="U308">
        <v>1</v>
      </c>
      <c r="V308" t="s">
        <v>541</v>
      </c>
      <c r="W308" t="s">
        <v>1122</v>
      </c>
      <c r="X308">
        <v>9</v>
      </c>
      <c r="Y308">
        <v>6</v>
      </c>
      <c r="Z308" t="s">
        <v>1110</v>
      </c>
      <c r="AA308" t="s">
        <v>1111</v>
      </c>
      <c r="AB308" t="s">
        <v>526</v>
      </c>
      <c r="AC308" t="s">
        <v>527</v>
      </c>
      <c r="AD308" t="s">
        <v>528</v>
      </c>
      <c r="AE308" t="s">
        <v>1067</v>
      </c>
      <c r="AG308" t="s">
        <v>1112</v>
      </c>
      <c r="AH308">
        <v>0</v>
      </c>
      <c r="AI308">
        <v>209</v>
      </c>
      <c r="AJ308">
        <v>35</v>
      </c>
      <c r="AK308">
        <v>43</v>
      </c>
      <c r="AL308">
        <v>0.88</v>
      </c>
    </row>
    <row r="309" spans="1:38" x14ac:dyDescent="0.3">
      <c r="A309" t="s">
        <v>1063</v>
      </c>
      <c r="B309">
        <v>104031</v>
      </c>
      <c r="C309">
        <v>15</v>
      </c>
      <c r="D309" t="s">
        <v>1107</v>
      </c>
      <c r="E309" t="s">
        <v>1108</v>
      </c>
      <c r="F309">
        <v>49</v>
      </c>
      <c r="G309">
        <v>25.03</v>
      </c>
      <c r="H309">
        <v>82.77</v>
      </c>
      <c r="I309">
        <v>18.88</v>
      </c>
      <c r="J309">
        <v>62.42</v>
      </c>
      <c r="K309">
        <v>1</v>
      </c>
      <c r="T309">
        <v>2</v>
      </c>
      <c r="U309">
        <v>1</v>
      </c>
      <c r="V309" t="s">
        <v>541</v>
      </c>
      <c r="W309" t="s">
        <v>1123</v>
      </c>
      <c r="X309">
        <v>9</v>
      </c>
      <c r="Y309">
        <v>6</v>
      </c>
      <c r="Z309" t="s">
        <v>1110</v>
      </c>
      <c r="AA309" t="s">
        <v>1111</v>
      </c>
      <c r="AB309" t="s">
        <v>526</v>
      </c>
      <c r="AC309" t="s">
        <v>527</v>
      </c>
      <c r="AD309" t="s">
        <v>528</v>
      </c>
      <c r="AE309" t="s">
        <v>1067</v>
      </c>
      <c r="AG309" t="s">
        <v>1112</v>
      </c>
      <c r="AH309">
        <v>0</v>
      </c>
      <c r="AI309">
        <v>209</v>
      </c>
      <c r="AJ309">
        <v>35</v>
      </c>
      <c r="AK309">
        <v>43</v>
      </c>
      <c r="AL309">
        <v>0.88</v>
      </c>
    </row>
    <row r="310" spans="1:38" x14ac:dyDescent="0.3">
      <c r="A310" t="s">
        <v>1063</v>
      </c>
      <c r="B310">
        <v>104031</v>
      </c>
      <c r="C310">
        <v>16</v>
      </c>
      <c r="D310" t="s">
        <v>1107</v>
      </c>
      <c r="E310" t="s">
        <v>1108</v>
      </c>
      <c r="F310">
        <v>49</v>
      </c>
      <c r="G310">
        <v>24.86</v>
      </c>
      <c r="H310">
        <v>82.19</v>
      </c>
      <c r="I310">
        <v>18.68</v>
      </c>
      <c r="J310">
        <v>61.78</v>
      </c>
      <c r="K310">
        <v>1</v>
      </c>
      <c r="T310">
        <v>2</v>
      </c>
      <c r="U310">
        <v>1</v>
      </c>
      <c r="V310" t="s">
        <v>541</v>
      </c>
      <c r="W310" t="s">
        <v>1124</v>
      </c>
      <c r="X310">
        <v>9</v>
      </c>
      <c r="Y310">
        <v>6</v>
      </c>
      <c r="Z310" t="s">
        <v>1110</v>
      </c>
      <c r="AA310" t="s">
        <v>1111</v>
      </c>
      <c r="AB310" t="s">
        <v>526</v>
      </c>
      <c r="AC310" t="s">
        <v>527</v>
      </c>
      <c r="AD310" t="s">
        <v>528</v>
      </c>
      <c r="AE310" t="s">
        <v>1067</v>
      </c>
      <c r="AG310" t="s">
        <v>1112</v>
      </c>
      <c r="AH310">
        <v>0</v>
      </c>
      <c r="AI310">
        <v>209</v>
      </c>
      <c r="AJ310">
        <v>35</v>
      </c>
      <c r="AK310">
        <v>43</v>
      </c>
      <c r="AL310">
        <v>0.88</v>
      </c>
    </row>
    <row r="311" spans="1:38" x14ac:dyDescent="0.3">
      <c r="A311" t="s">
        <v>1063</v>
      </c>
      <c r="B311">
        <v>104031</v>
      </c>
      <c r="C311">
        <v>17</v>
      </c>
      <c r="D311" t="s">
        <v>1107</v>
      </c>
      <c r="E311" t="s">
        <v>1108</v>
      </c>
      <c r="F311">
        <v>49</v>
      </c>
      <c r="G311">
        <v>26.06</v>
      </c>
      <c r="H311">
        <v>86.18</v>
      </c>
      <c r="I311">
        <v>19.670000000000002</v>
      </c>
      <c r="J311">
        <v>65.040000000000006</v>
      </c>
      <c r="K311">
        <v>1</v>
      </c>
      <c r="T311">
        <v>3</v>
      </c>
      <c r="U311">
        <v>2</v>
      </c>
      <c r="V311" t="s">
        <v>541</v>
      </c>
      <c r="W311" t="s">
        <v>383</v>
      </c>
      <c r="X311">
        <v>9</v>
      </c>
      <c r="Y311">
        <v>6</v>
      </c>
      <c r="Z311" t="s">
        <v>1110</v>
      </c>
      <c r="AA311" t="s">
        <v>1111</v>
      </c>
      <c r="AB311" t="s">
        <v>526</v>
      </c>
      <c r="AC311" t="s">
        <v>527</v>
      </c>
      <c r="AD311" t="s">
        <v>528</v>
      </c>
      <c r="AE311" t="s">
        <v>1067</v>
      </c>
      <c r="AG311" t="s">
        <v>1112</v>
      </c>
      <c r="AH311">
        <v>0</v>
      </c>
      <c r="AI311">
        <v>209</v>
      </c>
      <c r="AJ311">
        <v>35</v>
      </c>
      <c r="AK311">
        <v>43</v>
      </c>
      <c r="AL311">
        <v>0.88</v>
      </c>
    </row>
    <row r="312" spans="1:38" x14ac:dyDescent="0.3">
      <c r="A312" t="s">
        <v>1063</v>
      </c>
      <c r="B312">
        <v>104031</v>
      </c>
      <c r="C312">
        <v>18</v>
      </c>
      <c r="D312" t="s">
        <v>1107</v>
      </c>
      <c r="E312" t="s">
        <v>1108</v>
      </c>
      <c r="F312">
        <v>49</v>
      </c>
      <c r="G312">
        <v>26.91</v>
      </c>
      <c r="H312">
        <v>88.99</v>
      </c>
      <c r="I312">
        <v>20.34</v>
      </c>
      <c r="J312">
        <v>67.260000000000005</v>
      </c>
      <c r="K312">
        <v>5</v>
      </c>
      <c r="T312">
        <v>3</v>
      </c>
      <c r="U312">
        <v>2</v>
      </c>
      <c r="V312" t="s">
        <v>541</v>
      </c>
      <c r="W312" t="s">
        <v>148</v>
      </c>
      <c r="X312">
        <v>9</v>
      </c>
      <c r="Y312">
        <v>6</v>
      </c>
      <c r="Z312" t="s">
        <v>1110</v>
      </c>
      <c r="AA312" t="s">
        <v>1111</v>
      </c>
      <c r="AB312" t="s">
        <v>526</v>
      </c>
      <c r="AC312" t="s">
        <v>527</v>
      </c>
      <c r="AD312" t="s">
        <v>528</v>
      </c>
      <c r="AE312" t="s">
        <v>1067</v>
      </c>
      <c r="AG312" t="s">
        <v>1112</v>
      </c>
      <c r="AH312">
        <v>0</v>
      </c>
      <c r="AI312">
        <v>209</v>
      </c>
      <c r="AJ312">
        <v>35</v>
      </c>
      <c r="AK312">
        <v>43</v>
      </c>
      <c r="AL312">
        <v>0.88</v>
      </c>
    </row>
    <row r="313" spans="1:38" x14ac:dyDescent="0.3">
      <c r="A313" t="s">
        <v>1063</v>
      </c>
      <c r="B313">
        <v>104031</v>
      </c>
      <c r="C313">
        <v>19</v>
      </c>
      <c r="D313" t="s">
        <v>1107</v>
      </c>
      <c r="E313" t="s">
        <v>1108</v>
      </c>
      <c r="F313">
        <v>49</v>
      </c>
      <c r="G313">
        <v>27.99</v>
      </c>
      <c r="H313">
        <v>92.56</v>
      </c>
      <c r="I313">
        <v>21.01</v>
      </c>
      <c r="J313">
        <v>69.48</v>
      </c>
      <c r="K313">
        <v>5</v>
      </c>
      <c r="T313">
        <v>3</v>
      </c>
      <c r="U313">
        <v>2</v>
      </c>
      <c r="V313" t="s">
        <v>541</v>
      </c>
      <c r="W313" t="s">
        <v>1125</v>
      </c>
      <c r="X313">
        <v>9</v>
      </c>
      <c r="Y313">
        <v>6</v>
      </c>
      <c r="Z313" t="s">
        <v>1110</v>
      </c>
      <c r="AA313" t="s">
        <v>1111</v>
      </c>
      <c r="AB313" t="s">
        <v>526</v>
      </c>
      <c r="AC313" t="s">
        <v>527</v>
      </c>
      <c r="AD313" t="s">
        <v>528</v>
      </c>
      <c r="AE313" t="s">
        <v>1067</v>
      </c>
      <c r="AG313" t="s">
        <v>1112</v>
      </c>
      <c r="AH313">
        <v>0</v>
      </c>
      <c r="AI313">
        <v>209</v>
      </c>
      <c r="AJ313">
        <v>35</v>
      </c>
      <c r="AK313">
        <v>43</v>
      </c>
      <c r="AL313">
        <v>0.88</v>
      </c>
    </row>
    <row r="314" spans="1:38" x14ac:dyDescent="0.3">
      <c r="A314" t="s">
        <v>1063</v>
      </c>
      <c r="B314">
        <v>104031</v>
      </c>
      <c r="C314">
        <v>20</v>
      </c>
      <c r="D314" t="s">
        <v>1107</v>
      </c>
      <c r="E314" t="s">
        <v>1108</v>
      </c>
      <c r="F314">
        <v>49</v>
      </c>
      <c r="G314">
        <v>31.28</v>
      </c>
      <c r="H314">
        <v>103.42</v>
      </c>
      <c r="I314">
        <v>23.42</v>
      </c>
      <c r="J314">
        <v>77.44</v>
      </c>
      <c r="K314">
        <v>1</v>
      </c>
      <c r="T314">
        <v>3</v>
      </c>
      <c r="U314">
        <v>2</v>
      </c>
      <c r="V314" t="s">
        <v>541</v>
      </c>
      <c r="W314" t="s">
        <v>226</v>
      </c>
      <c r="X314">
        <v>9</v>
      </c>
      <c r="Y314">
        <v>6</v>
      </c>
      <c r="Z314" t="s">
        <v>1110</v>
      </c>
      <c r="AA314" t="s">
        <v>1111</v>
      </c>
      <c r="AB314" t="s">
        <v>526</v>
      </c>
      <c r="AC314" t="s">
        <v>527</v>
      </c>
      <c r="AD314" t="s">
        <v>528</v>
      </c>
      <c r="AE314" t="s">
        <v>1067</v>
      </c>
      <c r="AG314" t="s">
        <v>1112</v>
      </c>
      <c r="AH314">
        <v>0</v>
      </c>
      <c r="AI314">
        <v>209</v>
      </c>
      <c r="AJ314">
        <v>35</v>
      </c>
      <c r="AK314">
        <v>43</v>
      </c>
      <c r="AL314">
        <v>0.88</v>
      </c>
    </row>
    <row r="315" spans="1:38" x14ac:dyDescent="0.3">
      <c r="A315" t="s">
        <v>1063</v>
      </c>
      <c r="B315">
        <v>5611</v>
      </c>
      <c r="C315">
        <v>1</v>
      </c>
      <c r="D315" t="s">
        <v>1126</v>
      </c>
      <c r="E315" t="s">
        <v>1127</v>
      </c>
      <c r="F315">
        <v>137</v>
      </c>
      <c r="G315">
        <v>17.29</v>
      </c>
      <c r="H315">
        <v>57.16</v>
      </c>
      <c r="I315">
        <v>13.01</v>
      </c>
      <c r="J315">
        <v>43.02</v>
      </c>
      <c r="K315">
        <v>20</v>
      </c>
      <c r="T315">
        <v>2</v>
      </c>
      <c r="U315">
        <v>1</v>
      </c>
      <c r="V315" t="s">
        <v>523</v>
      </c>
      <c r="W315">
        <v>57</v>
      </c>
      <c r="X315">
        <v>12</v>
      </c>
      <c r="Y315">
        <v>8</v>
      </c>
      <c r="Z315" t="s">
        <v>1128</v>
      </c>
      <c r="AA315" t="s">
        <v>1129</v>
      </c>
      <c r="AB315" t="s">
        <v>526</v>
      </c>
      <c r="AC315" t="s">
        <v>527</v>
      </c>
      <c r="AD315" t="s">
        <v>528</v>
      </c>
      <c r="AE315" t="s">
        <v>1067</v>
      </c>
      <c r="AG315" t="s">
        <v>1130</v>
      </c>
      <c r="AH315">
        <v>0</v>
      </c>
      <c r="AI315">
        <v>0</v>
      </c>
      <c r="AJ315">
        <v>0</v>
      </c>
      <c r="AK315">
        <v>109</v>
      </c>
      <c r="AL315">
        <v>0.8</v>
      </c>
    </row>
    <row r="316" spans="1:38" x14ac:dyDescent="0.3">
      <c r="A316" t="s">
        <v>1063</v>
      </c>
      <c r="B316">
        <v>5611</v>
      </c>
      <c r="C316">
        <v>2</v>
      </c>
      <c r="D316" t="s">
        <v>1126</v>
      </c>
      <c r="E316" t="s">
        <v>1127</v>
      </c>
      <c r="F316">
        <v>137</v>
      </c>
      <c r="G316">
        <v>23.97</v>
      </c>
      <c r="H316">
        <v>79.25</v>
      </c>
      <c r="I316">
        <v>18.04</v>
      </c>
      <c r="J316">
        <v>59.66</v>
      </c>
      <c r="K316">
        <v>35</v>
      </c>
      <c r="T316">
        <v>2</v>
      </c>
      <c r="U316">
        <v>1</v>
      </c>
      <c r="V316" t="s">
        <v>523</v>
      </c>
      <c r="W316">
        <v>79</v>
      </c>
      <c r="X316">
        <v>12</v>
      </c>
      <c r="Y316">
        <v>8</v>
      </c>
      <c r="Z316" t="s">
        <v>1128</v>
      </c>
      <c r="AA316" t="s">
        <v>1129</v>
      </c>
      <c r="AB316" t="s">
        <v>526</v>
      </c>
      <c r="AC316" t="s">
        <v>527</v>
      </c>
      <c r="AD316" t="s">
        <v>528</v>
      </c>
      <c r="AE316" t="s">
        <v>1067</v>
      </c>
      <c r="AG316" t="s">
        <v>1130</v>
      </c>
      <c r="AH316">
        <v>0</v>
      </c>
      <c r="AI316">
        <v>0</v>
      </c>
      <c r="AJ316">
        <v>0</v>
      </c>
      <c r="AK316">
        <v>109</v>
      </c>
      <c r="AL316">
        <v>0.8</v>
      </c>
    </row>
    <row r="317" spans="1:38" x14ac:dyDescent="0.3">
      <c r="A317" t="s">
        <v>1063</v>
      </c>
      <c r="B317">
        <v>5611</v>
      </c>
      <c r="C317">
        <v>3</v>
      </c>
      <c r="D317" t="s">
        <v>1126</v>
      </c>
      <c r="E317" t="s">
        <v>1127</v>
      </c>
      <c r="F317">
        <v>137</v>
      </c>
      <c r="G317">
        <v>34.14</v>
      </c>
      <c r="H317">
        <v>112.89</v>
      </c>
      <c r="I317">
        <v>25.7</v>
      </c>
      <c r="J317">
        <v>84.98</v>
      </c>
      <c r="K317">
        <v>82</v>
      </c>
      <c r="T317">
        <v>3</v>
      </c>
      <c r="U317">
        <v>2</v>
      </c>
      <c r="V317" t="s">
        <v>523</v>
      </c>
      <c r="W317">
        <v>112</v>
      </c>
      <c r="X317">
        <v>12</v>
      </c>
      <c r="Y317">
        <v>8</v>
      </c>
      <c r="Z317" t="s">
        <v>1128</v>
      </c>
      <c r="AA317" t="s">
        <v>1129</v>
      </c>
      <c r="AB317" t="s">
        <v>526</v>
      </c>
      <c r="AC317" t="s">
        <v>527</v>
      </c>
      <c r="AD317" t="s">
        <v>528</v>
      </c>
      <c r="AE317" t="s">
        <v>1067</v>
      </c>
      <c r="AG317" t="s">
        <v>1130</v>
      </c>
      <c r="AH317">
        <v>0</v>
      </c>
      <c r="AI317">
        <v>0</v>
      </c>
      <c r="AJ317">
        <v>0</v>
      </c>
      <c r="AK317">
        <v>109</v>
      </c>
      <c r="AL317">
        <v>0.8</v>
      </c>
    </row>
    <row r="318" spans="1:38" x14ac:dyDescent="0.3">
      <c r="A318" t="s">
        <v>1131</v>
      </c>
      <c r="B318">
        <v>17363</v>
      </c>
      <c r="C318">
        <v>1</v>
      </c>
      <c r="D318" t="s">
        <v>1132</v>
      </c>
      <c r="E318" t="s">
        <v>1133</v>
      </c>
      <c r="F318">
        <v>224</v>
      </c>
      <c r="G318">
        <v>42.49</v>
      </c>
      <c r="H318">
        <v>140.49</v>
      </c>
      <c r="I318">
        <v>33.590000000000003</v>
      </c>
      <c r="J318">
        <v>111.06</v>
      </c>
      <c r="K318">
        <v>152</v>
      </c>
      <c r="T318">
        <v>4</v>
      </c>
      <c r="U318">
        <v>2</v>
      </c>
      <c r="V318" t="s">
        <v>541</v>
      </c>
      <c r="W318">
        <v>140</v>
      </c>
      <c r="X318">
        <v>19</v>
      </c>
      <c r="Y318">
        <v>18</v>
      </c>
      <c r="Z318" t="s">
        <v>1134</v>
      </c>
      <c r="AA318" t="s">
        <v>1135</v>
      </c>
      <c r="AB318" t="s">
        <v>526</v>
      </c>
      <c r="AC318" t="s">
        <v>527</v>
      </c>
      <c r="AD318" t="s">
        <v>528</v>
      </c>
      <c r="AE318" t="s">
        <v>1136</v>
      </c>
      <c r="AG318" t="s">
        <v>1137</v>
      </c>
      <c r="AH318">
        <v>0</v>
      </c>
      <c r="AI318">
        <v>248</v>
      </c>
      <c r="AJ318">
        <v>18</v>
      </c>
      <c r="AK318">
        <v>364</v>
      </c>
      <c r="AL318">
        <v>1.62</v>
      </c>
    </row>
    <row r="319" spans="1:38" x14ac:dyDescent="0.3">
      <c r="A319" t="s">
        <v>1131</v>
      </c>
      <c r="B319">
        <v>17363</v>
      </c>
      <c r="C319">
        <v>2</v>
      </c>
      <c r="D319" t="s">
        <v>1132</v>
      </c>
      <c r="E319" t="s">
        <v>1133</v>
      </c>
      <c r="F319">
        <v>224</v>
      </c>
      <c r="G319">
        <v>51.85</v>
      </c>
      <c r="H319">
        <v>171.43</v>
      </c>
      <c r="I319">
        <v>42.35</v>
      </c>
      <c r="J319">
        <v>140.02000000000001</v>
      </c>
      <c r="K319">
        <v>72</v>
      </c>
      <c r="T319">
        <v>4</v>
      </c>
      <c r="U319">
        <v>2</v>
      </c>
      <c r="V319" t="s">
        <v>541</v>
      </c>
      <c r="W319">
        <v>171</v>
      </c>
      <c r="X319">
        <v>19</v>
      </c>
      <c r="Y319">
        <v>18</v>
      </c>
      <c r="Z319" t="s">
        <v>1134</v>
      </c>
      <c r="AA319" t="s">
        <v>1135</v>
      </c>
      <c r="AB319" t="s">
        <v>526</v>
      </c>
      <c r="AC319" t="s">
        <v>527</v>
      </c>
      <c r="AD319" t="s">
        <v>528</v>
      </c>
      <c r="AE319" t="s">
        <v>1136</v>
      </c>
      <c r="AG319" t="s">
        <v>1137</v>
      </c>
      <c r="AH319">
        <v>0</v>
      </c>
      <c r="AI319">
        <v>248</v>
      </c>
      <c r="AJ319">
        <v>18</v>
      </c>
      <c r="AK319">
        <v>364</v>
      </c>
      <c r="AL319">
        <v>1.62</v>
      </c>
    </row>
    <row r="320" spans="1:38" x14ac:dyDescent="0.3">
      <c r="A320" t="s">
        <v>1131</v>
      </c>
      <c r="B320">
        <v>5622</v>
      </c>
      <c r="C320">
        <v>1</v>
      </c>
      <c r="D320" t="s">
        <v>1138</v>
      </c>
      <c r="E320" t="s">
        <v>1139</v>
      </c>
      <c r="F320">
        <v>651</v>
      </c>
      <c r="G320">
        <v>23.46</v>
      </c>
      <c r="H320">
        <v>77.569999999999993</v>
      </c>
      <c r="I320">
        <v>17.96</v>
      </c>
      <c r="J320">
        <v>59.4</v>
      </c>
      <c r="K320">
        <v>299</v>
      </c>
      <c r="T320">
        <v>3</v>
      </c>
      <c r="U320">
        <v>1</v>
      </c>
      <c r="V320" t="s">
        <v>541</v>
      </c>
      <c r="W320">
        <v>77</v>
      </c>
      <c r="X320">
        <v>20</v>
      </c>
      <c r="Y320">
        <v>12</v>
      </c>
      <c r="Z320" t="s">
        <v>1140</v>
      </c>
      <c r="AA320" t="s">
        <v>1141</v>
      </c>
      <c r="AB320" t="s">
        <v>526</v>
      </c>
      <c r="AC320" t="s">
        <v>527</v>
      </c>
      <c r="AD320" t="s">
        <v>528</v>
      </c>
      <c r="AE320" t="s">
        <v>1136</v>
      </c>
      <c r="AG320" t="s">
        <v>1142</v>
      </c>
      <c r="AH320">
        <v>0</v>
      </c>
      <c r="AI320">
        <v>0</v>
      </c>
      <c r="AJ320">
        <v>0</v>
      </c>
      <c r="AK320">
        <v>651</v>
      </c>
      <c r="AL320">
        <v>1</v>
      </c>
    </row>
    <row r="321" spans="1:38" x14ac:dyDescent="0.3">
      <c r="A321" t="s">
        <v>1131</v>
      </c>
      <c r="B321">
        <v>5622</v>
      </c>
      <c r="C321">
        <v>2</v>
      </c>
      <c r="D321" t="s">
        <v>1138</v>
      </c>
      <c r="E321" t="s">
        <v>1139</v>
      </c>
      <c r="F321">
        <v>651</v>
      </c>
      <c r="G321">
        <v>31.81</v>
      </c>
      <c r="H321">
        <v>105.18</v>
      </c>
      <c r="I321">
        <v>25.7</v>
      </c>
      <c r="J321">
        <v>84.96</v>
      </c>
      <c r="K321">
        <v>312</v>
      </c>
      <c r="T321">
        <v>3</v>
      </c>
      <c r="U321">
        <v>2</v>
      </c>
      <c r="V321" t="s">
        <v>541</v>
      </c>
      <c r="W321">
        <v>105</v>
      </c>
      <c r="X321">
        <v>20</v>
      </c>
      <c r="Y321">
        <v>12</v>
      </c>
      <c r="Z321" t="s">
        <v>1140</v>
      </c>
      <c r="AA321" t="s">
        <v>1141</v>
      </c>
      <c r="AB321" t="s">
        <v>526</v>
      </c>
      <c r="AC321" t="s">
        <v>527</v>
      </c>
      <c r="AD321" t="s">
        <v>528</v>
      </c>
      <c r="AE321" t="s">
        <v>1136</v>
      </c>
      <c r="AG321" t="s">
        <v>1142</v>
      </c>
      <c r="AH321">
        <v>0</v>
      </c>
      <c r="AI321">
        <v>0</v>
      </c>
      <c r="AJ321">
        <v>0</v>
      </c>
      <c r="AK321">
        <v>651</v>
      </c>
      <c r="AL321">
        <v>1</v>
      </c>
    </row>
    <row r="322" spans="1:38" x14ac:dyDescent="0.3">
      <c r="A322" t="s">
        <v>1131</v>
      </c>
      <c r="B322">
        <v>5622</v>
      </c>
      <c r="C322">
        <v>3</v>
      </c>
      <c r="D322" t="s">
        <v>1138</v>
      </c>
      <c r="E322" t="s">
        <v>1139</v>
      </c>
      <c r="F322">
        <v>651</v>
      </c>
      <c r="G322">
        <v>48.33</v>
      </c>
      <c r="H322">
        <v>159.79</v>
      </c>
      <c r="I322">
        <v>40.74</v>
      </c>
      <c r="J322">
        <v>134.69999999999999</v>
      </c>
      <c r="K322">
        <v>40</v>
      </c>
      <c r="T322">
        <v>4</v>
      </c>
      <c r="U322">
        <v>2</v>
      </c>
      <c r="V322" t="s">
        <v>541</v>
      </c>
      <c r="W322">
        <v>159</v>
      </c>
      <c r="X322">
        <v>20</v>
      </c>
      <c r="Y322">
        <v>12</v>
      </c>
      <c r="Z322" t="s">
        <v>1140</v>
      </c>
      <c r="AA322" t="s">
        <v>1141</v>
      </c>
      <c r="AB322" t="s">
        <v>526</v>
      </c>
      <c r="AC322" t="s">
        <v>527</v>
      </c>
      <c r="AD322" t="s">
        <v>528</v>
      </c>
      <c r="AE322" t="s">
        <v>1136</v>
      </c>
      <c r="AG322" t="s">
        <v>1142</v>
      </c>
      <c r="AH322">
        <v>0</v>
      </c>
      <c r="AI322">
        <v>0</v>
      </c>
      <c r="AJ322">
        <v>0</v>
      </c>
      <c r="AK322">
        <v>651</v>
      </c>
      <c r="AL322">
        <v>1</v>
      </c>
    </row>
    <row r="323" spans="1:38" x14ac:dyDescent="0.3">
      <c r="A323" t="s">
        <v>1131</v>
      </c>
      <c r="B323">
        <v>5615</v>
      </c>
      <c r="C323">
        <v>1</v>
      </c>
      <c r="D323" t="s">
        <v>1143</v>
      </c>
      <c r="E323" t="s">
        <v>667</v>
      </c>
      <c r="F323">
        <v>115</v>
      </c>
      <c r="G323">
        <v>32.46</v>
      </c>
      <c r="H323">
        <v>107.33</v>
      </c>
      <c r="I323">
        <v>25.67</v>
      </c>
      <c r="J323">
        <v>84.87</v>
      </c>
      <c r="K323">
        <v>65</v>
      </c>
      <c r="T323">
        <v>3</v>
      </c>
      <c r="U323">
        <v>2</v>
      </c>
      <c r="V323" t="s">
        <v>541</v>
      </c>
      <c r="W323" t="s">
        <v>348</v>
      </c>
      <c r="X323">
        <v>5</v>
      </c>
      <c r="Y323">
        <v>5</v>
      </c>
      <c r="Z323" t="s">
        <v>1144</v>
      </c>
      <c r="AA323" t="s">
        <v>1145</v>
      </c>
      <c r="AB323" t="s">
        <v>526</v>
      </c>
      <c r="AC323" t="s">
        <v>527</v>
      </c>
      <c r="AD323" t="s">
        <v>528</v>
      </c>
      <c r="AE323" t="s">
        <v>1136</v>
      </c>
      <c r="AG323" t="s">
        <v>1146</v>
      </c>
      <c r="AH323">
        <v>0</v>
      </c>
      <c r="AI323">
        <v>0</v>
      </c>
      <c r="AJ323">
        <v>0</v>
      </c>
      <c r="AK323">
        <v>0</v>
      </c>
      <c r="AL323">
        <v>0</v>
      </c>
    </row>
    <row r="324" spans="1:38" x14ac:dyDescent="0.3">
      <c r="A324" t="s">
        <v>1131</v>
      </c>
      <c r="B324">
        <v>5615</v>
      </c>
      <c r="C324">
        <v>2</v>
      </c>
      <c r="D324" t="s">
        <v>1143</v>
      </c>
      <c r="E324" t="s">
        <v>667</v>
      </c>
      <c r="F324">
        <v>115</v>
      </c>
      <c r="G324">
        <v>32.47</v>
      </c>
      <c r="H324">
        <v>107.35</v>
      </c>
      <c r="I324">
        <v>25.7</v>
      </c>
      <c r="J324">
        <v>84.96</v>
      </c>
      <c r="K324">
        <v>50</v>
      </c>
      <c r="T324">
        <v>3</v>
      </c>
      <c r="U324">
        <v>2</v>
      </c>
      <c r="V324" t="s">
        <v>541</v>
      </c>
      <c r="W324" t="s">
        <v>1101</v>
      </c>
      <c r="X324">
        <v>5</v>
      </c>
      <c r="Y324">
        <v>5</v>
      </c>
      <c r="Z324" t="s">
        <v>1144</v>
      </c>
      <c r="AA324" t="s">
        <v>1145</v>
      </c>
      <c r="AB324" t="s">
        <v>526</v>
      </c>
      <c r="AC324" t="s">
        <v>527</v>
      </c>
      <c r="AD324" t="s">
        <v>528</v>
      </c>
      <c r="AE324" t="s">
        <v>1136</v>
      </c>
      <c r="AG324" t="s">
        <v>1146</v>
      </c>
      <c r="AH324">
        <v>0</v>
      </c>
      <c r="AI324">
        <v>0</v>
      </c>
      <c r="AJ324">
        <v>0</v>
      </c>
      <c r="AK324">
        <v>0</v>
      </c>
      <c r="AL324">
        <v>0</v>
      </c>
    </row>
    <row r="325" spans="1:38" x14ac:dyDescent="0.3">
      <c r="A325" t="s">
        <v>1131</v>
      </c>
      <c r="B325">
        <v>116879</v>
      </c>
      <c r="C325">
        <v>1</v>
      </c>
      <c r="D325" t="s">
        <v>1147</v>
      </c>
      <c r="E325" t="s">
        <v>1148</v>
      </c>
      <c r="F325">
        <v>72</v>
      </c>
      <c r="G325">
        <v>12.62</v>
      </c>
      <c r="H325">
        <v>41.74</v>
      </c>
      <c r="I325">
        <v>9.58</v>
      </c>
      <c r="J325">
        <v>31.68</v>
      </c>
      <c r="K325">
        <v>46</v>
      </c>
      <c r="T325">
        <v>1</v>
      </c>
      <c r="U325">
        <v>1</v>
      </c>
      <c r="V325" t="s">
        <v>523</v>
      </c>
      <c r="W325">
        <v>41</v>
      </c>
      <c r="X325">
        <v>9</v>
      </c>
      <c r="Y325">
        <v>5</v>
      </c>
      <c r="Z325" t="s">
        <v>1149</v>
      </c>
      <c r="AA325" t="s">
        <v>1150</v>
      </c>
      <c r="AB325" t="s">
        <v>526</v>
      </c>
      <c r="AC325" t="s">
        <v>527</v>
      </c>
      <c r="AD325" t="s">
        <v>528</v>
      </c>
      <c r="AE325" t="s">
        <v>1136</v>
      </c>
      <c r="AG325" t="s">
        <v>1151</v>
      </c>
      <c r="AH325">
        <v>0</v>
      </c>
      <c r="AI325">
        <v>0</v>
      </c>
      <c r="AJ325">
        <v>0</v>
      </c>
      <c r="AK325">
        <v>0</v>
      </c>
      <c r="AL325">
        <v>0</v>
      </c>
    </row>
    <row r="326" spans="1:38" x14ac:dyDescent="0.3">
      <c r="A326" t="s">
        <v>1131</v>
      </c>
      <c r="B326">
        <v>116879</v>
      </c>
      <c r="C326">
        <v>2</v>
      </c>
      <c r="D326" t="s">
        <v>1147</v>
      </c>
      <c r="E326" t="s">
        <v>1148</v>
      </c>
      <c r="F326">
        <v>72</v>
      </c>
      <c r="G326">
        <v>14.24</v>
      </c>
      <c r="H326">
        <v>47.08</v>
      </c>
      <c r="I326">
        <v>10.81</v>
      </c>
      <c r="J326">
        <v>35.74</v>
      </c>
      <c r="K326">
        <v>2</v>
      </c>
      <c r="T326">
        <v>2</v>
      </c>
      <c r="U326">
        <v>1</v>
      </c>
      <c r="V326" t="s">
        <v>523</v>
      </c>
      <c r="W326">
        <v>47</v>
      </c>
      <c r="X326">
        <v>9</v>
      </c>
      <c r="Y326">
        <v>5</v>
      </c>
      <c r="Z326" t="s">
        <v>1149</v>
      </c>
      <c r="AA326" t="s">
        <v>1150</v>
      </c>
      <c r="AB326" t="s">
        <v>526</v>
      </c>
      <c r="AC326" t="s">
        <v>527</v>
      </c>
      <c r="AD326" t="s">
        <v>528</v>
      </c>
      <c r="AE326" t="s">
        <v>1136</v>
      </c>
      <c r="AG326" t="s">
        <v>1151</v>
      </c>
      <c r="AH326">
        <v>0</v>
      </c>
      <c r="AI326">
        <v>0</v>
      </c>
      <c r="AJ326">
        <v>0</v>
      </c>
      <c r="AK326">
        <v>0</v>
      </c>
      <c r="AL326">
        <v>0</v>
      </c>
    </row>
    <row r="327" spans="1:38" x14ac:dyDescent="0.3">
      <c r="A327" t="s">
        <v>1131</v>
      </c>
      <c r="B327">
        <v>116879</v>
      </c>
      <c r="C327">
        <v>3</v>
      </c>
      <c r="D327" t="s">
        <v>1147</v>
      </c>
      <c r="E327" t="s">
        <v>1148</v>
      </c>
      <c r="F327">
        <v>72</v>
      </c>
      <c r="G327">
        <v>14.57</v>
      </c>
      <c r="H327">
        <v>48.18</v>
      </c>
      <c r="I327">
        <v>11.06</v>
      </c>
      <c r="J327">
        <v>36.57</v>
      </c>
      <c r="K327">
        <v>4</v>
      </c>
      <c r="T327">
        <v>2</v>
      </c>
      <c r="U327">
        <v>1</v>
      </c>
      <c r="V327" t="s">
        <v>523</v>
      </c>
      <c r="W327" t="s">
        <v>1152</v>
      </c>
      <c r="X327">
        <v>9</v>
      </c>
      <c r="Y327">
        <v>5</v>
      </c>
      <c r="Z327" t="s">
        <v>1149</v>
      </c>
      <c r="AA327" t="s">
        <v>1150</v>
      </c>
      <c r="AB327" t="s">
        <v>526</v>
      </c>
      <c r="AC327" t="s">
        <v>527</v>
      </c>
      <c r="AD327" t="s">
        <v>528</v>
      </c>
      <c r="AE327" t="s">
        <v>1136</v>
      </c>
      <c r="AG327" t="s">
        <v>1151</v>
      </c>
      <c r="AH327">
        <v>0</v>
      </c>
      <c r="AI327">
        <v>0</v>
      </c>
      <c r="AJ327">
        <v>0</v>
      </c>
      <c r="AK327">
        <v>0</v>
      </c>
      <c r="AL327">
        <v>0</v>
      </c>
    </row>
    <row r="328" spans="1:38" x14ac:dyDescent="0.3">
      <c r="A328" t="s">
        <v>1131</v>
      </c>
      <c r="B328">
        <v>116879</v>
      </c>
      <c r="C328">
        <v>4</v>
      </c>
      <c r="D328" t="s">
        <v>1147</v>
      </c>
      <c r="E328" t="s">
        <v>1148</v>
      </c>
      <c r="F328">
        <v>72</v>
      </c>
      <c r="G328">
        <v>15.04</v>
      </c>
      <c r="H328">
        <v>49.72</v>
      </c>
      <c r="I328">
        <v>11.41</v>
      </c>
      <c r="J328">
        <v>37.74</v>
      </c>
      <c r="K328">
        <v>3</v>
      </c>
      <c r="T328">
        <v>2</v>
      </c>
      <c r="U328">
        <v>1</v>
      </c>
      <c r="V328" t="s">
        <v>523</v>
      </c>
      <c r="W328" t="s">
        <v>115</v>
      </c>
      <c r="X328">
        <v>9</v>
      </c>
      <c r="Y328">
        <v>5</v>
      </c>
      <c r="Z328" t="s">
        <v>1149</v>
      </c>
      <c r="AA328" t="s">
        <v>1150</v>
      </c>
      <c r="AB328" t="s">
        <v>526</v>
      </c>
      <c r="AC328" t="s">
        <v>527</v>
      </c>
      <c r="AD328" t="s">
        <v>528</v>
      </c>
      <c r="AE328" t="s">
        <v>1136</v>
      </c>
      <c r="AG328" t="s">
        <v>1151</v>
      </c>
      <c r="AH328">
        <v>0</v>
      </c>
      <c r="AI328">
        <v>0</v>
      </c>
      <c r="AJ328">
        <v>0</v>
      </c>
      <c r="AK328">
        <v>0</v>
      </c>
      <c r="AL328">
        <v>0</v>
      </c>
    </row>
    <row r="329" spans="1:38" x14ac:dyDescent="0.3">
      <c r="A329" t="s">
        <v>1131</v>
      </c>
      <c r="B329">
        <v>116879</v>
      </c>
      <c r="C329">
        <v>5</v>
      </c>
      <c r="D329" t="s">
        <v>1147</v>
      </c>
      <c r="E329" t="s">
        <v>1148</v>
      </c>
      <c r="F329">
        <v>72</v>
      </c>
      <c r="G329">
        <v>15.9</v>
      </c>
      <c r="H329">
        <v>52.58</v>
      </c>
      <c r="I329">
        <v>12.07</v>
      </c>
      <c r="J329">
        <v>39.909999999999997</v>
      </c>
      <c r="K329">
        <v>3</v>
      </c>
      <c r="T329">
        <v>2</v>
      </c>
      <c r="U329">
        <v>1</v>
      </c>
      <c r="V329" t="s">
        <v>523</v>
      </c>
      <c r="W329">
        <v>52</v>
      </c>
      <c r="X329">
        <v>9</v>
      </c>
      <c r="Y329">
        <v>5</v>
      </c>
      <c r="Z329" t="s">
        <v>1149</v>
      </c>
      <c r="AA329" t="s">
        <v>1150</v>
      </c>
      <c r="AB329" t="s">
        <v>526</v>
      </c>
      <c r="AC329" t="s">
        <v>527</v>
      </c>
      <c r="AD329" t="s">
        <v>528</v>
      </c>
      <c r="AE329" t="s">
        <v>1136</v>
      </c>
      <c r="AG329" t="s">
        <v>1151</v>
      </c>
      <c r="AH329">
        <v>0</v>
      </c>
      <c r="AI329">
        <v>0</v>
      </c>
      <c r="AJ329">
        <v>0</v>
      </c>
      <c r="AK329">
        <v>0</v>
      </c>
      <c r="AL329">
        <v>0</v>
      </c>
    </row>
    <row r="330" spans="1:38" x14ac:dyDescent="0.3">
      <c r="A330" t="s">
        <v>1131</v>
      </c>
      <c r="B330">
        <v>116879</v>
      </c>
      <c r="C330">
        <v>6</v>
      </c>
      <c r="D330" t="s">
        <v>1147</v>
      </c>
      <c r="E330" t="s">
        <v>1148</v>
      </c>
      <c r="F330">
        <v>72</v>
      </c>
      <c r="G330">
        <v>23.52</v>
      </c>
      <c r="H330">
        <v>77.77</v>
      </c>
      <c r="I330">
        <v>17.850000000000001</v>
      </c>
      <c r="J330">
        <v>59.03</v>
      </c>
      <c r="K330">
        <v>8</v>
      </c>
      <c r="T330">
        <v>3</v>
      </c>
      <c r="U330">
        <v>1</v>
      </c>
      <c r="V330" t="s">
        <v>523</v>
      </c>
      <c r="W330" t="s">
        <v>357</v>
      </c>
      <c r="X330">
        <v>9</v>
      </c>
      <c r="Y330">
        <v>5</v>
      </c>
      <c r="Z330" t="s">
        <v>1149</v>
      </c>
      <c r="AA330" t="s">
        <v>1150</v>
      </c>
      <c r="AB330" t="s">
        <v>526</v>
      </c>
      <c r="AC330" t="s">
        <v>527</v>
      </c>
      <c r="AD330" t="s">
        <v>528</v>
      </c>
      <c r="AE330" t="s">
        <v>1136</v>
      </c>
      <c r="AG330" t="s">
        <v>1151</v>
      </c>
      <c r="AH330">
        <v>0</v>
      </c>
      <c r="AI330">
        <v>0</v>
      </c>
      <c r="AJ330">
        <v>0</v>
      </c>
      <c r="AK330">
        <v>0</v>
      </c>
      <c r="AL330">
        <v>0</v>
      </c>
    </row>
    <row r="331" spans="1:38" x14ac:dyDescent="0.3">
      <c r="A331" t="s">
        <v>1131</v>
      </c>
      <c r="B331">
        <v>116879</v>
      </c>
      <c r="C331">
        <v>7</v>
      </c>
      <c r="D331" t="s">
        <v>1147</v>
      </c>
      <c r="E331" t="s">
        <v>1148</v>
      </c>
      <c r="F331">
        <v>72</v>
      </c>
      <c r="G331">
        <v>23.87</v>
      </c>
      <c r="H331">
        <v>78.930000000000007</v>
      </c>
      <c r="I331">
        <v>18.12</v>
      </c>
      <c r="J331">
        <v>59.91</v>
      </c>
      <c r="K331">
        <v>3</v>
      </c>
      <c r="T331">
        <v>3</v>
      </c>
      <c r="U331">
        <v>1</v>
      </c>
      <c r="V331" t="s">
        <v>523</v>
      </c>
      <c r="W331" t="s">
        <v>1153</v>
      </c>
      <c r="X331">
        <v>9</v>
      </c>
      <c r="Y331">
        <v>5</v>
      </c>
      <c r="Z331" t="s">
        <v>1149</v>
      </c>
      <c r="AA331" t="s">
        <v>1150</v>
      </c>
      <c r="AB331" t="s">
        <v>526</v>
      </c>
      <c r="AC331" t="s">
        <v>527</v>
      </c>
      <c r="AD331" t="s">
        <v>528</v>
      </c>
      <c r="AE331" t="s">
        <v>1136</v>
      </c>
      <c r="AG331" t="s">
        <v>1151</v>
      </c>
      <c r="AH331">
        <v>0</v>
      </c>
      <c r="AI331">
        <v>0</v>
      </c>
      <c r="AJ331">
        <v>0</v>
      </c>
      <c r="AK331">
        <v>0</v>
      </c>
      <c r="AL331">
        <v>0</v>
      </c>
    </row>
    <row r="332" spans="1:38" x14ac:dyDescent="0.3">
      <c r="A332" t="s">
        <v>1131</v>
      </c>
      <c r="B332">
        <v>116879</v>
      </c>
      <c r="C332">
        <v>8</v>
      </c>
      <c r="D332" t="s">
        <v>1147</v>
      </c>
      <c r="E332" t="s">
        <v>1148</v>
      </c>
      <c r="F332">
        <v>72</v>
      </c>
      <c r="G332">
        <v>23.77</v>
      </c>
      <c r="H332">
        <v>78.58</v>
      </c>
      <c r="I332">
        <v>18.04</v>
      </c>
      <c r="J332">
        <v>59.65</v>
      </c>
      <c r="K332">
        <v>1</v>
      </c>
      <c r="T332">
        <v>3</v>
      </c>
      <c r="U332">
        <v>1</v>
      </c>
      <c r="V332" t="s">
        <v>523</v>
      </c>
      <c r="W332" t="s">
        <v>174</v>
      </c>
      <c r="X332">
        <v>9</v>
      </c>
      <c r="Y332">
        <v>5</v>
      </c>
      <c r="Z332" t="s">
        <v>1149</v>
      </c>
      <c r="AA332" t="s">
        <v>1150</v>
      </c>
      <c r="AB332" t="s">
        <v>526</v>
      </c>
      <c r="AC332" t="s">
        <v>527</v>
      </c>
      <c r="AD332" t="s">
        <v>528</v>
      </c>
      <c r="AE332" t="s">
        <v>1136</v>
      </c>
      <c r="AG332" t="s">
        <v>1151</v>
      </c>
      <c r="AH332">
        <v>0</v>
      </c>
      <c r="AI332">
        <v>0</v>
      </c>
      <c r="AJ332">
        <v>0</v>
      </c>
      <c r="AK332">
        <v>0</v>
      </c>
      <c r="AL332">
        <v>0</v>
      </c>
    </row>
    <row r="333" spans="1:38" x14ac:dyDescent="0.3">
      <c r="A333" t="s">
        <v>1131</v>
      </c>
      <c r="B333">
        <v>116879</v>
      </c>
      <c r="C333">
        <v>9</v>
      </c>
      <c r="D333" t="s">
        <v>1147</v>
      </c>
      <c r="E333" t="s">
        <v>1148</v>
      </c>
      <c r="F333">
        <v>72</v>
      </c>
      <c r="G333">
        <v>23.79</v>
      </c>
      <c r="H333">
        <v>78.67</v>
      </c>
      <c r="I333">
        <v>18.059999999999999</v>
      </c>
      <c r="J333">
        <v>59.72</v>
      </c>
      <c r="K333">
        <v>1</v>
      </c>
      <c r="T333">
        <v>3</v>
      </c>
      <c r="U333">
        <v>1</v>
      </c>
      <c r="V333" t="s">
        <v>523</v>
      </c>
      <c r="W333" t="s">
        <v>1154</v>
      </c>
      <c r="X333">
        <v>9</v>
      </c>
      <c r="Y333">
        <v>5</v>
      </c>
      <c r="Z333" t="s">
        <v>1149</v>
      </c>
      <c r="AA333" t="s">
        <v>1150</v>
      </c>
      <c r="AB333" t="s">
        <v>526</v>
      </c>
      <c r="AC333" t="s">
        <v>527</v>
      </c>
      <c r="AD333" t="s">
        <v>528</v>
      </c>
      <c r="AE333" t="s">
        <v>1136</v>
      </c>
      <c r="AG333" t="s">
        <v>1151</v>
      </c>
      <c r="AH333">
        <v>0</v>
      </c>
      <c r="AI333">
        <v>0</v>
      </c>
      <c r="AJ333">
        <v>0</v>
      </c>
      <c r="AK333">
        <v>0</v>
      </c>
      <c r="AL333">
        <v>0</v>
      </c>
    </row>
    <row r="334" spans="1:38" x14ac:dyDescent="0.3">
      <c r="A334" t="s">
        <v>1131</v>
      </c>
      <c r="B334">
        <v>116879</v>
      </c>
      <c r="C334">
        <v>10</v>
      </c>
      <c r="D334" t="s">
        <v>1147</v>
      </c>
      <c r="E334" t="s">
        <v>1148</v>
      </c>
      <c r="F334">
        <v>72</v>
      </c>
      <c r="G334">
        <v>23.87</v>
      </c>
      <c r="H334">
        <v>78.930000000000007</v>
      </c>
      <c r="I334">
        <v>18.12</v>
      </c>
      <c r="J334">
        <v>59.91</v>
      </c>
      <c r="K334">
        <v>1</v>
      </c>
      <c r="T334">
        <v>3</v>
      </c>
      <c r="U334">
        <v>1</v>
      </c>
      <c r="V334" t="s">
        <v>523</v>
      </c>
      <c r="W334" t="s">
        <v>1155</v>
      </c>
      <c r="X334">
        <v>9</v>
      </c>
      <c r="Y334">
        <v>5</v>
      </c>
      <c r="Z334" t="s">
        <v>1149</v>
      </c>
      <c r="AA334" t="s">
        <v>1150</v>
      </c>
      <c r="AB334" t="s">
        <v>526</v>
      </c>
      <c r="AC334" t="s">
        <v>527</v>
      </c>
      <c r="AD334" t="s">
        <v>528</v>
      </c>
      <c r="AE334" t="s">
        <v>1136</v>
      </c>
      <c r="AG334" t="s">
        <v>1151</v>
      </c>
      <c r="AH334">
        <v>0</v>
      </c>
      <c r="AI334">
        <v>0</v>
      </c>
      <c r="AJ334">
        <v>0</v>
      </c>
      <c r="AK334">
        <v>0</v>
      </c>
      <c r="AL334">
        <v>0</v>
      </c>
    </row>
    <row r="335" spans="1:38" x14ac:dyDescent="0.3">
      <c r="A335" t="s">
        <v>1131</v>
      </c>
      <c r="B335">
        <v>5632</v>
      </c>
      <c r="C335">
        <v>1</v>
      </c>
      <c r="D335" t="s">
        <v>1156</v>
      </c>
      <c r="E335" t="s">
        <v>1127</v>
      </c>
      <c r="F335">
        <v>444</v>
      </c>
      <c r="G335">
        <v>27.39</v>
      </c>
      <c r="H335">
        <v>90.55</v>
      </c>
      <c r="I335">
        <v>22.33</v>
      </c>
      <c r="J335">
        <v>73.819999999999993</v>
      </c>
      <c r="K335">
        <v>147</v>
      </c>
      <c r="T335">
        <v>3</v>
      </c>
      <c r="U335">
        <v>1</v>
      </c>
      <c r="V335" t="s">
        <v>541</v>
      </c>
      <c r="W335">
        <v>90</v>
      </c>
      <c r="X335">
        <v>15</v>
      </c>
      <c r="Y335">
        <v>7</v>
      </c>
      <c r="Z335" t="s">
        <v>1157</v>
      </c>
      <c r="AA335" t="s">
        <v>1158</v>
      </c>
      <c r="AB335" t="s">
        <v>526</v>
      </c>
      <c r="AC335" t="s">
        <v>527</v>
      </c>
      <c r="AD335" t="s">
        <v>528</v>
      </c>
      <c r="AE335" t="s">
        <v>1136</v>
      </c>
      <c r="AG335" t="s">
        <v>1159</v>
      </c>
      <c r="AH335">
        <v>0</v>
      </c>
      <c r="AI335">
        <v>0</v>
      </c>
      <c r="AJ335">
        <v>0</v>
      </c>
      <c r="AK335">
        <v>0</v>
      </c>
      <c r="AL335">
        <v>0</v>
      </c>
    </row>
    <row r="336" spans="1:38" x14ac:dyDescent="0.3">
      <c r="A336" t="s">
        <v>1131</v>
      </c>
      <c r="B336">
        <v>5632</v>
      </c>
      <c r="C336">
        <v>2</v>
      </c>
      <c r="D336" t="s">
        <v>1156</v>
      </c>
      <c r="E336" t="s">
        <v>1127</v>
      </c>
      <c r="F336">
        <v>444</v>
      </c>
      <c r="G336">
        <v>31.29</v>
      </c>
      <c r="H336">
        <v>103.47</v>
      </c>
      <c r="I336">
        <v>25.67</v>
      </c>
      <c r="J336">
        <v>84.89</v>
      </c>
      <c r="K336">
        <v>215</v>
      </c>
      <c r="T336">
        <v>3</v>
      </c>
      <c r="U336">
        <v>2</v>
      </c>
      <c r="V336" t="s">
        <v>541</v>
      </c>
      <c r="W336">
        <v>103</v>
      </c>
      <c r="X336">
        <v>15</v>
      </c>
      <c r="Y336">
        <v>7</v>
      </c>
      <c r="Z336" t="s">
        <v>1157</v>
      </c>
      <c r="AA336" t="s">
        <v>1158</v>
      </c>
      <c r="AB336" t="s">
        <v>526</v>
      </c>
      <c r="AC336" t="s">
        <v>527</v>
      </c>
      <c r="AD336" t="s">
        <v>528</v>
      </c>
      <c r="AE336" t="s">
        <v>1136</v>
      </c>
      <c r="AG336" t="s">
        <v>1159</v>
      </c>
      <c r="AH336">
        <v>0</v>
      </c>
      <c r="AI336">
        <v>0</v>
      </c>
      <c r="AJ336">
        <v>0</v>
      </c>
      <c r="AK336">
        <v>0</v>
      </c>
      <c r="AL336">
        <v>0</v>
      </c>
    </row>
    <row r="337" spans="1:38" x14ac:dyDescent="0.3">
      <c r="A337" t="s">
        <v>1131</v>
      </c>
      <c r="B337">
        <v>5632</v>
      </c>
      <c r="C337">
        <v>3</v>
      </c>
      <c r="D337" t="s">
        <v>1156</v>
      </c>
      <c r="E337" t="s">
        <v>1127</v>
      </c>
      <c r="F337">
        <v>444</v>
      </c>
      <c r="G337">
        <v>45.71</v>
      </c>
      <c r="H337">
        <v>151.12</v>
      </c>
      <c r="I337">
        <v>39.36</v>
      </c>
      <c r="J337">
        <v>130.13</v>
      </c>
      <c r="K337">
        <v>82</v>
      </c>
      <c r="T337">
        <v>4</v>
      </c>
      <c r="U337">
        <v>2</v>
      </c>
      <c r="V337" t="s">
        <v>541</v>
      </c>
      <c r="W337">
        <v>151</v>
      </c>
      <c r="X337">
        <v>15</v>
      </c>
      <c r="Y337">
        <v>7</v>
      </c>
      <c r="Z337" t="s">
        <v>1157</v>
      </c>
      <c r="AA337" t="s">
        <v>1158</v>
      </c>
      <c r="AB337" t="s">
        <v>526</v>
      </c>
      <c r="AC337" t="s">
        <v>527</v>
      </c>
      <c r="AD337" t="s">
        <v>528</v>
      </c>
      <c r="AE337" t="s">
        <v>1136</v>
      </c>
      <c r="AG337" t="s">
        <v>1159</v>
      </c>
      <c r="AH337">
        <v>0</v>
      </c>
      <c r="AI337">
        <v>0</v>
      </c>
      <c r="AJ337">
        <v>0</v>
      </c>
      <c r="AK337">
        <v>0</v>
      </c>
      <c r="AL337">
        <v>0</v>
      </c>
    </row>
    <row r="338" spans="1:38" x14ac:dyDescent="0.3">
      <c r="A338" t="s">
        <v>1131</v>
      </c>
      <c r="B338">
        <v>17359</v>
      </c>
      <c r="C338">
        <v>1</v>
      </c>
      <c r="D338" t="s">
        <v>1160</v>
      </c>
      <c r="E338" t="s">
        <v>1161</v>
      </c>
      <c r="F338">
        <v>858</v>
      </c>
      <c r="G338">
        <v>33.68</v>
      </c>
      <c r="H338">
        <v>111.36</v>
      </c>
      <c r="I338">
        <v>25.67</v>
      </c>
      <c r="J338">
        <v>84.86</v>
      </c>
      <c r="K338">
        <v>484</v>
      </c>
      <c r="T338">
        <v>3</v>
      </c>
      <c r="U338">
        <v>2</v>
      </c>
      <c r="V338" t="s">
        <v>541</v>
      </c>
      <c r="W338">
        <v>111</v>
      </c>
      <c r="X338">
        <v>20</v>
      </c>
      <c r="Y338">
        <v>11</v>
      </c>
      <c r="Z338" t="s">
        <v>1162</v>
      </c>
      <c r="AA338" t="s">
        <v>1163</v>
      </c>
      <c r="AB338" t="s">
        <v>526</v>
      </c>
      <c r="AC338" t="s">
        <v>527</v>
      </c>
      <c r="AD338" t="s">
        <v>528</v>
      </c>
      <c r="AE338" t="s">
        <v>1136</v>
      </c>
      <c r="AG338" t="s">
        <v>1164</v>
      </c>
      <c r="AH338">
        <v>0</v>
      </c>
      <c r="AI338">
        <v>239</v>
      </c>
      <c r="AJ338">
        <v>17</v>
      </c>
      <c r="AK338">
        <v>1101</v>
      </c>
      <c r="AL338">
        <v>1.28</v>
      </c>
    </row>
    <row r="339" spans="1:38" x14ac:dyDescent="0.3">
      <c r="A339" t="s">
        <v>1131</v>
      </c>
      <c r="B339">
        <v>17359</v>
      </c>
      <c r="C339">
        <v>2</v>
      </c>
      <c r="D339" t="s">
        <v>1160</v>
      </c>
      <c r="E339" t="s">
        <v>1161</v>
      </c>
      <c r="F339">
        <v>858</v>
      </c>
      <c r="G339">
        <v>45.71</v>
      </c>
      <c r="H339">
        <v>151.13</v>
      </c>
      <c r="I339">
        <v>37.450000000000003</v>
      </c>
      <c r="J339">
        <v>123.81</v>
      </c>
      <c r="K339">
        <v>302</v>
      </c>
      <c r="T339">
        <v>4</v>
      </c>
      <c r="U339">
        <v>2</v>
      </c>
      <c r="V339" t="s">
        <v>541</v>
      </c>
      <c r="W339">
        <v>151</v>
      </c>
      <c r="X339">
        <v>20</v>
      </c>
      <c r="Y339">
        <v>11</v>
      </c>
      <c r="Z339" t="s">
        <v>1162</v>
      </c>
      <c r="AA339" t="s">
        <v>1163</v>
      </c>
      <c r="AB339" t="s">
        <v>526</v>
      </c>
      <c r="AC339" t="s">
        <v>527</v>
      </c>
      <c r="AD339" t="s">
        <v>528</v>
      </c>
      <c r="AE339" t="s">
        <v>1136</v>
      </c>
      <c r="AG339" t="s">
        <v>1164</v>
      </c>
      <c r="AH339">
        <v>0</v>
      </c>
      <c r="AI339">
        <v>239</v>
      </c>
      <c r="AJ339">
        <v>17</v>
      </c>
      <c r="AK339">
        <v>1101</v>
      </c>
      <c r="AL339">
        <v>1.28</v>
      </c>
    </row>
    <row r="340" spans="1:38" x14ac:dyDescent="0.3">
      <c r="A340" t="s">
        <v>1131</v>
      </c>
      <c r="B340">
        <v>17359</v>
      </c>
      <c r="C340">
        <v>3</v>
      </c>
      <c r="D340" t="s">
        <v>1160</v>
      </c>
      <c r="E340" t="s">
        <v>1161</v>
      </c>
      <c r="F340">
        <v>858</v>
      </c>
      <c r="G340">
        <v>56.84</v>
      </c>
      <c r="H340">
        <v>187.92</v>
      </c>
      <c r="I340">
        <v>47.67</v>
      </c>
      <c r="J340">
        <v>157.59</v>
      </c>
      <c r="K340">
        <v>36</v>
      </c>
      <c r="T340">
        <v>5</v>
      </c>
      <c r="U340">
        <v>2</v>
      </c>
      <c r="V340" t="s">
        <v>541</v>
      </c>
      <c r="W340" t="s">
        <v>243</v>
      </c>
      <c r="X340">
        <v>20</v>
      </c>
      <c r="Y340">
        <v>11</v>
      </c>
      <c r="Z340" t="s">
        <v>1162</v>
      </c>
      <c r="AA340" t="s">
        <v>1163</v>
      </c>
      <c r="AB340" t="s">
        <v>526</v>
      </c>
      <c r="AC340" t="s">
        <v>527</v>
      </c>
      <c r="AD340" t="s">
        <v>528</v>
      </c>
      <c r="AE340" t="s">
        <v>1136</v>
      </c>
      <c r="AG340" t="s">
        <v>1164</v>
      </c>
      <c r="AH340">
        <v>0</v>
      </c>
      <c r="AI340">
        <v>239</v>
      </c>
      <c r="AJ340">
        <v>17</v>
      </c>
      <c r="AK340">
        <v>1101</v>
      </c>
      <c r="AL340">
        <v>1.28</v>
      </c>
    </row>
    <row r="341" spans="1:38" x14ac:dyDescent="0.3">
      <c r="A341" t="s">
        <v>1131</v>
      </c>
      <c r="B341">
        <v>17359</v>
      </c>
      <c r="C341">
        <v>4</v>
      </c>
      <c r="D341" t="s">
        <v>1160</v>
      </c>
      <c r="E341" t="s">
        <v>1161</v>
      </c>
      <c r="F341">
        <v>858</v>
      </c>
      <c r="G341">
        <v>56.91</v>
      </c>
      <c r="H341">
        <v>188.14</v>
      </c>
      <c r="I341">
        <v>47.44</v>
      </c>
      <c r="J341">
        <v>156.83000000000001</v>
      </c>
      <c r="K341">
        <v>36</v>
      </c>
      <c r="T341">
        <v>5</v>
      </c>
      <c r="U341">
        <v>2</v>
      </c>
      <c r="V341" t="s">
        <v>541</v>
      </c>
      <c r="W341" t="s">
        <v>244</v>
      </c>
      <c r="X341">
        <v>20</v>
      </c>
      <c r="Y341">
        <v>11</v>
      </c>
      <c r="Z341" t="s">
        <v>1162</v>
      </c>
      <c r="AA341" t="s">
        <v>1163</v>
      </c>
      <c r="AB341" t="s">
        <v>526</v>
      </c>
      <c r="AC341" t="s">
        <v>527</v>
      </c>
      <c r="AD341" t="s">
        <v>528</v>
      </c>
      <c r="AE341" t="s">
        <v>1136</v>
      </c>
      <c r="AG341" t="s">
        <v>1164</v>
      </c>
      <c r="AH341">
        <v>0</v>
      </c>
      <c r="AI341">
        <v>239</v>
      </c>
      <c r="AJ341">
        <v>17</v>
      </c>
      <c r="AK341">
        <v>1101</v>
      </c>
      <c r="AL341">
        <v>1.28</v>
      </c>
    </row>
    <row r="342" spans="1:38" x14ac:dyDescent="0.3">
      <c r="A342" t="s">
        <v>1131</v>
      </c>
      <c r="B342">
        <v>17360</v>
      </c>
      <c r="C342">
        <v>1</v>
      </c>
      <c r="D342" t="s">
        <v>1165</v>
      </c>
      <c r="E342" t="s">
        <v>1166</v>
      </c>
      <c r="F342">
        <v>992</v>
      </c>
      <c r="G342">
        <v>34.04</v>
      </c>
      <c r="H342">
        <v>112.56</v>
      </c>
      <c r="I342">
        <v>25.63</v>
      </c>
      <c r="J342">
        <v>84.75</v>
      </c>
      <c r="K342">
        <v>387</v>
      </c>
      <c r="T342">
        <v>3</v>
      </c>
      <c r="U342">
        <v>2</v>
      </c>
      <c r="V342" t="s">
        <v>541</v>
      </c>
      <c r="W342" t="s">
        <v>247</v>
      </c>
      <c r="X342">
        <v>22</v>
      </c>
      <c r="Y342">
        <v>10</v>
      </c>
      <c r="Z342" t="s">
        <v>1167</v>
      </c>
      <c r="AA342" t="s">
        <v>1168</v>
      </c>
      <c r="AB342" t="s">
        <v>526</v>
      </c>
      <c r="AC342" t="s">
        <v>527</v>
      </c>
      <c r="AD342" t="s">
        <v>528</v>
      </c>
      <c r="AE342" t="s">
        <v>1136</v>
      </c>
      <c r="AG342" t="s">
        <v>1169</v>
      </c>
      <c r="AH342">
        <v>0</v>
      </c>
      <c r="AI342">
        <v>243</v>
      </c>
      <c r="AJ342">
        <v>15</v>
      </c>
      <c r="AK342">
        <v>1144</v>
      </c>
      <c r="AL342">
        <v>1.1499999999999999</v>
      </c>
    </row>
    <row r="343" spans="1:38" x14ac:dyDescent="0.3">
      <c r="A343" t="s">
        <v>1131</v>
      </c>
      <c r="B343">
        <v>17360</v>
      </c>
      <c r="C343">
        <v>2</v>
      </c>
      <c r="D343" t="s">
        <v>1165</v>
      </c>
      <c r="E343" t="s">
        <v>1166</v>
      </c>
      <c r="F343">
        <v>992</v>
      </c>
      <c r="G343">
        <v>34.090000000000003</v>
      </c>
      <c r="H343">
        <v>112.7</v>
      </c>
      <c r="I343">
        <v>25.65</v>
      </c>
      <c r="J343">
        <v>84.81</v>
      </c>
      <c r="K343">
        <v>211</v>
      </c>
      <c r="T343">
        <v>3</v>
      </c>
      <c r="U343">
        <v>2</v>
      </c>
      <c r="V343" t="s">
        <v>541</v>
      </c>
      <c r="W343" t="s">
        <v>249</v>
      </c>
      <c r="X343">
        <v>22</v>
      </c>
      <c r="Y343">
        <v>10</v>
      </c>
      <c r="Z343" t="s">
        <v>1167</v>
      </c>
      <c r="AA343" t="s">
        <v>1168</v>
      </c>
      <c r="AB343" t="s">
        <v>526</v>
      </c>
      <c r="AC343" t="s">
        <v>527</v>
      </c>
      <c r="AD343" t="s">
        <v>528</v>
      </c>
      <c r="AE343" t="s">
        <v>1136</v>
      </c>
      <c r="AG343" t="s">
        <v>1169</v>
      </c>
      <c r="AH343">
        <v>0</v>
      </c>
      <c r="AI343">
        <v>243</v>
      </c>
      <c r="AJ343">
        <v>15</v>
      </c>
      <c r="AK343">
        <v>1144</v>
      </c>
      <c r="AL343">
        <v>1.1499999999999999</v>
      </c>
    </row>
    <row r="344" spans="1:38" x14ac:dyDescent="0.3">
      <c r="A344" t="s">
        <v>1131</v>
      </c>
      <c r="B344">
        <v>17360</v>
      </c>
      <c r="C344">
        <v>3</v>
      </c>
      <c r="D344" t="s">
        <v>1165</v>
      </c>
      <c r="E344" t="s">
        <v>1166</v>
      </c>
      <c r="F344">
        <v>992</v>
      </c>
      <c r="G344">
        <v>39.200000000000003</v>
      </c>
      <c r="H344">
        <v>129.6</v>
      </c>
      <c r="I344">
        <v>30.79</v>
      </c>
      <c r="J344">
        <v>101.8</v>
      </c>
      <c r="K344">
        <v>223</v>
      </c>
      <c r="T344">
        <v>3</v>
      </c>
      <c r="U344">
        <v>2</v>
      </c>
      <c r="V344" t="s">
        <v>541</v>
      </c>
      <c r="W344" t="s">
        <v>250</v>
      </c>
      <c r="X344">
        <v>22</v>
      </c>
      <c r="Y344">
        <v>10</v>
      </c>
      <c r="Z344" t="s">
        <v>1167</v>
      </c>
      <c r="AA344" t="s">
        <v>1168</v>
      </c>
      <c r="AB344" t="s">
        <v>526</v>
      </c>
      <c r="AC344" t="s">
        <v>527</v>
      </c>
      <c r="AD344" t="s">
        <v>528</v>
      </c>
      <c r="AE344" t="s">
        <v>1136</v>
      </c>
      <c r="AG344" t="s">
        <v>1169</v>
      </c>
      <c r="AH344">
        <v>0</v>
      </c>
      <c r="AI344">
        <v>243</v>
      </c>
      <c r="AJ344">
        <v>15</v>
      </c>
      <c r="AK344">
        <v>1144</v>
      </c>
      <c r="AL344">
        <v>1.1499999999999999</v>
      </c>
    </row>
    <row r="345" spans="1:38" x14ac:dyDescent="0.3">
      <c r="A345" t="s">
        <v>1131</v>
      </c>
      <c r="B345">
        <v>17360</v>
      </c>
      <c r="C345">
        <v>4</v>
      </c>
      <c r="D345" t="s">
        <v>1165</v>
      </c>
      <c r="E345" t="s">
        <v>1166</v>
      </c>
      <c r="F345">
        <v>992</v>
      </c>
      <c r="G345">
        <v>39.200000000000003</v>
      </c>
      <c r="H345">
        <v>129.6</v>
      </c>
      <c r="I345">
        <v>30.77</v>
      </c>
      <c r="J345">
        <v>101.74</v>
      </c>
      <c r="K345">
        <v>80</v>
      </c>
      <c r="T345">
        <v>4</v>
      </c>
      <c r="U345">
        <v>2</v>
      </c>
      <c r="V345" t="s">
        <v>541</v>
      </c>
      <c r="W345" t="s">
        <v>251</v>
      </c>
      <c r="X345">
        <v>22</v>
      </c>
      <c r="Y345">
        <v>10</v>
      </c>
      <c r="Z345" t="s">
        <v>1167</v>
      </c>
      <c r="AA345" t="s">
        <v>1168</v>
      </c>
      <c r="AB345" t="s">
        <v>526</v>
      </c>
      <c r="AC345" t="s">
        <v>527</v>
      </c>
      <c r="AD345" t="s">
        <v>528</v>
      </c>
      <c r="AE345" t="s">
        <v>1136</v>
      </c>
      <c r="AG345" t="s">
        <v>1169</v>
      </c>
      <c r="AH345">
        <v>0</v>
      </c>
      <c r="AI345">
        <v>243</v>
      </c>
      <c r="AJ345">
        <v>15</v>
      </c>
      <c r="AK345">
        <v>1144</v>
      </c>
      <c r="AL345">
        <v>1.1499999999999999</v>
      </c>
    </row>
    <row r="346" spans="1:38" x14ac:dyDescent="0.3">
      <c r="A346" t="s">
        <v>1131</v>
      </c>
      <c r="B346">
        <v>17360</v>
      </c>
      <c r="C346">
        <v>5</v>
      </c>
      <c r="D346" t="s">
        <v>1165</v>
      </c>
      <c r="E346" t="s">
        <v>1166</v>
      </c>
      <c r="F346">
        <v>992</v>
      </c>
      <c r="G346">
        <v>50.61</v>
      </c>
      <c r="H346">
        <v>167.32</v>
      </c>
      <c r="I346">
        <v>40.57</v>
      </c>
      <c r="J346">
        <v>134.13999999999999</v>
      </c>
      <c r="K346">
        <v>91</v>
      </c>
      <c r="T346">
        <v>4</v>
      </c>
      <c r="U346">
        <v>2</v>
      </c>
      <c r="V346" t="s">
        <v>541</v>
      </c>
      <c r="W346">
        <v>167</v>
      </c>
      <c r="X346">
        <v>22</v>
      </c>
      <c r="Y346">
        <v>10</v>
      </c>
      <c r="Z346" t="s">
        <v>1167</v>
      </c>
      <c r="AA346" t="s">
        <v>1168</v>
      </c>
      <c r="AB346" t="s">
        <v>526</v>
      </c>
      <c r="AC346" t="s">
        <v>527</v>
      </c>
      <c r="AD346" t="s">
        <v>528</v>
      </c>
      <c r="AE346" t="s">
        <v>1136</v>
      </c>
      <c r="AG346" t="s">
        <v>1169</v>
      </c>
      <c r="AH346">
        <v>0</v>
      </c>
      <c r="AI346">
        <v>243</v>
      </c>
      <c r="AJ346">
        <v>15</v>
      </c>
      <c r="AK346">
        <v>1144</v>
      </c>
      <c r="AL346">
        <v>1.1499999999999999</v>
      </c>
    </row>
    <row r="347" spans="1:38" x14ac:dyDescent="0.3">
      <c r="A347" t="s">
        <v>1131</v>
      </c>
      <c r="B347">
        <v>17103</v>
      </c>
      <c r="C347">
        <v>1</v>
      </c>
      <c r="D347" t="s">
        <v>1170</v>
      </c>
      <c r="E347" t="s">
        <v>1171</v>
      </c>
      <c r="F347">
        <v>36</v>
      </c>
      <c r="G347">
        <v>31.79</v>
      </c>
      <c r="H347">
        <v>105.1</v>
      </c>
      <c r="I347">
        <v>25.7</v>
      </c>
      <c r="J347">
        <v>84.99</v>
      </c>
      <c r="K347">
        <v>36</v>
      </c>
      <c r="T347">
        <v>3</v>
      </c>
      <c r="U347">
        <v>2</v>
      </c>
      <c r="V347" t="s">
        <v>541</v>
      </c>
      <c r="W347">
        <v>105</v>
      </c>
      <c r="X347">
        <v>9</v>
      </c>
      <c r="Y347">
        <v>9</v>
      </c>
      <c r="Z347" t="s">
        <v>1172</v>
      </c>
      <c r="AA347" t="s">
        <v>1173</v>
      </c>
      <c r="AB347" t="s">
        <v>526</v>
      </c>
      <c r="AC347" t="s">
        <v>527</v>
      </c>
      <c r="AD347" t="s">
        <v>528</v>
      </c>
      <c r="AE347" t="s">
        <v>1136</v>
      </c>
      <c r="AG347" t="s">
        <v>1174</v>
      </c>
      <c r="AH347">
        <v>0</v>
      </c>
      <c r="AI347">
        <v>120</v>
      </c>
      <c r="AJ347">
        <v>23</v>
      </c>
      <c r="AK347">
        <v>36</v>
      </c>
      <c r="AL347">
        <v>1</v>
      </c>
    </row>
    <row r="348" spans="1:38" x14ac:dyDescent="0.3">
      <c r="A348" t="s">
        <v>1131</v>
      </c>
      <c r="B348">
        <v>5595</v>
      </c>
      <c r="C348">
        <v>1</v>
      </c>
      <c r="D348" t="s">
        <v>1175</v>
      </c>
      <c r="E348" t="s">
        <v>1176</v>
      </c>
      <c r="F348">
        <v>263</v>
      </c>
      <c r="G348">
        <v>42.82</v>
      </c>
      <c r="H348">
        <v>141.57</v>
      </c>
      <c r="I348">
        <v>36.75</v>
      </c>
      <c r="J348">
        <v>121.52</v>
      </c>
      <c r="K348">
        <v>65</v>
      </c>
      <c r="T348">
        <v>4</v>
      </c>
      <c r="U348">
        <v>2</v>
      </c>
      <c r="V348" t="s">
        <v>541</v>
      </c>
      <c r="W348">
        <v>141</v>
      </c>
      <c r="X348">
        <v>15</v>
      </c>
      <c r="Y348">
        <v>14</v>
      </c>
      <c r="Z348" t="s">
        <v>1177</v>
      </c>
      <c r="AA348" t="s">
        <v>1178</v>
      </c>
      <c r="AB348" t="s">
        <v>526</v>
      </c>
      <c r="AC348" t="s">
        <v>527</v>
      </c>
      <c r="AD348" t="s">
        <v>528</v>
      </c>
      <c r="AE348" t="s">
        <v>1136</v>
      </c>
      <c r="AG348" t="s">
        <v>1179</v>
      </c>
      <c r="AH348">
        <v>0</v>
      </c>
      <c r="AI348">
        <v>0</v>
      </c>
      <c r="AJ348">
        <v>0</v>
      </c>
      <c r="AK348">
        <v>394</v>
      </c>
      <c r="AL348">
        <v>1.5</v>
      </c>
    </row>
    <row r="349" spans="1:38" x14ac:dyDescent="0.3">
      <c r="A349" t="s">
        <v>1131</v>
      </c>
      <c r="B349">
        <v>5595</v>
      </c>
      <c r="C349">
        <v>2</v>
      </c>
      <c r="D349" t="s">
        <v>1175</v>
      </c>
      <c r="E349" t="s">
        <v>1176</v>
      </c>
      <c r="F349">
        <v>263</v>
      </c>
      <c r="G349">
        <v>46.73</v>
      </c>
      <c r="H349">
        <v>154.51</v>
      </c>
      <c r="I349">
        <v>40.24</v>
      </c>
      <c r="J349">
        <v>133.05000000000001</v>
      </c>
      <c r="K349">
        <v>83</v>
      </c>
      <c r="T349">
        <v>4</v>
      </c>
      <c r="U349">
        <v>2</v>
      </c>
      <c r="V349" t="s">
        <v>541</v>
      </c>
      <c r="W349" t="s">
        <v>254</v>
      </c>
      <c r="X349">
        <v>15</v>
      </c>
      <c r="Y349">
        <v>14</v>
      </c>
      <c r="Z349" t="s">
        <v>1177</v>
      </c>
      <c r="AA349" t="s">
        <v>1178</v>
      </c>
      <c r="AB349" t="s">
        <v>526</v>
      </c>
      <c r="AC349" t="s">
        <v>527</v>
      </c>
      <c r="AD349" t="s">
        <v>528</v>
      </c>
      <c r="AE349" t="s">
        <v>1136</v>
      </c>
      <c r="AG349" t="s">
        <v>1179</v>
      </c>
      <c r="AH349">
        <v>0</v>
      </c>
      <c r="AI349">
        <v>0</v>
      </c>
      <c r="AJ349">
        <v>0</v>
      </c>
      <c r="AK349">
        <v>394</v>
      </c>
      <c r="AL349">
        <v>1.5</v>
      </c>
    </row>
    <row r="350" spans="1:38" x14ac:dyDescent="0.3">
      <c r="A350" t="s">
        <v>1131</v>
      </c>
      <c r="B350">
        <v>5595</v>
      </c>
      <c r="C350">
        <v>3</v>
      </c>
      <c r="D350" t="s">
        <v>1175</v>
      </c>
      <c r="E350" t="s">
        <v>1176</v>
      </c>
      <c r="F350">
        <v>263</v>
      </c>
      <c r="G350">
        <v>46.99</v>
      </c>
      <c r="H350">
        <v>155.34</v>
      </c>
      <c r="I350">
        <v>40.68</v>
      </c>
      <c r="J350">
        <v>134.49</v>
      </c>
      <c r="K350">
        <v>13</v>
      </c>
      <c r="T350">
        <v>4</v>
      </c>
      <c r="U350">
        <v>2</v>
      </c>
      <c r="V350" t="s">
        <v>541</v>
      </c>
      <c r="W350" t="s">
        <v>255</v>
      </c>
      <c r="X350">
        <v>15</v>
      </c>
      <c r="Y350">
        <v>14</v>
      </c>
      <c r="Z350" t="s">
        <v>1177</v>
      </c>
      <c r="AA350" t="s">
        <v>1178</v>
      </c>
      <c r="AB350" t="s">
        <v>526</v>
      </c>
      <c r="AC350" t="s">
        <v>527</v>
      </c>
      <c r="AD350" t="s">
        <v>528</v>
      </c>
      <c r="AE350" t="s">
        <v>1136</v>
      </c>
      <c r="AG350" t="s">
        <v>1179</v>
      </c>
      <c r="AH350">
        <v>0</v>
      </c>
      <c r="AI350">
        <v>0</v>
      </c>
      <c r="AJ350">
        <v>0</v>
      </c>
      <c r="AK350">
        <v>394</v>
      </c>
      <c r="AL350">
        <v>1.5</v>
      </c>
    </row>
    <row r="351" spans="1:38" x14ac:dyDescent="0.3">
      <c r="A351" t="s">
        <v>1131</v>
      </c>
      <c r="B351">
        <v>5595</v>
      </c>
      <c r="C351">
        <v>4</v>
      </c>
      <c r="D351" t="s">
        <v>1175</v>
      </c>
      <c r="E351" t="s">
        <v>1176</v>
      </c>
      <c r="F351">
        <v>263</v>
      </c>
      <c r="G351">
        <v>53.06</v>
      </c>
      <c r="H351">
        <v>175.43</v>
      </c>
      <c r="I351">
        <v>45.97</v>
      </c>
      <c r="J351">
        <v>151.97</v>
      </c>
      <c r="K351">
        <v>14</v>
      </c>
      <c r="T351">
        <v>4</v>
      </c>
      <c r="U351">
        <v>2</v>
      </c>
      <c r="V351" t="s">
        <v>541</v>
      </c>
      <c r="W351">
        <v>175</v>
      </c>
      <c r="X351">
        <v>15</v>
      </c>
      <c r="Y351">
        <v>14</v>
      </c>
      <c r="Z351" t="s">
        <v>1177</v>
      </c>
      <c r="AA351" t="s">
        <v>1178</v>
      </c>
      <c r="AB351" t="s">
        <v>526</v>
      </c>
      <c r="AC351" t="s">
        <v>527</v>
      </c>
      <c r="AD351" t="s">
        <v>528</v>
      </c>
      <c r="AE351" t="s">
        <v>1136</v>
      </c>
      <c r="AG351" t="s">
        <v>1179</v>
      </c>
      <c r="AH351">
        <v>0</v>
      </c>
      <c r="AI351">
        <v>0</v>
      </c>
      <c r="AJ351">
        <v>0</v>
      </c>
      <c r="AK351">
        <v>394</v>
      </c>
      <c r="AL351">
        <v>1.5</v>
      </c>
    </row>
    <row r="352" spans="1:38" x14ac:dyDescent="0.3">
      <c r="A352" t="s">
        <v>1131</v>
      </c>
      <c r="B352">
        <v>5595</v>
      </c>
      <c r="C352">
        <v>5</v>
      </c>
      <c r="D352" t="s">
        <v>1175</v>
      </c>
      <c r="E352" t="s">
        <v>1176</v>
      </c>
      <c r="F352">
        <v>263</v>
      </c>
      <c r="G352">
        <v>54.07</v>
      </c>
      <c r="H352">
        <v>178.76</v>
      </c>
      <c r="I352">
        <v>46.91</v>
      </c>
      <c r="J352">
        <v>155.09</v>
      </c>
      <c r="K352">
        <v>42</v>
      </c>
      <c r="T352">
        <v>5</v>
      </c>
      <c r="U352">
        <v>2</v>
      </c>
      <c r="V352" t="s">
        <v>541</v>
      </c>
      <c r="W352">
        <v>178</v>
      </c>
      <c r="X352">
        <v>15</v>
      </c>
      <c r="Y352">
        <v>14</v>
      </c>
      <c r="Z352" t="s">
        <v>1177</v>
      </c>
      <c r="AA352" t="s">
        <v>1178</v>
      </c>
      <c r="AB352" t="s">
        <v>526</v>
      </c>
      <c r="AC352" t="s">
        <v>527</v>
      </c>
      <c r="AD352" t="s">
        <v>528</v>
      </c>
      <c r="AE352" t="s">
        <v>1136</v>
      </c>
      <c r="AG352" t="s">
        <v>1179</v>
      </c>
      <c r="AH352">
        <v>0</v>
      </c>
      <c r="AI352">
        <v>0</v>
      </c>
      <c r="AJ352">
        <v>0</v>
      </c>
      <c r="AK352">
        <v>394</v>
      </c>
      <c r="AL352">
        <v>1.5</v>
      </c>
    </row>
    <row r="353" spans="1:38" x14ac:dyDescent="0.3">
      <c r="A353" t="s">
        <v>1131</v>
      </c>
      <c r="B353">
        <v>5595</v>
      </c>
      <c r="C353">
        <v>6</v>
      </c>
      <c r="D353" t="s">
        <v>1175</v>
      </c>
      <c r="E353" t="s">
        <v>1176</v>
      </c>
      <c r="F353">
        <v>263</v>
      </c>
      <c r="G353">
        <v>55.49</v>
      </c>
      <c r="H353">
        <v>183.46</v>
      </c>
      <c r="I353">
        <v>48.63</v>
      </c>
      <c r="J353">
        <v>160.79</v>
      </c>
      <c r="K353">
        <v>5</v>
      </c>
      <c r="T353">
        <v>5</v>
      </c>
      <c r="U353">
        <v>3</v>
      </c>
      <c r="V353" t="s">
        <v>541</v>
      </c>
      <c r="W353">
        <v>183</v>
      </c>
      <c r="X353">
        <v>15</v>
      </c>
      <c r="Y353">
        <v>14</v>
      </c>
      <c r="Z353" t="s">
        <v>1177</v>
      </c>
      <c r="AA353" t="s">
        <v>1178</v>
      </c>
      <c r="AB353" t="s">
        <v>526</v>
      </c>
      <c r="AC353" t="s">
        <v>527</v>
      </c>
      <c r="AD353" t="s">
        <v>528</v>
      </c>
      <c r="AE353" t="s">
        <v>1136</v>
      </c>
      <c r="AG353" t="s">
        <v>1179</v>
      </c>
      <c r="AH353">
        <v>0</v>
      </c>
      <c r="AI353">
        <v>0</v>
      </c>
      <c r="AJ353">
        <v>0</v>
      </c>
      <c r="AK353">
        <v>394</v>
      </c>
      <c r="AL353">
        <v>1.5</v>
      </c>
    </row>
    <row r="354" spans="1:38" x14ac:dyDescent="0.3">
      <c r="A354" t="s">
        <v>1131</v>
      </c>
      <c r="B354">
        <v>5595</v>
      </c>
      <c r="C354">
        <v>7</v>
      </c>
      <c r="D354" t="s">
        <v>1175</v>
      </c>
      <c r="E354" t="s">
        <v>1176</v>
      </c>
      <c r="F354">
        <v>263</v>
      </c>
      <c r="G354">
        <v>59.61</v>
      </c>
      <c r="H354">
        <v>197.09</v>
      </c>
      <c r="I354">
        <v>52.3</v>
      </c>
      <c r="J354">
        <v>172.92</v>
      </c>
      <c r="K354">
        <v>6</v>
      </c>
      <c r="T354">
        <v>5</v>
      </c>
      <c r="U354">
        <v>3</v>
      </c>
      <c r="V354" t="s">
        <v>541</v>
      </c>
      <c r="W354" t="s">
        <v>256</v>
      </c>
      <c r="X354">
        <v>15</v>
      </c>
      <c r="Y354">
        <v>14</v>
      </c>
      <c r="Z354" t="s">
        <v>1177</v>
      </c>
      <c r="AA354" t="s">
        <v>1178</v>
      </c>
      <c r="AB354" t="s">
        <v>526</v>
      </c>
      <c r="AC354" t="s">
        <v>527</v>
      </c>
      <c r="AD354" t="s">
        <v>528</v>
      </c>
      <c r="AE354" t="s">
        <v>1136</v>
      </c>
      <c r="AG354" t="s">
        <v>1179</v>
      </c>
      <c r="AH354">
        <v>0</v>
      </c>
      <c r="AI354">
        <v>0</v>
      </c>
      <c r="AJ354">
        <v>0</v>
      </c>
      <c r="AK354">
        <v>394</v>
      </c>
      <c r="AL354">
        <v>1.5</v>
      </c>
    </row>
    <row r="355" spans="1:38" x14ac:dyDescent="0.3">
      <c r="A355" t="s">
        <v>1131</v>
      </c>
      <c r="B355">
        <v>5595</v>
      </c>
      <c r="C355">
        <v>8</v>
      </c>
      <c r="D355" t="s">
        <v>1175</v>
      </c>
      <c r="E355" t="s">
        <v>1176</v>
      </c>
      <c r="F355">
        <v>263</v>
      </c>
      <c r="G355">
        <v>59.66</v>
      </c>
      <c r="H355">
        <v>197.24</v>
      </c>
      <c r="I355">
        <v>52.56</v>
      </c>
      <c r="J355">
        <v>173.76</v>
      </c>
      <c r="K355">
        <v>1</v>
      </c>
      <c r="T355">
        <v>5</v>
      </c>
      <c r="U355">
        <v>3</v>
      </c>
      <c r="V355" t="s">
        <v>541</v>
      </c>
      <c r="W355" t="s">
        <v>257</v>
      </c>
      <c r="X355">
        <v>15</v>
      </c>
      <c r="Y355">
        <v>14</v>
      </c>
      <c r="Z355" t="s">
        <v>1177</v>
      </c>
      <c r="AA355" t="s">
        <v>1178</v>
      </c>
      <c r="AB355" t="s">
        <v>526</v>
      </c>
      <c r="AC355" t="s">
        <v>527</v>
      </c>
      <c r="AD355" t="s">
        <v>528</v>
      </c>
      <c r="AE355" t="s">
        <v>1136</v>
      </c>
      <c r="AG355" t="s">
        <v>1179</v>
      </c>
      <c r="AH355">
        <v>0</v>
      </c>
      <c r="AI355">
        <v>0</v>
      </c>
      <c r="AJ355">
        <v>0</v>
      </c>
      <c r="AK355">
        <v>394</v>
      </c>
      <c r="AL355">
        <v>1.5</v>
      </c>
    </row>
    <row r="356" spans="1:38" x14ac:dyDescent="0.3">
      <c r="A356" t="s">
        <v>1131</v>
      </c>
      <c r="B356">
        <v>5595</v>
      </c>
      <c r="C356">
        <v>9</v>
      </c>
      <c r="D356" t="s">
        <v>1175</v>
      </c>
      <c r="E356" t="s">
        <v>1176</v>
      </c>
      <c r="F356">
        <v>263</v>
      </c>
      <c r="G356">
        <v>66.7</v>
      </c>
      <c r="H356">
        <v>220.5</v>
      </c>
      <c r="I356">
        <v>58.74</v>
      </c>
      <c r="J356">
        <v>194.21</v>
      </c>
      <c r="K356">
        <v>1</v>
      </c>
      <c r="T356">
        <v>6</v>
      </c>
      <c r="U356">
        <v>2</v>
      </c>
      <c r="V356" t="s">
        <v>541</v>
      </c>
      <c r="W356">
        <v>220</v>
      </c>
      <c r="X356">
        <v>15</v>
      </c>
      <c r="Y356">
        <v>14</v>
      </c>
      <c r="Z356" t="s">
        <v>1177</v>
      </c>
      <c r="AA356" t="s">
        <v>1178</v>
      </c>
      <c r="AB356" t="s">
        <v>526</v>
      </c>
      <c r="AC356" t="s">
        <v>527</v>
      </c>
      <c r="AD356" t="s">
        <v>528</v>
      </c>
      <c r="AE356" t="s">
        <v>1136</v>
      </c>
      <c r="AG356" t="s">
        <v>1179</v>
      </c>
      <c r="AH356">
        <v>0</v>
      </c>
      <c r="AI356">
        <v>0</v>
      </c>
      <c r="AJ356">
        <v>0</v>
      </c>
      <c r="AK356">
        <v>394</v>
      </c>
      <c r="AL356">
        <v>1.5</v>
      </c>
    </row>
    <row r="357" spans="1:38" x14ac:dyDescent="0.3">
      <c r="A357" t="s">
        <v>1131</v>
      </c>
      <c r="B357">
        <v>5595</v>
      </c>
      <c r="C357">
        <v>10</v>
      </c>
      <c r="D357" t="s">
        <v>1175</v>
      </c>
      <c r="E357" t="s">
        <v>1176</v>
      </c>
      <c r="F357">
        <v>263</v>
      </c>
      <c r="G357">
        <v>68.19</v>
      </c>
      <c r="H357">
        <v>225.45</v>
      </c>
      <c r="I357">
        <v>59.94</v>
      </c>
      <c r="J357">
        <v>198.18</v>
      </c>
      <c r="K357">
        <v>28</v>
      </c>
      <c r="T357">
        <v>6</v>
      </c>
      <c r="U357">
        <v>2</v>
      </c>
      <c r="V357" t="s">
        <v>541</v>
      </c>
      <c r="W357" t="s">
        <v>258</v>
      </c>
      <c r="X357">
        <v>15</v>
      </c>
      <c r="Y357">
        <v>14</v>
      </c>
      <c r="Z357" t="s">
        <v>1177</v>
      </c>
      <c r="AA357" t="s">
        <v>1178</v>
      </c>
      <c r="AB357" t="s">
        <v>526</v>
      </c>
      <c r="AC357" t="s">
        <v>527</v>
      </c>
      <c r="AD357" t="s">
        <v>528</v>
      </c>
      <c r="AE357" t="s">
        <v>1136</v>
      </c>
      <c r="AG357" t="s">
        <v>1179</v>
      </c>
      <c r="AH357">
        <v>0</v>
      </c>
      <c r="AI357">
        <v>0</v>
      </c>
      <c r="AJ357">
        <v>0</v>
      </c>
      <c r="AK357">
        <v>394</v>
      </c>
      <c r="AL357">
        <v>1.5</v>
      </c>
    </row>
    <row r="358" spans="1:38" x14ac:dyDescent="0.3">
      <c r="A358" t="s">
        <v>1131</v>
      </c>
      <c r="B358">
        <v>5595</v>
      </c>
      <c r="C358">
        <v>11</v>
      </c>
      <c r="D358" t="s">
        <v>1175</v>
      </c>
      <c r="E358" t="s">
        <v>1176</v>
      </c>
      <c r="F358">
        <v>263</v>
      </c>
      <c r="G358">
        <v>68.25</v>
      </c>
      <c r="H358">
        <v>225.62</v>
      </c>
      <c r="I358">
        <v>60.2</v>
      </c>
      <c r="J358">
        <v>199.01</v>
      </c>
      <c r="K358">
        <v>3</v>
      </c>
      <c r="T358">
        <v>6</v>
      </c>
      <c r="U358">
        <v>2</v>
      </c>
      <c r="V358" t="s">
        <v>541</v>
      </c>
      <c r="W358" t="s">
        <v>259</v>
      </c>
      <c r="X358">
        <v>15</v>
      </c>
      <c r="Y358">
        <v>14</v>
      </c>
      <c r="Z358" t="s">
        <v>1177</v>
      </c>
      <c r="AA358" t="s">
        <v>1178</v>
      </c>
      <c r="AB358" t="s">
        <v>526</v>
      </c>
      <c r="AC358" t="s">
        <v>527</v>
      </c>
      <c r="AD358" t="s">
        <v>528</v>
      </c>
      <c r="AE358" t="s">
        <v>1136</v>
      </c>
      <c r="AG358" t="s">
        <v>1179</v>
      </c>
      <c r="AH358">
        <v>0</v>
      </c>
      <c r="AI358">
        <v>0</v>
      </c>
      <c r="AJ358">
        <v>0</v>
      </c>
      <c r="AK358">
        <v>394</v>
      </c>
      <c r="AL358">
        <v>1.5</v>
      </c>
    </row>
    <row r="359" spans="1:38" x14ac:dyDescent="0.3">
      <c r="A359" t="s">
        <v>1131</v>
      </c>
      <c r="B359">
        <v>5595</v>
      </c>
      <c r="C359">
        <v>12</v>
      </c>
      <c r="D359" t="s">
        <v>1175</v>
      </c>
      <c r="E359" t="s">
        <v>1176</v>
      </c>
      <c r="F359">
        <v>263</v>
      </c>
      <c r="G359">
        <v>77.92</v>
      </c>
      <c r="H359">
        <v>257.58999999999997</v>
      </c>
      <c r="I359">
        <v>69.06</v>
      </c>
      <c r="J359">
        <v>228.3</v>
      </c>
      <c r="K359">
        <v>2</v>
      </c>
      <c r="T359">
        <v>7</v>
      </c>
      <c r="U359">
        <v>3</v>
      </c>
      <c r="V359" t="s">
        <v>541</v>
      </c>
      <c r="W359">
        <v>257</v>
      </c>
      <c r="X359">
        <v>15</v>
      </c>
      <c r="Y359">
        <v>14</v>
      </c>
      <c r="Z359" t="s">
        <v>1177</v>
      </c>
      <c r="AA359" t="s">
        <v>1178</v>
      </c>
      <c r="AB359" t="s">
        <v>526</v>
      </c>
      <c r="AC359" t="s">
        <v>527</v>
      </c>
      <c r="AD359" t="s">
        <v>528</v>
      </c>
      <c r="AE359" t="s">
        <v>1136</v>
      </c>
      <c r="AG359" t="s">
        <v>1179</v>
      </c>
      <c r="AH359">
        <v>0</v>
      </c>
      <c r="AI359">
        <v>0</v>
      </c>
      <c r="AJ359">
        <v>0</v>
      </c>
      <c r="AK359">
        <v>394</v>
      </c>
      <c r="AL359">
        <v>1.5</v>
      </c>
    </row>
    <row r="360" spans="1:38" x14ac:dyDescent="0.3">
      <c r="A360" t="s">
        <v>1131</v>
      </c>
      <c r="B360">
        <v>101521</v>
      </c>
      <c r="C360">
        <v>1</v>
      </c>
      <c r="D360" t="s">
        <v>1180</v>
      </c>
      <c r="E360" t="s">
        <v>1181</v>
      </c>
      <c r="F360">
        <v>498</v>
      </c>
      <c r="G360">
        <v>35.869999999999997</v>
      </c>
      <c r="H360">
        <v>118.61</v>
      </c>
      <c r="I360">
        <v>25.68</v>
      </c>
      <c r="J360">
        <v>84.92</v>
      </c>
      <c r="K360">
        <v>78</v>
      </c>
      <c r="T360">
        <v>3</v>
      </c>
      <c r="U360">
        <v>2</v>
      </c>
      <c r="V360" t="s">
        <v>541</v>
      </c>
      <c r="W360">
        <v>118</v>
      </c>
      <c r="X360">
        <v>15</v>
      </c>
      <c r="Y360">
        <v>10</v>
      </c>
      <c r="Z360" t="s">
        <v>1182</v>
      </c>
      <c r="AA360" t="s">
        <v>1183</v>
      </c>
      <c r="AB360" t="s">
        <v>526</v>
      </c>
      <c r="AC360" t="s">
        <v>527</v>
      </c>
      <c r="AD360" t="s">
        <v>528</v>
      </c>
      <c r="AE360" t="s">
        <v>1136</v>
      </c>
      <c r="AG360" t="s">
        <v>1184</v>
      </c>
      <c r="AH360">
        <v>0</v>
      </c>
      <c r="AI360">
        <v>216</v>
      </c>
      <c r="AJ360">
        <v>18</v>
      </c>
      <c r="AK360">
        <v>824</v>
      </c>
      <c r="AL360">
        <v>1.65</v>
      </c>
    </row>
    <row r="361" spans="1:38" x14ac:dyDescent="0.3">
      <c r="A361" t="s">
        <v>1131</v>
      </c>
      <c r="B361">
        <v>101521</v>
      </c>
      <c r="C361">
        <v>2</v>
      </c>
      <c r="D361" t="s">
        <v>1180</v>
      </c>
      <c r="E361" t="s">
        <v>1181</v>
      </c>
      <c r="F361">
        <v>498</v>
      </c>
      <c r="G361">
        <v>43.84</v>
      </c>
      <c r="H361">
        <v>144.94</v>
      </c>
      <c r="I361">
        <v>34.29</v>
      </c>
      <c r="J361">
        <v>113.38</v>
      </c>
      <c r="K361">
        <v>109</v>
      </c>
      <c r="T361">
        <v>4</v>
      </c>
      <c r="U361">
        <v>2</v>
      </c>
      <c r="V361" t="s">
        <v>541</v>
      </c>
      <c r="W361">
        <v>144</v>
      </c>
      <c r="X361">
        <v>15</v>
      </c>
      <c r="Y361">
        <v>10</v>
      </c>
      <c r="Z361" t="s">
        <v>1182</v>
      </c>
      <c r="AA361" t="s">
        <v>1183</v>
      </c>
      <c r="AB361" t="s">
        <v>526</v>
      </c>
      <c r="AC361" t="s">
        <v>527</v>
      </c>
      <c r="AD361" t="s">
        <v>528</v>
      </c>
      <c r="AE361" t="s">
        <v>1136</v>
      </c>
      <c r="AG361" t="s">
        <v>1184</v>
      </c>
      <c r="AH361">
        <v>0</v>
      </c>
      <c r="AI361">
        <v>216</v>
      </c>
      <c r="AJ361">
        <v>18</v>
      </c>
      <c r="AK361">
        <v>824</v>
      </c>
      <c r="AL361">
        <v>1.65</v>
      </c>
    </row>
    <row r="362" spans="1:38" x14ac:dyDescent="0.3">
      <c r="A362" t="s">
        <v>1131</v>
      </c>
      <c r="B362">
        <v>101521</v>
      </c>
      <c r="C362">
        <v>3</v>
      </c>
      <c r="D362" t="s">
        <v>1180</v>
      </c>
      <c r="E362" t="s">
        <v>1181</v>
      </c>
      <c r="F362">
        <v>498</v>
      </c>
      <c r="G362">
        <v>49.82</v>
      </c>
      <c r="H362">
        <v>164.71</v>
      </c>
      <c r="I362">
        <v>39.380000000000003</v>
      </c>
      <c r="J362">
        <v>130.21</v>
      </c>
      <c r="K362">
        <v>245</v>
      </c>
      <c r="T362">
        <v>4</v>
      </c>
      <c r="U362">
        <v>2</v>
      </c>
      <c r="V362" t="s">
        <v>541</v>
      </c>
      <c r="W362">
        <v>164</v>
      </c>
      <c r="X362">
        <v>15</v>
      </c>
      <c r="Y362">
        <v>10</v>
      </c>
      <c r="Z362" t="s">
        <v>1182</v>
      </c>
      <c r="AA362" t="s">
        <v>1183</v>
      </c>
      <c r="AB362" t="s">
        <v>526</v>
      </c>
      <c r="AC362" t="s">
        <v>527</v>
      </c>
      <c r="AD362" t="s">
        <v>528</v>
      </c>
      <c r="AE362" t="s">
        <v>1136</v>
      </c>
      <c r="AG362" t="s">
        <v>1184</v>
      </c>
      <c r="AH362">
        <v>0</v>
      </c>
      <c r="AI362">
        <v>216</v>
      </c>
      <c r="AJ362">
        <v>18</v>
      </c>
      <c r="AK362">
        <v>824</v>
      </c>
      <c r="AL362">
        <v>1.65</v>
      </c>
    </row>
    <row r="363" spans="1:38" x14ac:dyDescent="0.3">
      <c r="A363" t="s">
        <v>1131</v>
      </c>
      <c r="B363">
        <v>101521</v>
      </c>
      <c r="C363">
        <v>4</v>
      </c>
      <c r="D363" t="s">
        <v>1180</v>
      </c>
      <c r="E363" t="s">
        <v>1181</v>
      </c>
      <c r="F363">
        <v>498</v>
      </c>
      <c r="G363">
        <v>58.86</v>
      </c>
      <c r="H363">
        <v>194.61</v>
      </c>
      <c r="I363">
        <v>47.2</v>
      </c>
      <c r="J363">
        <v>156.04</v>
      </c>
      <c r="K363">
        <v>56</v>
      </c>
      <c r="T363">
        <v>5</v>
      </c>
      <c r="U363">
        <v>2</v>
      </c>
      <c r="V363" t="s">
        <v>541</v>
      </c>
      <c r="W363">
        <v>194</v>
      </c>
      <c r="X363">
        <v>15</v>
      </c>
      <c r="Y363">
        <v>10</v>
      </c>
      <c r="Z363" t="s">
        <v>1182</v>
      </c>
      <c r="AA363" t="s">
        <v>1183</v>
      </c>
      <c r="AB363" t="s">
        <v>526</v>
      </c>
      <c r="AC363" t="s">
        <v>527</v>
      </c>
      <c r="AD363" t="s">
        <v>528</v>
      </c>
      <c r="AE363" t="s">
        <v>1136</v>
      </c>
      <c r="AG363" t="s">
        <v>1184</v>
      </c>
      <c r="AH363">
        <v>0</v>
      </c>
      <c r="AI363">
        <v>216</v>
      </c>
      <c r="AJ363">
        <v>18</v>
      </c>
      <c r="AK363">
        <v>824</v>
      </c>
      <c r="AL363">
        <v>1.65</v>
      </c>
    </row>
    <row r="364" spans="1:38" x14ac:dyDescent="0.3">
      <c r="A364" t="s">
        <v>1131</v>
      </c>
      <c r="B364">
        <v>101521</v>
      </c>
      <c r="C364">
        <v>5</v>
      </c>
      <c r="D364" t="s">
        <v>1180</v>
      </c>
      <c r="E364" t="s">
        <v>1181</v>
      </c>
      <c r="F364">
        <v>498</v>
      </c>
      <c r="G364">
        <v>75.930000000000007</v>
      </c>
      <c r="H364">
        <v>251.04</v>
      </c>
      <c r="I364">
        <v>60.17</v>
      </c>
      <c r="J364">
        <v>198.93</v>
      </c>
      <c r="K364">
        <v>10</v>
      </c>
      <c r="T364">
        <v>5</v>
      </c>
      <c r="U364">
        <v>3</v>
      </c>
      <c r="V364" t="s">
        <v>541</v>
      </c>
      <c r="W364">
        <v>251</v>
      </c>
      <c r="X364">
        <v>15</v>
      </c>
      <c r="Y364">
        <v>10</v>
      </c>
      <c r="Z364" t="s">
        <v>1182</v>
      </c>
      <c r="AA364" t="s">
        <v>1183</v>
      </c>
      <c r="AB364" t="s">
        <v>526</v>
      </c>
      <c r="AC364" t="s">
        <v>527</v>
      </c>
      <c r="AD364" t="s">
        <v>528</v>
      </c>
      <c r="AE364" t="s">
        <v>1136</v>
      </c>
      <c r="AG364" t="s">
        <v>1184</v>
      </c>
      <c r="AH364">
        <v>0</v>
      </c>
      <c r="AI364">
        <v>216</v>
      </c>
      <c r="AJ364">
        <v>18</v>
      </c>
      <c r="AK364">
        <v>824</v>
      </c>
      <c r="AL364">
        <v>1.65</v>
      </c>
    </row>
    <row r="365" spans="1:38" x14ac:dyDescent="0.3">
      <c r="A365" t="s">
        <v>1131</v>
      </c>
      <c r="B365">
        <v>15077</v>
      </c>
      <c r="C365">
        <v>1</v>
      </c>
      <c r="D365" t="s">
        <v>1185</v>
      </c>
      <c r="E365" t="s">
        <v>991</v>
      </c>
      <c r="F365">
        <v>164</v>
      </c>
      <c r="G365">
        <v>21.34</v>
      </c>
      <c r="H365">
        <v>70.56</v>
      </c>
      <c r="I365">
        <v>19.600000000000001</v>
      </c>
      <c r="J365">
        <v>64.8</v>
      </c>
      <c r="K365">
        <v>18</v>
      </c>
      <c r="T365">
        <v>3</v>
      </c>
      <c r="U365">
        <v>1</v>
      </c>
      <c r="V365" t="s">
        <v>541</v>
      </c>
      <c r="W365">
        <v>70</v>
      </c>
      <c r="X365">
        <v>5</v>
      </c>
      <c r="Y365">
        <v>3</v>
      </c>
      <c r="Z365" t="s">
        <v>1186</v>
      </c>
      <c r="AA365" t="s">
        <v>1187</v>
      </c>
      <c r="AB365" t="s">
        <v>526</v>
      </c>
      <c r="AC365" t="s">
        <v>527</v>
      </c>
      <c r="AD365" t="s">
        <v>528</v>
      </c>
      <c r="AE365" t="s">
        <v>1136</v>
      </c>
      <c r="AG365" t="s">
        <v>1188</v>
      </c>
      <c r="AH365">
        <v>0</v>
      </c>
      <c r="AI365">
        <v>0</v>
      </c>
      <c r="AJ365">
        <v>0</v>
      </c>
      <c r="AK365">
        <v>0</v>
      </c>
      <c r="AL365">
        <v>0</v>
      </c>
    </row>
    <row r="366" spans="1:38" x14ac:dyDescent="0.3">
      <c r="A366" t="s">
        <v>1131</v>
      </c>
      <c r="B366">
        <v>15077</v>
      </c>
      <c r="C366">
        <v>2</v>
      </c>
      <c r="D366" t="s">
        <v>1185</v>
      </c>
      <c r="E366" t="s">
        <v>991</v>
      </c>
      <c r="F366">
        <v>164</v>
      </c>
      <c r="G366">
        <v>21.64</v>
      </c>
      <c r="H366">
        <v>71.56</v>
      </c>
      <c r="I366">
        <v>19.920000000000002</v>
      </c>
      <c r="J366">
        <v>65.88</v>
      </c>
      <c r="K366">
        <v>146</v>
      </c>
      <c r="T366">
        <v>3</v>
      </c>
      <c r="U366">
        <v>1</v>
      </c>
      <c r="V366" t="s">
        <v>541</v>
      </c>
      <c r="W366">
        <v>71</v>
      </c>
      <c r="X366">
        <v>5</v>
      </c>
      <c r="Y366">
        <v>3</v>
      </c>
      <c r="Z366" t="s">
        <v>1186</v>
      </c>
      <c r="AA366" t="s">
        <v>1187</v>
      </c>
      <c r="AB366" t="s">
        <v>526</v>
      </c>
      <c r="AC366" t="s">
        <v>527</v>
      </c>
      <c r="AD366" t="s">
        <v>528</v>
      </c>
      <c r="AE366" t="s">
        <v>1136</v>
      </c>
      <c r="AG366" t="s">
        <v>1188</v>
      </c>
      <c r="AH366">
        <v>0</v>
      </c>
      <c r="AI366">
        <v>0</v>
      </c>
      <c r="AJ366">
        <v>0</v>
      </c>
      <c r="AK366">
        <v>0</v>
      </c>
      <c r="AL366">
        <v>0</v>
      </c>
    </row>
    <row r="367" spans="1:38" x14ac:dyDescent="0.3">
      <c r="A367" t="s">
        <v>1131</v>
      </c>
      <c r="B367">
        <v>107289</v>
      </c>
      <c r="C367">
        <v>1</v>
      </c>
      <c r="D367" t="s">
        <v>1189</v>
      </c>
      <c r="E367" t="s">
        <v>1190</v>
      </c>
      <c r="F367">
        <v>336</v>
      </c>
      <c r="G367">
        <v>32.9</v>
      </c>
      <c r="H367">
        <v>108.79</v>
      </c>
      <c r="I367">
        <v>25.3</v>
      </c>
      <c r="J367">
        <v>83.66</v>
      </c>
      <c r="K367">
        <v>84</v>
      </c>
      <c r="T367">
        <v>3</v>
      </c>
      <c r="U367">
        <v>2</v>
      </c>
      <c r="V367" t="s">
        <v>541</v>
      </c>
      <c r="W367" t="s">
        <v>264</v>
      </c>
      <c r="X367">
        <v>20</v>
      </c>
      <c r="Y367">
        <v>15</v>
      </c>
      <c r="Z367" t="s">
        <v>1191</v>
      </c>
      <c r="AA367" t="s">
        <v>1192</v>
      </c>
      <c r="AB367" t="s">
        <v>526</v>
      </c>
      <c r="AC367" t="s">
        <v>527</v>
      </c>
      <c r="AD367" t="s">
        <v>528</v>
      </c>
      <c r="AE367" t="s">
        <v>1136</v>
      </c>
      <c r="AG367" t="s">
        <v>1193</v>
      </c>
      <c r="AH367">
        <v>0</v>
      </c>
      <c r="AI367">
        <v>229</v>
      </c>
      <c r="AJ367">
        <v>21</v>
      </c>
      <c r="AK367">
        <v>421</v>
      </c>
      <c r="AL367">
        <v>1.25</v>
      </c>
    </row>
    <row r="368" spans="1:38" x14ac:dyDescent="0.3">
      <c r="A368" t="s">
        <v>1131</v>
      </c>
      <c r="B368">
        <v>107289</v>
      </c>
      <c r="C368">
        <v>2</v>
      </c>
      <c r="D368" t="s">
        <v>1189</v>
      </c>
      <c r="E368" t="s">
        <v>1190</v>
      </c>
      <c r="F368">
        <v>336</v>
      </c>
      <c r="G368">
        <v>33.04</v>
      </c>
      <c r="H368">
        <v>109.24</v>
      </c>
      <c r="I368">
        <v>25.69</v>
      </c>
      <c r="J368">
        <v>84.95</v>
      </c>
      <c r="K368">
        <v>252</v>
      </c>
      <c r="T368">
        <v>3</v>
      </c>
      <c r="U368">
        <v>2</v>
      </c>
      <c r="V368" t="s">
        <v>541</v>
      </c>
      <c r="W368" t="s">
        <v>124</v>
      </c>
      <c r="X368">
        <v>20</v>
      </c>
      <c r="Y368">
        <v>15</v>
      </c>
      <c r="Z368" t="s">
        <v>1191</v>
      </c>
      <c r="AA368" t="s">
        <v>1192</v>
      </c>
      <c r="AB368" t="s">
        <v>526</v>
      </c>
      <c r="AC368" t="s">
        <v>527</v>
      </c>
      <c r="AD368" t="s">
        <v>528</v>
      </c>
      <c r="AE368" t="s">
        <v>1136</v>
      </c>
      <c r="AG368" t="s">
        <v>1193</v>
      </c>
      <c r="AH368">
        <v>0</v>
      </c>
      <c r="AI368">
        <v>229</v>
      </c>
      <c r="AJ368">
        <v>21</v>
      </c>
      <c r="AK368">
        <v>421</v>
      </c>
      <c r="AL368">
        <v>1.25</v>
      </c>
    </row>
    <row r="369" spans="1:38" x14ac:dyDescent="0.3">
      <c r="A369" t="s">
        <v>1131</v>
      </c>
      <c r="B369">
        <v>107467</v>
      </c>
      <c r="C369">
        <v>1</v>
      </c>
      <c r="D369" t="s">
        <v>1194</v>
      </c>
      <c r="E369" t="s">
        <v>729</v>
      </c>
      <c r="F369">
        <v>147</v>
      </c>
      <c r="G369">
        <v>13.08</v>
      </c>
      <c r="H369">
        <v>43.27</v>
      </c>
      <c r="I369">
        <v>8.9</v>
      </c>
      <c r="J369">
        <v>29.44</v>
      </c>
      <c r="K369">
        <v>147</v>
      </c>
      <c r="T369">
        <v>1</v>
      </c>
      <c r="U369">
        <v>1</v>
      </c>
      <c r="V369" t="s">
        <v>523</v>
      </c>
      <c r="W369">
        <v>43</v>
      </c>
      <c r="X369">
        <v>12</v>
      </c>
      <c r="Y369">
        <v>9</v>
      </c>
      <c r="Z369" t="s">
        <v>1195</v>
      </c>
      <c r="AA369" t="s">
        <v>1196</v>
      </c>
      <c r="AB369" t="s">
        <v>526</v>
      </c>
      <c r="AC369" t="s">
        <v>527</v>
      </c>
      <c r="AD369" t="s">
        <v>528</v>
      </c>
      <c r="AE369" t="s">
        <v>1136</v>
      </c>
      <c r="AG369" t="s">
        <v>1197</v>
      </c>
      <c r="AH369">
        <v>0</v>
      </c>
      <c r="AI369">
        <v>250</v>
      </c>
      <c r="AJ369">
        <v>26</v>
      </c>
      <c r="AK369">
        <v>105</v>
      </c>
      <c r="AL369">
        <v>0.71</v>
      </c>
    </row>
    <row r="370" spans="1:38" x14ac:dyDescent="0.3">
      <c r="A370" t="s">
        <v>1131</v>
      </c>
      <c r="B370">
        <v>101018</v>
      </c>
      <c r="C370">
        <v>1</v>
      </c>
      <c r="D370" t="s">
        <v>1198</v>
      </c>
      <c r="E370" t="s">
        <v>1199</v>
      </c>
      <c r="F370">
        <v>320</v>
      </c>
      <c r="G370">
        <v>30.5</v>
      </c>
      <c r="H370">
        <v>100.83</v>
      </c>
      <c r="I370">
        <v>25.18</v>
      </c>
      <c r="J370">
        <v>83.24</v>
      </c>
      <c r="K370">
        <v>320</v>
      </c>
      <c r="T370">
        <v>3</v>
      </c>
      <c r="U370">
        <v>2</v>
      </c>
      <c r="V370" t="s">
        <v>541</v>
      </c>
      <c r="W370">
        <v>100</v>
      </c>
      <c r="X370">
        <v>20</v>
      </c>
      <c r="Y370">
        <v>9</v>
      </c>
      <c r="Z370" t="s">
        <v>1200</v>
      </c>
      <c r="AA370" t="s">
        <v>1201</v>
      </c>
      <c r="AB370" t="s">
        <v>526</v>
      </c>
      <c r="AC370" t="s">
        <v>527</v>
      </c>
      <c r="AD370" t="s">
        <v>528</v>
      </c>
      <c r="AE370" t="s">
        <v>1136</v>
      </c>
      <c r="AG370" t="s">
        <v>1202</v>
      </c>
      <c r="AH370">
        <v>0</v>
      </c>
      <c r="AI370">
        <v>249</v>
      </c>
      <c r="AJ370">
        <v>17</v>
      </c>
      <c r="AK370">
        <v>330</v>
      </c>
      <c r="AL370">
        <v>1.03</v>
      </c>
    </row>
    <row r="371" spans="1:38" x14ac:dyDescent="0.3">
      <c r="A371" t="s">
        <v>1131</v>
      </c>
      <c r="B371">
        <v>102535</v>
      </c>
      <c r="C371">
        <v>1</v>
      </c>
      <c r="D371" t="s">
        <v>1203</v>
      </c>
      <c r="E371" t="s">
        <v>1204</v>
      </c>
      <c r="F371">
        <v>96</v>
      </c>
      <c r="G371">
        <v>37.01</v>
      </c>
      <c r="H371">
        <v>122.36</v>
      </c>
      <c r="I371">
        <v>31.35</v>
      </c>
      <c r="J371">
        <v>103.66</v>
      </c>
      <c r="K371">
        <v>30</v>
      </c>
      <c r="T371">
        <v>3</v>
      </c>
      <c r="U371">
        <v>2</v>
      </c>
      <c r="V371" t="s">
        <v>523</v>
      </c>
      <c r="W371">
        <v>122</v>
      </c>
      <c r="X371">
        <v>15</v>
      </c>
      <c r="Y371">
        <v>12</v>
      </c>
      <c r="Z371" t="s">
        <v>1205</v>
      </c>
      <c r="AA371" t="s">
        <v>1206</v>
      </c>
      <c r="AB371" t="s">
        <v>526</v>
      </c>
      <c r="AC371" t="s">
        <v>527</v>
      </c>
      <c r="AD371" t="s">
        <v>528</v>
      </c>
      <c r="AE371" t="s">
        <v>1136</v>
      </c>
      <c r="AG371" t="s">
        <v>1207</v>
      </c>
      <c r="AH371">
        <v>0</v>
      </c>
      <c r="AI371">
        <v>228</v>
      </c>
      <c r="AJ371">
        <v>21</v>
      </c>
      <c r="AK371">
        <v>138</v>
      </c>
      <c r="AL371">
        <v>1.44</v>
      </c>
    </row>
    <row r="372" spans="1:38" x14ac:dyDescent="0.3">
      <c r="A372" t="s">
        <v>1131</v>
      </c>
      <c r="B372">
        <v>102535</v>
      </c>
      <c r="C372">
        <v>2</v>
      </c>
      <c r="D372" t="s">
        <v>1203</v>
      </c>
      <c r="E372" t="s">
        <v>1204</v>
      </c>
      <c r="F372">
        <v>96</v>
      </c>
      <c r="G372">
        <v>39.049999999999997</v>
      </c>
      <c r="H372">
        <v>129.12</v>
      </c>
      <c r="I372">
        <v>33.1</v>
      </c>
      <c r="J372">
        <v>109.44</v>
      </c>
      <c r="K372">
        <v>66</v>
      </c>
      <c r="T372">
        <v>3</v>
      </c>
      <c r="U372">
        <v>2</v>
      </c>
      <c r="V372" t="s">
        <v>541</v>
      </c>
      <c r="W372">
        <v>129</v>
      </c>
      <c r="X372">
        <v>15</v>
      </c>
      <c r="Y372">
        <v>12</v>
      </c>
      <c r="Z372" t="s">
        <v>1205</v>
      </c>
      <c r="AA372" t="s">
        <v>1206</v>
      </c>
      <c r="AB372" t="s">
        <v>526</v>
      </c>
      <c r="AC372" t="s">
        <v>527</v>
      </c>
      <c r="AD372" t="s">
        <v>528</v>
      </c>
      <c r="AE372" t="s">
        <v>1136</v>
      </c>
      <c r="AG372" t="s">
        <v>1207</v>
      </c>
      <c r="AH372">
        <v>0</v>
      </c>
      <c r="AI372">
        <v>228</v>
      </c>
      <c r="AJ372">
        <v>21</v>
      </c>
      <c r="AK372">
        <v>138</v>
      </c>
      <c r="AL372">
        <v>1.44</v>
      </c>
    </row>
    <row r="373" spans="1:38" x14ac:dyDescent="0.3">
      <c r="A373" t="s">
        <v>1131</v>
      </c>
      <c r="B373">
        <v>5624</v>
      </c>
      <c r="C373">
        <v>1</v>
      </c>
      <c r="D373" t="s">
        <v>1208</v>
      </c>
      <c r="E373" t="s">
        <v>1176</v>
      </c>
      <c r="F373">
        <v>270</v>
      </c>
      <c r="G373">
        <v>31.11</v>
      </c>
      <c r="H373">
        <v>102.86</v>
      </c>
      <c r="I373">
        <v>25.7</v>
      </c>
      <c r="J373">
        <v>84.99</v>
      </c>
      <c r="K373">
        <v>108</v>
      </c>
      <c r="T373">
        <v>3</v>
      </c>
      <c r="U373">
        <v>2</v>
      </c>
      <c r="V373" t="s">
        <v>523</v>
      </c>
      <c r="W373">
        <v>102</v>
      </c>
      <c r="X373">
        <v>14</v>
      </c>
      <c r="Y373">
        <v>13</v>
      </c>
      <c r="Z373" t="s">
        <v>1209</v>
      </c>
      <c r="AA373" t="s">
        <v>1210</v>
      </c>
      <c r="AB373" t="s">
        <v>526</v>
      </c>
      <c r="AC373" t="s">
        <v>527</v>
      </c>
      <c r="AD373" t="s">
        <v>528</v>
      </c>
      <c r="AE373" t="s">
        <v>1136</v>
      </c>
      <c r="AG373" t="s">
        <v>1211</v>
      </c>
      <c r="AH373">
        <v>0</v>
      </c>
      <c r="AI373">
        <v>252</v>
      </c>
      <c r="AJ373">
        <v>22</v>
      </c>
      <c r="AK373">
        <v>270</v>
      </c>
      <c r="AL373">
        <v>1</v>
      </c>
    </row>
    <row r="374" spans="1:38" x14ac:dyDescent="0.3">
      <c r="A374" t="s">
        <v>1131</v>
      </c>
      <c r="B374">
        <v>5624</v>
      </c>
      <c r="C374">
        <v>2</v>
      </c>
      <c r="D374" t="s">
        <v>1208</v>
      </c>
      <c r="E374" t="s">
        <v>1176</v>
      </c>
      <c r="F374">
        <v>270</v>
      </c>
      <c r="G374">
        <v>40.36</v>
      </c>
      <c r="H374">
        <v>133.43</v>
      </c>
      <c r="I374">
        <v>33.35</v>
      </c>
      <c r="J374">
        <v>110.25</v>
      </c>
      <c r="K374">
        <v>13</v>
      </c>
      <c r="T374">
        <v>4</v>
      </c>
      <c r="U374">
        <v>2</v>
      </c>
      <c r="V374" t="s">
        <v>541</v>
      </c>
      <c r="W374">
        <v>133</v>
      </c>
      <c r="X374">
        <v>14</v>
      </c>
      <c r="Y374">
        <v>13</v>
      </c>
      <c r="Z374" t="s">
        <v>1209</v>
      </c>
      <c r="AA374" t="s">
        <v>1210</v>
      </c>
      <c r="AB374" t="s">
        <v>526</v>
      </c>
      <c r="AC374" t="s">
        <v>527</v>
      </c>
      <c r="AD374" t="s">
        <v>528</v>
      </c>
      <c r="AE374" t="s">
        <v>1136</v>
      </c>
      <c r="AG374" t="s">
        <v>1211</v>
      </c>
      <c r="AH374">
        <v>0</v>
      </c>
      <c r="AI374">
        <v>252</v>
      </c>
      <c r="AJ374">
        <v>22</v>
      </c>
      <c r="AK374">
        <v>270</v>
      </c>
      <c r="AL374">
        <v>1</v>
      </c>
    </row>
    <row r="375" spans="1:38" x14ac:dyDescent="0.3">
      <c r="A375" t="s">
        <v>1131</v>
      </c>
      <c r="B375">
        <v>5624</v>
      </c>
      <c r="C375">
        <v>3</v>
      </c>
      <c r="D375" t="s">
        <v>1208</v>
      </c>
      <c r="E375" t="s">
        <v>1176</v>
      </c>
      <c r="F375">
        <v>270</v>
      </c>
      <c r="G375">
        <v>42.75</v>
      </c>
      <c r="H375">
        <v>141.35</v>
      </c>
      <c r="I375">
        <v>35.32</v>
      </c>
      <c r="J375">
        <v>116.79</v>
      </c>
      <c r="K375">
        <v>14</v>
      </c>
      <c r="T375">
        <v>4</v>
      </c>
      <c r="U375">
        <v>2</v>
      </c>
      <c r="V375" t="s">
        <v>541</v>
      </c>
      <c r="W375">
        <v>141</v>
      </c>
      <c r="X375">
        <v>14</v>
      </c>
      <c r="Y375">
        <v>13</v>
      </c>
      <c r="Z375" t="s">
        <v>1209</v>
      </c>
      <c r="AA375" t="s">
        <v>1210</v>
      </c>
      <c r="AB375" t="s">
        <v>526</v>
      </c>
      <c r="AC375" t="s">
        <v>527</v>
      </c>
      <c r="AD375" t="s">
        <v>528</v>
      </c>
      <c r="AE375" t="s">
        <v>1136</v>
      </c>
      <c r="AG375" t="s">
        <v>1211</v>
      </c>
      <c r="AH375">
        <v>0</v>
      </c>
      <c r="AI375">
        <v>252</v>
      </c>
      <c r="AJ375">
        <v>22</v>
      </c>
      <c r="AK375">
        <v>270</v>
      </c>
      <c r="AL375">
        <v>1</v>
      </c>
    </row>
    <row r="376" spans="1:38" x14ac:dyDescent="0.3">
      <c r="A376" t="s">
        <v>1131</v>
      </c>
      <c r="B376">
        <v>5624</v>
      </c>
      <c r="C376">
        <v>4</v>
      </c>
      <c r="D376" t="s">
        <v>1208</v>
      </c>
      <c r="E376" t="s">
        <v>1176</v>
      </c>
      <c r="F376">
        <v>270</v>
      </c>
      <c r="G376">
        <v>45.43</v>
      </c>
      <c r="H376">
        <v>150.21</v>
      </c>
      <c r="I376">
        <v>37.54</v>
      </c>
      <c r="J376">
        <v>124.11</v>
      </c>
      <c r="K376">
        <v>53</v>
      </c>
      <c r="T376">
        <v>4</v>
      </c>
      <c r="U376">
        <v>2</v>
      </c>
      <c r="V376" t="s">
        <v>523</v>
      </c>
      <c r="W376">
        <v>150</v>
      </c>
      <c r="X376">
        <v>14</v>
      </c>
      <c r="Y376">
        <v>13</v>
      </c>
      <c r="Z376" t="s">
        <v>1209</v>
      </c>
      <c r="AA376" t="s">
        <v>1210</v>
      </c>
      <c r="AB376" t="s">
        <v>526</v>
      </c>
      <c r="AC376" t="s">
        <v>527</v>
      </c>
      <c r="AD376" t="s">
        <v>528</v>
      </c>
      <c r="AE376" t="s">
        <v>1136</v>
      </c>
      <c r="AG376" t="s">
        <v>1211</v>
      </c>
      <c r="AH376">
        <v>0</v>
      </c>
      <c r="AI376">
        <v>252</v>
      </c>
      <c r="AJ376">
        <v>22</v>
      </c>
      <c r="AK376">
        <v>270</v>
      </c>
      <c r="AL376">
        <v>1</v>
      </c>
    </row>
    <row r="377" spans="1:38" x14ac:dyDescent="0.3">
      <c r="A377" t="s">
        <v>1131</v>
      </c>
      <c r="B377">
        <v>5624</v>
      </c>
      <c r="C377">
        <v>5</v>
      </c>
      <c r="D377" t="s">
        <v>1208</v>
      </c>
      <c r="E377" t="s">
        <v>1176</v>
      </c>
      <c r="F377">
        <v>270</v>
      </c>
      <c r="G377">
        <v>50.2</v>
      </c>
      <c r="H377">
        <v>165.97</v>
      </c>
      <c r="I377">
        <v>41.48</v>
      </c>
      <c r="J377">
        <v>137.13</v>
      </c>
      <c r="K377">
        <v>40</v>
      </c>
      <c r="T377">
        <v>4</v>
      </c>
      <c r="U377">
        <v>2</v>
      </c>
      <c r="V377" t="s">
        <v>541</v>
      </c>
      <c r="W377">
        <v>165</v>
      </c>
      <c r="X377">
        <v>14</v>
      </c>
      <c r="Y377">
        <v>13</v>
      </c>
      <c r="Z377" t="s">
        <v>1209</v>
      </c>
      <c r="AA377" t="s">
        <v>1210</v>
      </c>
      <c r="AB377" t="s">
        <v>526</v>
      </c>
      <c r="AC377" t="s">
        <v>527</v>
      </c>
      <c r="AD377" t="s">
        <v>528</v>
      </c>
      <c r="AE377" t="s">
        <v>1136</v>
      </c>
      <c r="AG377" t="s">
        <v>1211</v>
      </c>
      <c r="AH377">
        <v>0</v>
      </c>
      <c r="AI377">
        <v>252</v>
      </c>
      <c r="AJ377">
        <v>22</v>
      </c>
      <c r="AK377">
        <v>270</v>
      </c>
      <c r="AL377">
        <v>1</v>
      </c>
    </row>
    <row r="378" spans="1:38" x14ac:dyDescent="0.3">
      <c r="A378" t="s">
        <v>1131</v>
      </c>
      <c r="B378">
        <v>5624</v>
      </c>
      <c r="C378">
        <v>6</v>
      </c>
      <c r="D378" t="s">
        <v>1208</v>
      </c>
      <c r="E378" t="s">
        <v>1176</v>
      </c>
      <c r="F378">
        <v>270</v>
      </c>
      <c r="G378">
        <v>52.1</v>
      </c>
      <c r="H378">
        <v>172.25</v>
      </c>
      <c r="I378">
        <v>43.05</v>
      </c>
      <c r="J378">
        <v>142.32</v>
      </c>
      <c r="K378">
        <v>28</v>
      </c>
      <c r="T378">
        <v>4</v>
      </c>
      <c r="U378">
        <v>2</v>
      </c>
      <c r="V378" t="s">
        <v>541</v>
      </c>
      <c r="W378">
        <v>172</v>
      </c>
      <c r="X378">
        <v>14</v>
      </c>
      <c r="Y378">
        <v>13</v>
      </c>
      <c r="Z378" t="s">
        <v>1209</v>
      </c>
      <c r="AA378" t="s">
        <v>1210</v>
      </c>
      <c r="AB378" t="s">
        <v>526</v>
      </c>
      <c r="AC378" t="s">
        <v>527</v>
      </c>
      <c r="AD378" t="s">
        <v>528</v>
      </c>
      <c r="AE378" t="s">
        <v>1136</v>
      </c>
      <c r="AG378" t="s">
        <v>1211</v>
      </c>
      <c r="AH378">
        <v>0</v>
      </c>
      <c r="AI378">
        <v>252</v>
      </c>
      <c r="AJ378">
        <v>22</v>
      </c>
      <c r="AK378">
        <v>270</v>
      </c>
      <c r="AL378">
        <v>1</v>
      </c>
    </row>
    <row r="379" spans="1:38" x14ac:dyDescent="0.3">
      <c r="A379" t="s">
        <v>1131</v>
      </c>
      <c r="B379">
        <v>5624</v>
      </c>
      <c r="C379">
        <v>7</v>
      </c>
      <c r="D379" t="s">
        <v>1208</v>
      </c>
      <c r="E379" t="s">
        <v>1176</v>
      </c>
      <c r="F379">
        <v>270</v>
      </c>
      <c r="G379">
        <v>61.05</v>
      </c>
      <c r="H379">
        <v>201.84</v>
      </c>
      <c r="I379">
        <v>50.44</v>
      </c>
      <c r="J379">
        <v>166.77</v>
      </c>
      <c r="K379">
        <v>14</v>
      </c>
      <c r="T379">
        <v>5</v>
      </c>
      <c r="U379">
        <v>2</v>
      </c>
      <c r="V379" t="s">
        <v>541</v>
      </c>
      <c r="W379">
        <v>201</v>
      </c>
      <c r="X379">
        <v>14</v>
      </c>
      <c r="Y379">
        <v>13</v>
      </c>
      <c r="Z379" t="s">
        <v>1209</v>
      </c>
      <c r="AA379" t="s">
        <v>1210</v>
      </c>
      <c r="AB379" t="s">
        <v>526</v>
      </c>
      <c r="AC379" t="s">
        <v>527</v>
      </c>
      <c r="AD379" t="s">
        <v>528</v>
      </c>
      <c r="AE379" t="s">
        <v>1136</v>
      </c>
      <c r="AG379" t="s">
        <v>1211</v>
      </c>
      <c r="AH379">
        <v>0</v>
      </c>
      <c r="AI379">
        <v>252</v>
      </c>
      <c r="AJ379">
        <v>22</v>
      </c>
      <c r="AK379">
        <v>270</v>
      </c>
      <c r="AL379">
        <v>1</v>
      </c>
    </row>
    <row r="380" spans="1:38" x14ac:dyDescent="0.3">
      <c r="A380" t="s">
        <v>1131</v>
      </c>
      <c r="B380">
        <v>15080</v>
      </c>
      <c r="C380">
        <v>1</v>
      </c>
      <c r="D380" t="s">
        <v>1212</v>
      </c>
      <c r="E380" t="s">
        <v>1213</v>
      </c>
      <c r="F380">
        <v>268</v>
      </c>
      <c r="G380">
        <v>25.18</v>
      </c>
      <c r="H380">
        <v>83.27</v>
      </c>
      <c r="I380">
        <v>18.11</v>
      </c>
      <c r="J380">
        <v>59.88</v>
      </c>
      <c r="K380">
        <v>172</v>
      </c>
      <c r="T380">
        <v>3</v>
      </c>
      <c r="U380">
        <v>1</v>
      </c>
      <c r="V380" t="s">
        <v>523</v>
      </c>
      <c r="W380">
        <v>83</v>
      </c>
      <c r="X380">
        <v>24</v>
      </c>
      <c r="Y380">
        <v>9</v>
      </c>
      <c r="Z380" t="s">
        <v>1214</v>
      </c>
      <c r="AA380" t="s">
        <v>1215</v>
      </c>
      <c r="AB380" t="s">
        <v>526</v>
      </c>
      <c r="AC380" t="s">
        <v>527</v>
      </c>
      <c r="AD380" t="s">
        <v>528</v>
      </c>
      <c r="AE380" t="s">
        <v>1136</v>
      </c>
      <c r="AG380" t="s">
        <v>1216</v>
      </c>
      <c r="AH380">
        <v>0</v>
      </c>
      <c r="AI380">
        <v>302</v>
      </c>
      <c r="AJ380">
        <v>21</v>
      </c>
      <c r="AK380">
        <v>246</v>
      </c>
      <c r="AL380">
        <v>0.92</v>
      </c>
    </row>
    <row r="381" spans="1:38" x14ac:dyDescent="0.3">
      <c r="A381" t="s">
        <v>1131</v>
      </c>
      <c r="B381">
        <v>15080</v>
      </c>
      <c r="C381">
        <v>2</v>
      </c>
      <c r="D381" t="s">
        <v>1212</v>
      </c>
      <c r="E381" t="s">
        <v>1213</v>
      </c>
      <c r="F381">
        <v>268</v>
      </c>
      <c r="G381">
        <v>32.450000000000003</v>
      </c>
      <c r="H381">
        <v>107.3</v>
      </c>
      <c r="I381">
        <v>25.65</v>
      </c>
      <c r="J381">
        <v>84.8</v>
      </c>
      <c r="K381">
        <v>48</v>
      </c>
      <c r="T381">
        <v>3</v>
      </c>
      <c r="U381">
        <v>2</v>
      </c>
      <c r="V381" t="s">
        <v>541</v>
      </c>
      <c r="W381">
        <v>107</v>
      </c>
      <c r="X381">
        <v>24</v>
      </c>
      <c r="Y381">
        <v>9</v>
      </c>
      <c r="Z381" t="s">
        <v>1214</v>
      </c>
      <c r="AA381" t="s">
        <v>1215</v>
      </c>
      <c r="AB381" t="s">
        <v>526</v>
      </c>
      <c r="AC381" t="s">
        <v>527</v>
      </c>
      <c r="AD381" t="s">
        <v>528</v>
      </c>
      <c r="AE381" t="s">
        <v>1136</v>
      </c>
      <c r="AG381" t="s">
        <v>1216</v>
      </c>
      <c r="AH381">
        <v>0</v>
      </c>
      <c r="AI381">
        <v>302</v>
      </c>
      <c r="AJ381">
        <v>21</v>
      </c>
      <c r="AK381">
        <v>246</v>
      </c>
      <c r="AL381">
        <v>0.92</v>
      </c>
    </row>
    <row r="382" spans="1:38" x14ac:dyDescent="0.3">
      <c r="A382" t="s">
        <v>1131</v>
      </c>
      <c r="B382">
        <v>15080</v>
      </c>
      <c r="C382">
        <v>3</v>
      </c>
      <c r="D382" t="s">
        <v>1212</v>
      </c>
      <c r="E382" t="s">
        <v>1213</v>
      </c>
      <c r="F382">
        <v>268</v>
      </c>
      <c r="G382">
        <v>41.3</v>
      </c>
      <c r="H382">
        <v>136.53</v>
      </c>
      <c r="I382">
        <v>33.81</v>
      </c>
      <c r="J382">
        <v>111.77</v>
      </c>
      <c r="K382">
        <v>48</v>
      </c>
      <c r="T382">
        <v>4</v>
      </c>
      <c r="U382">
        <v>2</v>
      </c>
      <c r="V382" t="s">
        <v>541</v>
      </c>
      <c r="W382">
        <v>136</v>
      </c>
      <c r="X382">
        <v>24</v>
      </c>
      <c r="Y382">
        <v>9</v>
      </c>
      <c r="Z382" t="s">
        <v>1214</v>
      </c>
      <c r="AA382" t="s">
        <v>1215</v>
      </c>
      <c r="AB382" t="s">
        <v>526</v>
      </c>
      <c r="AC382" t="s">
        <v>527</v>
      </c>
      <c r="AD382" t="s">
        <v>528</v>
      </c>
      <c r="AE382" t="s">
        <v>1136</v>
      </c>
      <c r="AG382" t="s">
        <v>1216</v>
      </c>
      <c r="AH382">
        <v>0</v>
      </c>
      <c r="AI382">
        <v>302</v>
      </c>
      <c r="AJ382">
        <v>21</v>
      </c>
      <c r="AK382">
        <v>246</v>
      </c>
      <c r="AL382">
        <v>0.92</v>
      </c>
    </row>
    <row r="383" spans="1:38" x14ac:dyDescent="0.3">
      <c r="A383" t="s">
        <v>1131</v>
      </c>
      <c r="B383">
        <v>15083</v>
      </c>
      <c r="C383">
        <v>1</v>
      </c>
      <c r="D383" t="s">
        <v>1217</v>
      </c>
      <c r="E383" t="s">
        <v>1218</v>
      </c>
      <c r="F383">
        <v>180</v>
      </c>
      <c r="G383">
        <v>28.63</v>
      </c>
      <c r="H383">
        <v>94.67</v>
      </c>
      <c r="I383">
        <v>24.02</v>
      </c>
      <c r="J383">
        <v>79.42</v>
      </c>
      <c r="K383">
        <v>10</v>
      </c>
      <c r="T383">
        <v>3</v>
      </c>
      <c r="U383">
        <v>2</v>
      </c>
      <c r="V383" t="s">
        <v>541</v>
      </c>
      <c r="W383" t="s">
        <v>290</v>
      </c>
      <c r="X383">
        <v>15</v>
      </c>
      <c r="Y383">
        <v>8</v>
      </c>
      <c r="Z383" t="s">
        <v>1219</v>
      </c>
      <c r="AA383" t="s">
        <v>1220</v>
      </c>
      <c r="AB383" t="s">
        <v>526</v>
      </c>
      <c r="AC383" t="s">
        <v>527</v>
      </c>
      <c r="AD383" t="s">
        <v>528</v>
      </c>
      <c r="AE383" t="s">
        <v>1136</v>
      </c>
      <c r="AG383" t="s">
        <v>1221</v>
      </c>
      <c r="AH383">
        <v>0</v>
      </c>
      <c r="AI383">
        <v>0</v>
      </c>
      <c r="AJ383">
        <v>0</v>
      </c>
      <c r="AK383">
        <v>230</v>
      </c>
      <c r="AL383">
        <v>1.28</v>
      </c>
    </row>
    <row r="384" spans="1:38" x14ac:dyDescent="0.3">
      <c r="A384" t="s">
        <v>1131</v>
      </c>
      <c r="B384">
        <v>15083</v>
      </c>
      <c r="C384">
        <v>2</v>
      </c>
      <c r="D384" t="s">
        <v>1217</v>
      </c>
      <c r="E384" t="s">
        <v>1218</v>
      </c>
      <c r="F384">
        <v>180</v>
      </c>
      <c r="G384">
        <v>28.9</v>
      </c>
      <c r="H384">
        <v>95.57</v>
      </c>
      <c r="I384">
        <v>24.24</v>
      </c>
      <c r="J384">
        <v>80.16</v>
      </c>
      <c r="K384">
        <v>38</v>
      </c>
      <c r="T384">
        <v>3</v>
      </c>
      <c r="U384">
        <v>2</v>
      </c>
      <c r="V384" t="s">
        <v>541</v>
      </c>
      <c r="W384" t="s">
        <v>1222</v>
      </c>
      <c r="X384">
        <v>15</v>
      </c>
      <c r="Y384">
        <v>8</v>
      </c>
      <c r="Z384" t="s">
        <v>1219</v>
      </c>
      <c r="AA384" t="s">
        <v>1220</v>
      </c>
      <c r="AB384" t="s">
        <v>526</v>
      </c>
      <c r="AC384" t="s">
        <v>527</v>
      </c>
      <c r="AD384" t="s">
        <v>528</v>
      </c>
      <c r="AE384" t="s">
        <v>1136</v>
      </c>
      <c r="AG384" t="s">
        <v>1221</v>
      </c>
      <c r="AH384">
        <v>0</v>
      </c>
      <c r="AI384">
        <v>0</v>
      </c>
      <c r="AJ384">
        <v>0</v>
      </c>
      <c r="AK384">
        <v>230</v>
      </c>
      <c r="AL384">
        <v>1.28</v>
      </c>
    </row>
    <row r="385" spans="1:38" x14ac:dyDescent="0.3">
      <c r="A385" t="s">
        <v>1131</v>
      </c>
      <c r="B385">
        <v>15083</v>
      </c>
      <c r="C385">
        <v>3</v>
      </c>
      <c r="D385" t="s">
        <v>1217</v>
      </c>
      <c r="E385" t="s">
        <v>1218</v>
      </c>
      <c r="F385">
        <v>180</v>
      </c>
      <c r="G385">
        <v>28.79</v>
      </c>
      <c r="H385">
        <v>95.2</v>
      </c>
      <c r="I385">
        <v>24.14</v>
      </c>
      <c r="J385">
        <v>79.83</v>
      </c>
      <c r="K385">
        <v>12</v>
      </c>
      <c r="T385">
        <v>3</v>
      </c>
      <c r="U385">
        <v>2</v>
      </c>
      <c r="V385" t="s">
        <v>541</v>
      </c>
      <c r="W385" t="s">
        <v>218</v>
      </c>
      <c r="X385">
        <v>15</v>
      </c>
      <c r="Y385">
        <v>8</v>
      </c>
      <c r="Z385" t="s">
        <v>1219</v>
      </c>
      <c r="AA385" t="s">
        <v>1220</v>
      </c>
      <c r="AB385" t="s">
        <v>526</v>
      </c>
      <c r="AC385" t="s">
        <v>527</v>
      </c>
      <c r="AD385" t="s">
        <v>528</v>
      </c>
      <c r="AE385" t="s">
        <v>1136</v>
      </c>
      <c r="AG385" t="s">
        <v>1221</v>
      </c>
      <c r="AH385">
        <v>0</v>
      </c>
      <c r="AI385">
        <v>0</v>
      </c>
      <c r="AJ385">
        <v>0</v>
      </c>
      <c r="AK385">
        <v>230</v>
      </c>
      <c r="AL385">
        <v>1.28</v>
      </c>
    </row>
    <row r="386" spans="1:38" x14ac:dyDescent="0.3">
      <c r="A386" t="s">
        <v>1131</v>
      </c>
      <c r="B386">
        <v>15083</v>
      </c>
      <c r="C386">
        <v>4</v>
      </c>
      <c r="D386" t="s">
        <v>1217</v>
      </c>
      <c r="E386" t="s">
        <v>1218</v>
      </c>
      <c r="F386">
        <v>180</v>
      </c>
      <c r="G386">
        <v>30.62</v>
      </c>
      <c r="H386">
        <v>101.25</v>
      </c>
      <c r="I386">
        <v>25.68</v>
      </c>
      <c r="J386">
        <v>84.91</v>
      </c>
      <c r="K386">
        <v>60</v>
      </c>
      <c r="T386">
        <v>3</v>
      </c>
      <c r="U386">
        <v>2</v>
      </c>
      <c r="V386" t="s">
        <v>541</v>
      </c>
      <c r="W386">
        <v>101</v>
      </c>
      <c r="X386">
        <v>15</v>
      </c>
      <c r="Y386">
        <v>8</v>
      </c>
      <c r="Z386" t="s">
        <v>1219</v>
      </c>
      <c r="AA386" t="s">
        <v>1220</v>
      </c>
      <c r="AB386" t="s">
        <v>526</v>
      </c>
      <c r="AC386" t="s">
        <v>527</v>
      </c>
      <c r="AD386" t="s">
        <v>528</v>
      </c>
      <c r="AE386" t="s">
        <v>1136</v>
      </c>
      <c r="AG386" t="s">
        <v>1221</v>
      </c>
      <c r="AH386">
        <v>0</v>
      </c>
      <c r="AI386">
        <v>0</v>
      </c>
      <c r="AJ386">
        <v>0</v>
      </c>
      <c r="AK386">
        <v>230</v>
      </c>
      <c r="AL386">
        <v>1.28</v>
      </c>
    </row>
    <row r="387" spans="1:38" x14ac:dyDescent="0.3">
      <c r="A387" t="s">
        <v>1131</v>
      </c>
      <c r="B387">
        <v>15083</v>
      </c>
      <c r="C387">
        <v>5</v>
      </c>
      <c r="D387" t="s">
        <v>1217</v>
      </c>
      <c r="E387" t="s">
        <v>1218</v>
      </c>
      <c r="F387">
        <v>180</v>
      </c>
      <c r="G387">
        <v>44.24</v>
      </c>
      <c r="H387">
        <v>146.26</v>
      </c>
      <c r="I387">
        <v>37.1</v>
      </c>
      <c r="J387">
        <v>122.66</v>
      </c>
      <c r="K387">
        <v>29</v>
      </c>
      <c r="T387">
        <v>4</v>
      </c>
      <c r="U387">
        <v>2</v>
      </c>
      <c r="V387" t="s">
        <v>541</v>
      </c>
      <c r="W387" t="s">
        <v>1223</v>
      </c>
      <c r="X387">
        <v>15</v>
      </c>
      <c r="Y387">
        <v>8</v>
      </c>
      <c r="Z387" t="s">
        <v>1219</v>
      </c>
      <c r="AA387" t="s">
        <v>1220</v>
      </c>
      <c r="AB387" t="s">
        <v>526</v>
      </c>
      <c r="AC387" t="s">
        <v>527</v>
      </c>
      <c r="AD387" t="s">
        <v>528</v>
      </c>
      <c r="AE387" t="s">
        <v>1136</v>
      </c>
      <c r="AG387" t="s">
        <v>1221</v>
      </c>
      <c r="AH387">
        <v>0</v>
      </c>
      <c r="AI387">
        <v>0</v>
      </c>
      <c r="AJ387">
        <v>0</v>
      </c>
      <c r="AK387">
        <v>230</v>
      </c>
      <c r="AL387">
        <v>1.28</v>
      </c>
    </row>
    <row r="388" spans="1:38" x14ac:dyDescent="0.3">
      <c r="A388" t="s">
        <v>1131</v>
      </c>
      <c r="B388">
        <v>15083</v>
      </c>
      <c r="C388">
        <v>6</v>
      </c>
      <c r="D388" t="s">
        <v>1217</v>
      </c>
      <c r="E388" t="s">
        <v>1218</v>
      </c>
      <c r="F388">
        <v>180</v>
      </c>
      <c r="G388">
        <v>44.22</v>
      </c>
      <c r="H388">
        <v>146.19999999999999</v>
      </c>
      <c r="I388">
        <v>37.08</v>
      </c>
      <c r="J388">
        <v>122.6</v>
      </c>
      <c r="K388">
        <v>1</v>
      </c>
      <c r="T388">
        <v>4</v>
      </c>
      <c r="U388">
        <v>2</v>
      </c>
      <c r="V388" t="s">
        <v>541</v>
      </c>
      <c r="W388" t="s">
        <v>1224</v>
      </c>
      <c r="X388">
        <v>15</v>
      </c>
      <c r="Y388">
        <v>8</v>
      </c>
      <c r="Z388" t="s">
        <v>1219</v>
      </c>
      <c r="AA388" t="s">
        <v>1220</v>
      </c>
      <c r="AB388" t="s">
        <v>526</v>
      </c>
      <c r="AC388" t="s">
        <v>527</v>
      </c>
      <c r="AD388" t="s">
        <v>528</v>
      </c>
      <c r="AE388" t="s">
        <v>1136</v>
      </c>
      <c r="AG388" t="s">
        <v>1221</v>
      </c>
      <c r="AH388">
        <v>0</v>
      </c>
      <c r="AI388">
        <v>0</v>
      </c>
      <c r="AJ388">
        <v>0</v>
      </c>
      <c r="AK388">
        <v>230</v>
      </c>
      <c r="AL388">
        <v>1.28</v>
      </c>
    </row>
    <row r="389" spans="1:38" x14ac:dyDescent="0.3">
      <c r="A389" t="s">
        <v>1131</v>
      </c>
      <c r="B389">
        <v>15083</v>
      </c>
      <c r="C389">
        <v>7</v>
      </c>
      <c r="D389" t="s">
        <v>1217</v>
      </c>
      <c r="E389" t="s">
        <v>1218</v>
      </c>
      <c r="F389">
        <v>180</v>
      </c>
      <c r="G389">
        <v>52.3</v>
      </c>
      <c r="H389">
        <v>172.9</v>
      </c>
      <c r="I389">
        <v>43.86</v>
      </c>
      <c r="J389">
        <v>145</v>
      </c>
      <c r="K389">
        <v>30</v>
      </c>
      <c r="T389">
        <v>4</v>
      </c>
      <c r="U389">
        <v>2</v>
      </c>
      <c r="V389" t="s">
        <v>541</v>
      </c>
      <c r="W389">
        <v>172</v>
      </c>
      <c r="X389">
        <v>15</v>
      </c>
      <c r="Y389">
        <v>8</v>
      </c>
      <c r="Z389" t="s">
        <v>1219</v>
      </c>
      <c r="AA389" t="s">
        <v>1220</v>
      </c>
      <c r="AB389" t="s">
        <v>526</v>
      </c>
      <c r="AC389" t="s">
        <v>527</v>
      </c>
      <c r="AD389" t="s">
        <v>528</v>
      </c>
      <c r="AE389" t="s">
        <v>1136</v>
      </c>
      <c r="AG389" t="s">
        <v>1221</v>
      </c>
      <c r="AH389">
        <v>0</v>
      </c>
      <c r="AI389">
        <v>0</v>
      </c>
      <c r="AJ389">
        <v>0</v>
      </c>
      <c r="AK389">
        <v>230</v>
      </c>
      <c r="AL389">
        <v>1.28</v>
      </c>
    </row>
    <row r="390" spans="1:38" x14ac:dyDescent="0.3">
      <c r="A390" t="s">
        <v>1131</v>
      </c>
      <c r="B390">
        <v>15088</v>
      </c>
      <c r="C390">
        <v>1</v>
      </c>
      <c r="D390" t="s">
        <v>1225</v>
      </c>
      <c r="E390" t="s">
        <v>818</v>
      </c>
      <c r="F390">
        <v>346</v>
      </c>
      <c r="G390">
        <v>31.3</v>
      </c>
      <c r="H390">
        <v>103.49</v>
      </c>
      <c r="I390">
        <v>25.7</v>
      </c>
      <c r="J390">
        <v>84.99</v>
      </c>
      <c r="K390">
        <v>244</v>
      </c>
      <c r="T390">
        <v>3</v>
      </c>
      <c r="U390">
        <v>2</v>
      </c>
      <c r="V390" t="s">
        <v>541</v>
      </c>
      <c r="W390">
        <v>103</v>
      </c>
      <c r="X390">
        <v>15</v>
      </c>
      <c r="Y390">
        <v>10</v>
      </c>
      <c r="Z390" t="s">
        <v>1226</v>
      </c>
      <c r="AA390" t="s">
        <v>1227</v>
      </c>
      <c r="AB390" t="s">
        <v>526</v>
      </c>
      <c r="AC390" t="s">
        <v>527</v>
      </c>
      <c r="AD390" t="s">
        <v>528</v>
      </c>
      <c r="AE390" t="s">
        <v>1136</v>
      </c>
      <c r="AG390" t="s">
        <v>1228</v>
      </c>
      <c r="AH390">
        <v>0</v>
      </c>
      <c r="AI390">
        <v>224</v>
      </c>
      <c r="AJ390">
        <v>24</v>
      </c>
      <c r="AK390">
        <v>425</v>
      </c>
      <c r="AL390">
        <v>1.23</v>
      </c>
    </row>
    <row r="391" spans="1:38" x14ac:dyDescent="0.3">
      <c r="A391" t="s">
        <v>1131</v>
      </c>
      <c r="B391">
        <v>15088</v>
      </c>
      <c r="C391">
        <v>2</v>
      </c>
      <c r="D391" t="s">
        <v>1225</v>
      </c>
      <c r="E391" t="s">
        <v>818</v>
      </c>
      <c r="F391">
        <v>346</v>
      </c>
      <c r="G391">
        <v>48.45</v>
      </c>
      <c r="H391">
        <v>160.19</v>
      </c>
      <c r="I391">
        <v>41.44</v>
      </c>
      <c r="J391">
        <v>137.01</v>
      </c>
      <c r="K391">
        <v>52</v>
      </c>
      <c r="T391">
        <v>4</v>
      </c>
      <c r="U391">
        <v>2</v>
      </c>
      <c r="V391" t="s">
        <v>541</v>
      </c>
      <c r="W391">
        <v>160</v>
      </c>
      <c r="X391">
        <v>15</v>
      </c>
      <c r="Y391">
        <v>10</v>
      </c>
      <c r="Z391" t="s">
        <v>1226</v>
      </c>
      <c r="AA391" t="s">
        <v>1227</v>
      </c>
      <c r="AB391" t="s">
        <v>526</v>
      </c>
      <c r="AC391" t="s">
        <v>527</v>
      </c>
      <c r="AD391" t="s">
        <v>528</v>
      </c>
      <c r="AE391" t="s">
        <v>1136</v>
      </c>
      <c r="AG391" t="s">
        <v>1228</v>
      </c>
      <c r="AH391">
        <v>0</v>
      </c>
      <c r="AI391">
        <v>224</v>
      </c>
      <c r="AJ391">
        <v>24</v>
      </c>
      <c r="AK391">
        <v>425</v>
      </c>
      <c r="AL391">
        <v>1.23</v>
      </c>
    </row>
    <row r="392" spans="1:38" x14ac:dyDescent="0.3">
      <c r="A392" t="s">
        <v>1131</v>
      </c>
      <c r="B392">
        <v>15088</v>
      </c>
      <c r="C392">
        <v>3</v>
      </c>
      <c r="D392" t="s">
        <v>1225</v>
      </c>
      <c r="E392" t="s">
        <v>818</v>
      </c>
      <c r="F392">
        <v>346</v>
      </c>
      <c r="G392">
        <v>55.39</v>
      </c>
      <c r="H392">
        <v>183.12</v>
      </c>
      <c r="I392">
        <v>47.49</v>
      </c>
      <c r="J392">
        <v>157.02000000000001</v>
      </c>
      <c r="K392">
        <v>50</v>
      </c>
      <c r="T392">
        <v>4</v>
      </c>
      <c r="U392">
        <v>2</v>
      </c>
      <c r="V392" t="s">
        <v>541</v>
      </c>
      <c r="W392">
        <v>183</v>
      </c>
      <c r="X392">
        <v>15</v>
      </c>
      <c r="Y392">
        <v>10</v>
      </c>
      <c r="Z392" t="s">
        <v>1226</v>
      </c>
      <c r="AA392" t="s">
        <v>1227</v>
      </c>
      <c r="AB392" t="s">
        <v>526</v>
      </c>
      <c r="AC392" t="s">
        <v>527</v>
      </c>
      <c r="AD392" t="s">
        <v>528</v>
      </c>
      <c r="AE392" t="s">
        <v>1136</v>
      </c>
      <c r="AG392" t="s">
        <v>1228</v>
      </c>
      <c r="AH392">
        <v>0</v>
      </c>
      <c r="AI392">
        <v>224</v>
      </c>
      <c r="AJ392">
        <v>24</v>
      </c>
      <c r="AK392">
        <v>425</v>
      </c>
      <c r="AL392">
        <v>1.23</v>
      </c>
    </row>
    <row r="393" spans="1:38" x14ac:dyDescent="0.3">
      <c r="A393" t="s">
        <v>1131</v>
      </c>
      <c r="B393">
        <v>5617</v>
      </c>
      <c r="C393">
        <v>1</v>
      </c>
      <c r="D393" t="s">
        <v>1229</v>
      </c>
      <c r="E393" t="s">
        <v>1230</v>
      </c>
      <c r="F393">
        <v>218</v>
      </c>
      <c r="G393">
        <v>25.48</v>
      </c>
      <c r="H393">
        <v>84.25</v>
      </c>
      <c r="I393">
        <v>18.149999999999999</v>
      </c>
      <c r="J393">
        <v>60</v>
      </c>
      <c r="K393">
        <v>102</v>
      </c>
      <c r="T393">
        <v>3</v>
      </c>
      <c r="U393">
        <v>1</v>
      </c>
      <c r="V393" t="s">
        <v>523</v>
      </c>
      <c r="W393">
        <v>84</v>
      </c>
      <c r="X393">
        <v>24</v>
      </c>
      <c r="Y393">
        <v>10</v>
      </c>
      <c r="Z393" t="s">
        <v>1231</v>
      </c>
      <c r="AA393" t="s">
        <v>1232</v>
      </c>
      <c r="AB393" t="s">
        <v>526</v>
      </c>
      <c r="AC393" t="s">
        <v>527</v>
      </c>
      <c r="AD393" t="s">
        <v>528</v>
      </c>
      <c r="AE393" t="s">
        <v>1136</v>
      </c>
      <c r="AG393" t="s">
        <v>1233</v>
      </c>
      <c r="AH393">
        <v>0</v>
      </c>
      <c r="AI393">
        <v>370</v>
      </c>
      <c r="AJ393">
        <v>25</v>
      </c>
      <c r="AK393">
        <v>160</v>
      </c>
      <c r="AL393">
        <v>0.73</v>
      </c>
    </row>
    <row r="394" spans="1:38" x14ac:dyDescent="0.3">
      <c r="A394" t="s">
        <v>1131</v>
      </c>
      <c r="B394">
        <v>5617</v>
      </c>
      <c r="C394">
        <v>2</v>
      </c>
      <c r="D394" t="s">
        <v>1229</v>
      </c>
      <c r="E394" t="s">
        <v>1230</v>
      </c>
      <c r="F394">
        <v>218</v>
      </c>
      <c r="G394">
        <v>28.44</v>
      </c>
      <c r="H394">
        <v>94.04</v>
      </c>
      <c r="I394">
        <v>22.4</v>
      </c>
      <c r="J394">
        <v>74.06</v>
      </c>
      <c r="K394">
        <v>24</v>
      </c>
      <c r="T394">
        <v>3</v>
      </c>
      <c r="U394">
        <v>1</v>
      </c>
      <c r="V394" t="s">
        <v>541</v>
      </c>
      <c r="W394">
        <v>94</v>
      </c>
      <c r="X394">
        <v>24</v>
      </c>
      <c r="Y394">
        <v>10</v>
      </c>
      <c r="Z394" t="s">
        <v>1231</v>
      </c>
      <c r="AA394" t="s">
        <v>1232</v>
      </c>
      <c r="AB394" t="s">
        <v>526</v>
      </c>
      <c r="AC394" t="s">
        <v>527</v>
      </c>
      <c r="AD394" t="s">
        <v>528</v>
      </c>
      <c r="AE394" t="s">
        <v>1136</v>
      </c>
      <c r="AG394" t="s">
        <v>1233</v>
      </c>
      <c r="AH394">
        <v>0</v>
      </c>
      <c r="AI394">
        <v>370</v>
      </c>
      <c r="AJ394">
        <v>25</v>
      </c>
      <c r="AK394">
        <v>160</v>
      </c>
      <c r="AL394">
        <v>0.73</v>
      </c>
    </row>
    <row r="395" spans="1:38" x14ac:dyDescent="0.3">
      <c r="A395" t="s">
        <v>1131</v>
      </c>
      <c r="B395">
        <v>5617</v>
      </c>
      <c r="C395">
        <v>3</v>
      </c>
      <c r="D395" t="s">
        <v>1229</v>
      </c>
      <c r="E395" t="s">
        <v>1230</v>
      </c>
      <c r="F395">
        <v>218</v>
      </c>
      <c r="G395">
        <v>31.98</v>
      </c>
      <c r="H395">
        <v>105.75</v>
      </c>
      <c r="I395">
        <v>25.71</v>
      </c>
      <c r="J395">
        <v>85</v>
      </c>
      <c r="K395">
        <v>48</v>
      </c>
      <c r="T395">
        <v>3</v>
      </c>
      <c r="U395">
        <v>2</v>
      </c>
      <c r="V395" t="s">
        <v>541</v>
      </c>
      <c r="W395">
        <v>105</v>
      </c>
      <c r="X395">
        <v>24</v>
      </c>
      <c r="Y395">
        <v>10</v>
      </c>
      <c r="Z395" t="s">
        <v>1231</v>
      </c>
      <c r="AA395" t="s">
        <v>1232</v>
      </c>
      <c r="AB395" t="s">
        <v>526</v>
      </c>
      <c r="AC395" t="s">
        <v>527</v>
      </c>
      <c r="AD395" t="s">
        <v>528</v>
      </c>
      <c r="AE395" t="s">
        <v>1136</v>
      </c>
      <c r="AG395" t="s">
        <v>1233</v>
      </c>
      <c r="AH395">
        <v>0</v>
      </c>
      <c r="AI395">
        <v>370</v>
      </c>
      <c r="AJ395">
        <v>25</v>
      </c>
      <c r="AK395">
        <v>160</v>
      </c>
      <c r="AL395">
        <v>0.73</v>
      </c>
    </row>
    <row r="396" spans="1:38" x14ac:dyDescent="0.3">
      <c r="A396" t="s">
        <v>1131</v>
      </c>
      <c r="B396">
        <v>5617</v>
      </c>
      <c r="C396">
        <v>4</v>
      </c>
      <c r="D396" t="s">
        <v>1229</v>
      </c>
      <c r="E396" t="s">
        <v>1230</v>
      </c>
      <c r="F396">
        <v>218</v>
      </c>
      <c r="G396">
        <v>39.22</v>
      </c>
      <c r="H396">
        <v>129.66999999999999</v>
      </c>
      <c r="I396">
        <v>31.95</v>
      </c>
      <c r="J396">
        <v>105.64</v>
      </c>
      <c r="K396">
        <v>44</v>
      </c>
      <c r="T396">
        <v>4</v>
      </c>
      <c r="U396">
        <v>2</v>
      </c>
      <c r="V396" t="s">
        <v>541</v>
      </c>
      <c r="W396">
        <v>129</v>
      </c>
      <c r="X396">
        <v>24</v>
      </c>
      <c r="Y396">
        <v>10</v>
      </c>
      <c r="Z396" t="s">
        <v>1231</v>
      </c>
      <c r="AA396" t="s">
        <v>1232</v>
      </c>
      <c r="AB396" t="s">
        <v>526</v>
      </c>
      <c r="AC396" t="s">
        <v>527</v>
      </c>
      <c r="AD396" t="s">
        <v>528</v>
      </c>
      <c r="AE396" t="s">
        <v>1136</v>
      </c>
      <c r="AG396" t="s">
        <v>1233</v>
      </c>
      <c r="AH396">
        <v>0</v>
      </c>
      <c r="AI396">
        <v>370</v>
      </c>
      <c r="AJ396">
        <v>25</v>
      </c>
      <c r="AK396">
        <v>160</v>
      </c>
      <c r="AL396">
        <v>0.73</v>
      </c>
    </row>
    <row r="397" spans="1:38" x14ac:dyDescent="0.3">
      <c r="A397" t="s">
        <v>1234</v>
      </c>
      <c r="B397">
        <v>116872</v>
      </c>
      <c r="C397">
        <v>1</v>
      </c>
      <c r="D397" t="s">
        <v>1235</v>
      </c>
      <c r="E397" t="s">
        <v>1236</v>
      </c>
      <c r="F397">
        <v>198</v>
      </c>
      <c r="G397">
        <v>33.42</v>
      </c>
      <c r="H397">
        <v>110.49</v>
      </c>
      <c r="I397">
        <v>17.190000000000001</v>
      </c>
      <c r="J397">
        <v>56.83</v>
      </c>
      <c r="K397">
        <v>50</v>
      </c>
      <c r="T397">
        <v>3</v>
      </c>
      <c r="U397">
        <v>2</v>
      </c>
      <c r="V397" t="s">
        <v>541</v>
      </c>
      <c r="W397" t="s">
        <v>293</v>
      </c>
      <c r="X397">
        <v>27</v>
      </c>
      <c r="Y397">
        <v>27</v>
      </c>
      <c r="Z397" t="s">
        <v>1237</v>
      </c>
      <c r="AA397" t="s">
        <v>1238</v>
      </c>
      <c r="AB397" t="s">
        <v>526</v>
      </c>
      <c r="AC397" t="s">
        <v>527</v>
      </c>
      <c r="AD397" t="s">
        <v>528</v>
      </c>
      <c r="AE397" t="s">
        <v>1239</v>
      </c>
      <c r="AG397" t="s">
        <v>1240</v>
      </c>
      <c r="AH397">
        <v>0</v>
      </c>
      <c r="AI397">
        <v>499</v>
      </c>
      <c r="AJ397">
        <v>57</v>
      </c>
      <c r="AK397">
        <v>207</v>
      </c>
      <c r="AL397">
        <v>1.05</v>
      </c>
    </row>
    <row r="398" spans="1:38" x14ac:dyDescent="0.3">
      <c r="A398" t="s">
        <v>1234</v>
      </c>
      <c r="B398">
        <v>116872</v>
      </c>
      <c r="C398">
        <v>2</v>
      </c>
      <c r="D398" t="s">
        <v>1235</v>
      </c>
      <c r="E398" t="s">
        <v>1236</v>
      </c>
      <c r="F398">
        <v>198</v>
      </c>
      <c r="G398">
        <v>34.130000000000003</v>
      </c>
      <c r="H398">
        <v>112.84</v>
      </c>
      <c r="I398">
        <v>17.89</v>
      </c>
      <c r="J398">
        <v>59.17</v>
      </c>
      <c r="K398">
        <v>99</v>
      </c>
      <c r="T398">
        <v>3</v>
      </c>
      <c r="U398">
        <v>2</v>
      </c>
      <c r="V398" t="s">
        <v>541</v>
      </c>
      <c r="W398" t="s">
        <v>247</v>
      </c>
      <c r="X398">
        <v>27</v>
      </c>
      <c r="Y398">
        <v>27</v>
      </c>
      <c r="Z398" t="s">
        <v>1237</v>
      </c>
      <c r="AA398" t="s">
        <v>1238</v>
      </c>
      <c r="AB398" t="s">
        <v>526</v>
      </c>
      <c r="AC398" t="s">
        <v>527</v>
      </c>
      <c r="AD398" t="s">
        <v>528</v>
      </c>
      <c r="AE398" t="s">
        <v>1239</v>
      </c>
      <c r="AG398" t="s">
        <v>1240</v>
      </c>
      <c r="AH398">
        <v>0</v>
      </c>
      <c r="AI398">
        <v>499</v>
      </c>
      <c r="AJ398">
        <v>57</v>
      </c>
      <c r="AK398">
        <v>207</v>
      </c>
      <c r="AL398">
        <v>1.05</v>
      </c>
    </row>
    <row r="399" spans="1:38" x14ac:dyDescent="0.3">
      <c r="A399" t="s">
        <v>1234</v>
      </c>
      <c r="B399">
        <v>116872</v>
      </c>
      <c r="C399">
        <v>3</v>
      </c>
      <c r="D399" t="s">
        <v>1235</v>
      </c>
      <c r="E399" t="s">
        <v>1236</v>
      </c>
      <c r="F399">
        <v>198</v>
      </c>
      <c r="G399">
        <v>34.119999999999997</v>
      </c>
      <c r="H399">
        <v>112.8</v>
      </c>
      <c r="I399">
        <v>17.55</v>
      </c>
      <c r="J399">
        <v>58.03</v>
      </c>
      <c r="K399">
        <v>49</v>
      </c>
      <c r="T399">
        <v>3</v>
      </c>
      <c r="U399">
        <v>2</v>
      </c>
      <c r="V399" t="s">
        <v>541</v>
      </c>
      <c r="W399" t="s">
        <v>249</v>
      </c>
      <c r="X399">
        <v>27</v>
      </c>
      <c r="Y399">
        <v>27</v>
      </c>
      <c r="Z399" t="s">
        <v>1237</v>
      </c>
      <c r="AA399" t="s">
        <v>1238</v>
      </c>
      <c r="AB399" t="s">
        <v>526</v>
      </c>
      <c r="AC399" t="s">
        <v>527</v>
      </c>
      <c r="AD399" t="s">
        <v>528</v>
      </c>
      <c r="AE399" t="s">
        <v>1239</v>
      </c>
      <c r="AG399" t="s">
        <v>1240</v>
      </c>
      <c r="AH399">
        <v>0</v>
      </c>
      <c r="AI399">
        <v>499</v>
      </c>
      <c r="AJ399">
        <v>57</v>
      </c>
      <c r="AK399">
        <v>207</v>
      </c>
      <c r="AL399">
        <v>1.05</v>
      </c>
    </row>
    <row r="400" spans="1:38" x14ac:dyDescent="0.3">
      <c r="A400" t="s">
        <v>1234</v>
      </c>
      <c r="B400">
        <v>128001</v>
      </c>
      <c r="C400">
        <v>1</v>
      </c>
      <c r="D400" t="s">
        <v>1241</v>
      </c>
      <c r="E400" t="s">
        <v>1242</v>
      </c>
      <c r="F400">
        <v>1319</v>
      </c>
      <c r="G400">
        <v>24.06</v>
      </c>
      <c r="H400">
        <v>79.569999999999993</v>
      </c>
      <c r="I400">
        <v>18.059999999999999</v>
      </c>
      <c r="J400">
        <v>59.72</v>
      </c>
      <c r="K400">
        <v>433</v>
      </c>
      <c r="T400">
        <v>3</v>
      </c>
      <c r="U400">
        <v>2</v>
      </c>
      <c r="V400" t="s">
        <v>541</v>
      </c>
      <c r="W400" t="s">
        <v>275</v>
      </c>
      <c r="X400">
        <v>25</v>
      </c>
      <c r="Y400">
        <v>15</v>
      </c>
      <c r="Z400" t="s">
        <v>1243</v>
      </c>
      <c r="AA400" t="s">
        <v>1244</v>
      </c>
      <c r="AB400" t="s">
        <v>526</v>
      </c>
      <c r="AC400" t="s">
        <v>527</v>
      </c>
      <c r="AD400" t="s">
        <v>528</v>
      </c>
      <c r="AE400" t="s">
        <v>1239</v>
      </c>
      <c r="AG400" t="s">
        <v>899</v>
      </c>
      <c r="AH400">
        <v>0</v>
      </c>
      <c r="AI400">
        <v>237</v>
      </c>
      <c r="AJ400">
        <v>17</v>
      </c>
      <c r="AK400">
        <v>1585</v>
      </c>
      <c r="AL400">
        <v>1.2</v>
      </c>
    </row>
    <row r="401" spans="1:38" x14ac:dyDescent="0.3">
      <c r="A401" t="s">
        <v>1234</v>
      </c>
      <c r="B401">
        <v>128001</v>
      </c>
      <c r="C401">
        <v>2</v>
      </c>
      <c r="D401" t="s">
        <v>1241</v>
      </c>
      <c r="E401" t="s">
        <v>1242</v>
      </c>
      <c r="F401">
        <v>1319</v>
      </c>
      <c r="G401">
        <v>24.57</v>
      </c>
      <c r="H401">
        <v>81.239999999999995</v>
      </c>
      <c r="I401">
        <v>18.100000000000001</v>
      </c>
      <c r="J401">
        <v>59.84</v>
      </c>
      <c r="K401">
        <v>99</v>
      </c>
      <c r="T401">
        <v>3</v>
      </c>
      <c r="U401">
        <v>2</v>
      </c>
      <c r="V401" t="s">
        <v>541</v>
      </c>
      <c r="W401" t="s">
        <v>276</v>
      </c>
      <c r="X401">
        <v>25</v>
      </c>
      <c r="Y401">
        <v>15</v>
      </c>
      <c r="Z401" t="s">
        <v>1243</v>
      </c>
      <c r="AA401" t="s">
        <v>1244</v>
      </c>
      <c r="AB401" t="s">
        <v>526</v>
      </c>
      <c r="AC401" t="s">
        <v>527</v>
      </c>
      <c r="AD401" t="s">
        <v>528</v>
      </c>
      <c r="AE401" t="s">
        <v>1239</v>
      </c>
      <c r="AG401" t="s">
        <v>899</v>
      </c>
      <c r="AH401">
        <v>0</v>
      </c>
      <c r="AI401">
        <v>237</v>
      </c>
      <c r="AJ401">
        <v>17</v>
      </c>
      <c r="AK401">
        <v>1585</v>
      </c>
      <c r="AL401">
        <v>1.2</v>
      </c>
    </row>
    <row r="402" spans="1:38" x14ac:dyDescent="0.3">
      <c r="A402" t="s">
        <v>1234</v>
      </c>
      <c r="B402">
        <v>128001</v>
      </c>
      <c r="C402">
        <v>3</v>
      </c>
      <c r="D402" t="s">
        <v>1241</v>
      </c>
      <c r="E402" t="s">
        <v>1242</v>
      </c>
      <c r="F402">
        <v>1319</v>
      </c>
      <c r="G402">
        <v>29.79</v>
      </c>
      <c r="H402">
        <v>98.5</v>
      </c>
      <c r="I402">
        <v>22.67</v>
      </c>
      <c r="J402">
        <v>74.959999999999994</v>
      </c>
      <c r="K402">
        <v>80</v>
      </c>
      <c r="T402">
        <v>3</v>
      </c>
      <c r="U402">
        <v>2</v>
      </c>
      <c r="V402" t="s">
        <v>541</v>
      </c>
      <c r="W402" t="s">
        <v>277</v>
      </c>
      <c r="X402">
        <v>25</v>
      </c>
      <c r="Y402">
        <v>15</v>
      </c>
      <c r="Z402" t="s">
        <v>1243</v>
      </c>
      <c r="AA402" t="s">
        <v>1244</v>
      </c>
      <c r="AB402" t="s">
        <v>526</v>
      </c>
      <c r="AC402" t="s">
        <v>527</v>
      </c>
      <c r="AD402" t="s">
        <v>528</v>
      </c>
      <c r="AE402" t="s">
        <v>1239</v>
      </c>
      <c r="AG402" t="s">
        <v>899</v>
      </c>
      <c r="AH402">
        <v>0</v>
      </c>
      <c r="AI402">
        <v>237</v>
      </c>
      <c r="AJ402">
        <v>17</v>
      </c>
      <c r="AK402">
        <v>1585</v>
      </c>
      <c r="AL402">
        <v>1.2</v>
      </c>
    </row>
    <row r="403" spans="1:38" x14ac:dyDescent="0.3">
      <c r="A403" t="s">
        <v>1234</v>
      </c>
      <c r="B403">
        <v>128001</v>
      </c>
      <c r="C403">
        <v>4</v>
      </c>
      <c r="D403" t="s">
        <v>1241</v>
      </c>
      <c r="E403" t="s">
        <v>1242</v>
      </c>
      <c r="F403">
        <v>1319</v>
      </c>
      <c r="G403">
        <v>30.1</v>
      </c>
      <c r="H403">
        <v>99.51</v>
      </c>
      <c r="I403">
        <v>22.65</v>
      </c>
      <c r="J403">
        <v>74.89</v>
      </c>
      <c r="K403">
        <v>200</v>
      </c>
      <c r="T403">
        <v>3</v>
      </c>
      <c r="U403">
        <v>2</v>
      </c>
      <c r="V403" t="s">
        <v>541</v>
      </c>
      <c r="W403" t="s">
        <v>278</v>
      </c>
      <c r="X403">
        <v>25</v>
      </c>
      <c r="Y403">
        <v>15</v>
      </c>
      <c r="Z403" t="s">
        <v>1243</v>
      </c>
      <c r="AA403" t="s">
        <v>1244</v>
      </c>
      <c r="AB403" t="s">
        <v>526</v>
      </c>
      <c r="AC403" t="s">
        <v>527</v>
      </c>
      <c r="AD403" t="s">
        <v>528</v>
      </c>
      <c r="AE403" t="s">
        <v>1239</v>
      </c>
      <c r="AG403" t="s">
        <v>899</v>
      </c>
      <c r="AH403">
        <v>0</v>
      </c>
      <c r="AI403">
        <v>237</v>
      </c>
      <c r="AJ403">
        <v>17</v>
      </c>
      <c r="AK403">
        <v>1585</v>
      </c>
      <c r="AL403">
        <v>1.2</v>
      </c>
    </row>
    <row r="404" spans="1:38" x14ac:dyDescent="0.3">
      <c r="A404" t="s">
        <v>1234</v>
      </c>
      <c r="B404">
        <v>128001</v>
      </c>
      <c r="C404">
        <v>5</v>
      </c>
      <c r="D404" t="s">
        <v>1241</v>
      </c>
      <c r="E404" t="s">
        <v>1242</v>
      </c>
      <c r="F404">
        <v>1319</v>
      </c>
      <c r="G404">
        <v>33.79</v>
      </c>
      <c r="H404">
        <v>111.73</v>
      </c>
      <c r="I404">
        <v>25.64</v>
      </c>
      <c r="J404">
        <v>84.79</v>
      </c>
      <c r="K404">
        <v>412</v>
      </c>
      <c r="T404">
        <v>3</v>
      </c>
      <c r="U404">
        <v>2</v>
      </c>
      <c r="V404" t="s">
        <v>541</v>
      </c>
      <c r="W404" t="s">
        <v>220</v>
      </c>
      <c r="X404">
        <v>25</v>
      </c>
      <c r="Y404">
        <v>15</v>
      </c>
      <c r="Z404" t="s">
        <v>1243</v>
      </c>
      <c r="AA404" t="s">
        <v>1244</v>
      </c>
      <c r="AB404" t="s">
        <v>526</v>
      </c>
      <c r="AC404" t="s">
        <v>527</v>
      </c>
      <c r="AD404" t="s">
        <v>528</v>
      </c>
      <c r="AE404" t="s">
        <v>1239</v>
      </c>
      <c r="AG404" t="s">
        <v>899</v>
      </c>
      <c r="AH404">
        <v>0</v>
      </c>
      <c r="AI404">
        <v>237</v>
      </c>
      <c r="AJ404">
        <v>17</v>
      </c>
      <c r="AK404">
        <v>1585</v>
      </c>
      <c r="AL404">
        <v>1.2</v>
      </c>
    </row>
    <row r="405" spans="1:38" x14ac:dyDescent="0.3">
      <c r="A405" t="s">
        <v>1234</v>
      </c>
      <c r="B405">
        <v>128001</v>
      </c>
      <c r="C405">
        <v>6</v>
      </c>
      <c r="D405" t="s">
        <v>1241</v>
      </c>
      <c r="E405" t="s">
        <v>1242</v>
      </c>
      <c r="F405">
        <v>1319</v>
      </c>
      <c r="G405">
        <v>34.07</v>
      </c>
      <c r="H405">
        <v>112.64</v>
      </c>
      <c r="I405">
        <v>25.62</v>
      </c>
      <c r="J405">
        <v>84.71</v>
      </c>
      <c r="K405">
        <v>95</v>
      </c>
      <c r="T405">
        <v>3</v>
      </c>
      <c r="U405">
        <v>2</v>
      </c>
      <c r="V405" t="s">
        <v>541</v>
      </c>
      <c r="W405" t="s">
        <v>249</v>
      </c>
      <c r="X405">
        <v>25</v>
      </c>
      <c r="Y405">
        <v>15</v>
      </c>
      <c r="Z405" t="s">
        <v>1243</v>
      </c>
      <c r="AA405" t="s">
        <v>1244</v>
      </c>
      <c r="AB405" t="s">
        <v>526</v>
      </c>
      <c r="AC405" t="s">
        <v>527</v>
      </c>
      <c r="AD405" t="s">
        <v>528</v>
      </c>
      <c r="AE405" t="s">
        <v>1239</v>
      </c>
      <c r="AG405" t="s">
        <v>899</v>
      </c>
      <c r="AH405">
        <v>0</v>
      </c>
      <c r="AI405">
        <v>237</v>
      </c>
      <c r="AJ405">
        <v>17</v>
      </c>
      <c r="AK405">
        <v>1585</v>
      </c>
      <c r="AL405">
        <v>1.2</v>
      </c>
    </row>
    <row r="406" spans="1:38" x14ac:dyDescent="0.3">
      <c r="A406" t="s">
        <v>1234</v>
      </c>
      <c r="B406">
        <v>26326</v>
      </c>
      <c r="C406">
        <v>1</v>
      </c>
      <c r="D406" t="s">
        <v>1245</v>
      </c>
      <c r="E406" t="s">
        <v>1246</v>
      </c>
      <c r="F406">
        <v>712</v>
      </c>
      <c r="G406">
        <v>45.66</v>
      </c>
      <c r="H406">
        <v>150.94999999999999</v>
      </c>
      <c r="I406">
        <v>37</v>
      </c>
      <c r="J406">
        <v>122.34</v>
      </c>
      <c r="K406">
        <v>76</v>
      </c>
      <c r="T406">
        <v>4</v>
      </c>
      <c r="U406">
        <v>2</v>
      </c>
      <c r="V406" t="s">
        <v>523</v>
      </c>
      <c r="W406">
        <v>150</v>
      </c>
      <c r="X406">
        <v>18</v>
      </c>
      <c r="Y406">
        <v>8</v>
      </c>
      <c r="Z406" t="s">
        <v>1247</v>
      </c>
      <c r="AA406" t="s">
        <v>1248</v>
      </c>
      <c r="AB406" t="s">
        <v>526</v>
      </c>
      <c r="AC406" t="s">
        <v>527</v>
      </c>
      <c r="AD406" t="s">
        <v>528</v>
      </c>
      <c r="AE406" t="s">
        <v>1239</v>
      </c>
      <c r="AG406" t="s">
        <v>1249</v>
      </c>
      <c r="AH406">
        <v>0</v>
      </c>
      <c r="AI406">
        <v>249</v>
      </c>
      <c r="AJ406">
        <v>19</v>
      </c>
      <c r="AK406">
        <v>1639</v>
      </c>
      <c r="AL406">
        <v>2.2999999999999998</v>
      </c>
    </row>
    <row r="407" spans="1:38" x14ac:dyDescent="0.3">
      <c r="A407" t="s">
        <v>1234</v>
      </c>
      <c r="B407">
        <v>26326</v>
      </c>
      <c r="C407">
        <v>2</v>
      </c>
      <c r="D407" t="s">
        <v>1245</v>
      </c>
      <c r="E407" t="s">
        <v>1246</v>
      </c>
      <c r="F407">
        <v>712</v>
      </c>
      <c r="G407">
        <v>49.16</v>
      </c>
      <c r="H407">
        <v>162.52000000000001</v>
      </c>
      <c r="I407">
        <v>39.69</v>
      </c>
      <c r="J407">
        <v>131.22999999999999</v>
      </c>
      <c r="K407">
        <v>90</v>
      </c>
      <c r="T407">
        <v>4</v>
      </c>
      <c r="U407">
        <v>2</v>
      </c>
      <c r="V407" t="s">
        <v>523</v>
      </c>
      <c r="W407">
        <v>162</v>
      </c>
      <c r="X407">
        <v>18</v>
      </c>
      <c r="Y407">
        <v>8</v>
      </c>
      <c r="Z407" t="s">
        <v>1247</v>
      </c>
      <c r="AA407" t="s">
        <v>1248</v>
      </c>
      <c r="AB407" t="s">
        <v>526</v>
      </c>
      <c r="AC407" t="s">
        <v>527</v>
      </c>
      <c r="AD407" t="s">
        <v>528</v>
      </c>
      <c r="AE407" t="s">
        <v>1239</v>
      </c>
      <c r="AG407" t="s">
        <v>1249</v>
      </c>
      <c r="AH407">
        <v>0</v>
      </c>
      <c r="AI407">
        <v>249</v>
      </c>
      <c r="AJ407">
        <v>19</v>
      </c>
      <c r="AK407">
        <v>1639</v>
      </c>
      <c r="AL407">
        <v>2.2999999999999998</v>
      </c>
    </row>
    <row r="408" spans="1:38" x14ac:dyDescent="0.3">
      <c r="A408" t="s">
        <v>1234</v>
      </c>
      <c r="B408">
        <v>26326</v>
      </c>
      <c r="C408">
        <v>3</v>
      </c>
      <c r="D408" t="s">
        <v>1245</v>
      </c>
      <c r="E408" t="s">
        <v>1246</v>
      </c>
      <c r="F408">
        <v>712</v>
      </c>
      <c r="G408">
        <v>49.87</v>
      </c>
      <c r="H408">
        <v>164.87</v>
      </c>
      <c r="I408">
        <v>41.04</v>
      </c>
      <c r="J408">
        <v>135.66999999999999</v>
      </c>
      <c r="K408">
        <v>204</v>
      </c>
      <c r="T408">
        <v>4</v>
      </c>
      <c r="U408">
        <v>2</v>
      </c>
      <c r="V408" t="s">
        <v>523</v>
      </c>
      <c r="W408">
        <v>164</v>
      </c>
      <c r="X408">
        <v>18</v>
      </c>
      <c r="Y408">
        <v>8</v>
      </c>
      <c r="Z408" t="s">
        <v>1247</v>
      </c>
      <c r="AA408" t="s">
        <v>1248</v>
      </c>
      <c r="AB408" t="s">
        <v>526</v>
      </c>
      <c r="AC408" t="s">
        <v>527</v>
      </c>
      <c r="AD408" t="s">
        <v>528</v>
      </c>
      <c r="AE408" t="s">
        <v>1239</v>
      </c>
      <c r="AG408" t="s">
        <v>1249</v>
      </c>
      <c r="AH408">
        <v>0</v>
      </c>
      <c r="AI408">
        <v>249</v>
      </c>
      <c r="AJ408">
        <v>19</v>
      </c>
      <c r="AK408">
        <v>1639</v>
      </c>
      <c r="AL408">
        <v>2.2999999999999998</v>
      </c>
    </row>
    <row r="409" spans="1:38" x14ac:dyDescent="0.3">
      <c r="A409" t="s">
        <v>1234</v>
      </c>
      <c r="B409">
        <v>26326</v>
      </c>
      <c r="C409">
        <v>4</v>
      </c>
      <c r="D409" t="s">
        <v>1245</v>
      </c>
      <c r="E409" t="s">
        <v>1246</v>
      </c>
      <c r="F409">
        <v>712</v>
      </c>
      <c r="G409">
        <v>59.68</v>
      </c>
      <c r="H409">
        <v>197.29</v>
      </c>
      <c r="I409">
        <v>49.64</v>
      </c>
      <c r="J409">
        <v>164.13</v>
      </c>
      <c r="K409">
        <v>130</v>
      </c>
      <c r="T409">
        <v>4</v>
      </c>
      <c r="U409">
        <v>2</v>
      </c>
      <c r="V409" t="s">
        <v>523</v>
      </c>
      <c r="W409">
        <v>197</v>
      </c>
      <c r="X409">
        <v>18</v>
      </c>
      <c r="Y409">
        <v>8</v>
      </c>
      <c r="Z409" t="s">
        <v>1247</v>
      </c>
      <c r="AA409" t="s">
        <v>1248</v>
      </c>
      <c r="AB409" t="s">
        <v>526</v>
      </c>
      <c r="AC409" t="s">
        <v>527</v>
      </c>
      <c r="AD409" t="s">
        <v>528</v>
      </c>
      <c r="AE409" t="s">
        <v>1239</v>
      </c>
      <c r="AG409" t="s">
        <v>1249</v>
      </c>
      <c r="AH409">
        <v>0</v>
      </c>
      <c r="AI409">
        <v>249</v>
      </c>
      <c r="AJ409">
        <v>19</v>
      </c>
      <c r="AK409">
        <v>1639</v>
      </c>
      <c r="AL409">
        <v>2.2999999999999998</v>
      </c>
    </row>
    <row r="410" spans="1:38" x14ac:dyDescent="0.3">
      <c r="A410" t="s">
        <v>1234</v>
      </c>
      <c r="B410">
        <v>26326</v>
      </c>
      <c r="C410">
        <v>5</v>
      </c>
      <c r="D410" t="s">
        <v>1245</v>
      </c>
      <c r="E410" t="s">
        <v>1246</v>
      </c>
      <c r="F410">
        <v>712</v>
      </c>
      <c r="G410">
        <v>69.34</v>
      </c>
      <c r="H410">
        <v>229.23</v>
      </c>
      <c r="I410">
        <v>57.41</v>
      </c>
      <c r="J410">
        <v>189.79</v>
      </c>
      <c r="K410">
        <v>172</v>
      </c>
      <c r="T410">
        <v>4</v>
      </c>
      <c r="U410">
        <v>3</v>
      </c>
      <c r="V410" t="s">
        <v>523</v>
      </c>
      <c r="W410">
        <v>229</v>
      </c>
      <c r="X410">
        <v>18</v>
      </c>
      <c r="Y410">
        <v>8</v>
      </c>
      <c r="Z410" t="s">
        <v>1247</v>
      </c>
      <c r="AA410" t="s">
        <v>1248</v>
      </c>
      <c r="AB410" t="s">
        <v>526</v>
      </c>
      <c r="AC410" t="s">
        <v>527</v>
      </c>
      <c r="AD410" t="s">
        <v>528</v>
      </c>
      <c r="AE410" t="s">
        <v>1239</v>
      </c>
      <c r="AG410" t="s">
        <v>1249</v>
      </c>
      <c r="AH410">
        <v>0</v>
      </c>
      <c r="AI410">
        <v>249</v>
      </c>
      <c r="AJ410">
        <v>19</v>
      </c>
      <c r="AK410">
        <v>1639</v>
      </c>
      <c r="AL410">
        <v>2.2999999999999998</v>
      </c>
    </row>
    <row r="411" spans="1:38" x14ac:dyDescent="0.3">
      <c r="A411" t="s">
        <v>1234</v>
      </c>
      <c r="B411">
        <v>26326</v>
      </c>
      <c r="C411">
        <v>6</v>
      </c>
      <c r="D411" t="s">
        <v>1245</v>
      </c>
      <c r="E411" t="s">
        <v>1246</v>
      </c>
      <c r="F411">
        <v>712</v>
      </c>
      <c r="G411">
        <v>77.55</v>
      </c>
      <c r="H411">
        <v>256.39</v>
      </c>
      <c r="I411">
        <v>62.25</v>
      </c>
      <c r="J411">
        <v>205.79</v>
      </c>
      <c r="K411">
        <v>34</v>
      </c>
      <c r="T411">
        <v>4</v>
      </c>
      <c r="U411">
        <v>3</v>
      </c>
      <c r="V411" t="s">
        <v>523</v>
      </c>
      <c r="W411">
        <v>256</v>
      </c>
      <c r="X411">
        <v>18</v>
      </c>
      <c r="Y411">
        <v>8</v>
      </c>
      <c r="Z411" t="s">
        <v>1247</v>
      </c>
      <c r="AA411" t="s">
        <v>1248</v>
      </c>
      <c r="AB411" t="s">
        <v>526</v>
      </c>
      <c r="AC411" t="s">
        <v>527</v>
      </c>
      <c r="AD411" t="s">
        <v>528</v>
      </c>
      <c r="AE411" t="s">
        <v>1239</v>
      </c>
      <c r="AG411" t="s">
        <v>1249</v>
      </c>
      <c r="AH411">
        <v>0</v>
      </c>
      <c r="AI411">
        <v>249</v>
      </c>
      <c r="AJ411">
        <v>19</v>
      </c>
      <c r="AK411">
        <v>1639</v>
      </c>
      <c r="AL411">
        <v>2.2999999999999998</v>
      </c>
    </row>
    <row r="412" spans="1:38" x14ac:dyDescent="0.3">
      <c r="A412" t="s">
        <v>1234</v>
      </c>
      <c r="B412">
        <v>26326</v>
      </c>
      <c r="C412">
        <v>7</v>
      </c>
      <c r="D412" t="s">
        <v>1245</v>
      </c>
      <c r="E412" t="s">
        <v>1246</v>
      </c>
      <c r="F412">
        <v>712</v>
      </c>
      <c r="G412">
        <v>89.72</v>
      </c>
      <c r="H412">
        <v>296.60000000000002</v>
      </c>
      <c r="I412">
        <v>71.11</v>
      </c>
      <c r="J412">
        <v>235.1</v>
      </c>
      <c r="K412">
        <v>6</v>
      </c>
      <c r="T412">
        <v>4</v>
      </c>
      <c r="U412">
        <v>3</v>
      </c>
      <c r="V412" t="s">
        <v>523</v>
      </c>
      <c r="W412">
        <v>296</v>
      </c>
      <c r="X412">
        <v>18</v>
      </c>
      <c r="Y412">
        <v>8</v>
      </c>
      <c r="Z412" t="s">
        <v>1247</v>
      </c>
      <c r="AA412" t="s">
        <v>1248</v>
      </c>
      <c r="AB412" t="s">
        <v>526</v>
      </c>
      <c r="AC412" t="s">
        <v>527</v>
      </c>
      <c r="AD412" t="s">
        <v>528</v>
      </c>
      <c r="AE412" t="s">
        <v>1239</v>
      </c>
      <c r="AG412" t="s">
        <v>1249</v>
      </c>
      <c r="AH412">
        <v>0</v>
      </c>
      <c r="AI412">
        <v>249</v>
      </c>
      <c r="AJ412">
        <v>19</v>
      </c>
      <c r="AK412">
        <v>1639</v>
      </c>
      <c r="AL412">
        <v>2.2999999999999998</v>
      </c>
    </row>
    <row r="413" spans="1:38" x14ac:dyDescent="0.3">
      <c r="A413" t="s">
        <v>1234</v>
      </c>
      <c r="B413">
        <v>5660</v>
      </c>
      <c r="C413">
        <v>1</v>
      </c>
      <c r="D413" t="s">
        <v>1250</v>
      </c>
      <c r="E413" t="s">
        <v>1251</v>
      </c>
      <c r="F413">
        <v>122</v>
      </c>
      <c r="G413">
        <v>29.75</v>
      </c>
      <c r="H413">
        <v>98.35</v>
      </c>
      <c r="I413">
        <v>24.32</v>
      </c>
      <c r="J413">
        <v>80.400000000000006</v>
      </c>
      <c r="K413">
        <v>1</v>
      </c>
      <c r="T413">
        <v>3</v>
      </c>
      <c r="U413">
        <v>1</v>
      </c>
      <c r="V413" t="s">
        <v>541</v>
      </c>
      <c r="W413" t="s">
        <v>277</v>
      </c>
      <c r="X413">
        <v>12</v>
      </c>
      <c r="Y413">
        <v>8</v>
      </c>
      <c r="Z413" t="s">
        <v>1252</v>
      </c>
      <c r="AA413" t="s">
        <v>1253</v>
      </c>
      <c r="AB413" t="s">
        <v>526</v>
      </c>
      <c r="AC413" t="s">
        <v>527</v>
      </c>
      <c r="AD413" t="s">
        <v>528</v>
      </c>
      <c r="AE413" t="s">
        <v>1239</v>
      </c>
      <c r="AG413" t="s">
        <v>1254</v>
      </c>
      <c r="AH413">
        <v>0</v>
      </c>
      <c r="AI413">
        <v>0</v>
      </c>
      <c r="AJ413">
        <v>0</v>
      </c>
      <c r="AK413">
        <v>0</v>
      </c>
      <c r="AL413">
        <v>0</v>
      </c>
    </row>
    <row r="414" spans="1:38" x14ac:dyDescent="0.3">
      <c r="A414" t="s">
        <v>1234</v>
      </c>
      <c r="B414">
        <v>5660</v>
      </c>
      <c r="C414">
        <v>2</v>
      </c>
      <c r="D414" t="s">
        <v>1250</v>
      </c>
      <c r="E414" t="s">
        <v>1251</v>
      </c>
      <c r="F414">
        <v>122</v>
      </c>
      <c r="G414">
        <v>30.01</v>
      </c>
      <c r="H414">
        <v>99.23</v>
      </c>
      <c r="I414">
        <v>24.58</v>
      </c>
      <c r="J414">
        <v>81.28</v>
      </c>
      <c r="K414">
        <v>1</v>
      </c>
      <c r="T414">
        <v>3</v>
      </c>
      <c r="U414">
        <v>1</v>
      </c>
      <c r="V414" t="s">
        <v>541</v>
      </c>
      <c r="W414" t="s">
        <v>1255</v>
      </c>
      <c r="X414">
        <v>12</v>
      </c>
      <c r="Y414">
        <v>8</v>
      </c>
      <c r="Z414" t="s">
        <v>1252</v>
      </c>
      <c r="AA414" t="s">
        <v>1253</v>
      </c>
      <c r="AB414" t="s">
        <v>526</v>
      </c>
      <c r="AC414" t="s">
        <v>527</v>
      </c>
      <c r="AD414" t="s">
        <v>528</v>
      </c>
      <c r="AE414" t="s">
        <v>1239</v>
      </c>
      <c r="AG414" t="s">
        <v>1254</v>
      </c>
      <c r="AH414">
        <v>0</v>
      </c>
      <c r="AI414">
        <v>0</v>
      </c>
      <c r="AJ414">
        <v>0</v>
      </c>
      <c r="AK414">
        <v>0</v>
      </c>
      <c r="AL414">
        <v>0</v>
      </c>
    </row>
    <row r="415" spans="1:38" x14ac:dyDescent="0.3">
      <c r="A415" t="s">
        <v>1234</v>
      </c>
      <c r="B415">
        <v>5660</v>
      </c>
      <c r="C415">
        <v>3</v>
      </c>
      <c r="D415" t="s">
        <v>1250</v>
      </c>
      <c r="E415" t="s">
        <v>1251</v>
      </c>
      <c r="F415">
        <v>122</v>
      </c>
      <c r="G415">
        <v>30.09</v>
      </c>
      <c r="H415">
        <v>99.49</v>
      </c>
      <c r="I415">
        <v>24.66</v>
      </c>
      <c r="J415">
        <v>81.540000000000006</v>
      </c>
      <c r="K415">
        <v>1</v>
      </c>
      <c r="T415">
        <v>3</v>
      </c>
      <c r="U415">
        <v>1</v>
      </c>
      <c r="V415" t="s">
        <v>541</v>
      </c>
      <c r="W415" t="s">
        <v>1256</v>
      </c>
      <c r="X415">
        <v>12</v>
      </c>
      <c r="Y415">
        <v>8</v>
      </c>
      <c r="Z415" t="s">
        <v>1252</v>
      </c>
      <c r="AA415" t="s">
        <v>1253</v>
      </c>
      <c r="AB415" t="s">
        <v>526</v>
      </c>
      <c r="AC415" t="s">
        <v>527</v>
      </c>
      <c r="AD415" t="s">
        <v>528</v>
      </c>
      <c r="AE415" t="s">
        <v>1239</v>
      </c>
      <c r="AG415" t="s">
        <v>1254</v>
      </c>
      <c r="AH415">
        <v>0</v>
      </c>
      <c r="AI415">
        <v>0</v>
      </c>
      <c r="AJ415">
        <v>0</v>
      </c>
      <c r="AK415">
        <v>0</v>
      </c>
      <c r="AL415">
        <v>0</v>
      </c>
    </row>
    <row r="416" spans="1:38" x14ac:dyDescent="0.3">
      <c r="A416" t="s">
        <v>1234</v>
      </c>
      <c r="B416">
        <v>5660</v>
      </c>
      <c r="C416">
        <v>4</v>
      </c>
      <c r="D416" t="s">
        <v>1250</v>
      </c>
      <c r="E416" t="s">
        <v>1251</v>
      </c>
      <c r="F416">
        <v>122</v>
      </c>
      <c r="G416">
        <v>30.15</v>
      </c>
      <c r="H416">
        <v>99.67</v>
      </c>
      <c r="I416">
        <v>24.72</v>
      </c>
      <c r="J416">
        <v>81.72</v>
      </c>
      <c r="K416">
        <v>1</v>
      </c>
      <c r="T416">
        <v>3</v>
      </c>
      <c r="U416">
        <v>1</v>
      </c>
      <c r="V416" t="s">
        <v>541</v>
      </c>
      <c r="W416" t="s">
        <v>1257</v>
      </c>
      <c r="X416">
        <v>12</v>
      </c>
      <c r="Y416">
        <v>8</v>
      </c>
      <c r="Z416" t="s">
        <v>1252</v>
      </c>
      <c r="AA416" t="s">
        <v>1253</v>
      </c>
      <c r="AB416" t="s">
        <v>526</v>
      </c>
      <c r="AC416" t="s">
        <v>527</v>
      </c>
      <c r="AD416" t="s">
        <v>528</v>
      </c>
      <c r="AE416" t="s">
        <v>1239</v>
      </c>
      <c r="AG416" t="s">
        <v>1254</v>
      </c>
      <c r="AH416">
        <v>0</v>
      </c>
      <c r="AI416">
        <v>0</v>
      </c>
      <c r="AJ416">
        <v>0</v>
      </c>
      <c r="AK416">
        <v>0</v>
      </c>
      <c r="AL416">
        <v>0</v>
      </c>
    </row>
    <row r="417" spans="1:38" x14ac:dyDescent="0.3">
      <c r="A417" t="s">
        <v>1234</v>
      </c>
      <c r="B417">
        <v>5660</v>
      </c>
      <c r="C417">
        <v>5</v>
      </c>
      <c r="D417" t="s">
        <v>1250</v>
      </c>
      <c r="E417" t="s">
        <v>1251</v>
      </c>
      <c r="F417">
        <v>122</v>
      </c>
      <c r="G417">
        <v>30.22</v>
      </c>
      <c r="H417">
        <v>99.91</v>
      </c>
      <c r="I417">
        <v>24.79</v>
      </c>
      <c r="J417">
        <v>81.98</v>
      </c>
      <c r="K417">
        <v>1</v>
      </c>
      <c r="T417">
        <v>3</v>
      </c>
      <c r="U417">
        <v>1</v>
      </c>
      <c r="V417" t="s">
        <v>541</v>
      </c>
      <c r="W417" t="s">
        <v>1258</v>
      </c>
      <c r="X417">
        <v>12</v>
      </c>
      <c r="Y417">
        <v>8</v>
      </c>
      <c r="Z417" t="s">
        <v>1252</v>
      </c>
      <c r="AA417" t="s">
        <v>1253</v>
      </c>
      <c r="AB417" t="s">
        <v>526</v>
      </c>
      <c r="AC417" t="s">
        <v>527</v>
      </c>
      <c r="AD417" t="s">
        <v>528</v>
      </c>
      <c r="AE417" t="s">
        <v>1239</v>
      </c>
      <c r="AG417" t="s">
        <v>1254</v>
      </c>
      <c r="AH417">
        <v>0</v>
      </c>
      <c r="AI417">
        <v>0</v>
      </c>
      <c r="AJ417">
        <v>0</v>
      </c>
      <c r="AK417">
        <v>0</v>
      </c>
      <c r="AL417">
        <v>0</v>
      </c>
    </row>
    <row r="418" spans="1:38" x14ac:dyDescent="0.3">
      <c r="A418" t="s">
        <v>1234</v>
      </c>
      <c r="B418">
        <v>5660</v>
      </c>
      <c r="C418">
        <v>6</v>
      </c>
      <c r="D418" t="s">
        <v>1250</v>
      </c>
      <c r="E418" t="s">
        <v>1251</v>
      </c>
      <c r="F418">
        <v>122</v>
      </c>
      <c r="G418">
        <v>30.29</v>
      </c>
      <c r="H418">
        <v>100.15</v>
      </c>
      <c r="I418">
        <v>24.86</v>
      </c>
      <c r="J418">
        <v>82.2</v>
      </c>
      <c r="K418">
        <v>117</v>
      </c>
      <c r="T418">
        <v>3</v>
      </c>
      <c r="U418">
        <v>2</v>
      </c>
      <c r="V418" t="s">
        <v>523</v>
      </c>
      <c r="W418" t="s">
        <v>461</v>
      </c>
      <c r="X418">
        <v>12</v>
      </c>
      <c r="Y418">
        <v>8</v>
      </c>
      <c r="Z418" t="s">
        <v>1252</v>
      </c>
      <c r="AA418" t="s">
        <v>1253</v>
      </c>
      <c r="AB418" t="s">
        <v>526</v>
      </c>
      <c r="AC418" t="s">
        <v>527</v>
      </c>
      <c r="AD418" t="s">
        <v>528</v>
      </c>
      <c r="AE418" t="s">
        <v>1239</v>
      </c>
      <c r="AG418" t="s">
        <v>1254</v>
      </c>
      <c r="AH418">
        <v>0</v>
      </c>
      <c r="AI418">
        <v>0</v>
      </c>
      <c r="AJ418">
        <v>0</v>
      </c>
      <c r="AK418">
        <v>0</v>
      </c>
      <c r="AL418">
        <v>0</v>
      </c>
    </row>
    <row r="419" spans="1:38" x14ac:dyDescent="0.3">
      <c r="A419" t="s">
        <v>1259</v>
      </c>
      <c r="B419">
        <v>5694</v>
      </c>
      <c r="C419">
        <v>1</v>
      </c>
      <c r="D419" t="s">
        <v>1260</v>
      </c>
      <c r="E419" t="s">
        <v>1261</v>
      </c>
      <c r="F419">
        <v>496</v>
      </c>
      <c r="G419">
        <v>24.26</v>
      </c>
      <c r="H419">
        <v>80.209999999999994</v>
      </c>
      <c r="I419">
        <v>18.12</v>
      </c>
      <c r="J419">
        <v>59.92</v>
      </c>
      <c r="K419">
        <v>376</v>
      </c>
      <c r="T419">
        <v>3</v>
      </c>
      <c r="U419">
        <v>1</v>
      </c>
      <c r="V419" t="s">
        <v>541</v>
      </c>
      <c r="W419">
        <v>80</v>
      </c>
      <c r="X419">
        <v>20</v>
      </c>
      <c r="Y419">
        <v>14</v>
      </c>
      <c r="Z419" t="s">
        <v>1262</v>
      </c>
      <c r="AA419" t="s">
        <v>1263</v>
      </c>
      <c r="AB419" t="s">
        <v>526</v>
      </c>
      <c r="AC419" t="s">
        <v>527</v>
      </c>
      <c r="AD419" t="s">
        <v>528</v>
      </c>
      <c r="AE419" t="s">
        <v>1264</v>
      </c>
      <c r="AG419" t="s">
        <v>1265</v>
      </c>
      <c r="AH419">
        <v>0</v>
      </c>
      <c r="AI419">
        <v>249</v>
      </c>
      <c r="AJ419">
        <v>17</v>
      </c>
      <c r="AK419">
        <v>260</v>
      </c>
      <c r="AL419">
        <v>0.52</v>
      </c>
    </row>
    <row r="420" spans="1:38" x14ac:dyDescent="0.3">
      <c r="A420" t="s">
        <v>1259</v>
      </c>
      <c r="B420">
        <v>5694</v>
      </c>
      <c r="C420">
        <v>2</v>
      </c>
      <c r="D420" t="s">
        <v>1260</v>
      </c>
      <c r="E420" t="s">
        <v>1261</v>
      </c>
      <c r="F420">
        <v>496</v>
      </c>
      <c r="G420">
        <v>29.72</v>
      </c>
      <c r="H420">
        <v>98.26</v>
      </c>
      <c r="I420">
        <v>23.46</v>
      </c>
      <c r="J420">
        <v>77.58</v>
      </c>
      <c r="K420">
        <v>100</v>
      </c>
      <c r="T420">
        <v>3</v>
      </c>
      <c r="U420">
        <v>2</v>
      </c>
      <c r="V420" t="s">
        <v>541</v>
      </c>
      <c r="W420" t="s">
        <v>283</v>
      </c>
      <c r="X420">
        <v>20</v>
      </c>
      <c r="Y420">
        <v>14</v>
      </c>
      <c r="Z420" t="s">
        <v>1262</v>
      </c>
      <c r="AA420" t="s">
        <v>1263</v>
      </c>
      <c r="AB420" t="s">
        <v>526</v>
      </c>
      <c r="AC420" t="s">
        <v>527</v>
      </c>
      <c r="AD420" t="s">
        <v>528</v>
      </c>
      <c r="AE420" t="s">
        <v>1264</v>
      </c>
      <c r="AG420" t="s">
        <v>1265</v>
      </c>
      <c r="AH420">
        <v>0</v>
      </c>
      <c r="AI420">
        <v>249</v>
      </c>
      <c r="AJ420">
        <v>17</v>
      </c>
      <c r="AK420">
        <v>260</v>
      </c>
      <c r="AL420">
        <v>0.52</v>
      </c>
    </row>
    <row r="421" spans="1:38" x14ac:dyDescent="0.3">
      <c r="A421" t="s">
        <v>1259</v>
      </c>
      <c r="B421">
        <v>5694</v>
      </c>
      <c r="C421">
        <v>3</v>
      </c>
      <c r="D421" t="s">
        <v>1260</v>
      </c>
      <c r="E421" t="s">
        <v>1261</v>
      </c>
      <c r="F421">
        <v>496</v>
      </c>
      <c r="G421">
        <v>29.69</v>
      </c>
      <c r="H421">
        <v>98.18</v>
      </c>
      <c r="I421">
        <v>23.44</v>
      </c>
      <c r="J421">
        <v>77.52</v>
      </c>
      <c r="K421">
        <v>20</v>
      </c>
      <c r="T421">
        <v>3</v>
      </c>
      <c r="U421">
        <v>2</v>
      </c>
      <c r="V421" t="s">
        <v>541</v>
      </c>
      <c r="W421" t="s">
        <v>277</v>
      </c>
      <c r="X421">
        <v>20</v>
      </c>
      <c r="Y421">
        <v>14</v>
      </c>
      <c r="Z421" t="s">
        <v>1262</v>
      </c>
      <c r="AA421" t="s">
        <v>1263</v>
      </c>
      <c r="AB421" t="s">
        <v>526</v>
      </c>
      <c r="AC421" t="s">
        <v>527</v>
      </c>
      <c r="AD421" t="s">
        <v>528</v>
      </c>
      <c r="AE421" t="s">
        <v>1264</v>
      </c>
      <c r="AG421" t="s">
        <v>1265</v>
      </c>
      <c r="AH421">
        <v>0</v>
      </c>
      <c r="AI421">
        <v>249</v>
      </c>
      <c r="AJ421">
        <v>17</v>
      </c>
      <c r="AK421">
        <v>260</v>
      </c>
      <c r="AL421">
        <v>0.52</v>
      </c>
    </row>
    <row r="422" spans="1:38" x14ac:dyDescent="0.3">
      <c r="A422" t="s">
        <v>1259</v>
      </c>
      <c r="B422">
        <v>5701</v>
      </c>
      <c r="C422">
        <v>1</v>
      </c>
      <c r="D422" t="s">
        <v>1266</v>
      </c>
      <c r="E422" t="s">
        <v>570</v>
      </c>
      <c r="F422">
        <v>129</v>
      </c>
      <c r="G422">
        <v>23.1</v>
      </c>
      <c r="H422">
        <v>76.37</v>
      </c>
      <c r="I422">
        <v>17.989999999999998</v>
      </c>
      <c r="J422">
        <v>59.48</v>
      </c>
      <c r="K422">
        <v>52</v>
      </c>
      <c r="T422">
        <v>3</v>
      </c>
      <c r="U422">
        <v>1</v>
      </c>
      <c r="V422" t="s">
        <v>523</v>
      </c>
      <c r="W422" t="s">
        <v>1118</v>
      </c>
      <c r="X422">
        <v>13</v>
      </c>
      <c r="Y422">
        <v>13</v>
      </c>
      <c r="Z422" t="s">
        <v>1267</v>
      </c>
      <c r="AA422" t="s">
        <v>1268</v>
      </c>
      <c r="AB422" t="s">
        <v>526</v>
      </c>
      <c r="AC422" t="s">
        <v>527</v>
      </c>
      <c r="AD422" t="s">
        <v>528</v>
      </c>
      <c r="AE422" t="s">
        <v>1264</v>
      </c>
      <c r="AG422" t="s">
        <v>1269</v>
      </c>
      <c r="AH422">
        <v>0</v>
      </c>
      <c r="AI422">
        <v>329</v>
      </c>
      <c r="AJ422">
        <v>32</v>
      </c>
      <c r="AK422">
        <v>59</v>
      </c>
      <c r="AL422">
        <v>0.46</v>
      </c>
    </row>
    <row r="423" spans="1:38" x14ac:dyDescent="0.3">
      <c r="A423" t="s">
        <v>1259</v>
      </c>
      <c r="B423">
        <v>5701</v>
      </c>
      <c r="C423">
        <v>2</v>
      </c>
      <c r="D423" t="s">
        <v>1266</v>
      </c>
      <c r="E423" t="s">
        <v>570</v>
      </c>
      <c r="F423">
        <v>129</v>
      </c>
      <c r="G423">
        <v>23.07</v>
      </c>
      <c r="H423">
        <v>76.27</v>
      </c>
      <c r="I423">
        <v>17.96</v>
      </c>
      <c r="J423">
        <v>59.4</v>
      </c>
      <c r="K423">
        <v>51</v>
      </c>
      <c r="T423">
        <v>3</v>
      </c>
      <c r="U423">
        <v>1</v>
      </c>
      <c r="V423" t="s">
        <v>541</v>
      </c>
      <c r="W423" t="s">
        <v>1270</v>
      </c>
      <c r="X423">
        <v>13</v>
      </c>
      <c r="Y423">
        <v>13</v>
      </c>
      <c r="Z423" t="s">
        <v>1267</v>
      </c>
      <c r="AA423" t="s">
        <v>1268</v>
      </c>
      <c r="AB423" t="s">
        <v>526</v>
      </c>
      <c r="AC423" t="s">
        <v>527</v>
      </c>
      <c r="AD423" t="s">
        <v>528</v>
      </c>
      <c r="AE423" t="s">
        <v>1264</v>
      </c>
      <c r="AG423" t="s">
        <v>1269</v>
      </c>
      <c r="AH423">
        <v>0</v>
      </c>
      <c r="AI423">
        <v>329</v>
      </c>
      <c r="AJ423">
        <v>32</v>
      </c>
      <c r="AK423">
        <v>59</v>
      </c>
      <c r="AL423">
        <v>0.46</v>
      </c>
    </row>
    <row r="424" spans="1:38" x14ac:dyDescent="0.3">
      <c r="A424" t="s">
        <v>1259</v>
      </c>
      <c r="B424">
        <v>5701</v>
      </c>
      <c r="C424">
        <v>3</v>
      </c>
      <c r="D424" t="s">
        <v>1266</v>
      </c>
      <c r="E424" t="s">
        <v>570</v>
      </c>
      <c r="F424">
        <v>129</v>
      </c>
      <c r="G424">
        <v>32.64</v>
      </c>
      <c r="H424">
        <v>107.92</v>
      </c>
      <c r="I424">
        <v>25.4</v>
      </c>
      <c r="J424">
        <v>83.98</v>
      </c>
      <c r="K424">
        <v>13</v>
      </c>
      <c r="T424">
        <v>3</v>
      </c>
      <c r="U424">
        <v>2</v>
      </c>
      <c r="V424" t="s">
        <v>541</v>
      </c>
      <c r="W424" t="s">
        <v>348</v>
      </c>
      <c r="X424">
        <v>13</v>
      </c>
      <c r="Y424">
        <v>13</v>
      </c>
      <c r="Z424" t="s">
        <v>1267</v>
      </c>
      <c r="AA424" t="s">
        <v>1268</v>
      </c>
      <c r="AB424" t="s">
        <v>526</v>
      </c>
      <c r="AC424" t="s">
        <v>527</v>
      </c>
      <c r="AD424" t="s">
        <v>528</v>
      </c>
      <c r="AE424" t="s">
        <v>1264</v>
      </c>
      <c r="AG424" t="s">
        <v>1269</v>
      </c>
      <c r="AH424">
        <v>0</v>
      </c>
      <c r="AI424">
        <v>329</v>
      </c>
      <c r="AJ424">
        <v>32</v>
      </c>
      <c r="AK424">
        <v>59</v>
      </c>
      <c r="AL424">
        <v>0.46</v>
      </c>
    </row>
    <row r="425" spans="1:38" x14ac:dyDescent="0.3">
      <c r="A425" t="s">
        <v>1259</v>
      </c>
      <c r="B425">
        <v>5701</v>
      </c>
      <c r="C425">
        <v>4</v>
      </c>
      <c r="D425" t="s">
        <v>1266</v>
      </c>
      <c r="E425" t="s">
        <v>570</v>
      </c>
      <c r="F425">
        <v>129</v>
      </c>
      <c r="G425">
        <v>32.840000000000003</v>
      </c>
      <c r="H425">
        <v>108.57</v>
      </c>
      <c r="I425">
        <v>25.55</v>
      </c>
      <c r="J425">
        <v>84.48</v>
      </c>
      <c r="K425">
        <v>13</v>
      </c>
      <c r="T425">
        <v>3</v>
      </c>
      <c r="U425">
        <v>2</v>
      </c>
      <c r="V425" t="s">
        <v>523</v>
      </c>
      <c r="W425" t="s">
        <v>264</v>
      </c>
      <c r="X425">
        <v>13</v>
      </c>
      <c r="Y425">
        <v>13</v>
      </c>
      <c r="Z425" t="s">
        <v>1267</v>
      </c>
      <c r="AA425" t="s">
        <v>1268</v>
      </c>
      <c r="AB425" t="s">
        <v>526</v>
      </c>
      <c r="AC425" t="s">
        <v>527</v>
      </c>
      <c r="AD425" t="s">
        <v>528</v>
      </c>
      <c r="AE425" t="s">
        <v>1264</v>
      </c>
      <c r="AG425" t="s">
        <v>1269</v>
      </c>
      <c r="AH425">
        <v>0</v>
      </c>
      <c r="AI425">
        <v>329</v>
      </c>
      <c r="AJ425">
        <v>32</v>
      </c>
      <c r="AK425">
        <v>59</v>
      </c>
      <c r="AL425">
        <v>0.46</v>
      </c>
    </row>
    <row r="426" spans="1:38" x14ac:dyDescent="0.3">
      <c r="A426" t="s">
        <v>1259</v>
      </c>
      <c r="B426">
        <v>25308</v>
      </c>
      <c r="C426">
        <v>1</v>
      </c>
      <c r="D426" t="s">
        <v>1271</v>
      </c>
      <c r="E426" t="s">
        <v>754</v>
      </c>
      <c r="F426">
        <v>48</v>
      </c>
      <c r="G426">
        <v>13.57</v>
      </c>
      <c r="H426">
        <v>44.86</v>
      </c>
      <c r="I426">
        <v>9.5</v>
      </c>
      <c r="J426">
        <v>31.43</v>
      </c>
      <c r="K426">
        <v>40</v>
      </c>
      <c r="T426">
        <v>2</v>
      </c>
      <c r="U426">
        <v>1</v>
      </c>
      <c r="V426" t="s">
        <v>541</v>
      </c>
      <c r="W426">
        <v>44</v>
      </c>
      <c r="X426">
        <v>9</v>
      </c>
      <c r="Y426">
        <v>9</v>
      </c>
      <c r="Z426" t="s">
        <v>1272</v>
      </c>
      <c r="AA426" t="s">
        <v>1273</v>
      </c>
      <c r="AB426" t="s">
        <v>526</v>
      </c>
      <c r="AC426" t="s">
        <v>527</v>
      </c>
      <c r="AD426" t="s">
        <v>528</v>
      </c>
      <c r="AE426" t="s">
        <v>1264</v>
      </c>
      <c r="AG426" t="s">
        <v>1274</v>
      </c>
      <c r="AH426">
        <v>0</v>
      </c>
      <c r="AI426">
        <v>185</v>
      </c>
      <c r="AJ426">
        <v>38</v>
      </c>
      <c r="AK426">
        <v>31</v>
      </c>
      <c r="AL426">
        <v>0.65</v>
      </c>
    </row>
    <row r="427" spans="1:38" x14ac:dyDescent="0.3">
      <c r="A427" t="s">
        <v>1259</v>
      </c>
      <c r="B427">
        <v>25308</v>
      </c>
      <c r="C427">
        <v>2</v>
      </c>
      <c r="D427" t="s">
        <v>1271</v>
      </c>
      <c r="E427" t="s">
        <v>754</v>
      </c>
      <c r="F427">
        <v>48</v>
      </c>
      <c r="G427">
        <v>22.59</v>
      </c>
      <c r="H427">
        <v>74.7</v>
      </c>
      <c r="I427">
        <v>15.83</v>
      </c>
      <c r="J427">
        <v>52.35</v>
      </c>
      <c r="K427">
        <v>8</v>
      </c>
      <c r="T427">
        <v>3</v>
      </c>
      <c r="U427">
        <v>1</v>
      </c>
      <c r="V427" t="s">
        <v>541</v>
      </c>
      <c r="W427">
        <v>74</v>
      </c>
      <c r="X427">
        <v>9</v>
      </c>
      <c r="Y427">
        <v>9</v>
      </c>
      <c r="Z427" t="s">
        <v>1272</v>
      </c>
      <c r="AA427" t="s">
        <v>1273</v>
      </c>
      <c r="AB427" t="s">
        <v>526</v>
      </c>
      <c r="AC427" t="s">
        <v>527</v>
      </c>
      <c r="AD427" t="s">
        <v>528</v>
      </c>
      <c r="AE427" t="s">
        <v>1264</v>
      </c>
      <c r="AG427" t="s">
        <v>1274</v>
      </c>
      <c r="AH427">
        <v>0</v>
      </c>
      <c r="AI427">
        <v>185</v>
      </c>
      <c r="AJ427">
        <v>38</v>
      </c>
      <c r="AK427">
        <v>31</v>
      </c>
      <c r="AL427">
        <v>0.65</v>
      </c>
    </row>
    <row r="428" spans="1:38" x14ac:dyDescent="0.3">
      <c r="A428" t="s">
        <v>1259</v>
      </c>
      <c r="B428">
        <v>5664</v>
      </c>
      <c r="C428">
        <v>1</v>
      </c>
      <c r="D428" t="s">
        <v>1275</v>
      </c>
      <c r="E428" t="s">
        <v>1127</v>
      </c>
      <c r="F428">
        <v>158</v>
      </c>
      <c r="G428">
        <v>25.37</v>
      </c>
      <c r="H428">
        <v>83.87</v>
      </c>
      <c r="I428">
        <v>20.65</v>
      </c>
      <c r="J428">
        <v>68.28</v>
      </c>
      <c r="K428">
        <v>47</v>
      </c>
      <c r="T428">
        <v>3</v>
      </c>
      <c r="U428">
        <v>1</v>
      </c>
      <c r="V428" t="s">
        <v>541</v>
      </c>
      <c r="W428">
        <v>83</v>
      </c>
      <c r="X428">
        <v>11</v>
      </c>
      <c r="Y428">
        <v>8</v>
      </c>
      <c r="Z428" t="s">
        <v>1276</v>
      </c>
      <c r="AA428" t="s">
        <v>1277</v>
      </c>
      <c r="AB428" t="s">
        <v>526</v>
      </c>
      <c r="AC428" t="s">
        <v>527</v>
      </c>
      <c r="AD428" t="s">
        <v>528</v>
      </c>
      <c r="AE428" t="s">
        <v>1264</v>
      </c>
      <c r="AG428" t="s">
        <v>1278</v>
      </c>
      <c r="AH428">
        <v>0</v>
      </c>
      <c r="AI428">
        <v>0</v>
      </c>
      <c r="AJ428">
        <v>0</v>
      </c>
      <c r="AK428">
        <v>0</v>
      </c>
      <c r="AL428">
        <v>0</v>
      </c>
    </row>
    <row r="429" spans="1:38" x14ac:dyDescent="0.3">
      <c r="A429" t="s">
        <v>1259</v>
      </c>
      <c r="B429">
        <v>5664</v>
      </c>
      <c r="C429">
        <v>2</v>
      </c>
      <c r="D429" t="s">
        <v>1275</v>
      </c>
      <c r="E429" t="s">
        <v>1127</v>
      </c>
      <c r="F429">
        <v>158</v>
      </c>
      <c r="G429">
        <v>31.57</v>
      </c>
      <c r="H429">
        <v>104.38</v>
      </c>
      <c r="I429">
        <v>25.7</v>
      </c>
      <c r="J429">
        <v>84.97</v>
      </c>
      <c r="K429">
        <v>111</v>
      </c>
      <c r="T429">
        <v>3</v>
      </c>
      <c r="U429">
        <v>2</v>
      </c>
      <c r="V429" t="s">
        <v>541</v>
      </c>
      <c r="W429">
        <v>104</v>
      </c>
      <c r="X429">
        <v>11</v>
      </c>
      <c r="Y429">
        <v>8</v>
      </c>
      <c r="Z429" t="s">
        <v>1276</v>
      </c>
      <c r="AA429" t="s">
        <v>1277</v>
      </c>
      <c r="AB429" t="s">
        <v>526</v>
      </c>
      <c r="AC429" t="s">
        <v>527</v>
      </c>
      <c r="AD429" t="s">
        <v>528</v>
      </c>
      <c r="AE429" t="s">
        <v>1264</v>
      </c>
      <c r="AG429" t="s">
        <v>1278</v>
      </c>
      <c r="AH429">
        <v>0</v>
      </c>
      <c r="AI429">
        <v>0</v>
      </c>
      <c r="AJ429">
        <v>0</v>
      </c>
      <c r="AK429">
        <v>0</v>
      </c>
      <c r="AL429">
        <v>0</v>
      </c>
    </row>
    <row r="430" spans="1:38" x14ac:dyDescent="0.3">
      <c r="A430" t="s">
        <v>1259</v>
      </c>
      <c r="B430">
        <v>101019</v>
      </c>
      <c r="C430">
        <v>1</v>
      </c>
      <c r="D430" t="s">
        <v>1279</v>
      </c>
      <c r="E430" t="s">
        <v>1280</v>
      </c>
      <c r="F430">
        <v>1350</v>
      </c>
      <c r="G430">
        <v>15.24</v>
      </c>
      <c r="H430">
        <v>50.39</v>
      </c>
      <c r="I430">
        <v>11.68</v>
      </c>
      <c r="J430">
        <v>38.64</v>
      </c>
      <c r="K430">
        <v>900</v>
      </c>
      <c r="T430">
        <v>2</v>
      </c>
      <c r="U430">
        <v>1</v>
      </c>
      <c r="V430" t="s">
        <v>523</v>
      </c>
      <c r="W430">
        <v>50</v>
      </c>
      <c r="X430">
        <v>15</v>
      </c>
      <c r="Y430">
        <v>15</v>
      </c>
      <c r="Z430" t="s">
        <v>1281</v>
      </c>
      <c r="AA430" t="s">
        <v>1282</v>
      </c>
      <c r="AB430" t="s">
        <v>526</v>
      </c>
      <c r="AC430" t="s">
        <v>527</v>
      </c>
      <c r="AD430" t="s">
        <v>528</v>
      </c>
      <c r="AE430" t="s">
        <v>1264</v>
      </c>
      <c r="AG430" t="s">
        <v>1283</v>
      </c>
      <c r="AH430">
        <v>0</v>
      </c>
      <c r="AI430">
        <v>0</v>
      </c>
      <c r="AJ430">
        <v>0</v>
      </c>
      <c r="AK430">
        <v>0</v>
      </c>
      <c r="AL430">
        <v>0</v>
      </c>
    </row>
    <row r="431" spans="1:38" x14ac:dyDescent="0.3">
      <c r="A431" t="s">
        <v>1259</v>
      </c>
      <c r="B431">
        <v>101019</v>
      </c>
      <c r="C431">
        <v>2</v>
      </c>
      <c r="D431" t="s">
        <v>1279</v>
      </c>
      <c r="E431" t="s">
        <v>1280</v>
      </c>
      <c r="F431">
        <v>1350</v>
      </c>
      <c r="G431">
        <v>17.72</v>
      </c>
      <c r="H431">
        <v>58.61</v>
      </c>
      <c r="I431">
        <v>13.59</v>
      </c>
      <c r="J431">
        <v>44.94</v>
      </c>
      <c r="K431">
        <v>450</v>
      </c>
      <c r="T431">
        <v>2</v>
      </c>
      <c r="U431">
        <v>1</v>
      </c>
      <c r="V431" t="s">
        <v>523</v>
      </c>
      <c r="W431">
        <v>58</v>
      </c>
      <c r="X431">
        <v>15</v>
      </c>
      <c r="Y431">
        <v>15</v>
      </c>
      <c r="Z431" t="s">
        <v>1281</v>
      </c>
      <c r="AA431" t="s">
        <v>1282</v>
      </c>
      <c r="AB431" t="s">
        <v>526</v>
      </c>
      <c r="AC431" t="s">
        <v>527</v>
      </c>
      <c r="AD431" t="s">
        <v>528</v>
      </c>
      <c r="AE431" t="s">
        <v>1264</v>
      </c>
      <c r="AG431" t="s">
        <v>1283</v>
      </c>
      <c r="AH431">
        <v>0</v>
      </c>
      <c r="AI431">
        <v>0</v>
      </c>
      <c r="AJ431">
        <v>0</v>
      </c>
      <c r="AK431">
        <v>0</v>
      </c>
      <c r="AL431">
        <v>0</v>
      </c>
    </row>
    <row r="432" spans="1:38" x14ac:dyDescent="0.3">
      <c r="A432" t="s">
        <v>1259</v>
      </c>
      <c r="B432">
        <v>24910</v>
      </c>
      <c r="C432">
        <v>1</v>
      </c>
      <c r="D432" t="s">
        <v>1284</v>
      </c>
      <c r="E432" t="s">
        <v>1285</v>
      </c>
      <c r="F432">
        <v>62</v>
      </c>
      <c r="G432">
        <v>22.89</v>
      </c>
      <c r="H432">
        <v>75.69</v>
      </c>
      <c r="I432">
        <v>18</v>
      </c>
      <c r="J432">
        <v>59.51</v>
      </c>
      <c r="K432">
        <v>42</v>
      </c>
      <c r="T432">
        <v>3</v>
      </c>
      <c r="U432">
        <v>1</v>
      </c>
      <c r="V432" t="s">
        <v>541</v>
      </c>
      <c r="W432">
        <v>75</v>
      </c>
      <c r="X432">
        <v>14</v>
      </c>
      <c r="Y432">
        <v>5</v>
      </c>
      <c r="Z432" t="s">
        <v>1286</v>
      </c>
      <c r="AA432" t="s">
        <v>1287</v>
      </c>
      <c r="AB432" t="s">
        <v>526</v>
      </c>
      <c r="AC432" t="s">
        <v>527</v>
      </c>
      <c r="AD432" t="s">
        <v>528</v>
      </c>
      <c r="AE432" t="s">
        <v>1264</v>
      </c>
      <c r="AG432" t="s">
        <v>1288</v>
      </c>
      <c r="AH432">
        <v>0</v>
      </c>
      <c r="AI432">
        <v>0</v>
      </c>
      <c r="AJ432">
        <v>0</v>
      </c>
      <c r="AK432">
        <v>0</v>
      </c>
      <c r="AL432">
        <v>0</v>
      </c>
    </row>
    <row r="433" spans="1:38" x14ac:dyDescent="0.3">
      <c r="A433" t="s">
        <v>1259</v>
      </c>
      <c r="B433">
        <v>24910</v>
      </c>
      <c r="C433">
        <v>2</v>
      </c>
      <c r="D433" t="s">
        <v>1284</v>
      </c>
      <c r="E433" t="s">
        <v>1285</v>
      </c>
      <c r="F433">
        <v>62</v>
      </c>
      <c r="G433">
        <v>26.4</v>
      </c>
      <c r="H433">
        <v>87.29</v>
      </c>
      <c r="I433">
        <v>21.38</v>
      </c>
      <c r="J433">
        <v>70.7</v>
      </c>
      <c r="K433">
        <v>20</v>
      </c>
      <c r="T433">
        <v>3</v>
      </c>
      <c r="U433">
        <v>1</v>
      </c>
      <c r="V433" t="s">
        <v>541</v>
      </c>
      <c r="W433">
        <v>87</v>
      </c>
      <c r="X433">
        <v>14</v>
      </c>
      <c r="Y433">
        <v>5</v>
      </c>
      <c r="Z433" t="s">
        <v>1286</v>
      </c>
      <c r="AA433" t="s">
        <v>1287</v>
      </c>
      <c r="AB433" t="s">
        <v>526</v>
      </c>
      <c r="AC433" t="s">
        <v>527</v>
      </c>
      <c r="AD433" t="s">
        <v>528</v>
      </c>
      <c r="AE433" t="s">
        <v>1264</v>
      </c>
      <c r="AG433" t="s">
        <v>1288</v>
      </c>
      <c r="AH433">
        <v>0</v>
      </c>
      <c r="AI433">
        <v>0</v>
      </c>
      <c r="AJ433">
        <v>0</v>
      </c>
      <c r="AK433">
        <v>0</v>
      </c>
      <c r="AL433">
        <v>0</v>
      </c>
    </row>
    <row r="434" spans="1:38" x14ac:dyDescent="0.3">
      <c r="A434" t="s">
        <v>1259</v>
      </c>
      <c r="B434">
        <v>5687</v>
      </c>
      <c r="C434">
        <v>1</v>
      </c>
      <c r="D434" t="s">
        <v>1289</v>
      </c>
      <c r="E434" t="s">
        <v>672</v>
      </c>
      <c r="F434">
        <v>720</v>
      </c>
      <c r="G434">
        <v>15.25</v>
      </c>
      <c r="H434">
        <v>50.43</v>
      </c>
      <c r="I434">
        <v>11.68</v>
      </c>
      <c r="J434">
        <v>38.64</v>
      </c>
      <c r="K434">
        <v>480</v>
      </c>
      <c r="T434">
        <v>2</v>
      </c>
      <c r="U434">
        <v>1</v>
      </c>
      <c r="V434" t="s">
        <v>523</v>
      </c>
      <c r="W434">
        <v>50</v>
      </c>
      <c r="X434">
        <v>15</v>
      </c>
      <c r="Y434">
        <v>15</v>
      </c>
      <c r="Z434" t="s">
        <v>1290</v>
      </c>
      <c r="AA434" t="s">
        <v>1291</v>
      </c>
      <c r="AB434" t="s">
        <v>526</v>
      </c>
      <c r="AC434" t="s">
        <v>527</v>
      </c>
      <c r="AD434" t="s">
        <v>528</v>
      </c>
      <c r="AE434" t="s">
        <v>1264</v>
      </c>
      <c r="AG434" t="s">
        <v>1292</v>
      </c>
      <c r="AH434">
        <v>0</v>
      </c>
      <c r="AI434">
        <v>0</v>
      </c>
      <c r="AJ434">
        <v>0</v>
      </c>
      <c r="AK434">
        <v>0</v>
      </c>
      <c r="AL434">
        <v>0</v>
      </c>
    </row>
    <row r="435" spans="1:38" x14ac:dyDescent="0.3">
      <c r="A435" t="s">
        <v>1259</v>
      </c>
      <c r="B435">
        <v>5687</v>
      </c>
      <c r="C435">
        <v>2</v>
      </c>
      <c r="D435" t="s">
        <v>1289</v>
      </c>
      <c r="E435" t="s">
        <v>672</v>
      </c>
      <c r="F435">
        <v>720</v>
      </c>
      <c r="G435">
        <v>17.73</v>
      </c>
      <c r="H435">
        <v>58.64</v>
      </c>
      <c r="I435">
        <v>13.59</v>
      </c>
      <c r="J435">
        <v>44.94</v>
      </c>
      <c r="K435">
        <v>240</v>
      </c>
      <c r="T435">
        <v>2</v>
      </c>
      <c r="U435">
        <v>1</v>
      </c>
      <c r="V435" t="s">
        <v>523</v>
      </c>
      <c r="W435">
        <v>58</v>
      </c>
      <c r="X435">
        <v>15</v>
      </c>
      <c r="Y435">
        <v>15</v>
      </c>
      <c r="Z435" t="s">
        <v>1290</v>
      </c>
      <c r="AA435" t="s">
        <v>1291</v>
      </c>
      <c r="AB435" t="s">
        <v>526</v>
      </c>
      <c r="AC435" t="s">
        <v>527</v>
      </c>
      <c r="AD435" t="s">
        <v>528</v>
      </c>
      <c r="AE435" t="s">
        <v>1264</v>
      </c>
      <c r="AG435" t="s">
        <v>1292</v>
      </c>
      <c r="AH435">
        <v>0</v>
      </c>
      <c r="AI435">
        <v>0</v>
      </c>
      <c r="AJ435">
        <v>0</v>
      </c>
      <c r="AK435">
        <v>0</v>
      </c>
      <c r="AL435">
        <v>0</v>
      </c>
    </row>
    <row r="436" spans="1:38" x14ac:dyDescent="0.3">
      <c r="A436" t="s">
        <v>1259</v>
      </c>
      <c r="B436">
        <v>111875</v>
      </c>
      <c r="C436">
        <v>1</v>
      </c>
      <c r="D436" t="s">
        <v>1293</v>
      </c>
      <c r="E436" t="s">
        <v>554</v>
      </c>
      <c r="F436">
        <v>77</v>
      </c>
      <c r="G436">
        <v>28.48</v>
      </c>
      <c r="H436">
        <v>94.15</v>
      </c>
      <c r="I436">
        <v>23.75</v>
      </c>
      <c r="J436">
        <v>78.540000000000006</v>
      </c>
      <c r="K436">
        <v>77</v>
      </c>
      <c r="T436">
        <v>3</v>
      </c>
      <c r="U436">
        <v>2</v>
      </c>
      <c r="V436" t="s">
        <v>541</v>
      </c>
      <c r="W436">
        <v>94</v>
      </c>
      <c r="X436">
        <v>10</v>
      </c>
      <c r="Y436">
        <v>8</v>
      </c>
      <c r="Z436" t="s">
        <v>1294</v>
      </c>
      <c r="AA436" t="s">
        <v>1295</v>
      </c>
      <c r="AB436" t="s">
        <v>526</v>
      </c>
      <c r="AC436" t="s">
        <v>527</v>
      </c>
      <c r="AD436" t="s">
        <v>528</v>
      </c>
      <c r="AE436" t="s">
        <v>1264</v>
      </c>
      <c r="AG436" t="s">
        <v>1296</v>
      </c>
      <c r="AH436">
        <v>0</v>
      </c>
      <c r="AI436">
        <v>0</v>
      </c>
      <c r="AJ436">
        <v>0</v>
      </c>
      <c r="AK436">
        <v>0</v>
      </c>
      <c r="AL436">
        <v>0</v>
      </c>
    </row>
    <row r="437" spans="1:38" x14ac:dyDescent="0.3">
      <c r="A437" t="s">
        <v>1259</v>
      </c>
      <c r="B437">
        <v>107930</v>
      </c>
      <c r="C437">
        <v>1</v>
      </c>
      <c r="D437" t="s">
        <v>1297</v>
      </c>
      <c r="E437" t="s">
        <v>930</v>
      </c>
      <c r="F437">
        <v>431</v>
      </c>
      <c r="G437">
        <v>28.47</v>
      </c>
      <c r="H437">
        <v>94.12</v>
      </c>
      <c r="I437">
        <v>20.85</v>
      </c>
      <c r="J437">
        <v>68.930000000000007</v>
      </c>
      <c r="K437">
        <v>250</v>
      </c>
      <c r="T437">
        <v>3</v>
      </c>
      <c r="U437">
        <v>2</v>
      </c>
      <c r="V437" t="s">
        <v>541</v>
      </c>
      <c r="W437" t="s">
        <v>290</v>
      </c>
      <c r="X437">
        <v>15</v>
      </c>
      <c r="Y437">
        <v>9</v>
      </c>
      <c r="Z437" t="s">
        <v>1298</v>
      </c>
      <c r="AA437" t="s">
        <v>1299</v>
      </c>
      <c r="AB437" t="s">
        <v>526</v>
      </c>
      <c r="AC437" t="s">
        <v>527</v>
      </c>
      <c r="AD437" t="s">
        <v>528</v>
      </c>
      <c r="AE437" t="s">
        <v>1264</v>
      </c>
      <c r="AG437" t="s">
        <v>1300</v>
      </c>
      <c r="AH437">
        <v>0</v>
      </c>
      <c r="AI437">
        <v>189</v>
      </c>
      <c r="AJ437">
        <v>22</v>
      </c>
      <c r="AK437">
        <v>541</v>
      </c>
      <c r="AL437">
        <v>1.26</v>
      </c>
    </row>
    <row r="438" spans="1:38" x14ac:dyDescent="0.3">
      <c r="A438" t="s">
        <v>1259</v>
      </c>
      <c r="B438">
        <v>107930</v>
      </c>
      <c r="C438">
        <v>2</v>
      </c>
      <c r="D438" t="s">
        <v>1297</v>
      </c>
      <c r="E438" t="s">
        <v>930</v>
      </c>
      <c r="F438">
        <v>431</v>
      </c>
      <c r="G438">
        <v>28.46</v>
      </c>
      <c r="H438">
        <v>94.11</v>
      </c>
      <c r="I438">
        <v>20.84</v>
      </c>
      <c r="J438">
        <v>68.92</v>
      </c>
      <c r="K438">
        <v>32</v>
      </c>
      <c r="T438">
        <v>3</v>
      </c>
      <c r="U438">
        <v>2</v>
      </c>
      <c r="V438" t="s">
        <v>541</v>
      </c>
      <c r="W438" t="s">
        <v>291</v>
      </c>
      <c r="X438">
        <v>15</v>
      </c>
      <c r="Y438">
        <v>9</v>
      </c>
      <c r="Z438" t="s">
        <v>1298</v>
      </c>
      <c r="AA438" t="s">
        <v>1299</v>
      </c>
      <c r="AB438" t="s">
        <v>526</v>
      </c>
      <c r="AC438" t="s">
        <v>527</v>
      </c>
      <c r="AD438" t="s">
        <v>528</v>
      </c>
      <c r="AE438" t="s">
        <v>1264</v>
      </c>
      <c r="AG438" t="s">
        <v>1300</v>
      </c>
      <c r="AH438">
        <v>0</v>
      </c>
      <c r="AI438">
        <v>189</v>
      </c>
      <c r="AJ438">
        <v>22</v>
      </c>
      <c r="AK438">
        <v>541</v>
      </c>
      <c r="AL438">
        <v>1.26</v>
      </c>
    </row>
    <row r="439" spans="1:38" x14ac:dyDescent="0.3">
      <c r="A439" t="s">
        <v>1259</v>
      </c>
      <c r="B439">
        <v>107930</v>
      </c>
      <c r="C439">
        <v>3</v>
      </c>
      <c r="D439" t="s">
        <v>1297</v>
      </c>
      <c r="E439" t="s">
        <v>930</v>
      </c>
      <c r="F439">
        <v>431</v>
      </c>
      <c r="G439">
        <v>33.200000000000003</v>
      </c>
      <c r="H439">
        <v>109.78</v>
      </c>
      <c r="I439">
        <v>25.7</v>
      </c>
      <c r="J439">
        <v>84.99</v>
      </c>
      <c r="K439">
        <v>20</v>
      </c>
      <c r="T439">
        <v>3</v>
      </c>
      <c r="U439">
        <v>2</v>
      </c>
      <c r="V439" t="s">
        <v>541</v>
      </c>
      <c r="W439" t="s">
        <v>192</v>
      </c>
      <c r="X439">
        <v>15</v>
      </c>
      <c r="Y439">
        <v>9</v>
      </c>
      <c r="Z439" t="s">
        <v>1298</v>
      </c>
      <c r="AA439" t="s">
        <v>1299</v>
      </c>
      <c r="AB439" t="s">
        <v>526</v>
      </c>
      <c r="AC439" t="s">
        <v>527</v>
      </c>
      <c r="AD439" t="s">
        <v>528</v>
      </c>
      <c r="AE439" t="s">
        <v>1264</v>
      </c>
      <c r="AG439" t="s">
        <v>1300</v>
      </c>
      <c r="AH439">
        <v>0</v>
      </c>
      <c r="AI439">
        <v>189</v>
      </c>
      <c r="AJ439">
        <v>22</v>
      </c>
      <c r="AK439">
        <v>541</v>
      </c>
      <c r="AL439">
        <v>1.26</v>
      </c>
    </row>
    <row r="440" spans="1:38" x14ac:dyDescent="0.3">
      <c r="A440" t="s">
        <v>1259</v>
      </c>
      <c r="B440">
        <v>107930</v>
      </c>
      <c r="C440">
        <v>4</v>
      </c>
      <c r="D440" t="s">
        <v>1297</v>
      </c>
      <c r="E440" t="s">
        <v>930</v>
      </c>
      <c r="F440">
        <v>431</v>
      </c>
      <c r="G440">
        <v>33.270000000000003</v>
      </c>
      <c r="H440">
        <v>110.01</v>
      </c>
      <c r="I440">
        <v>25.7</v>
      </c>
      <c r="J440">
        <v>84.99</v>
      </c>
      <c r="K440">
        <v>55</v>
      </c>
      <c r="T440">
        <v>3</v>
      </c>
      <c r="U440">
        <v>2</v>
      </c>
      <c r="V440" t="s">
        <v>541</v>
      </c>
      <c r="W440" t="s">
        <v>292</v>
      </c>
      <c r="X440">
        <v>15</v>
      </c>
      <c r="Y440">
        <v>9</v>
      </c>
      <c r="Z440" t="s">
        <v>1298</v>
      </c>
      <c r="AA440" t="s">
        <v>1299</v>
      </c>
      <c r="AB440" t="s">
        <v>526</v>
      </c>
      <c r="AC440" t="s">
        <v>527</v>
      </c>
      <c r="AD440" t="s">
        <v>528</v>
      </c>
      <c r="AE440" t="s">
        <v>1264</v>
      </c>
      <c r="AG440" t="s">
        <v>1300</v>
      </c>
      <c r="AH440">
        <v>0</v>
      </c>
      <c r="AI440">
        <v>189</v>
      </c>
      <c r="AJ440">
        <v>22</v>
      </c>
      <c r="AK440">
        <v>541</v>
      </c>
      <c r="AL440">
        <v>1.26</v>
      </c>
    </row>
    <row r="441" spans="1:38" x14ac:dyDescent="0.3">
      <c r="A441" t="s">
        <v>1259</v>
      </c>
      <c r="B441">
        <v>107930</v>
      </c>
      <c r="C441">
        <v>5</v>
      </c>
      <c r="D441" t="s">
        <v>1297</v>
      </c>
      <c r="E441" t="s">
        <v>930</v>
      </c>
      <c r="F441">
        <v>431</v>
      </c>
      <c r="G441">
        <v>33.380000000000003</v>
      </c>
      <c r="H441">
        <v>110.38</v>
      </c>
      <c r="I441">
        <v>25.7</v>
      </c>
      <c r="J441">
        <v>84.99</v>
      </c>
      <c r="K441">
        <v>30</v>
      </c>
      <c r="T441">
        <v>3</v>
      </c>
      <c r="U441">
        <v>2</v>
      </c>
      <c r="V441" t="s">
        <v>541</v>
      </c>
      <c r="W441" t="s">
        <v>293</v>
      </c>
      <c r="X441">
        <v>15</v>
      </c>
      <c r="Y441">
        <v>9</v>
      </c>
      <c r="Z441" t="s">
        <v>1298</v>
      </c>
      <c r="AA441" t="s">
        <v>1299</v>
      </c>
      <c r="AB441" t="s">
        <v>526</v>
      </c>
      <c r="AC441" t="s">
        <v>527</v>
      </c>
      <c r="AD441" t="s">
        <v>528</v>
      </c>
      <c r="AE441" t="s">
        <v>1264</v>
      </c>
      <c r="AG441" t="s">
        <v>1300</v>
      </c>
      <c r="AH441">
        <v>0</v>
      </c>
      <c r="AI441">
        <v>189</v>
      </c>
      <c r="AJ441">
        <v>22</v>
      </c>
      <c r="AK441">
        <v>541</v>
      </c>
      <c r="AL441">
        <v>1.26</v>
      </c>
    </row>
    <row r="442" spans="1:38" x14ac:dyDescent="0.3">
      <c r="A442" t="s">
        <v>1259</v>
      </c>
      <c r="B442">
        <v>107930</v>
      </c>
      <c r="C442">
        <v>6</v>
      </c>
      <c r="D442" t="s">
        <v>1297</v>
      </c>
      <c r="E442" t="s">
        <v>930</v>
      </c>
      <c r="F442">
        <v>431</v>
      </c>
      <c r="G442">
        <v>33.409999999999997</v>
      </c>
      <c r="H442">
        <v>110.45</v>
      </c>
      <c r="I442">
        <v>25.7</v>
      </c>
      <c r="J442">
        <v>84.99</v>
      </c>
      <c r="K442">
        <v>11</v>
      </c>
      <c r="T442">
        <v>3</v>
      </c>
      <c r="U442">
        <v>2</v>
      </c>
      <c r="V442" t="s">
        <v>541</v>
      </c>
      <c r="W442" t="s">
        <v>294</v>
      </c>
      <c r="X442">
        <v>15</v>
      </c>
      <c r="Y442">
        <v>9</v>
      </c>
      <c r="Z442" t="s">
        <v>1298</v>
      </c>
      <c r="AA442" t="s">
        <v>1299</v>
      </c>
      <c r="AB442" t="s">
        <v>526</v>
      </c>
      <c r="AC442" t="s">
        <v>527</v>
      </c>
      <c r="AD442" t="s">
        <v>528</v>
      </c>
      <c r="AE442" t="s">
        <v>1264</v>
      </c>
      <c r="AG442" t="s">
        <v>1300</v>
      </c>
      <c r="AH442">
        <v>0</v>
      </c>
      <c r="AI442">
        <v>189</v>
      </c>
      <c r="AJ442">
        <v>22</v>
      </c>
      <c r="AK442">
        <v>541</v>
      </c>
      <c r="AL442">
        <v>1.26</v>
      </c>
    </row>
    <row r="443" spans="1:38" x14ac:dyDescent="0.3">
      <c r="A443" t="s">
        <v>1259</v>
      </c>
      <c r="B443">
        <v>107930</v>
      </c>
      <c r="C443">
        <v>7</v>
      </c>
      <c r="D443" t="s">
        <v>1297</v>
      </c>
      <c r="E443" t="s">
        <v>930</v>
      </c>
      <c r="F443">
        <v>431</v>
      </c>
      <c r="G443">
        <v>33.619999999999997</v>
      </c>
      <c r="H443">
        <v>111.15</v>
      </c>
      <c r="I443">
        <v>25.7</v>
      </c>
      <c r="J443">
        <v>84.99</v>
      </c>
      <c r="K443">
        <v>24</v>
      </c>
      <c r="T443">
        <v>4</v>
      </c>
      <c r="U443">
        <v>2</v>
      </c>
      <c r="V443" t="s">
        <v>541</v>
      </c>
      <c r="W443" t="s">
        <v>126</v>
      </c>
      <c r="X443">
        <v>15</v>
      </c>
      <c r="Y443">
        <v>9</v>
      </c>
      <c r="Z443" t="s">
        <v>1298</v>
      </c>
      <c r="AA443" t="s">
        <v>1299</v>
      </c>
      <c r="AB443" t="s">
        <v>526</v>
      </c>
      <c r="AC443" t="s">
        <v>527</v>
      </c>
      <c r="AD443" t="s">
        <v>528</v>
      </c>
      <c r="AE443" t="s">
        <v>1264</v>
      </c>
      <c r="AG443" t="s">
        <v>1300</v>
      </c>
      <c r="AH443">
        <v>0</v>
      </c>
      <c r="AI443">
        <v>189</v>
      </c>
      <c r="AJ443">
        <v>22</v>
      </c>
      <c r="AK443">
        <v>541</v>
      </c>
      <c r="AL443">
        <v>1.26</v>
      </c>
    </row>
    <row r="444" spans="1:38" x14ac:dyDescent="0.3">
      <c r="A444" t="s">
        <v>1259</v>
      </c>
      <c r="B444">
        <v>107930</v>
      </c>
      <c r="C444">
        <v>8</v>
      </c>
      <c r="D444" t="s">
        <v>1297</v>
      </c>
      <c r="E444" t="s">
        <v>930</v>
      </c>
      <c r="F444">
        <v>431</v>
      </c>
      <c r="G444">
        <v>33.700000000000003</v>
      </c>
      <c r="H444">
        <v>111.41</v>
      </c>
      <c r="I444">
        <v>25.7</v>
      </c>
      <c r="J444">
        <v>84.99</v>
      </c>
      <c r="K444">
        <v>9</v>
      </c>
      <c r="T444">
        <v>3</v>
      </c>
      <c r="U444">
        <v>2</v>
      </c>
      <c r="V444" t="s">
        <v>541</v>
      </c>
      <c r="W444" t="s">
        <v>295</v>
      </c>
      <c r="X444">
        <v>15</v>
      </c>
      <c r="Y444">
        <v>9</v>
      </c>
      <c r="Z444" t="s">
        <v>1298</v>
      </c>
      <c r="AA444" t="s">
        <v>1299</v>
      </c>
      <c r="AB444" t="s">
        <v>526</v>
      </c>
      <c r="AC444" t="s">
        <v>527</v>
      </c>
      <c r="AD444" t="s">
        <v>528</v>
      </c>
      <c r="AE444" t="s">
        <v>1264</v>
      </c>
      <c r="AG444" t="s">
        <v>1300</v>
      </c>
      <c r="AH444">
        <v>0</v>
      </c>
      <c r="AI444">
        <v>189</v>
      </c>
      <c r="AJ444">
        <v>22</v>
      </c>
      <c r="AK444">
        <v>541</v>
      </c>
      <c r="AL444">
        <v>1.26</v>
      </c>
    </row>
    <row r="445" spans="1:38" x14ac:dyDescent="0.3">
      <c r="A445" t="s">
        <v>1259</v>
      </c>
      <c r="B445">
        <v>5678</v>
      </c>
      <c r="C445">
        <v>1</v>
      </c>
      <c r="D445" t="s">
        <v>1301</v>
      </c>
      <c r="E445" t="s">
        <v>1302</v>
      </c>
      <c r="F445">
        <v>1259</v>
      </c>
      <c r="G445">
        <v>28.33</v>
      </c>
      <c r="H445">
        <v>93.67</v>
      </c>
      <c r="I445">
        <v>22.08</v>
      </c>
      <c r="J445">
        <v>73.010000000000005</v>
      </c>
      <c r="K445">
        <v>256</v>
      </c>
      <c r="T445">
        <v>3</v>
      </c>
      <c r="U445">
        <v>1</v>
      </c>
      <c r="V445" t="s">
        <v>541</v>
      </c>
      <c r="W445">
        <v>93</v>
      </c>
      <c r="X445">
        <v>20</v>
      </c>
      <c r="Y445">
        <v>16</v>
      </c>
      <c r="Z445" t="s">
        <v>1303</v>
      </c>
      <c r="AA445" t="s">
        <v>1304</v>
      </c>
      <c r="AB445" t="s">
        <v>526</v>
      </c>
      <c r="AC445" t="s">
        <v>527</v>
      </c>
      <c r="AD445" t="s">
        <v>528</v>
      </c>
      <c r="AE445" t="s">
        <v>1264</v>
      </c>
      <c r="AG445" t="s">
        <v>1305</v>
      </c>
      <c r="AH445">
        <v>0</v>
      </c>
      <c r="AI445">
        <v>0</v>
      </c>
      <c r="AJ445">
        <v>16</v>
      </c>
      <c r="AK445">
        <v>0</v>
      </c>
      <c r="AL445">
        <v>0</v>
      </c>
    </row>
    <row r="446" spans="1:38" x14ac:dyDescent="0.3">
      <c r="A446" t="s">
        <v>1259</v>
      </c>
      <c r="B446">
        <v>5678</v>
      </c>
      <c r="C446">
        <v>2</v>
      </c>
      <c r="D446" t="s">
        <v>1301</v>
      </c>
      <c r="E446" t="s">
        <v>1302</v>
      </c>
      <c r="F446">
        <v>1259</v>
      </c>
      <c r="G446">
        <v>31.95</v>
      </c>
      <c r="H446">
        <v>105.62</v>
      </c>
      <c r="I446">
        <v>25.66</v>
      </c>
      <c r="J446">
        <v>84.84</v>
      </c>
      <c r="K446">
        <v>718</v>
      </c>
      <c r="T446">
        <v>3</v>
      </c>
      <c r="U446">
        <v>2</v>
      </c>
      <c r="V446" t="s">
        <v>541</v>
      </c>
      <c r="W446">
        <v>105</v>
      </c>
      <c r="X446">
        <v>20</v>
      </c>
      <c r="Y446">
        <v>16</v>
      </c>
      <c r="Z446" t="s">
        <v>1303</v>
      </c>
      <c r="AA446" t="s">
        <v>1304</v>
      </c>
      <c r="AB446" t="s">
        <v>526</v>
      </c>
      <c r="AC446" t="s">
        <v>527</v>
      </c>
      <c r="AD446" t="s">
        <v>528</v>
      </c>
      <c r="AE446" t="s">
        <v>1264</v>
      </c>
      <c r="AG446" t="s">
        <v>1305</v>
      </c>
      <c r="AH446">
        <v>0</v>
      </c>
      <c r="AI446">
        <v>0</v>
      </c>
      <c r="AJ446">
        <v>16</v>
      </c>
      <c r="AK446">
        <v>0</v>
      </c>
      <c r="AL446">
        <v>0</v>
      </c>
    </row>
    <row r="447" spans="1:38" x14ac:dyDescent="0.3">
      <c r="A447" t="s">
        <v>1259</v>
      </c>
      <c r="B447">
        <v>5678</v>
      </c>
      <c r="C447">
        <v>3</v>
      </c>
      <c r="D447" t="s">
        <v>1301</v>
      </c>
      <c r="E447" t="s">
        <v>1302</v>
      </c>
      <c r="F447">
        <v>1259</v>
      </c>
      <c r="G447">
        <v>37.49</v>
      </c>
      <c r="H447">
        <v>123.95</v>
      </c>
      <c r="I447">
        <v>30.84</v>
      </c>
      <c r="J447">
        <v>101.97</v>
      </c>
      <c r="K447">
        <v>111</v>
      </c>
      <c r="T447">
        <v>3</v>
      </c>
      <c r="U447">
        <v>2</v>
      </c>
      <c r="V447" t="s">
        <v>541</v>
      </c>
      <c r="W447">
        <v>123</v>
      </c>
      <c r="X447">
        <v>20</v>
      </c>
      <c r="Y447">
        <v>16</v>
      </c>
      <c r="Z447" t="s">
        <v>1303</v>
      </c>
      <c r="AA447" t="s">
        <v>1304</v>
      </c>
      <c r="AB447" t="s">
        <v>526</v>
      </c>
      <c r="AC447" t="s">
        <v>527</v>
      </c>
      <c r="AD447" t="s">
        <v>528</v>
      </c>
      <c r="AE447" t="s">
        <v>1264</v>
      </c>
      <c r="AG447" t="s">
        <v>1305</v>
      </c>
      <c r="AH447">
        <v>0</v>
      </c>
      <c r="AI447">
        <v>0</v>
      </c>
      <c r="AJ447">
        <v>16</v>
      </c>
      <c r="AK447">
        <v>0</v>
      </c>
      <c r="AL447">
        <v>0</v>
      </c>
    </row>
    <row r="448" spans="1:38" x14ac:dyDescent="0.3">
      <c r="A448" t="s">
        <v>1259</v>
      </c>
      <c r="B448">
        <v>5678</v>
      </c>
      <c r="C448">
        <v>4</v>
      </c>
      <c r="D448" t="s">
        <v>1301</v>
      </c>
      <c r="E448" t="s">
        <v>1302</v>
      </c>
      <c r="F448">
        <v>1259</v>
      </c>
      <c r="G448">
        <v>48.31</v>
      </c>
      <c r="H448">
        <v>159.71</v>
      </c>
      <c r="I448">
        <v>40.61</v>
      </c>
      <c r="J448">
        <v>134.28</v>
      </c>
      <c r="K448">
        <v>138</v>
      </c>
      <c r="T448">
        <v>4</v>
      </c>
      <c r="U448">
        <v>2</v>
      </c>
      <c r="V448" t="s">
        <v>541</v>
      </c>
      <c r="W448">
        <v>159</v>
      </c>
      <c r="X448">
        <v>20</v>
      </c>
      <c r="Y448">
        <v>16</v>
      </c>
      <c r="Z448" t="s">
        <v>1303</v>
      </c>
      <c r="AA448" t="s">
        <v>1304</v>
      </c>
      <c r="AB448" t="s">
        <v>526</v>
      </c>
      <c r="AC448" t="s">
        <v>527</v>
      </c>
      <c r="AD448" t="s">
        <v>528</v>
      </c>
      <c r="AE448" t="s">
        <v>1264</v>
      </c>
      <c r="AG448" t="s">
        <v>1305</v>
      </c>
      <c r="AH448">
        <v>0</v>
      </c>
      <c r="AI448">
        <v>0</v>
      </c>
      <c r="AJ448">
        <v>16</v>
      </c>
      <c r="AK448">
        <v>0</v>
      </c>
      <c r="AL448">
        <v>0</v>
      </c>
    </row>
    <row r="449" spans="1:38" x14ac:dyDescent="0.3">
      <c r="A449" t="s">
        <v>1259</v>
      </c>
      <c r="B449">
        <v>5678</v>
      </c>
      <c r="C449">
        <v>5</v>
      </c>
      <c r="D449" t="s">
        <v>1301</v>
      </c>
      <c r="E449" t="s">
        <v>1302</v>
      </c>
      <c r="F449">
        <v>1259</v>
      </c>
      <c r="G449">
        <v>65.680000000000007</v>
      </c>
      <c r="H449">
        <v>217.13</v>
      </c>
      <c r="I449">
        <v>57.04</v>
      </c>
      <c r="J449">
        <v>188.58</v>
      </c>
      <c r="K449">
        <v>36</v>
      </c>
      <c r="T449">
        <v>5</v>
      </c>
      <c r="U449">
        <v>2</v>
      </c>
      <c r="V449" t="s">
        <v>541</v>
      </c>
      <c r="W449">
        <v>217</v>
      </c>
      <c r="X449">
        <v>20</v>
      </c>
      <c r="Y449">
        <v>16</v>
      </c>
      <c r="Z449" t="s">
        <v>1303</v>
      </c>
      <c r="AA449" t="s">
        <v>1304</v>
      </c>
      <c r="AB449" t="s">
        <v>526</v>
      </c>
      <c r="AC449" t="s">
        <v>527</v>
      </c>
      <c r="AD449" t="s">
        <v>528</v>
      </c>
      <c r="AE449" t="s">
        <v>1264</v>
      </c>
      <c r="AG449" t="s">
        <v>1305</v>
      </c>
      <c r="AH449">
        <v>0</v>
      </c>
      <c r="AI449">
        <v>0</v>
      </c>
      <c r="AJ449">
        <v>16</v>
      </c>
      <c r="AK449">
        <v>0</v>
      </c>
      <c r="AL449">
        <v>0</v>
      </c>
    </row>
    <row r="450" spans="1:38" x14ac:dyDescent="0.3">
      <c r="A450" t="s">
        <v>1259</v>
      </c>
      <c r="B450">
        <v>5671</v>
      </c>
      <c r="C450">
        <v>1</v>
      </c>
      <c r="D450" t="s">
        <v>1306</v>
      </c>
      <c r="E450" t="s">
        <v>1307</v>
      </c>
      <c r="F450">
        <v>488</v>
      </c>
      <c r="G450">
        <v>24.02</v>
      </c>
      <c r="H450">
        <v>79.41</v>
      </c>
      <c r="I450">
        <v>18.079999999999998</v>
      </c>
      <c r="J450">
        <v>59.8</v>
      </c>
      <c r="K450">
        <v>238</v>
      </c>
      <c r="T450">
        <v>3</v>
      </c>
      <c r="U450">
        <v>1</v>
      </c>
      <c r="V450" t="s">
        <v>541</v>
      </c>
      <c r="W450">
        <v>79</v>
      </c>
      <c r="X450">
        <v>20</v>
      </c>
      <c r="Y450">
        <v>9</v>
      </c>
      <c r="Z450" t="s">
        <v>1308</v>
      </c>
      <c r="AA450" t="s">
        <v>1309</v>
      </c>
      <c r="AB450" t="s">
        <v>526</v>
      </c>
      <c r="AC450" t="s">
        <v>527</v>
      </c>
      <c r="AD450" t="s">
        <v>528</v>
      </c>
      <c r="AE450" t="s">
        <v>1264</v>
      </c>
      <c r="AG450" t="s">
        <v>1310</v>
      </c>
      <c r="AH450">
        <v>0</v>
      </c>
      <c r="AI450">
        <v>0</v>
      </c>
      <c r="AJ450">
        <v>0</v>
      </c>
      <c r="AK450">
        <v>488</v>
      </c>
      <c r="AL450">
        <v>1</v>
      </c>
    </row>
    <row r="451" spans="1:38" x14ac:dyDescent="0.3">
      <c r="A451" t="s">
        <v>1259</v>
      </c>
      <c r="B451">
        <v>5671</v>
      </c>
      <c r="C451">
        <v>2</v>
      </c>
      <c r="D451" t="s">
        <v>1306</v>
      </c>
      <c r="E451" t="s">
        <v>1307</v>
      </c>
      <c r="F451">
        <v>488</v>
      </c>
      <c r="G451">
        <v>28.25</v>
      </c>
      <c r="H451">
        <v>93.41</v>
      </c>
      <c r="I451">
        <v>21.94</v>
      </c>
      <c r="J451">
        <v>72.55</v>
      </c>
      <c r="K451">
        <v>36</v>
      </c>
      <c r="T451">
        <v>3</v>
      </c>
      <c r="U451">
        <v>2</v>
      </c>
      <c r="V451" t="s">
        <v>541</v>
      </c>
      <c r="W451" t="s">
        <v>300</v>
      </c>
      <c r="X451">
        <v>20</v>
      </c>
      <c r="Y451">
        <v>9</v>
      </c>
      <c r="Z451" t="s">
        <v>1308</v>
      </c>
      <c r="AA451" t="s">
        <v>1309</v>
      </c>
      <c r="AB451" t="s">
        <v>526</v>
      </c>
      <c r="AC451" t="s">
        <v>527</v>
      </c>
      <c r="AD451" t="s">
        <v>528</v>
      </c>
      <c r="AE451" t="s">
        <v>1264</v>
      </c>
      <c r="AG451" t="s">
        <v>1310</v>
      </c>
      <c r="AH451">
        <v>0</v>
      </c>
      <c r="AI451">
        <v>0</v>
      </c>
      <c r="AJ451">
        <v>0</v>
      </c>
      <c r="AK451">
        <v>488</v>
      </c>
      <c r="AL451">
        <v>1</v>
      </c>
    </row>
    <row r="452" spans="1:38" x14ac:dyDescent="0.3">
      <c r="A452" t="s">
        <v>1259</v>
      </c>
      <c r="B452">
        <v>5671</v>
      </c>
      <c r="C452">
        <v>3</v>
      </c>
      <c r="D452" t="s">
        <v>1306</v>
      </c>
      <c r="E452" t="s">
        <v>1307</v>
      </c>
      <c r="F452">
        <v>488</v>
      </c>
      <c r="G452">
        <v>28.39</v>
      </c>
      <c r="H452">
        <v>93.87</v>
      </c>
      <c r="I452">
        <v>22.05</v>
      </c>
      <c r="J452">
        <v>72.91</v>
      </c>
      <c r="K452">
        <v>34</v>
      </c>
      <c r="T452">
        <v>3</v>
      </c>
      <c r="U452">
        <v>2</v>
      </c>
      <c r="V452" t="s">
        <v>541</v>
      </c>
      <c r="W452">
        <v>93</v>
      </c>
      <c r="X452">
        <v>20</v>
      </c>
      <c r="Y452">
        <v>9</v>
      </c>
      <c r="Z452" t="s">
        <v>1308</v>
      </c>
      <c r="AA452" t="s">
        <v>1309</v>
      </c>
      <c r="AB452" t="s">
        <v>526</v>
      </c>
      <c r="AC452" t="s">
        <v>527</v>
      </c>
      <c r="AD452" t="s">
        <v>528</v>
      </c>
      <c r="AE452" t="s">
        <v>1264</v>
      </c>
      <c r="AG452" t="s">
        <v>1310</v>
      </c>
      <c r="AH452">
        <v>0</v>
      </c>
      <c r="AI452">
        <v>0</v>
      </c>
      <c r="AJ452">
        <v>0</v>
      </c>
      <c r="AK452">
        <v>488</v>
      </c>
      <c r="AL452">
        <v>1</v>
      </c>
    </row>
    <row r="453" spans="1:38" x14ac:dyDescent="0.3">
      <c r="A453" t="s">
        <v>1259</v>
      </c>
      <c r="B453">
        <v>5671</v>
      </c>
      <c r="C453">
        <v>4</v>
      </c>
      <c r="D453" t="s">
        <v>1306</v>
      </c>
      <c r="E453" t="s">
        <v>1307</v>
      </c>
      <c r="F453">
        <v>488</v>
      </c>
      <c r="G453">
        <v>32.520000000000003</v>
      </c>
      <c r="H453">
        <v>107.53</v>
      </c>
      <c r="I453">
        <v>25.66</v>
      </c>
      <c r="J453">
        <v>84.83</v>
      </c>
      <c r="K453">
        <v>180</v>
      </c>
      <c r="T453">
        <v>3</v>
      </c>
      <c r="U453">
        <v>2</v>
      </c>
      <c r="V453" t="s">
        <v>541</v>
      </c>
      <c r="W453">
        <v>107</v>
      </c>
      <c r="X453">
        <v>20</v>
      </c>
      <c r="Y453">
        <v>9</v>
      </c>
      <c r="Z453" t="s">
        <v>1308</v>
      </c>
      <c r="AA453" t="s">
        <v>1309</v>
      </c>
      <c r="AB453" t="s">
        <v>526</v>
      </c>
      <c r="AC453" t="s">
        <v>527</v>
      </c>
      <c r="AD453" t="s">
        <v>528</v>
      </c>
      <c r="AE453" t="s">
        <v>1264</v>
      </c>
      <c r="AG453" t="s">
        <v>1310</v>
      </c>
      <c r="AH453">
        <v>0</v>
      </c>
      <c r="AI453">
        <v>0</v>
      </c>
      <c r="AJ453">
        <v>0</v>
      </c>
      <c r="AK453">
        <v>488</v>
      </c>
      <c r="AL453">
        <v>1</v>
      </c>
    </row>
    <row r="454" spans="1:38" x14ac:dyDescent="0.3">
      <c r="A454" t="s">
        <v>1259</v>
      </c>
      <c r="B454">
        <v>109232</v>
      </c>
      <c r="C454">
        <v>1</v>
      </c>
      <c r="D454" t="s">
        <v>1311</v>
      </c>
      <c r="E454" t="s">
        <v>1161</v>
      </c>
      <c r="F454">
        <v>206</v>
      </c>
      <c r="G454">
        <v>15.19</v>
      </c>
      <c r="H454">
        <v>50.23</v>
      </c>
      <c r="I454">
        <v>9.32</v>
      </c>
      <c r="J454">
        <v>30.81</v>
      </c>
      <c r="K454">
        <v>28</v>
      </c>
      <c r="T454">
        <v>2</v>
      </c>
      <c r="U454">
        <v>1</v>
      </c>
      <c r="V454" t="s">
        <v>541</v>
      </c>
      <c r="W454" t="s">
        <v>302</v>
      </c>
      <c r="X454">
        <v>7</v>
      </c>
      <c r="Y454">
        <v>5</v>
      </c>
      <c r="Z454" t="s">
        <v>1312</v>
      </c>
      <c r="AA454" t="s">
        <v>1313</v>
      </c>
      <c r="AB454" t="s">
        <v>526</v>
      </c>
      <c r="AC454" t="s">
        <v>527</v>
      </c>
      <c r="AD454" t="s">
        <v>528</v>
      </c>
      <c r="AE454" t="s">
        <v>1264</v>
      </c>
      <c r="AG454" t="s">
        <v>1314</v>
      </c>
      <c r="AH454">
        <v>0</v>
      </c>
      <c r="AI454">
        <v>245</v>
      </c>
      <c r="AJ454">
        <v>43</v>
      </c>
      <c r="AK454">
        <v>146</v>
      </c>
      <c r="AL454">
        <v>0.71</v>
      </c>
    </row>
    <row r="455" spans="1:38" x14ac:dyDescent="0.3">
      <c r="A455" t="s">
        <v>1259</v>
      </c>
      <c r="B455">
        <v>109232</v>
      </c>
      <c r="C455">
        <v>2</v>
      </c>
      <c r="D455" t="s">
        <v>1311</v>
      </c>
      <c r="E455" t="s">
        <v>1161</v>
      </c>
      <c r="F455">
        <v>206</v>
      </c>
      <c r="G455">
        <v>15.18</v>
      </c>
      <c r="H455">
        <v>50.21</v>
      </c>
      <c r="I455">
        <v>9.3000000000000007</v>
      </c>
      <c r="J455">
        <v>30.77</v>
      </c>
      <c r="K455">
        <v>4</v>
      </c>
      <c r="T455">
        <v>2</v>
      </c>
      <c r="U455">
        <v>1</v>
      </c>
      <c r="V455" t="s">
        <v>541</v>
      </c>
      <c r="W455" t="s">
        <v>303</v>
      </c>
      <c r="X455">
        <v>7</v>
      </c>
      <c r="Y455">
        <v>5</v>
      </c>
      <c r="Z455" t="s">
        <v>1312</v>
      </c>
      <c r="AA455" t="s">
        <v>1313</v>
      </c>
      <c r="AB455" t="s">
        <v>526</v>
      </c>
      <c r="AC455" t="s">
        <v>527</v>
      </c>
      <c r="AD455" t="s">
        <v>528</v>
      </c>
      <c r="AE455" t="s">
        <v>1264</v>
      </c>
      <c r="AG455" t="s">
        <v>1314</v>
      </c>
      <c r="AH455">
        <v>0</v>
      </c>
      <c r="AI455">
        <v>245</v>
      </c>
      <c r="AJ455">
        <v>43</v>
      </c>
      <c r="AK455">
        <v>146</v>
      </c>
      <c r="AL455">
        <v>0.71</v>
      </c>
    </row>
    <row r="456" spans="1:38" x14ac:dyDescent="0.3">
      <c r="A456" t="s">
        <v>1259</v>
      </c>
      <c r="B456">
        <v>109232</v>
      </c>
      <c r="C456">
        <v>3</v>
      </c>
      <c r="D456" t="s">
        <v>1311</v>
      </c>
      <c r="E456" t="s">
        <v>1161</v>
      </c>
      <c r="F456">
        <v>206</v>
      </c>
      <c r="G456">
        <v>18.53</v>
      </c>
      <c r="H456">
        <v>61.28</v>
      </c>
      <c r="I456">
        <v>11.4</v>
      </c>
      <c r="J456">
        <v>37.69</v>
      </c>
      <c r="K456">
        <v>7</v>
      </c>
      <c r="T456">
        <v>2</v>
      </c>
      <c r="U456">
        <v>1</v>
      </c>
      <c r="V456" t="s">
        <v>541</v>
      </c>
      <c r="W456">
        <v>61</v>
      </c>
      <c r="X456">
        <v>7</v>
      </c>
      <c r="Y456">
        <v>5</v>
      </c>
      <c r="Z456" t="s">
        <v>1312</v>
      </c>
      <c r="AA456" t="s">
        <v>1313</v>
      </c>
      <c r="AB456" t="s">
        <v>526</v>
      </c>
      <c r="AC456" t="s">
        <v>527</v>
      </c>
      <c r="AD456" t="s">
        <v>528</v>
      </c>
      <c r="AE456" t="s">
        <v>1264</v>
      </c>
      <c r="AG456" t="s">
        <v>1314</v>
      </c>
      <c r="AH456">
        <v>0</v>
      </c>
      <c r="AI456">
        <v>245</v>
      </c>
      <c r="AJ456">
        <v>43</v>
      </c>
      <c r="AK456">
        <v>146</v>
      </c>
      <c r="AL456">
        <v>0.71</v>
      </c>
    </row>
    <row r="457" spans="1:38" x14ac:dyDescent="0.3">
      <c r="A457" t="s">
        <v>1259</v>
      </c>
      <c r="B457">
        <v>109232</v>
      </c>
      <c r="C457">
        <v>4</v>
      </c>
      <c r="D457" t="s">
        <v>1311</v>
      </c>
      <c r="E457" t="s">
        <v>1161</v>
      </c>
      <c r="F457">
        <v>206</v>
      </c>
      <c r="G457">
        <v>22.22</v>
      </c>
      <c r="H457">
        <v>73.47</v>
      </c>
      <c r="I457">
        <v>13.77</v>
      </c>
      <c r="J457">
        <v>45.54</v>
      </c>
      <c r="K457">
        <v>109</v>
      </c>
      <c r="T457">
        <v>2</v>
      </c>
      <c r="U457">
        <v>1</v>
      </c>
      <c r="V457" t="s">
        <v>541</v>
      </c>
      <c r="W457" t="s">
        <v>304</v>
      </c>
      <c r="X457">
        <v>7</v>
      </c>
      <c r="Y457">
        <v>5</v>
      </c>
      <c r="Z457" t="s">
        <v>1312</v>
      </c>
      <c r="AA457" t="s">
        <v>1313</v>
      </c>
      <c r="AB457" t="s">
        <v>526</v>
      </c>
      <c r="AC457" t="s">
        <v>527</v>
      </c>
      <c r="AD457" t="s">
        <v>528</v>
      </c>
      <c r="AE457" t="s">
        <v>1264</v>
      </c>
      <c r="AG457" t="s">
        <v>1314</v>
      </c>
      <c r="AH457">
        <v>0</v>
      </c>
      <c r="AI457">
        <v>245</v>
      </c>
      <c r="AJ457">
        <v>43</v>
      </c>
      <c r="AK457">
        <v>146</v>
      </c>
      <c r="AL457">
        <v>0.71</v>
      </c>
    </row>
    <row r="458" spans="1:38" x14ac:dyDescent="0.3">
      <c r="A458" t="s">
        <v>1259</v>
      </c>
      <c r="B458">
        <v>109232</v>
      </c>
      <c r="C458">
        <v>5</v>
      </c>
      <c r="D458" t="s">
        <v>1311</v>
      </c>
      <c r="E458" t="s">
        <v>1161</v>
      </c>
      <c r="F458">
        <v>206</v>
      </c>
      <c r="G458">
        <v>22.25</v>
      </c>
      <c r="H458">
        <v>73.58</v>
      </c>
      <c r="I458">
        <v>13.83</v>
      </c>
      <c r="J458">
        <v>45.74</v>
      </c>
      <c r="K458">
        <v>33</v>
      </c>
      <c r="T458">
        <v>2</v>
      </c>
      <c r="U458">
        <v>1</v>
      </c>
      <c r="V458" t="s">
        <v>541</v>
      </c>
      <c r="W458" t="s">
        <v>305</v>
      </c>
      <c r="X458">
        <v>7</v>
      </c>
      <c r="Y458">
        <v>5</v>
      </c>
      <c r="Z458" t="s">
        <v>1312</v>
      </c>
      <c r="AA458" t="s">
        <v>1313</v>
      </c>
      <c r="AB458" t="s">
        <v>526</v>
      </c>
      <c r="AC458" t="s">
        <v>527</v>
      </c>
      <c r="AD458" t="s">
        <v>528</v>
      </c>
      <c r="AE458" t="s">
        <v>1264</v>
      </c>
      <c r="AG458" t="s">
        <v>1314</v>
      </c>
      <c r="AH458">
        <v>0</v>
      </c>
      <c r="AI458">
        <v>245</v>
      </c>
      <c r="AJ458">
        <v>43</v>
      </c>
      <c r="AK458">
        <v>146</v>
      </c>
      <c r="AL458">
        <v>0.71</v>
      </c>
    </row>
    <row r="459" spans="1:38" x14ac:dyDescent="0.3">
      <c r="A459" t="s">
        <v>1259</v>
      </c>
      <c r="B459">
        <v>109232</v>
      </c>
      <c r="C459">
        <v>6</v>
      </c>
      <c r="D459" t="s">
        <v>1311</v>
      </c>
      <c r="E459" t="s">
        <v>1161</v>
      </c>
      <c r="F459">
        <v>206</v>
      </c>
      <c r="G459">
        <v>22.21</v>
      </c>
      <c r="H459">
        <v>73.430000000000007</v>
      </c>
      <c r="I459">
        <v>13.75</v>
      </c>
      <c r="J459">
        <v>45.46</v>
      </c>
      <c r="K459">
        <v>13</v>
      </c>
      <c r="T459">
        <v>2</v>
      </c>
      <c r="U459">
        <v>1</v>
      </c>
      <c r="V459" t="s">
        <v>541</v>
      </c>
      <c r="W459" t="s">
        <v>306</v>
      </c>
      <c r="X459">
        <v>7</v>
      </c>
      <c r="Y459">
        <v>5</v>
      </c>
      <c r="Z459" t="s">
        <v>1312</v>
      </c>
      <c r="AA459" t="s">
        <v>1313</v>
      </c>
      <c r="AB459" t="s">
        <v>526</v>
      </c>
      <c r="AC459" t="s">
        <v>527</v>
      </c>
      <c r="AD459" t="s">
        <v>528</v>
      </c>
      <c r="AE459" t="s">
        <v>1264</v>
      </c>
      <c r="AG459" t="s">
        <v>1314</v>
      </c>
      <c r="AH459">
        <v>0</v>
      </c>
      <c r="AI459">
        <v>245</v>
      </c>
      <c r="AJ459">
        <v>43</v>
      </c>
      <c r="AK459">
        <v>146</v>
      </c>
      <c r="AL459">
        <v>0.71</v>
      </c>
    </row>
    <row r="460" spans="1:38" x14ac:dyDescent="0.3">
      <c r="A460" t="s">
        <v>1259</v>
      </c>
      <c r="B460">
        <v>109232</v>
      </c>
      <c r="C460">
        <v>7</v>
      </c>
      <c r="D460" t="s">
        <v>1311</v>
      </c>
      <c r="E460" t="s">
        <v>1161</v>
      </c>
      <c r="F460">
        <v>206</v>
      </c>
      <c r="G460">
        <v>23.89</v>
      </c>
      <c r="H460">
        <v>78.98</v>
      </c>
      <c r="I460">
        <v>14.86</v>
      </c>
      <c r="J460">
        <v>49.13</v>
      </c>
      <c r="K460">
        <v>6</v>
      </c>
      <c r="T460">
        <v>3</v>
      </c>
      <c r="U460">
        <v>1</v>
      </c>
      <c r="V460" t="s">
        <v>541</v>
      </c>
      <c r="W460">
        <v>78</v>
      </c>
      <c r="X460">
        <v>7</v>
      </c>
      <c r="Y460">
        <v>5</v>
      </c>
      <c r="Z460" t="s">
        <v>1312</v>
      </c>
      <c r="AA460" t="s">
        <v>1313</v>
      </c>
      <c r="AB460" t="s">
        <v>526</v>
      </c>
      <c r="AC460" t="s">
        <v>527</v>
      </c>
      <c r="AD460" t="s">
        <v>528</v>
      </c>
      <c r="AE460" t="s">
        <v>1264</v>
      </c>
      <c r="AG460" t="s">
        <v>1314</v>
      </c>
      <c r="AH460">
        <v>0</v>
      </c>
      <c r="AI460">
        <v>245</v>
      </c>
      <c r="AJ460">
        <v>43</v>
      </c>
      <c r="AK460">
        <v>146</v>
      </c>
      <c r="AL460">
        <v>0.71</v>
      </c>
    </row>
    <row r="461" spans="1:38" x14ac:dyDescent="0.3">
      <c r="A461" t="s">
        <v>1259</v>
      </c>
      <c r="B461">
        <v>109232</v>
      </c>
      <c r="C461">
        <v>8</v>
      </c>
      <c r="D461" t="s">
        <v>1311</v>
      </c>
      <c r="E461" t="s">
        <v>1161</v>
      </c>
      <c r="F461">
        <v>206</v>
      </c>
      <c r="G461">
        <v>28.34</v>
      </c>
      <c r="H461">
        <v>93.71</v>
      </c>
      <c r="I461">
        <v>17.54</v>
      </c>
      <c r="J461">
        <v>58</v>
      </c>
      <c r="K461">
        <v>6</v>
      </c>
      <c r="T461">
        <v>3</v>
      </c>
      <c r="U461">
        <v>2</v>
      </c>
      <c r="V461" t="s">
        <v>541</v>
      </c>
      <c r="W461">
        <v>93</v>
      </c>
      <c r="X461">
        <v>7</v>
      </c>
      <c r="Y461">
        <v>5</v>
      </c>
      <c r="Z461" t="s">
        <v>1312</v>
      </c>
      <c r="AA461" t="s">
        <v>1313</v>
      </c>
      <c r="AB461" t="s">
        <v>526</v>
      </c>
      <c r="AC461" t="s">
        <v>527</v>
      </c>
      <c r="AD461" t="s">
        <v>528</v>
      </c>
      <c r="AE461" t="s">
        <v>1264</v>
      </c>
      <c r="AG461" t="s">
        <v>1314</v>
      </c>
      <c r="AH461">
        <v>0</v>
      </c>
      <c r="AI461">
        <v>245</v>
      </c>
      <c r="AJ461">
        <v>43</v>
      </c>
      <c r="AK461">
        <v>146</v>
      </c>
      <c r="AL461">
        <v>0.71</v>
      </c>
    </row>
    <row r="462" spans="1:38" x14ac:dyDescent="0.3">
      <c r="A462" t="s">
        <v>1315</v>
      </c>
      <c r="B462">
        <v>112071</v>
      </c>
      <c r="C462">
        <v>1</v>
      </c>
      <c r="D462" t="s">
        <v>1316</v>
      </c>
      <c r="E462" t="s">
        <v>1317</v>
      </c>
      <c r="F462">
        <v>74</v>
      </c>
      <c r="G462">
        <v>25.39</v>
      </c>
      <c r="H462">
        <v>83.95</v>
      </c>
      <c r="I462">
        <v>20.37</v>
      </c>
      <c r="J462">
        <v>67.37</v>
      </c>
      <c r="K462">
        <v>7</v>
      </c>
      <c r="T462">
        <v>3</v>
      </c>
      <c r="U462">
        <v>1</v>
      </c>
      <c r="V462" t="s">
        <v>541</v>
      </c>
      <c r="W462">
        <v>83</v>
      </c>
      <c r="X462">
        <v>14</v>
      </c>
      <c r="Y462">
        <v>4</v>
      </c>
      <c r="Z462" t="s">
        <v>1318</v>
      </c>
      <c r="AA462" t="s">
        <v>1319</v>
      </c>
      <c r="AB462" t="s">
        <v>526</v>
      </c>
      <c r="AC462" t="s">
        <v>527</v>
      </c>
      <c r="AD462" t="s">
        <v>528</v>
      </c>
      <c r="AE462" t="s">
        <v>1320</v>
      </c>
      <c r="AG462" t="s">
        <v>1321</v>
      </c>
      <c r="AH462">
        <v>0</v>
      </c>
      <c r="AI462">
        <v>387</v>
      </c>
      <c r="AJ462">
        <v>41</v>
      </c>
      <c r="AK462">
        <v>75</v>
      </c>
      <c r="AL462">
        <v>1.01</v>
      </c>
    </row>
    <row r="463" spans="1:38" x14ac:dyDescent="0.3">
      <c r="A463" t="s">
        <v>1315</v>
      </c>
      <c r="B463">
        <v>112071</v>
      </c>
      <c r="C463">
        <v>2</v>
      </c>
      <c r="D463" t="s">
        <v>1316</v>
      </c>
      <c r="E463" t="s">
        <v>1317</v>
      </c>
      <c r="F463">
        <v>74</v>
      </c>
      <c r="G463">
        <v>26.52</v>
      </c>
      <c r="H463">
        <v>87.7</v>
      </c>
      <c r="I463">
        <v>21.17</v>
      </c>
      <c r="J463">
        <v>70.010000000000005</v>
      </c>
      <c r="K463">
        <v>11</v>
      </c>
      <c r="T463">
        <v>3</v>
      </c>
      <c r="U463">
        <v>1</v>
      </c>
      <c r="V463" t="s">
        <v>541</v>
      </c>
      <c r="W463">
        <v>87</v>
      </c>
      <c r="X463">
        <v>14</v>
      </c>
      <c r="Y463">
        <v>4</v>
      </c>
      <c r="Z463" t="s">
        <v>1318</v>
      </c>
      <c r="AA463" t="s">
        <v>1319</v>
      </c>
      <c r="AB463" t="s">
        <v>526</v>
      </c>
      <c r="AC463" t="s">
        <v>527</v>
      </c>
      <c r="AD463" t="s">
        <v>528</v>
      </c>
      <c r="AE463" t="s">
        <v>1320</v>
      </c>
      <c r="AG463" t="s">
        <v>1321</v>
      </c>
      <c r="AH463">
        <v>0</v>
      </c>
      <c r="AI463">
        <v>387</v>
      </c>
      <c r="AJ463">
        <v>41</v>
      </c>
      <c r="AK463">
        <v>75</v>
      </c>
      <c r="AL463">
        <v>1.01</v>
      </c>
    </row>
    <row r="464" spans="1:38" x14ac:dyDescent="0.3">
      <c r="A464" t="s">
        <v>1315</v>
      </c>
      <c r="B464">
        <v>112071</v>
      </c>
      <c r="C464">
        <v>3</v>
      </c>
      <c r="D464" t="s">
        <v>1316</v>
      </c>
      <c r="E464" t="s">
        <v>1317</v>
      </c>
      <c r="F464">
        <v>74</v>
      </c>
      <c r="G464">
        <v>30.07</v>
      </c>
      <c r="H464">
        <v>99.43</v>
      </c>
      <c r="I464">
        <v>24.26</v>
      </c>
      <c r="J464">
        <v>80.23</v>
      </c>
      <c r="K464">
        <v>56</v>
      </c>
      <c r="T464">
        <v>3</v>
      </c>
      <c r="U464">
        <v>2</v>
      </c>
      <c r="V464" t="s">
        <v>541</v>
      </c>
      <c r="W464">
        <v>99</v>
      </c>
      <c r="X464">
        <v>14</v>
      </c>
      <c r="Y464">
        <v>4</v>
      </c>
      <c r="Z464" t="s">
        <v>1318</v>
      </c>
      <c r="AA464" t="s">
        <v>1319</v>
      </c>
      <c r="AB464" t="s">
        <v>526</v>
      </c>
      <c r="AC464" t="s">
        <v>527</v>
      </c>
      <c r="AD464" t="s">
        <v>528</v>
      </c>
      <c r="AE464" t="s">
        <v>1320</v>
      </c>
      <c r="AG464" t="s">
        <v>1321</v>
      </c>
      <c r="AH464">
        <v>0</v>
      </c>
      <c r="AI464">
        <v>387</v>
      </c>
      <c r="AJ464">
        <v>41</v>
      </c>
      <c r="AK464">
        <v>75</v>
      </c>
      <c r="AL464">
        <v>1.01</v>
      </c>
    </row>
    <row r="465" spans="1:38" x14ac:dyDescent="0.3">
      <c r="A465" t="s">
        <v>1315</v>
      </c>
      <c r="B465">
        <v>111194</v>
      </c>
      <c r="C465">
        <v>1</v>
      </c>
      <c r="D465" t="s">
        <v>1322</v>
      </c>
      <c r="E465" t="s">
        <v>1323</v>
      </c>
      <c r="F465">
        <v>145</v>
      </c>
      <c r="G465">
        <v>24.27</v>
      </c>
      <c r="H465">
        <v>80.260000000000005</v>
      </c>
      <c r="I465">
        <v>18.14</v>
      </c>
      <c r="J465">
        <v>59.97</v>
      </c>
      <c r="K465">
        <v>45</v>
      </c>
      <c r="T465">
        <v>3</v>
      </c>
      <c r="U465">
        <v>2</v>
      </c>
      <c r="V465" t="s">
        <v>541</v>
      </c>
      <c r="W465">
        <v>80</v>
      </c>
      <c r="X465">
        <v>19</v>
      </c>
      <c r="Y465">
        <v>7</v>
      </c>
      <c r="Z465" t="s">
        <v>1324</v>
      </c>
      <c r="AA465" t="s">
        <v>1325</v>
      </c>
      <c r="AB465" t="s">
        <v>526</v>
      </c>
      <c r="AC465" t="s">
        <v>527</v>
      </c>
      <c r="AD465" t="s">
        <v>528</v>
      </c>
      <c r="AE465" t="s">
        <v>1320</v>
      </c>
      <c r="AG465" t="s">
        <v>1326</v>
      </c>
      <c r="AH465">
        <v>0</v>
      </c>
      <c r="AI465">
        <v>0</v>
      </c>
      <c r="AJ465">
        <v>0</v>
      </c>
      <c r="AK465">
        <v>159</v>
      </c>
      <c r="AL465">
        <v>1.1000000000000001</v>
      </c>
    </row>
    <row r="466" spans="1:38" x14ac:dyDescent="0.3">
      <c r="A466" t="s">
        <v>1315</v>
      </c>
      <c r="B466">
        <v>111194</v>
      </c>
      <c r="C466">
        <v>2</v>
      </c>
      <c r="D466" t="s">
        <v>1322</v>
      </c>
      <c r="E466" t="s">
        <v>1323</v>
      </c>
      <c r="F466">
        <v>145</v>
      </c>
      <c r="G466">
        <v>28.91</v>
      </c>
      <c r="H466">
        <v>95.59</v>
      </c>
      <c r="I466">
        <v>21.75</v>
      </c>
      <c r="J466">
        <v>71.92</v>
      </c>
      <c r="K466">
        <v>5</v>
      </c>
      <c r="T466">
        <v>3</v>
      </c>
      <c r="U466">
        <v>2</v>
      </c>
      <c r="V466" t="s">
        <v>541</v>
      </c>
      <c r="W466">
        <v>95</v>
      </c>
      <c r="X466">
        <v>19</v>
      </c>
      <c r="Y466">
        <v>7</v>
      </c>
      <c r="Z466" t="s">
        <v>1324</v>
      </c>
      <c r="AA466" t="s">
        <v>1325</v>
      </c>
      <c r="AB466" t="s">
        <v>526</v>
      </c>
      <c r="AC466" t="s">
        <v>527</v>
      </c>
      <c r="AD466" t="s">
        <v>528</v>
      </c>
      <c r="AE466" t="s">
        <v>1320</v>
      </c>
      <c r="AG466" t="s">
        <v>1326</v>
      </c>
      <c r="AH466">
        <v>0</v>
      </c>
      <c r="AI466">
        <v>0</v>
      </c>
      <c r="AJ466">
        <v>0</v>
      </c>
      <c r="AK466">
        <v>159</v>
      </c>
      <c r="AL466">
        <v>1.1000000000000001</v>
      </c>
    </row>
    <row r="467" spans="1:38" x14ac:dyDescent="0.3">
      <c r="A467" t="s">
        <v>1315</v>
      </c>
      <c r="B467">
        <v>111194</v>
      </c>
      <c r="C467">
        <v>3</v>
      </c>
      <c r="D467" t="s">
        <v>1322</v>
      </c>
      <c r="E467" t="s">
        <v>1323</v>
      </c>
      <c r="F467">
        <v>145</v>
      </c>
      <c r="G467">
        <v>33.82</v>
      </c>
      <c r="H467">
        <v>111.81</v>
      </c>
      <c r="I467">
        <v>25.69</v>
      </c>
      <c r="J467">
        <v>84.94</v>
      </c>
      <c r="K467">
        <v>43</v>
      </c>
      <c r="T467">
        <v>3</v>
      </c>
      <c r="U467">
        <v>2</v>
      </c>
      <c r="V467" t="s">
        <v>541</v>
      </c>
      <c r="W467" t="s">
        <v>221</v>
      </c>
      <c r="X467">
        <v>19</v>
      </c>
      <c r="Y467">
        <v>7</v>
      </c>
      <c r="Z467" t="s">
        <v>1324</v>
      </c>
      <c r="AA467" t="s">
        <v>1325</v>
      </c>
      <c r="AB467" t="s">
        <v>526</v>
      </c>
      <c r="AC467" t="s">
        <v>527</v>
      </c>
      <c r="AD467" t="s">
        <v>528</v>
      </c>
      <c r="AE467" t="s">
        <v>1320</v>
      </c>
      <c r="AG467" t="s">
        <v>1326</v>
      </c>
      <c r="AH467">
        <v>0</v>
      </c>
      <c r="AI467">
        <v>0</v>
      </c>
      <c r="AJ467">
        <v>0</v>
      </c>
      <c r="AK467">
        <v>159</v>
      </c>
      <c r="AL467">
        <v>1.1000000000000001</v>
      </c>
    </row>
    <row r="468" spans="1:38" x14ac:dyDescent="0.3">
      <c r="A468" t="s">
        <v>1315</v>
      </c>
      <c r="B468">
        <v>111194</v>
      </c>
      <c r="C468">
        <v>4</v>
      </c>
      <c r="D468" t="s">
        <v>1322</v>
      </c>
      <c r="E468" t="s">
        <v>1323</v>
      </c>
      <c r="F468">
        <v>145</v>
      </c>
      <c r="G468">
        <v>34.020000000000003</v>
      </c>
      <c r="H468">
        <v>112.47</v>
      </c>
      <c r="I468">
        <v>25.7</v>
      </c>
      <c r="J468">
        <v>84.98</v>
      </c>
      <c r="K468">
        <v>52</v>
      </c>
      <c r="T468">
        <v>3</v>
      </c>
      <c r="U468">
        <v>2</v>
      </c>
      <c r="V468" t="s">
        <v>541</v>
      </c>
      <c r="W468" t="s">
        <v>247</v>
      </c>
      <c r="X468">
        <v>19</v>
      </c>
      <c r="Y468">
        <v>7</v>
      </c>
      <c r="Z468" t="s">
        <v>1324</v>
      </c>
      <c r="AA468" t="s">
        <v>1325</v>
      </c>
      <c r="AB468" t="s">
        <v>526</v>
      </c>
      <c r="AC468" t="s">
        <v>527</v>
      </c>
      <c r="AD468" t="s">
        <v>528</v>
      </c>
      <c r="AE468" t="s">
        <v>1320</v>
      </c>
      <c r="AG468" t="s">
        <v>1326</v>
      </c>
      <c r="AH468">
        <v>0</v>
      </c>
      <c r="AI468">
        <v>0</v>
      </c>
      <c r="AJ468">
        <v>0</v>
      </c>
      <c r="AK468">
        <v>159</v>
      </c>
      <c r="AL468">
        <v>1.1000000000000001</v>
      </c>
    </row>
    <row r="469" spans="1:38" x14ac:dyDescent="0.3">
      <c r="A469" t="s">
        <v>1315</v>
      </c>
      <c r="B469">
        <v>5697</v>
      </c>
      <c r="C469">
        <v>1</v>
      </c>
      <c r="D469" t="s">
        <v>900</v>
      </c>
      <c r="E469" t="s">
        <v>1327</v>
      </c>
      <c r="F469">
        <v>539</v>
      </c>
      <c r="G469">
        <v>23.93</v>
      </c>
      <c r="H469">
        <v>79.11</v>
      </c>
      <c r="I469">
        <v>18.14</v>
      </c>
      <c r="J469">
        <v>59.97</v>
      </c>
      <c r="K469">
        <v>232</v>
      </c>
      <c r="T469">
        <v>3</v>
      </c>
      <c r="U469">
        <v>1</v>
      </c>
      <c r="V469" t="s">
        <v>541</v>
      </c>
      <c r="W469">
        <v>79</v>
      </c>
      <c r="X469">
        <v>20</v>
      </c>
      <c r="Y469">
        <v>18</v>
      </c>
      <c r="Z469" t="s">
        <v>1328</v>
      </c>
      <c r="AA469" t="s">
        <v>1329</v>
      </c>
      <c r="AB469" t="s">
        <v>526</v>
      </c>
      <c r="AC469" t="s">
        <v>527</v>
      </c>
      <c r="AD469" t="s">
        <v>528</v>
      </c>
      <c r="AE469" t="s">
        <v>1320</v>
      </c>
      <c r="AG469" t="s">
        <v>1330</v>
      </c>
      <c r="AH469">
        <v>0</v>
      </c>
      <c r="AI469">
        <v>0</v>
      </c>
      <c r="AJ469">
        <v>0</v>
      </c>
      <c r="AK469">
        <v>0</v>
      </c>
      <c r="AL469">
        <v>0</v>
      </c>
    </row>
    <row r="470" spans="1:38" x14ac:dyDescent="0.3">
      <c r="A470" t="s">
        <v>1315</v>
      </c>
      <c r="B470">
        <v>5697</v>
      </c>
      <c r="C470">
        <v>2</v>
      </c>
      <c r="D470" t="s">
        <v>900</v>
      </c>
      <c r="E470" t="s">
        <v>1327</v>
      </c>
      <c r="F470">
        <v>539</v>
      </c>
      <c r="G470">
        <v>28.91</v>
      </c>
      <c r="H470">
        <v>95.6</v>
      </c>
      <c r="I470">
        <v>22.72</v>
      </c>
      <c r="J470">
        <v>75.12</v>
      </c>
      <c r="K470">
        <v>116</v>
      </c>
      <c r="T470">
        <v>3</v>
      </c>
      <c r="U470">
        <v>1</v>
      </c>
      <c r="V470" t="s">
        <v>541</v>
      </c>
      <c r="W470">
        <v>95</v>
      </c>
      <c r="X470">
        <v>20</v>
      </c>
      <c r="Y470">
        <v>18</v>
      </c>
      <c r="Z470" t="s">
        <v>1328</v>
      </c>
      <c r="AA470" t="s">
        <v>1329</v>
      </c>
      <c r="AB470" t="s">
        <v>526</v>
      </c>
      <c r="AC470" t="s">
        <v>527</v>
      </c>
      <c r="AD470" t="s">
        <v>528</v>
      </c>
      <c r="AE470" t="s">
        <v>1320</v>
      </c>
      <c r="AG470" t="s">
        <v>1330</v>
      </c>
      <c r="AH470">
        <v>0</v>
      </c>
      <c r="AI470">
        <v>0</v>
      </c>
      <c r="AJ470">
        <v>0</v>
      </c>
      <c r="AK470">
        <v>0</v>
      </c>
      <c r="AL470">
        <v>0</v>
      </c>
    </row>
    <row r="471" spans="1:38" x14ac:dyDescent="0.3">
      <c r="A471" t="s">
        <v>1315</v>
      </c>
      <c r="B471">
        <v>5697</v>
      </c>
      <c r="C471">
        <v>3</v>
      </c>
      <c r="D471" t="s">
        <v>900</v>
      </c>
      <c r="E471" t="s">
        <v>1327</v>
      </c>
      <c r="F471">
        <v>539</v>
      </c>
      <c r="G471">
        <v>32.1</v>
      </c>
      <c r="H471">
        <v>106.12</v>
      </c>
      <c r="I471">
        <v>25.7</v>
      </c>
      <c r="J471">
        <v>84.96</v>
      </c>
      <c r="K471">
        <v>191</v>
      </c>
      <c r="T471">
        <v>3</v>
      </c>
      <c r="U471">
        <v>2</v>
      </c>
      <c r="V471" t="s">
        <v>541</v>
      </c>
      <c r="W471">
        <v>106</v>
      </c>
      <c r="X471">
        <v>20</v>
      </c>
      <c r="Y471">
        <v>18</v>
      </c>
      <c r="Z471" t="s">
        <v>1328</v>
      </c>
      <c r="AA471" t="s">
        <v>1329</v>
      </c>
      <c r="AB471" t="s">
        <v>526</v>
      </c>
      <c r="AC471" t="s">
        <v>527</v>
      </c>
      <c r="AD471" t="s">
        <v>528</v>
      </c>
      <c r="AE471" t="s">
        <v>1320</v>
      </c>
      <c r="AG471" t="s">
        <v>1330</v>
      </c>
      <c r="AH471">
        <v>0</v>
      </c>
      <c r="AI471">
        <v>0</v>
      </c>
      <c r="AJ471">
        <v>0</v>
      </c>
      <c r="AK471">
        <v>0</v>
      </c>
      <c r="AL471">
        <v>0</v>
      </c>
    </row>
    <row r="472" spans="1:38" x14ac:dyDescent="0.3">
      <c r="A472" t="s">
        <v>1315</v>
      </c>
      <c r="B472">
        <v>11765</v>
      </c>
      <c r="C472">
        <v>1</v>
      </c>
      <c r="D472" t="s">
        <v>1331</v>
      </c>
      <c r="E472" t="s">
        <v>906</v>
      </c>
      <c r="F472">
        <v>1558</v>
      </c>
      <c r="G472">
        <v>23.78</v>
      </c>
      <c r="H472">
        <v>78.64</v>
      </c>
      <c r="I472">
        <v>18.02</v>
      </c>
      <c r="J472">
        <v>59.58</v>
      </c>
      <c r="K472">
        <v>840</v>
      </c>
      <c r="T472">
        <v>3</v>
      </c>
      <c r="U472">
        <v>1</v>
      </c>
      <c r="V472" t="s">
        <v>541</v>
      </c>
      <c r="W472">
        <v>78</v>
      </c>
      <c r="X472">
        <v>20</v>
      </c>
      <c r="Y472">
        <v>20</v>
      </c>
      <c r="Z472" t="s">
        <v>1332</v>
      </c>
      <c r="AA472" t="s">
        <v>1333</v>
      </c>
      <c r="AB472" t="s">
        <v>526</v>
      </c>
      <c r="AC472" t="s">
        <v>527</v>
      </c>
      <c r="AD472" t="s">
        <v>528</v>
      </c>
      <c r="AE472" t="s">
        <v>1320</v>
      </c>
      <c r="AG472" t="s">
        <v>1334</v>
      </c>
      <c r="AH472">
        <v>0</v>
      </c>
      <c r="AI472">
        <v>0</v>
      </c>
      <c r="AJ472">
        <v>0</v>
      </c>
      <c r="AK472">
        <v>0</v>
      </c>
      <c r="AL472">
        <v>0</v>
      </c>
    </row>
    <row r="473" spans="1:38" x14ac:dyDescent="0.3">
      <c r="A473" t="s">
        <v>1315</v>
      </c>
      <c r="B473">
        <v>11765</v>
      </c>
      <c r="C473">
        <v>2</v>
      </c>
      <c r="D473" t="s">
        <v>1331</v>
      </c>
      <c r="E473" t="s">
        <v>906</v>
      </c>
      <c r="F473">
        <v>1558</v>
      </c>
      <c r="G473">
        <v>29.02</v>
      </c>
      <c r="H473">
        <v>95.94</v>
      </c>
      <c r="I473">
        <v>22.86</v>
      </c>
      <c r="J473">
        <v>75.599999999999994</v>
      </c>
      <c r="K473">
        <v>200</v>
      </c>
      <c r="T473">
        <v>3</v>
      </c>
      <c r="U473">
        <v>2</v>
      </c>
      <c r="V473" t="s">
        <v>541</v>
      </c>
      <c r="W473">
        <v>95</v>
      </c>
      <c r="X473">
        <v>20</v>
      </c>
      <c r="Y473">
        <v>20</v>
      </c>
      <c r="Z473" t="s">
        <v>1332</v>
      </c>
      <c r="AA473" t="s">
        <v>1333</v>
      </c>
      <c r="AB473" t="s">
        <v>526</v>
      </c>
      <c r="AC473" t="s">
        <v>527</v>
      </c>
      <c r="AD473" t="s">
        <v>528</v>
      </c>
      <c r="AE473" t="s">
        <v>1320</v>
      </c>
      <c r="AG473" t="s">
        <v>1334</v>
      </c>
      <c r="AH473">
        <v>0</v>
      </c>
      <c r="AI473">
        <v>0</v>
      </c>
      <c r="AJ473">
        <v>0</v>
      </c>
      <c r="AK473">
        <v>0</v>
      </c>
      <c r="AL473">
        <v>0</v>
      </c>
    </row>
    <row r="474" spans="1:38" x14ac:dyDescent="0.3">
      <c r="A474" t="s">
        <v>1315</v>
      </c>
      <c r="B474">
        <v>11765</v>
      </c>
      <c r="C474">
        <v>3</v>
      </c>
      <c r="D474" t="s">
        <v>1331</v>
      </c>
      <c r="E474" t="s">
        <v>906</v>
      </c>
      <c r="F474">
        <v>1558</v>
      </c>
      <c r="G474">
        <v>32.22</v>
      </c>
      <c r="H474">
        <v>106.54</v>
      </c>
      <c r="I474">
        <v>25.64</v>
      </c>
      <c r="J474">
        <v>84.78</v>
      </c>
      <c r="K474">
        <v>440</v>
      </c>
      <c r="T474">
        <v>3</v>
      </c>
      <c r="U474">
        <v>2</v>
      </c>
      <c r="V474" t="s">
        <v>541</v>
      </c>
      <c r="W474">
        <v>106</v>
      </c>
      <c r="X474">
        <v>20</v>
      </c>
      <c r="Y474">
        <v>20</v>
      </c>
      <c r="Z474" t="s">
        <v>1332</v>
      </c>
      <c r="AA474" t="s">
        <v>1333</v>
      </c>
      <c r="AB474" t="s">
        <v>526</v>
      </c>
      <c r="AC474" t="s">
        <v>527</v>
      </c>
      <c r="AD474" t="s">
        <v>528</v>
      </c>
      <c r="AE474" t="s">
        <v>1320</v>
      </c>
      <c r="AG474" t="s">
        <v>1334</v>
      </c>
      <c r="AH474">
        <v>0</v>
      </c>
      <c r="AI474">
        <v>0</v>
      </c>
      <c r="AJ474">
        <v>0</v>
      </c>
      <c r="AK474">
        <v>0</v>
      </c>
      <c r="AL474">
        <v>0</v>
      </c>
    </row>
    <row r="475" spans="1:38" x14ac:dyDescent="0.3">
      <c r="A475" t="s">
        <v>1315</v>
      </c>
      <c r="B475">
        <v>11765</v>
      </c>
      <c r="C475">
        <v>4</v>
      </c>
      <c r="D475" t="s">
        <v>1331</v>
      </c>
      <c r="E475" t="s">
        <v>906</v>
      </c>
      <c r="F475">
        <v>1558</v>
      </c>
      <c r="G475">
        <v>43.92</v>
      </c>
      <c r="H475">
        <v>145.19999999999999</v>
      </c>
      <c r="I475">
        <v>36.03</v>
      </c>
      <c r="J475">
        <v>119.13</v>
      </c>
      <c r="K475">
        <v>78</v>
      </c>
      <c r="T475">
        <v>4</v>
      </c>
      <c r="U475">
        <v>2</v>
      </c>
      <c r="V475" t="s">
        <v>541</v>
      </c>
      <c r="W475">
        <v>145</v>
      </c>
      <c r="X475">
        <v>20</v>
      </c>
      <c r="Y475">
        <v>20</v>
      </c>
      <c r="Z475" t="s">
        <v>1332</v>
      </c>
      <c r="AA475" t="s">
        <v>1333</v>
      </c>
      <c r="AB475" t="s">
        <v>526</v>
      </c>
      <c r="AC475" t="s">
        <v>527</v>
      </c>
      <c r="AD475" t="s">
        <v>528</v>
      </c>
      <c r="AE475" t="s">
        <v>1320</v>
      </c>
      <c r="AG475" t="s">
        <v>1334</v>
      </c>
      <c r="AH475">
        <v>0</v>
      </c>
      <c r="AI475">
        <v>0</v>
      </c>
      <c r="AJ475">
        <v>0</v>
      </c>
      <c r="AK475">
        <v>0</v>
      </c>
      <c r="AL475">
        <v>0</v>
      </c>
    </row>
    <row r="476" spans="1:38" x14ac:dyDescent="0.3">
      <c r="A476" t="s">
        <v>1315</v>
      </c>
      <c r="B476">
        <v>105192</v>
      </c>
      <c r="C476">
        <v>1</v>
      </c>
      <c r="D476" t="s">
        <v>1335</v>
      </c>
      <c r="E476" t="s">
        <v>1336</v>
      </c>
      <c r="F476">
        <v>477</v>
      </c>
      <c r="G476">
        <v>24.2</v>
      </c>
      <c r="H476">
        <v>80.03</v>
      </c>
      <c r="I476">
        <v>18.12</v>
      </c>
      <c r="J476">
        <v>59.93</v>
      </c>
      <c r="K476">
        <v>129</v>
      </c>
      <c r="T476">
        <v>3</v>
      </c>
      <c r="U476">
        <v>1</v>
      </c>
      <c r="V476" t="s">
        <v>541</v>
      </c>
      <c r="W476">
        <v>80</v>
      </c>
      <c r="X476">
        <v>20</v>
      </c>
      <c r="Y476">
        <v>11</v>
      </c>
      <c r="Z476" t="s">
        <v>1337</v>
      </c>
      <c r="AA476" t="s">
        <v>1338</v>
      </c>
      <c r="AB476" t="s">
        <v>526</v>
      </c>
      <c r="AC476" t="s">
        <v>527</v>
      </c>
      <c r="AD476" t="s">
        <v>528</v>
      </c>
      <c r="AE476" t="s">
        <v>1320</v>
      </c>
      <c r="AG476" t="s">
        <v>1339</v>
      </c>
      <c r="AH476">
        <v>0</v>
      </c>
      <c r="AI476">
        <v>245</v>
      </c>
      <c r="AJ476">
        <v>18</v>
      </c>
      <c r="AK476">
        <v>469</v>
      </c>
      <c r="AL476">
        <v>0.98</v>
      </c>
    </row>
    <row r="477" spans="1:38" x14ac:dyDescent="0.3">
      <c r="A477" t="s">
        <v>1315</v>
      </c>
      <c r="B477">
        <v>105192</v>
      </c>
      <c r="C477">
        <v>2</v>
      </c>
      <c r="D477" t="s">
        <v>1335</v>
      </c>
      <c r="E477" t="s">
        <v>1336</v>
      </c>
      <c r="F477">
        <v>477</v>
      </c>
      <c r="G477">
        <v>34.090000000000003</v>
      </c>
      <c r="H477">
        <v>112.72</v>
      </c>
      <c r="I477">
        <v>25.59</v>
      </c>
      <c r="J477">
        <v>84.61</v>
      </c>
      <c r="K477">
        <v>348</v>
      </c>
      <c r="T477">
        <v>3</v>
      </c>
      <c r="U477">
        <v>2</v>
      </c>
      <c r="V477" t="s">
        <v>541</v>
      </c>
      <c r="W477">
        <v>112</v>
      </c>
      <c r="X477">
        <v>20</v>
      </c>
      <c r="Y477">
        <v>11</v>
      </c>
      <c r="Z477" t="s">
        <v>1337</v>
      </c>
      <c r="AA477" t="s">
        <v>1338</v>
      </c>
      <c r="AB477" t="s">
        <v>526</v>
      </c>
      <c r="AC477" t="s">
        <v>527</v>
      </c>
      <c r="AD477" t="s">
        <v>528</v>
      </c>
      <c r="AE477" t="s">
        <v>1320</v>
      </c>
      <c r="AG477" t="s">
        <v>1339</v>
      </c>
      <c r="AH477">
        <v>0</v>
      </c>
      <c r="AI477">
        <v>245</v>
      </c>
      <c r="AJ477">
        <v>18</v>
      </c>
      <c r="AK477">
        <v>469</v>
      </c>
      <c r="AL477">
        <v>0.98</v>
      </c>
    </row>
    <row r="478" spans="1:38" x14ac:dyDescent="0.3">
      <c r="A478" t="s">
        <v>1315</v>
      </c>
      <c r="B478">
        <v>17336</v>
      </c>
      <c r="C478">
        <v>1</v>
      </c>
      <c r="D478" t="s">
        <v>1340</v>
      </c>
      <c r="E478" t="s">
        <v>1341</v>
      </c>
      <c r="F478">
        <v>541</v>
      </c>
      <c r="G478">
        <v>34.22</v>
      </c>
      <c r="H478">
        <v>113.13</v>
      </c>
      <c r="I478">
        <v>25.7</v>
      </c>
      <c r="J478">
        <v>84.97</v>
      </c>
      <c r="K478">
        <v>450</v>
      </c>
      <c r="T478">
        <v>3</v>
      </c>
      <c r="U478">
        <v>2</v>
      </c>
      <c r="V478" t="s">
        <v>541</v>
      </c>
      <c r="W478">
        <v>113</v>
      </c>
      <c r="X478">
        <v>20</v>
      </c>
      <c r="Y478">
        <v>6</v>
      </c>
      <c r="Z478" t="s">
        <v>1342</v>
      </c>
      <c r="AA478" t="s">
        <v>1343</v>
      </c>
      <c r="AB478" t="s">
        <v>526</v>
      </c>
      <c r="AC478" t="s">
        <v>527</v>
      </c>
      <c r="AD478" t="s">
        <v>528</v>
      </c>
      <c r="AE478" t="s">
        <v>1320</v>
      </c>
      <c r="AG478" t="s">
        <v>1344</v>
      </c>
      <c r="AH478">
        <v>0</v>
      </c>
      <c r="AI478">
        <v>247</v>
      </c>
      <c r="AJ478">
        <v>18</v>
      </c>
      <c r="AK478">
        <v>626</v>
      </c>
      <c r="AL478">
        <v>1.1599999999999999</v>
      </c>
    </row>
    <row r="479" spans="1:38" x14ac:dyDescent="0.3">
      <c r="A479" t="s">
        <v>1315</v>
      </c>
      <c r="B479">
        <v>17336</v>
      </c>
      <c r="C479">
        <v>2</v>
      </c>
      <c r="D479" t="s">
        <v>1340</v>
      </c>
      <c r="E479" t="s">
        <v>1341</v>
      </c>
      <c r="F479">
        <v>541</v>
      </c>
      <c r="G479">
        <v>41.38</v>
      </c>
      <c r="H479">
        <v>136.81</v>
      </c>
      <c r="I479">
        <v>33.36</v>
      </c>
      <c r="J479">
        <v>110.3</v>
      </c>
      <c r="K479">
        <v>71</v>
      </c>
      <c r="T479">
        <v>3</v>
      </c>
      <c r="U479">
        <v>2</v>
      </c>
      <c r="V479" t="s">
        <v>541</v>
      </c>
      <c r="W479">
        <v>136</v>
      </c>
      <c r="X479">
        <v>20</v>
      </c>
      <c r="Y479">
        <v>6</v>
      </c>
      <c r="Z479" t="s">
        <v>1342</v>
      </c>
      <c r="AA479" t="s">
        <v>1343</v>
      </c>
      <c r="AB479" t="s">
        <v>526</v>
      </c>
      <c r="AC479" t="s">
        <v>527</v>
      </c>
      <c r="AD479" t="s">
        <v>528</v>
      </c>
      <c r="AE479" t="s">
        <v>1320</v>
      </c>
      <c r="AG479" t="s">
        <v>1344</v>
      </c>
      <c r="AH479">
        <v>0</v>
      </c>
      <c r="AI479">
        <v>247</v>
      </c>
      <c r="AJ479">
        <v>18</v>
      </c>
      <c r="AK479">
        <v>626</v>
      </c>
      <c r="AL479">
        <v>1.1599999999999999</v>
      </c>
    </row>
    <row r="480" spans="1:38" x14ac:dyDescent="0.3">
      <c r="A480" t="s">
        <v>1315</v>
      </c>
      <c r="B480">
        <v>17336</v>
      </c>
      <c r="C480">
        <v>3</v>
      </c>
      <c r="D480" t="s">
        <v>1340</v>
      </c>
      <c r="E480" t="s">
        <v>1341</v>
      </c>
      <c r="F480">
        <v>541</v>
      </c>
      <c r="G480">
        <v>46.96</v>
      </c>
      <c r="H480">
        <v>155.25</v>
      </c>
      <c r="I480">
        <v>37.450000000000003</v>
      </c>
      <c r="J480">
        <v>123.81</v>
      </c>
      <c r="K480">
        <v>20</v>
      </c>
      <c r="T480">
        <v>4</v>
      </c>
      <c r="U480">
        <v>2</v>
      </c>
      <c r="V480" t="s">
        <v>541</v>
      </c>
      <c r="W480">
        <v>155</v>
      </c>
      <c r="X480">
        <v>20</v>
      </c>
      <c r="Y480">
        <v>6</v>
      </c>
      <c r="Z480" t="s">
        <v>1342</v>
      </c>
      <c r="AA480" t="s">
        <v>1343</v>
      </c>
      <c r="AB480" t="s">
        <v>526</v>
      </c>
      <c r="AC480" t="s">
        <v>527</v>
      </c>
      <c r="AD480" t="s">
        <v>528</v>
      </c>
      <c r="AE480" t="s">
        <v>1320</v>
      </c>
      <c r="AG480" t="s">
        <v>1344</v>
      </c>
      <c r="AH480">
        <v>0</v>
      </c>
      <c r="AI480">
        <v>247</v>
      </c>
      <c r="AJ480">
        <v>18</v>
      </c>
      <c r="AK480">
        <v>626</v>
      </c>
      <c r="AL480">
        <v>1.1599999999999999</v>
      </c>
    </row>
    <row r="481" spans="1:38" x14ac:dyDescent="0.3">
      <c r="A481" t="s">
        <v>1315</v>
      </c>
      <c r="B481">
        <v>5703</v>
      </c>
      <c r="C481">
        <v>1</v>
      </c>
      <c r="D481" t="s">
        <v>1345</v>
      </c>
      <c r="E481" t="s">
        <v>1346</v>
      </c>
      <c r="F481">
        <v>838</v>
      </c>
      <c r="G481">
        <v>16.07</v>
      </c>
      <c r="H481">
        <v>53.15</v>
      </c>
      <c r="I481">
        <v>11.39</v>
      </c>
      <c r="J481">
        <v>37.67</v>
      </c>
      <c r="K481">
        <v>89</v>
      </c>
      <c r="T481">
        <v>2</v>
      </c>
      <c r="U481">
        <v>1</v>
      </c>
      <c r="V481" t="s">
        <v>523</v>
      </c>
      <c r="W481">
        <v>53</v>
      </c>
      <c r="X481">
        <v>15</v>
      </c>
      <c r="Y481">
        <v>15</v>
      </c>
      <c r="Z481" t="s">
        <v>1347</v>
      </c>
      <c r="AA481" t="s">
        <v>1348</v>
      </c>
      <c r="AB481" t="s">
        <v>526</v>
      </c>
      <c r="AC481" t="s">
        <v>527</v>
      </c>
      <c r="AD481" t="s">
        <v>528</v>
      </c>
      <c r="AE481" t="s">
        <v>1320</v>
      </c>
      <c r="AG481" t="s">
        <v>1349</v>
      </c>
      <c r="AH481">
        <v>0</v>
      </c>
      <c r="AI481">
        <v>0</v>
      </c>
      <c r="AJ481">
        <v>0</v>
      </c>
      <c r="AK481">
        <v>462</v>
      </c>
      <c r="AL481">
        <v>0.55000000000000004</v>
      </c>
    </row>
    <row r="482" spans="1:38" x14ac:dyDescent="0.3">
      <c r="A482" t="s">
        <v>1315</v>
      </c>
      <c r="B482">
        <v>5703</v>
      </c>
      <c r="C482">
        <v>2</v>
      </c>
      <c r="D482" t="s">
        <v>1345</v>
      </c>
      <c r="E482" t="s">
        <v>1346</v>
      </c>
      <c r="F482">
        <v>838</v>
      </c>
      <c r="G482">
        <v>23.95</v>
      </c>
      <c r="H482">
        <v>79.19</v>
      </c>
      <c r="I482">
        <v>17.579999999999998</v>
      </c>
      <c r="J482">
        <v>58.14</v>
      </c>
      <c r="K482">
        <v>749</v>
      </c>
      <c r="T482">
        <v>3</v>
      </c>
      <c r="U482">
        <v>1</v>
      </c>
      <c r="V482" t="s">
        <v>523</v>
      </c>
      <c r="W482">
        <v>79</v>
      </c>
      <c r="X482">
        <v>15</v>
      </c>
      <c r="Y482">
        <v>15</v>
      </c>
      <c r="Z482" t="s">
        <v>1347</v>
      </c>
      <c r="AA482" t="s">
        <v>1348</v>
      </c>
      <c r="AB482" t="s">
        <v>526</v>
      </c>
      <c r="AC482" t="s">
        <v>527</v>
      </c>
      <c r="AD482" t="s">
        <v>528</v>
      </c>
      <c r="AE482" t="s">
        <v>1320</v>
      </c>
      <c r="AG482" t="s">
        <v>1349</v>
      </c>
      <c r="AH482">
        <v>0</v>
      </c>
      <c r="AI482">
        <v>0</v>
      </c>
      <c r="AJ482">
        <v>0</v>
      </c>
      <c r="AK482">
        <v>462</v>
      </c>
      <c r="AL482">
        <v>0.55000000000000004</v>
      </c>
    </row>
    <row r="483" spans="1:38" x14ac:dyDescent="0.3">
      <c r="A483" t="s">
        <v>1315</v>
      </c>
      <c r="B483">
        <v>123356</v>
      </c>
      <c r="C483">
        <v>1</v>
      </c>
      <c r="D483" t="s">
        <v>1350</v>
      </c>
      <c r="E483" t="s">
        <v>1351</v>
      </c>
      <c r="F483">
        <v>225</v>
      </c>
      <c r="G483">
        <v>34.049999999999997</v>
      </c>
      <c r="H483">
        <v>112.57</v>
      </c>
      <c r="I483">
        <v>25.7</v>
      </c>
      <c r="J483">
        <v>84.99</v>
      </c>
      <c r="K483">
        <v>95</v>
      </c>
      <c r="T483">
        <v>4</v>
      </c>
      <c r="U483">
        <v>2</v>
      </c>
      <c r="V483" t="s">
        <v>541</v>
      </c>
      <c r="W483" t="s">
        <v>247</v>
      </c>
      <c r="X483">
        <v>27</v>
      </c>
      <c r="Y483">
        <v>20</v>
      </c>
      <c r="Z483" t="s">
        <v>1352</v>
      </c>
      <c r="AA483" t="s">
        <v>1353</v>
      </c>
      <c r="AB483" t="s">
        <v>526</v>
      </c>
      <c r="AC483" t="s">
        <v>527</v>
      </c>
      <c r="AD483" t="s">
        <v>528</v>
      </c>
      <c r="AE483" t="s">
        <v>1320</v>
      </c>
      <c r="AG483" t="s">
        <v>1354</v>
      </c>
      <c r="AH483">
        <v>0</v>
      </c>
      <c r="AI483">
        <v>226</v>
      </c>
      <c r="AJ483">
        <v>17</v>
      </c>
      <c r="AK483">
        <v>307</v>
      </c>
      <c r="AL483">
        <v>1.36</v>
      </c>
    </row>
    <row r="484" spans="1:38" x14ac:dyDescent="0.3">
      <c r="A484" t="s">
        <v>1315</v>
      </c>
      <c r="B484">
        <v>123356</v>
      </c>
      <c r="C484">
        <v>2</v>
      </c>
      <c r="D484" t="s">
        <v>1350</v>
      </c>
      <c r="E484" t="s">
        <v>1351</v>
      </c>
      <c r="F484">
        <v>225</v>
      </c>
      <c r="G484">
        <v>34.049999999999997</v>
      </c>
      <c r="H484">
        <v>112.58</v>
      </c>
      <c r="I484">
        <v>25.7</v>
      </c>
      <c r="J484">
        <v>84.99</v>
      </c>
      <c r="K484">
        <v>89</v>
      </c>
      <c r="T484">
        <v>3</v>
      </c>
      <c r="U484">
        <v>2</v>
      </c>
      <c r="V484" t="s">
        <v>541</v>
      </c>
      <c r="W484" t="s">
        <v>319</v>
      </c>
      <c r="X484">
        <v>27</v>
      </c>
      <c r="Y484">
        <v>20</v>
      </c>
      <c r="Z484" t="s">
        <v>1352</v>
      </c>
      <c r="AA484" t="s">
        <v>1353</v>
      </c>
      <c r="AB484" t="s">
        <v>526</v>
      </c>
      <c r="AC484" t="s">
        <v>527</v>
      </c>
      <c r="AD484" t="s">
        <v>528</v>
      </c>
      <c r="AE484" t="s">
        <v>1320</v>
      </c>
      <c r="AG484" t="s">
        <v>1354</v>
      </c>
      <c r="AH484">
        <v>0</v>
      </c>
      <c r="AI484">
        <v>226</v>
      </c>
      <c r="AJ484">
        <v>17</v>
      </c>
      <c r="AK484">
        <v>307</v>
      </c>
      <c r="AL484">
        <v>1.36</v>
      </c>
    </row>
    <row r="485" spans="1:38" x14ac:dyDescent="0.3">
      <c r="A485" t="s">
        <v>1315</v>
      </c>
      <c r="B485">
        <v>123356</v>
      </c>
      <c r="C485">
        <v>3</v>
      </c>
      <c r="D485" t="s">
        <v>1350</v>
      </c>
      <c r="E485" t="s">
        <v>1351</v>
      </c>
      <c r="F485">
        <v>225</v>
      </c>
      <c r="G485">
        <v>34.049999999999997</v>
      </c>
      <c r="H485">
        <v>112.57</v>
      </c>
      <c r="I485">
        <v>25.7</v>
      </c>
      <c r="J485">
        <v>84.98</v>
      </c>
      <c r="K485">
        <v>41</v>
      </c>
      <c r="T485">
        <v>4</v>
      </c>
      <c r="U485">
        <v>2</v>
      </c>
      <c r="V485" t="s">
        <v>541</v>
      </c>
      <c r="W485" t="s">
        <v>320</v>
      </c>
      <c r="X485">
        <v>27</v>
      </c>
      <c r="Y485">
        <v>20</v>
      </c>
      <c r="Z485" t="s">
        <v>1352</v>
      </c>
      <c r="AA485" t="s">
        <v>1353</v>
      </c>
      <c r="AB485" t="s">
        <v>526</v>
      </c>
      <c r="AC485" t="s">
        <v>527</v>
      </c>
      <c r="AD485" t="s">
        <v>528</v>
      </c>
      <c r="AE485" t="s">
        <v>1320</v>
      </c>
      <c r="AG485" t="s">
        <v>1354</v>
      </c>
      <c r="AH485">
        <v>0</v>
      </c>
      <c r="AI485">
        <v>226</v>
      </c>
      <c r="AJ485">
        <v>17</v>
      </c>
      <c r="AK485">
        <v>307</v>
      </c>
      <c r="AL485">
        <v>1.36</v>
      </c>
    </row>
    <row r="486" spans="1:38" x14ac:dyDescent="0.3">
      <c r="A486" t="s">
        <v>1315</v>
      </c>
      <c r="B486">
        <v>5666</v>
      </c>
      <c r="C486">
        <v>1</v>
      </c>
      <c r="D486" t="s">
        <v>1355</v>
      </c>
      <c r="E486" t="s">
        <v>729</v>
      </c>
      <c r="F486">
        <v>473</v>
      </c>
      <c r="G486">
        <v>30.77</v>
      </c>
      <c r="H486">
        <v>101.72</v>
      </c>
      <c r="I486">
        <v>25.64</v>
      </c>
      <c r="J486">
        <v>84.79</v>
      </c>
      <c r="K486">
        <v>155</v>
      </c>
      <c r="T486">
        <v>3</v>
      </c>
      <c r="U486">
        <v>2</v>
      </c>
      <c r="V486" t="s">
        <v>541</v>
      </c>
      <c r="W486">
        <v>101</v>
      </c>
      <c r="X486">
        <v>22</v>
      </c>
      <c r="Y486">
        <v>9</v>
      </c>
      <c r="Z486" t="s">
        <v>1356</v>
      </c>
      <c r="AA486" t="s">
        <v>1357</v>
      </c>
      <c r="AB486" t="s">
        <v>526</v>
      </c>
      <c r="AC486" t="s">
        <v>527</v>
      </c>
      <c r="AD486" t="s">
        <v>528</v>
      </c>
      <c r="AE486" t="s">
        <v>1320</v>
      </c>
      <c r="AG486" t="s">
        <v>1358</v>
      </c>
      <c r="AH486">
        <v>0</v>
      </c>
      <c r="AI486">
        <v>213</v>
      </c>
      <c r="AJ486">
        <v>15</v>
      </c>
      <c r="AK486">
        <v>698</v>
      </c>
      <c r="AL486">
        <v>1.48</v>
      </c>
    </row>
    <row r="487" spans="1:38" x14ac:dyDescent="0.3">
      <c r="A487" t="s">
        <v>1315</v>
      </c>
      <c r="B487">
        <v>5666</v>
      </c>
      <c r="C487">
        <v>2</v>
      </c>
      <c r="D487" t="s">
        <v>1355</v>
      </c>
      <c r="E487" t="s">
        <v>729</v>
      </c>
      <c r="F487">
        <v>473</v>
      </c>
      <c r="G487">
        <v>36.28</v>
      </c>
      <c r="H487">
        <v>119.95</v>
      </c>
      <c r="I487">
        <v>30.24</v>
      </c>
      <c r="J487">
        <v>99.98</v>
      </c>
      <c r="K487">
        <v>153</v>
      </c>
      <c r="T487">
        <v>3</v>
      </c>
      <c r="U487">
        <v>2</v>
      </c>
      <c r="V487" t="s">
        <v>541</v>
      </c>
      <c r="W487">
        <v>119</v>
      </c>
      <c r="X487">
        <v>22</v>
      </c>
      <c r="Y487">
        <v>9</v>
      </c>
      <c r="Z487" t="s">
        <v>1356</v>
      </c>
      <c r="AA487" t="s">
        <v>1357</v>
      </c>
      <c r="AB487" t="s">
        <v>526</v>
      </c>
      <c r="AC487" t="s">
        <v>527</v>
      </c>
      <c r="AD487" t="s">
        <v>528</v>
      </c>
      <c r="AE487" t="s">
        <v>1320</v>
      </c>
      <c r="AG487" t="s">
        <v>1358</v>
      </c>
      <c r="AH487">
        <v>0</v>
      </c>
      <c r="AI487">
        <v>213</v>
      </c>
      <c r="AJ487">
        <v>15</v>
      </c>
      <c r="AK487">
        <v>698</v>
      </c>
      <c r="AL487">
        <v>1.48</v>
      </c>
    </row>
    <row r="488" spans="1:38" x14ac:dyDescent="0.3">
      <c r="A488" t="s">
        <v>1315</v>
      </c>
      <c r="B488">
        <v>5666</v>
      </c>
      <c r="C488">
        <v>3</v>
      </c>
      <c r="D488" t="s">
        <v>1355</v>
      </c>
      <c r="E488" t="s">
        <v>729</v>
      </c>
      <c r="F488">
        <v>473</v>
      </c>
      <c r="G488">
        <v>48.91</v>
      </c>
      <c r="H488">
        <v>161.71</v>
      </c>
      <c r="I488">
        <v>40.770000000000003</v>
      </c>
      <c r="J488">
        <v>134.79</v>
      </c>
      <c r="K488">
        <v>86</v>
      </c>
      <c r="T488">
        <v>4</v>
      </c>
      <c r="U488">
        <v>2</v>
      </c>
      <c r="V488" t="s">
        <v>541</v>
      </c>
      <c r="W488">
        <v>161</v>
      </c>
      <c r="X488">
        <v>22</v>
      </c>
      <c r="Y488">
        <v>9</v>
      </c>
      <c r="Z488" t="s">
        <v>1356</v>
      </c>
      <c r="AA488" t="s">
        <v>1357</v>
      </c>
      <c r="AB488" t="s">
        <v>526</v>
      </c>
      <c r="AC488" t="s">
        <v>527</v>
      </c>
      <c r="AD488" t="s">
        <v>528</v>
      </c>
      <c r="AE488" t="s">
        <v>1320</v>
      </c>
      <c r="AG488" t="s">
        <v>1358</v>
      </c>
      <c r="AH488">
        <v>0</v>
      </c>
      <c r="AI488">
        <v>213</v>
      </c>
      <c r="AJ488">
        <v>15</v>
      </c>
      <c r="AK488">
        <v>698</v>
      </c>
      <c r="AL488">
        <v>1.48</v>
      </c>
    </row>
    <row r="489" spans="1:38" x14ac:dyDescent="0.3">
      <c r="A489" t="s">
        <v>1315</v>
      </c>
      <c r="B489">
        <v>5666</v>
      </c>
      <c r="C489">
        <v>4</v>
      </c>
      <c r="D489" t="s">
        <v>1355</v>
      </c>
      <c r="E489" t="s">
        <v>729</v>
      </c>
      <c r="F489">
        <v>473</v>
      </c>
      <c r="G489">
        <v>64.849999999999994</v>
      </c>
      <c r="H489">
        <v>214.4</v>
      </c>
      <c r="I489">
        <v>54.05</v>
      </c>
      <c r="J489">
        <v>178.71</v>
      </c>
      <c r="K489">
        <v>79</v>
      </c>
      <c r="T489">
        <v>5</v>
      </c>
      <c r="U489">
        <v>2</v>
      </c>
      <c r="V489" t="s">
        <v>541</v>
      </c>
      <c r="W489">
        <v>214</v>
      </c>
      <c r="X489">
        <v>22</v>
      </c>
      <c r="Y489">
        <v>9</v>
      </c>
      <c r="Z489" t="s">
        <v>1356</v>
      </c>
      <c r="AA489" t="s">
        <v>1357</v>
      </c>
      <c r="AB489" t="s">
        <v>526</v>
      </c>
      <c r="AC489" t="s">
        <v>527</v>
      </c>
      <c r="AD489" t="s">
        <v>528</v>
      </c>
      <c r="AE489" t="s">
        <v>1320</v>
      </c>
      <c r="AG489" t="s">
        <v>1358</v>
      </c>
      <c r="AH489">
        <v>0</v>
      </c>
      <c r="AI489">
        <v>213</v>
      </c>
      <c r="AJ489">
        <v>15</v>
      </c>
      <c r="AK489">
        <v>698</v>
      </c>
      <c r="AL489">
        <v>1.48</v>
      </c>
    </row>
    <row r="490" spans="1:38" x14ac:dyDescent="0.3">
      <c r="A490" t="s">
        <v>1315</v>
      </c>
      <c r="B490">
        <v>17105</v>
      </c>
      <c r="C490">
        <v>1</v>
      </c>
      <c r="D490" t="s">
        <v>1359</v>
      </c>
      <c r="E490" t="s">
        <v>1360</v>
      </c>
      <c r="F490">
        <v>603</v>
      </c>
      <c r="G490">
        <v>24.29</v>
      </c>
      <c r="H490">
        <v>80.33</v>
      </c>
      <c r="I490">
        <v>18.149999999999999</v>
      </c>
      <c r="J490">
        <v>60</v>
      </c>
      <c r="K490">
        <v>450</v>
      </c>
      <c r="T490">
        <v>3</v>
      </c>
      <c r="U490">
        <v>1</v>
      </c>
      <c r="V490" t="s">
        <v>523</v>
      </c>
      <c r="W490" t="s">
        <v>132</v>
      </c>
      <c r="X490">
        <v>20</v>
      </c>
      <c r="Y490">
        <v>17</v>
      </c>
      <c r="Z490" t="s">
        <v>1361</v>
      </c>
      <c r="AA490" t="s">
        <v>1362</v>
      </c>
      <c r="AB490" t="s">
        <v>526</v>
      </c>
      <c r="AC490" t="s">
        <v>527</v>
      </c>
      <c r="AD490" t="s">
        <v>528</v>
      </c>
      <c r="AE490" t="s">
        <v>1320</v>
      </c>
      <c r="AG490" t="s">
        <v>1363</v>
      </c>
      <c r="AH490">
        <v>0</v>
      </c>
      <c r="AI490">
        <v>263</v>
      </c>
      <c r="AJ490">
        <v>18</v>
      </c>
      <c r="AK490">
        <v>375</v>
      </c>
      <c r="AL490">
        <v>0.62</v>
      </c>
    </row>
    <row r="491" spans="1:38" x14ac:dyDescent="0.3">
      <c r="A491" t="s">
        <v>1315</v>
      </c>
      <c r="B491">
        <v>17105</v>
      </c>
      <c r="C491">
        <v>2</v>
      </c>
      <c r="D491" t="s">
        <v>1359</v>
      </c>
      <c r="E491" t="s">
        <v>1360</v>
      </c>
      <c r="F491">
        <v>603</v>
      </c>
      <c r="G491">
        <v>24.38</v>
      </c>
      <c r="H491">
        <v>80.62</v>
      </c>
      <c r="I491">
        <v>18.13</v>
      </c>
      <c r="J491">
        <v>59.96</v>
      </c>
      <c r="K491">
        <v>153</v>
      </c>
      <c r="T491">
        <v>3</v>
      </c>
      <c r="U491">
        <v>1</v>
      </c>
      <c r="V491" t="s">
        <v>523</v>
      </c>
      <c r="W491" t="s">
        <v>133</v>
      </c>
      <c r="X491">
        <v>20</v>
      </c>
      <c r="Y491">
        <v>17</v>
      </c>
      <c r="Z491" t="s">
        <v>1361</v>
      </c>
      <c r="AA491" t="s">
        <v>1362</v>
      </c>
      <c r="AB491" t="s">
        <v>526</v>
      </c>
      <c r="AC491" t="s">
        <v>527</v>
      </c>
      <c r="AD491" t="s">
        <v>528</v>
      </c>
      <c r="AE491" t="s">
        <v>1320</v>
      </c>
      <c r="AG491" t="s">
        <v>1363</v>
      </c>
      <c r="AH491">
        <v>0</v>
      </c>
      <c r="AI491">
        <v>263</v>
      </c>
      <c r="AJ491">
        <v>18</v>
      </c>
      <c r="AK491">
        <v>375</v>
      </c>
      <c r="AL491">
        <v>0.62</v>
      </c>
    </row>
    <row r="492" spans="1:38" x14ac:dyDescent="0.3">
      <c r="A492" t="s">
        <v>1315</v>
      </c>
      <c r="B492">
        <v>120545</v>
      </c>
      <c r="C492">
        <v>1</v>
      </c>
      <c r="D492" t="s">
        <v>1364</v>
      </c>
      <c r="E492" t="s">
        <v>1351</v>
      </c>
      <c r="F492">
        <v>398</v>
      </c>
      <c r="G492">
        <v>33.56</v>
      </c>
      <c r="H492">
        <v>110.97</v>
      </c>
      <c r="I492">
        <v>25.7</v>
      </c>
      <c r="J492">
        <v>84.99</v>
      </c>
      <c r="K492">
        <v>191</v>
      </c>
      <c r="T492">
        <v>4</v>
      </c>
      <c r="U492">
        <v>2</v>
      </c>
      <c r="V492" t="s">
        <v>541</v>
      </c>
      <c r="W492" t="s">
        <v>292</v>
      </c>
      <c r="X492">
        <v>29</v>
      </c>
      <c r="Y492">
        <v>11</v>
      </c>
      <c r="Z492" t="s">
        <v>1365</v>
      </c>
      <c r="AA492" t="s">
        <v>1366</v>
      </c>
      <c r="AB492" t="s">
        <v>526</v>
      </c>
      <c r="AC492" t="s">
        <v>527</v>
      </c>
      <c r="AD492" t="s">
        <v>528</v>
      </c>
      <c r="AE492" t="s">
        <v>1320</v>
      </c>
      <c r="AG492" t="s">
        <v>1367</v>
      </c>
      <c r="AH492">
        <v>0</v>
      </c>
      <c r="AI492">
        <v>230</v>
      </c>
      <c r="AJ492">
        <v>18</v>
      </c>
      <c r="AK492">
        <v>545</v>
      </c>
      <c r="AL492">
        <v>1.37</v>
      </c>
    </row>
    <row r="493" spans="1:38" x14ac:dyDescent="0.3">
      <c r="A493" t="s">
        <v>1315</v>
      </c>
      <c r="B493">
        <v>120545</v>
      </c>
      <c r="C493">
        <v>2</v>
      </c>
      <c r="D493" t="s">
        <v>1364</v>
      </c>
      <c r="E493" t="s">
        <v>1351</v>
      </c>
      <c r="F493">
        <v>398</v>
      </c>
      <c r="G493">
        <v>33.54</v>
      </c>
      <c r="H493">
        <v>110.89</v>
      </c>
      <c r="I493">
        <v>25.68</v>
      </c>
      <c r="J493">
        <v>84.92</v>
      </c>
      <c r="K493">
        <v>93</v>
      </c>
      <c r="T493">
        <v>4</v>
      </c>
      <c r="U493">
        <v>2</v>
      </c>
      <c r="V493" t="s">
        <v>541</v>
      </c>
      <c r="W493" t="s">
        <v>125</v>
      </c>
      <c r="X493">
        <v>29</v>
      </c>
      <c r="Y493">
        <v>11</v>
      </c>
      <c r="Z493" t="s">
        <v>1365</v>
      </c>
      <c r="AA493" t="s">
        <v>1366</v>
      </c>
      <c r="AB493" t="s">
        <v>526</v>
      </c>
      <c r="AC493" t="s">
        <v>527</v>
      </c>
      <c r="AD493" t="s">
        <v>528</v>
      </c>
      <c r="AE493" t="s">
        <v>1320</v>
      </c>
      <c r="AG493" t="s">
        <v>1367</v>
      </c>
      <c r="AH493">
        <v>0</v>
      </c>
      <c r="AI493">
        <v>230</v>
      </c>
      <c r="AJ493">
        <v>18</v>
      </c>
      <c r="AK493">
        <v>545</v>
      </c>
      <c r="AL493">
        <v>1.37</v>
      </c>
    </row>
    <row r="494" spans="1:38" x14ac:dyDescent="0.3">
      <c r="A494" t="s">
        <v>1315</v>
      </c>
      <c r="B494">
        <v>120545</v>
      </c>
      <c r="C494">
        <v>3</v>
      </c>
      <c r="D494" t="s">
        <v>1364</v>
      </c>
      <c r="E494" t="s">
        <v>1351</v>
      </c>
      <c r="F494">
        <v>398</v>
      </c>
      <c r="G494">
        <v>33.39</v>
      </c>
      <c r="H494">
        <v>110.4</v>
      </c>
      <c r="I494">
        <v>25.57</v>
      </c>
      <c r="J494">
        <v>84.55</v>
      </c>
      <c r="K494">
        <v>56</v>
      </c>
      <c r="T494">
        <v>3</v>
      </c>
      <c r="U494">
        <v>2</v>
      </c>
      <c r="V494" t="s">
        <v>541</v>
      </c>
      <c r="W494" t="s">
        <v>294</v>
      </c>
      <c r="X494">
        <v>29</v>
      </c>
      <c r="Y494">
        <v>11</v>
      </c>
      <c r="Z494" t="s">
        <v>1365</v>
      </c>
      <c r="AA494" t="s">
        <v>1366</v>
      </c>
      <c r="AB494" t="s">
        <v>526</v>
      </c>
      <c r="AC494" t="s">
        <v>527</v>
      </c>
      <c r="AD494" t="s">
        <v>528</v>
      </c>
      <c r="AE494" t="s">
        <v>1320</v>
      </c>
      <c r="AG494" t="s">
        <v>1367</v>
      </c>
      <c r="AH494">
        <v>0</v>
      </c>
      <c r="AI494">
        <v>230</v>
      </c>
      <c r="AJ494">
        <v>18</v>
      </c>
      <c r="AK494">
        <v>545</v>
      </c>
      <c r="AL494">
        <v>1.37</v>
      </c>
    </row>
    <row r="495" spans="1:38" x14ac:dyDescent="0.3">
      <c r="A495" t="s">
        <v>1315</v>
      </c>
      <c r="B495">
        <v>120545</v>
      </c>
      <c r="C495">
        <v>4</v>
      </c>
      <c r="D495" t="s">
        <v>1364</v>
      </c>
      <c r="E495" t="s">
        <v>1351</v>
      </c>
      <c r="F495">
        <v>398</v>
      </c>
      <c r="G495">
        <v>46.34</v>
      </c>
      <c r="H495">
        <v>153.19999999999999</v>
      </c>
      <c r="I495">
        <v>37.39</v>
      </c>
      <c r="J495">
        <v>123.63</v>
      </c>
      <c r="K495">
        <v>58</v>
      </c>
      <c r="T495">
        <v>4</v>
      </c>
      <c r="U495">
        <v>2</v>
      </c>
      <c r="V495" t="s">
        <v>541</v>
      </c>
      <c r="W495">
        <v>153</v>
      </c>
      <c r="X495">
        <v>29</v>
      </c>
      <c r="Y495">
        <v>11</v>
      </c>
      <c r="Z495" t="s">
        <v>1365</v>
      </c>
      <c r="AA495" t="s">
        <v>1366</v>
      </c>
      <c r="AB495" t="s">
        <v>526</v>
      </c>
      <c r="AC495" t="s">
        <v>527</v>
      </c>
      <c r="AD495" t="s">
        <v>528</v>
      </c>
      <c r="AE495" t="s">
        <v>1320</v>
      </c>
      <c r="AG495" t="s">
        <v>1367</v>
      </c>
      <c r="AH495">
        <v>0</v>
      </c>
      <c r="AI495">
        <v>230</v>
      </c>
      <c r="AJ495">
        <v>18</v>
      </c>
      <c r="AK495">
        <v>545</v>
      </c>
      <c r="AL495">
        <v>1.37</v>
      </c>
    </row>
    <row r="496" spans="1:38" x14ac:dyDescent="0.3">
      <c r="A496" t="s">
        <v>1315</v>
      </c>
      <c r="B496">
        <v>100903</v>
      </c>
      <c r="C496">
        <v>1</v>
      </c>
      <c r="D496" t="s">
        <v>1368</v>
      </c>
      <c r="E496" t="s">
        <v>1369</v>
      </c>
      <c r="F496">
        <v>165</v>
      </c>
      <c r="G496">
        <v>28.71</v>
      </c>
      <c r="H496">
        <v>94.94</v>
      </c>
      <c r="I496">
        <v>22.6</v>
      </c>
      <c r="J496">
        <v>74.72</v>
      </c>
      <c r="K496">
        <v>49</v>
      </c>
      <c r="T496">
        <v>3</v>
      </c>
      <c r="U496">
        <v>2</v>
      </c>
      <c r="V496" t="s">
        <v>541</v>
      </c>
      <c r="W496" t="s">
        <v>290</v>
      </c>
      <c r="X496">
        <v>15</v>
      </c>
      <c r="Y496">
        <v>11</v>
      </c>
      <c r="Z496" t="s">
        <v>1370</v>
      </c>
      <c r="AA496" t="s">
        <v>1371</v>
      </c>
      <c r="AB496" t="s">
        <v>526</v>
      </c>
      <c r="AC496" t="s">
        <v>527</v>
      </c>
      <c r="AD496" t="s">
        <v>528</v>
      </c>
      <c r="AE496" t="s">
        <v>1320</v>
      </c>
      <c r="AG496" t="s">
        <v>1372</v>
      </c>
      <c r="AH496">
        <v>0</v>
      </c>
      <c r="AI496">
        <v>0</v>
      </c>
      <c r="AJ496">
        <v>0</v>
      </c>
      <c r="AK496">
        <v>110</v>
      </c>
      <c r="AL496">
        <v>0.67</v>
      </c>
    </row>
    <row r="497" spans="1:38" x14ac:dyDescent="0.3">
      <c r="A497" t="s">
        <v>1315</v>
      </c>
      <c r="B497">
        <v>100903</v>
      </c>
      <c r="C497">
        <v>2</v>
      </c>
      <c r="D497" t="s">
        <v>1368</v>
      </c>
      <c r="E497" t="s">
        <v>1369</v>
      </c>
      <c r="F497">
        <v>165</v>
      </c>
      <c r="G497">
        <v>28.74</v>
      </c>
      <c r="H497">
        <v>95.03</v>
      </c>
      <c r="I497">
        <v>22.62</v>
      </c>
      <c r="J497">
        <v>74.8</v>
      </c>
      <c r="K497">
        <v>56</v>
      </c>
      <c r="T497">
        <v>3</v>
      </c>
      <c r="U497">
        <v>2</v>
      </c>
      <c r="V497" t="s">
        <v>541</v>
      </c>
      <c r="W497" t="s">
        <v>218</v>
      </c>
      <c r="X497">
        <v>15</v>
      </c>
      <c r="Y497">
        <v>11</v>
      </c>
      <c r="Z497" t="s">
        <v>1370</v>
      </c>
      <c r="AA497" t="s">
        <v>1371</v>
      </c>
      <c r="AB497" t="s">
        <v>526</v>
      </c>
      <c r="AC497" t="s">
        <v>527</v>
      </c>
      <c r="AD497" t="s">
        <v>528</v>
      </c>
      <c r="AE497" t="s">
        <v>1320</v>
      </c>
      <c r="AG497" t="s">
        <v>1372</v>
      </c>
      <c r="AH497">
        <v>0</v>
      </c>
      <c r="AI497">
        <v>0</v>
      </c>
      <c r="AJ497">
        <v>0</v>
      </c>
      <c r="AK497">
        <v>110</v>
      </c>
      <c r="AL497">
        <v>0.67</v>
      </c>
    </row>
    <row r="498" spans="1:38" x14ac:dyDescent="0.3">
      <c r="A498" t="s">
        <v>1315</v>
      </c>
      <c r="B498">
        <v>100903</v>
      </c>
      <c r="C498">
        <v>3</v>
      </c>
      <c r="D498" t="s">
        <v>1368</v>
      </c>
      <c r="E498" t="s">
        <v>1369</v>
      </c>
      <c r="F498">
        <v>165</v>
      </c>
      <c r="G498">
        <v>29.97</v>
      </c>
      <c r="H498">
        <v>99.09</v>
      </c>
      <c r="I498">
        <v>22.62</v>
      </c>
      <c r="J498">
        <v>74.8</v>
      </c>
      <c r="K498">
        <v>60</v>
      </c>
      <c r="T498">
        <v>3</v>
      </c>
      <c r="U498">
        <v>2</v>
      </c>
      <c r="V498" t="s">
        <v>541</v>
      </c>
      <c r="W498">
        <v>99</v>
      </c>
      <c r="X498">
        <v>15</v>
      </c>
      <c r="Y498">
        <v>11</v>
      </c>
      <c r="Z498" t="s">
        <v>1370</v>
      </c>
      <c r="AA498" t="s">
        <v>1371</v>
      </c>
      <c r="AB498" t="s">
        <v>526</v>
      </c>
      <c r="AC498" t="s">
        <v>527</v>
      </c>
      <c r="AD498" t="s">
        <v>528</v>
      </c>
      <c r="AE498" t="s">
        <v>1320</v>
      </c>
      <c r="AG498" t="s">
        <v>1372</v>
      </c>
      <c r="AH498">
        <v>0</v>
      </c>
      <c r="AI498">
        <v>0</v>
      </c>
      <c r="AJ498">
        <v>0</v>
      </c>
      <c r="AK498">
        <v>110</v>
      </c>
      <c r="AL498">
        <v>0.67</v>
      </c>
    </row>
    <row r="499" spans="1:38" x14ac:dyDescent="0.3">
      <c r="A499" t="s">
        <v>1315</v>
      </c>
      <c r="B499">
        <v>5683</v>
      </c>
      <c r="C499">
        <v>1</v>
      </c>
      <c r="D499" t="s">
        <v>1373</v>
      </c>
      <c r="E499" t="s">
        <v>1374</v>
      </c>
      <c r="F499">
        <v>1329</v>
      </c>
      <c r="G499">
        <v>19.010000000000002</v>
      </c>
      <c r="H499">
        <v>62.85</v>
      </c>
      <c r="I499">
        <v>13.97</v>
      </c>
      <c r="J499">
        <v>46.2</v>
      </c>
      <c r="K499">
        <v>329</v>
      </c>
      <c r="T499">
        <v>2</v>
      </c>
      <c r="U499">
        <v>1</v>
      </c>
      <c r="V499" t="s">
        <v>523</v>
      </c>
      <c r="W499">
        <v>62</v>
      </c>
      <c r="X499">
        <v>20</v>
      </c>
      <c r="Y499">
        <v>12</v>
      </c>
      <c r="Z499" t="s">
        <v>1375</v>
      </c>
      <c r="AA499" t="s">
        <v>1376</v>
      </c>
      <c r="AB499" t="s">
        <v>526</v>
      </c>
      <c r="AC499" t="s">
        <v>527</v>
      </c>
      <c r="AD499" t="s">
        <v>528</v>
      </c>
      <c r="AE499" t="s">
        <v>1320</v>
      </c>
      <c r="AG499" t="s">
        <v>1377</v>
      </c>
      <c r="AH499">
        <v>0</v>
      </c>
      <c r="AI499">
        <v>187</v>
      </c>
      <c r="AJ499">
        <v>14</v>
      </c>
      <c r="AK499">
        <v>1228</v>
      </c>
      <c r="AL499">
        <v>0.92</v>
      </c>
    </row>
    <row r="500" spans="1:38" x14ac:dyDescent="0.3">
      <c r="A500" t="s">
        <v>1315</v>
      </c>
      <c r="B500">
        <v>5683</v>
      </c>
      <c r="C500">
        <v>2</v>
      </c>
      <c r="D500" t="s">
        <v>1373</v>
      </c>
      <c r="E500" t="s">
        <v>1374</v>
      </c>
      <c r="F500">
        <v>1329</v>
      </c>
      <c r="G500">
        <v>20.49</v>
      </c>
      <c r="H500">
        <v>67.75</v>
      </c>
      <c r="I500">
        <v>15.06</v>
      </c>
      <c r="J500">
        <v>49.8</v>
      </c>
      <c r="K500">
        <v>30</v>
      </c>
      <c r="T500">
        <v>2</v>
      </c>
      <c r="U500">
        <v>1</v>
      </c>
      <c r="V500" t="s">
        <v>523</v>
      </c>
      <c r="W500">
        <v>67</v>
      </c>
      <c r="X500">
        <v>20</v>
      </c>
      <c r="Y500">
        <v>12</v>
      </c>
      <c r="Z500" t="s">
        <v>1375</v>
      </c>
      <c r="AA500" t="s">
        <v>1376</v>
      </c>
      <c r="AB500" t="s">
        <v>526</v>
      </c>
      <c r="AC500" t="s">
        <v>527</v>
      </c>
      <c r="AD500" t="s">
        <v>528</v>
      </c>
      <c r="AE500" t="s">
        <v>1320</v>
      </c>
      <c r="AG500" t="s">
        <v>1377</v>
      </c>
      <c r="AH500">
        <v>0</v>
      </c>
      <c r="AI500">
        <v>187</v>
      </c>
      <c r="AJ500">
        <v>14</v>
      </c>
      <c r="AK500">
        <v>1228</v>
      </c>
      <c r="AL500">
        <v>0.92</v>
      </c>
    </row>
    <row r="501" spans="1:38" x14ac:dyDescent="0.3">
      <c r="A501" t="s">
        <v>1315</v>
      </c>
      <c r="B501">
        <v>5683</v>
      </c>
      <c r="C501">
        <v>3</v>
      </c>
      <c r="D501" t="s">
        <v>1373</v>
      </c>
      <c r="E501" t="s">
        <v>1374</v>
      </c>
      <c r="F501">
        <v>1329</v>
      </c>
      <c r="G501">
        <v>24.65</v>
      </c>
      <c r="H501">
        <v>81.52</v>
      </c>
      <c r="I501">
        <v>18.12</v>
      </c>
      <c r="J501">
        <v>59.92</v>
      </c>
      <c r="K501">
        <v>778</v>
      </c>
      <c r="T501">
        <v>3</v>
      </c>
      <c r="U501">
        <v>2</v>
      </c>
      <c r="V501" t="s">
        <v>541</v>
      </c>
      <c r="W501">
        <v>81</v>
      </c>
      <c r="X501">
        <v>20</v>
      </c>
      <c r="Y501">
        <v>12</v>
      </c>
      <c r="Z501" t="s">
        <v>1375</v>
      </c>
      <c r="AA501" t="s">
        <v>1376</v>
      </c>
      <c r="AB501" t="s">
        <v>526</v>
      </c>
      <c r="AC501" t="s">
        <v>527</v>
      </c>
      <c r="AD501" t="s">
        <v>528</v>
      </c>
      <c r="AE501" t="s">
        <v>1320</v>
      </c>
      <c r="AG501" t="s">
        <v>1377</v>
      </c>
      <c r="AH501">
        <v>0</v>
      </c>
      <c r="AI501">
        <v>187</v>
      </c>
      <c r="AJ501">
        <v>14</v>
      </c>
      <c r="AK501">
        <v>1228</v>
      </c>
      <c r="AL501">
        <v>0.92</v>
      </c>
    </row>
    <row r="502" spans="1:38" x14ac:dyDescent="0.3">
      <c r="A502" t="s">
        <v>1315</v>
      </c>
      <c r="B502">
        <v>5683</v>
      </c>
      <c r="C502">
        <v>4</v>
      </c>
      <c r="D502" t="s">
        <v>1373</v>
      </c>
      <c r="E502" t="s">
        <v>1374</v>
      </c>
      <c r="F502">
        <v>1329</v>
      </c>
      <c r="G502">
        <v>34.770000000000003</v>
      </c>
      <c r="H502">
        <v>114.97</v>
      </c>
      <c r="I502">
        <v>25.56</v>
      </c>
      <c r="J502">
        <v>84.51</v>
      </c>
      <c r="K502">
        <v>192</v>
      </c>
      <c r="T502">
        <v>3</v>
      </c>
      <c r="U502">
        <v>2</v>
      </c>
      <c r="V502" t="s">
        <v>541</v>
      </c>
      <c r="W502">
        <v>114</v>
      </c>
      <c r="X502">
        <v>20</v>
      </c>
      <c r="Y502">
        <v>12</v>
      </c>
      <c r="Z502" t="s">
        <v>1375</v>
      </c>
      <c r="AA502" t="s">
        <v>1376</v>
      </c>
      <c r="AB502" t="s">
        <v>526</v>
      </c>
      <c r="AC502" t="s">
        <v>527</v>
      </c>
      <c r="AD502" t="s">
        <v>528</v>
      </c>
      <c r="AE502" t="s">
        <v>1320</v>
      </c>
      <c r="AG502" t="s">
        <v>1377</v>
      </c>
      <c r="AH502">
        <v>0</v>
      </c>
      <c r="AI502">
        <v>187</v>
      </c>
      <c r="AJ502">
        <v>14</v>
      </c>
      <c r="AK502">
        <v>1228</v>
      </c>
      <c r="AL502">
        <v>0.92</v>
      </c>
    </row>
    <row r="503" spans="1:38" x14ac:dyDescent="0.3">
      <c r="A503" t="s">
        <v>1315</v>
      </c>
      <c r="B503">
        <v>113411</v>
      </c>
      <c r="C503">
        <v>1</v>
      </c>
      <c r="D503" t="s">
        <v>1378</v>
      </c>
      <c r="E503" t="s">
        <v>1379</v>
      </c>
      <c r="F503">
        <v>396</v>
      </c>
      <c r="G503">
        <v>29.64</v>
      </c>
      <c r="H503">
        <v>97.99</v>
      </c>
      <c r="I503">
        <v>22.23</v>
      </c>
      <c r="J503">
        <v>73.5</v>
      </c>
      <c r="K503">
        <v>198</v>
      </c>
      <c r="T503">
        <v>3</v>
      </c>
      <c r="U503">
        <v>2</v>
      </c>
      <c r="V503" t="s">
        <v>541</v>
      </c>
      <c r="W503">
        <v>97</v>
      </c>
      <c r="X503">
        <v>28</v>
      </c>
      <c r="Y503">
        <v>22</v>
      </c>
      <c r="Z503" t="s">
        <v>1380</v>
      </c>
      <c r="AA503" t="s">
        <v>1381</v>
      </c>
      <c r="AB503" t="s">
        <v>526</v>
      </c>
      <c r="AC503" t="s">
        <v>527</v>
      </c>
      <c r="AD503" t="s">
        <v>528</v>
      </c>
      <c r="AE503" t="s">
        <v>1320</v>
      </c>
      <c r="AG503" t="s">
        <v>1382</v>
      </c>
      <c r="AH503">
        <v>0</v>
      </c>
      <c r="AI503">
        <v>229</v>
      </c>
      <c r="AJ503">
        <v>16</v>
      </c>
      <c r="AK503">
        <v>502</v>
      </c>
      <c r="AL503">
        <v>1.27</v>
      </c>
    </row>
    <row r="504" spans="1:38" x14ac:dyDescent="0.3">
      <c r="A504" t="s">
        <v>1315</v>
      </c>
      <c r="B504">
        <v>113411</v>
      </c>
      <c r="C504">
        <v>2</v>
      </c>
      <c r="D504" t="s">
        <v>1378</v>
      </c>
      <c r="E504" t="s">
        <v>1379</v>
      </c>
      <c r="F504">
        <v>396</v>
      </c>
      <c r="G504">
        <v>33.840000000000003</v>
      </c>
      <c r="H504">
        <v>111.9</v>
      </c>
      <c r="I504">
        <v>25.48</v>
      </c>
      <c r="J504">
        <v>84.25</v>
      </c>
      <c r="K504">
        <v>142</v>
      </c>
      <c r="T504">
        <v>4</v>
      </c>
      <c r="U504">
        <v>2</v>
      </c>
      <c r="V504" t="s">
        <v>541</v>
      </c>
      <c r="W504" t="s">
        <v>220</v>
      </c>
      <c r="X504">
        <v>28</v>
      </c>
      <c r="Y504">
        <v>22</v>
      </c>
      <c r="Z504" t="s">
        <v>1380</v>
      </c>
      <c r="AA504" t="s">
        <v>1381</v>
      </c>
      <c r="AB504" t="s">
        <v>526</v>
      </c>
      <c r="AC504" t="s">
        <v>527</v>
      </c>
      <c r="AD504" t="s">
        <v>528</v>
      </c>
      <c r="AE504" t="s">
        <v>1320</v>
      </c>
      <c r="AG504" t="s">
        <v>1382</v>
      </c>
      <c r="AH504">
        <v>0</v>
      </c>
      <c r="AI504">
        <v>229</v>
      </c>
      <c r="AJ504">
        <v>16</v>
      </c>
      <c r="AK504">
        <v>502</v>
      </c>
      <c r="AL504">
        <v>1.27</v>
      </c>
    </row>
    <row r="505" spans="1:38" x14ac:dyDescent="0.3">
      <c r="A505" t="s">
        <v>1315</v>
      </c>
      <c r="B505">
        <v>113411</v>
      </c>
      <c r="C505">
        <v>3</v>
      </c>
      <c r="D505" t="s">
        <v>1378</v>
      </c>
      <c r="E505" t="s">
        <v>1379</v>
      </c>
      <c r="F505">
        <v>396</v>
      </c>
      <c r="G505">
        <v>33.979999999999997</v>
      </c>
      <c r="H505">
        <v>112.36</v>
      </c>
      <c r="I505">
        <v>25.57</v>
      </c>
      <c r="J505">
        <v>84.56</v>
      </c>
      <c r="K505">
        <v>56</v>
      </c>
      <c r="T505">
        <v>4</v>
      </c>
      <c r="U505">
        <v>2</v>
      </c>
      <c r="V505" t="s">
        <v>541</v>
      </c>
      <c r="W505" t="s">
        <v>249</v>
      </c>
      <c r="X505">
        <v>28</v>
      </c>
      <c r="Y505">
        <v>22</v>
      </c>
      <c r="Z505" t="s">
        <v>1380</v>
      </c>
      <c r="AA505" t="s">
        <v>1381</v>
      </c>
      <c r="AB505" t="s">
        <v>526</v>
      </c>
      <c r="AC505" t="s">
        <v>527</v>
      </c>
      <c r="AD505" t="s">
        <v>528</v>
      </c>
      <c r="AE505" t="s">
        <v>1320</v>
      </c>
      <c r="AG505" t="s">
        <v>1382</v>
      </c>
      <c r="AH505">
        <v>0</v>
      </c>
      <c r="AI505">
        <v>229</v>
      </c>
      <c r="AJ505">
        <v>16</v>
      </c>
      <c r="AK505">
        <v>502</v>
      </c>
      <c r="AL505">
        <v>1.27</v>
      </c>
    </row>
    <row r="506" spans="1:38" x14ac:dyDescent="0.3">
      <c r="A506" t="s">
        <v>1315</v>
      </c>
      <c r="B506">
        <v>103440</v>
      </c>
      <c r="C506">
        <v>1</v>
      </c>
      <c r="D506" t="s">
        <v>1383</v>
      </c>
      <c r="E506" t="s">
        <v>794</v>
      </c>
      <c r="F506">
        <v>407</v>
      </c>
      <c r="G506">
        <v>33.520000000000003</v>
      </c>
      <c r="H506">
        <v>110.83</v>
      </c>
      <c r="I506">
        <v>25.7</v>
      </c>
      <c r="J506">
        <v>84.97</v>
      </c>
      <c r="K506">
        <v>287</v>
      </c>
      <c r="T506">
        <v>3</v>
      </c>
      <c r="U506">
        <v>2</v>
      </c>
      <c r="V506" t="s">
        <v>541</v>
      </c>
      <c r="W506">
        <v>110</v>
      </c>
      <c r="X506">
        <v>15</v>
      </c>
      <c r="Y506">
        <v>10</v>
      </c>
      <c r="Z506" t="s">
        <v>1384</v>
      </c>
      <c r="AA506" t="s">
        <v>1385</v>
      </c>
      <c r="AB506" t="s">
        <v>526</v>
      </c>
      <c r="AC506" t="s">
        <v>527</v>
      </c>
      <c r="AD506" t="s">
        <v>528</v>
      </c>
      <c r="AE506" t="s">
        <v>1320</v>
      </c>
      <c r="AG506" t="s">
        <v>1386</v>
      </c>
      <c r="AH506">
        <v>0</v>
      </c>
      <c r="AI506">
        <v>220</v>
      </c>
      <c r="AJ506">
        <v>22</v>
      </c>
      <c r="AK506">
        <v>423</v>
      </c>
      <c r="AL506">
        <v>1.04</v>
      </c>
    </row>
    <row r="507" spans="1:38" x14ac:dyDescent="0.3">
      <c r="A507" t="s">
        <v>1315</v>
      </c>
      <c r="B507">
        <v>103440</v>
      </c>
      <c r="C507">
        <v>2</v>
      </c>
      <c r="D507" t="s">
        <v>1383</v>
      </c>
      <c r="E507" t="s">
        <v>794</v>
      </c>
      <c r="F507">
        <v>407</v>
      </c>
      <c r="G507">
        <v>33.369999999999997</v>
      </c>
      <c r="H507">
        <v>110.32</v>
      </c>
      <c r="I507">
        <v>25.3</v>
      </c>
      <c r="J507">
        <v>83.66</v>
      </c>
      <c r="K507">
        <v>120</v>
      </c>
      <c r="T507">
        <v>3</v>
      </c>
      <c r="U507">
        <v>2</v>
      </c>
      <c r="V507" t="s">
        <v>541</v>
      </c>
      <c r="W507">
        <v>110</v>
      </c>
      <c r="X507">
        <v>15</v>
      </c>
      <c r="Y507">
        <v>10</v>
      </c>
      <c r="Z507" t="s">
        <v>1384</v>
      </c>
      <c r="AA507" t="s">
        <v>1385</v>
      </c>
      <c r="AB507" t="s">
        <v>526</v>
      </c>
      <c r="AC507" t="s">
        <v>527</v>
      </c>
      <c r="AD507" t="s">
        <v>528</v>
      </c>
      <c r="AE507" t="s">
        <v>1320</v>
      </c>
      <c r="AG507" t="s">
        <v>1386</v>
      </c>
      <c r="AH507">
        <v>0</v>
      </c>
      <c r="AI507">
        <v>220</v>
      </c>
      <c r="AJ507">
        <v>22</v>
      </c>
      <c r="AK507">
        <v>423</v>
      </c>
      <c r="AL507">
        <v>1.04</v>
      </c>
    </row>
    <row r="508" spans="1:38" x14ac:dyDescent="0.3">
      <c r="A508" t="s">
        <v>1315</v>
      </c>
      <c r="B508">
        <v>100159</v>
      </c>
      <c r="C508">
        <v>1</v>
      </c>
      <c r="D508" t="s">
        <v>1387</v>
      </c>
      <c r="E508" t="s">
        <v>944</v>
      </c>
      <c r="F508">
        <v>279</v>
      </c>
      <c r="G508">
        <v>22.46</v>
      </c>
      <c r="H508">
        <v>74.27</v>
      </c>
      <c r="I508">
        <v>17.95</v>
      </c>
      <c r="J508">
        <v>59.34</v>
      </c>
      <c r="K508">
        <v>51</v>
      </c>
      <c r="T508">
        <v>2</v>
      </c>
      <c r="U508">
        <v>1</v>
      </c>
      <c r="V508" t="s">
        <v>541</v>
      </c>
      <c r="W508" t="s">
        <v>333</v>
      </c>
      <c r="X508">
        <v>18</v>
      </c>
      <c r="Y508">
        <v>10</v>
      </c>
      <c r="Z508" t="s">
        <v>1388</v>
      </c>
      <c r="AA508" t="s">
        <v>1389</v>
      </c>
      <c r="AB508" t="s">
        <v>526</v>
      </c>
      <c r="AC508" t="s">
        <v>527</v>
      </c>
      <c r="AD508" t="s">
        <v>528</v>
      </c>
      <c r="AE508" t="s">
        <v>1320</v>
      </c>
      <c r="AG508" t="s">
        <v>1390</v>
      </c>
      <c r="AH508">
        <v>0</v>
      </c>
      <c r="AI508">
        <v>0</v>
      </c>
      <c r="AJ508">
        <v>0</v>
      </c>
      <c r="AK508">
        <v>0</v>
      </c>
      <c r="AL508">
        <v>0</v>
      </c>
    </row>
    <row r="509" spans="1:38" x14ac:dyDescent="0.3">
      <c r="A509" t="s">
        <v>1315</v>
      </c>
      <c r="B509">
        <v>100159</v>
      </c>
      <c r="C509">
        <v>2</v>
      </c>
      <c r="D509" t="s">
        <v>1387</v>
      </c>
      <c r="E509" t="s">
        <v>944</v>
      </c>
      <c r="F509">
        <v>279</v>
      </c>
      <c r="G509">
        <v>22.55</v>
      </c>
      <c r="H509">
        <v>74.55</v>
      </c>
      <c r="I509">
        <v>17.98</v>
      </c>
      <c r="J509">
        <v>59.47</v>
      </c>
      <c r="K509">
        <v>51</v>
      </c>
      <c r="T509">
        <v>3</v>
      </c>
      <c r="U509">
        <v>1</v>
      </c>
      <c r="V509" t="s">
        <v>541</v>
      </c>
      <c r="W509" t="s">
        <v>334</v>
      </c>
      <c r="X509">
        <v>18</v>
      </c>
      <c r="Y509">
        <v>10</v>
      </c>
      <c r="Z509" t="s">
        <v>1388</v>
      </c>
      <c r="AA509" t="s">
        <v>1389</v>
      </c>
      <c r="AB509" t="s">
        <v>526</v>
      </c>
      <c r="AC509" t="s">
        <v>527</v>
      </c>
      <c r="AD509" t="s">
        <v>528</v>
      </c>
      <c r="AE509" t="s">
        <v>1320</v>
      </c>
      <c r="AG509" t="s">
        <v>1390</v>
      </c>
      <c r="AH509">
        <v>0</v>
      </c>
      <c r="AI509">
        <v>0</v>
      </c>
      <c r="AJ509">
        <v>0</v>
      </c>
      <c r="AK509">
        <v>0</v>
      </c>
      <c r="AL509">
        <v>0</v>
      </c>
    </row>
    <row r="510" spans="1:38" x14ac:dyDescent="0.3">
      <c r="A510" t="s">
        <v>1315</v>
      </c>
      <c r="B510">
        <v>100159</v>
      </c>
      <c r="C510">
        <v>3</v>
      </c>
      <c r="D510" t="s">
        <v>1387</v>
      </c>
      <c r="E510" t="s">
        <v>944</v>
      </c>
      <c r="F510">
        <v>279</v>
      </c>
      <c r="G510">
        <v>22.52</v>
      </c>
      <c r="H510">
        <v>74.459999999999994</v>
      </c>
      <c r="I510">
        <v>17.96</v>
      </c>
      <c r="J510">
        <v>59.4</v>
      </c>
      <c r="K510">
        <v>15</v>
      </c>
      <c r="T510">
        <v>3</v>
      </c>
      <c r="U510">
        <v>1</v>
      </c>
      <c r="V510" t="s">
        <v>541</v>
      </c>
      <c r="W510" t="s">
        <v>335</v>
      </c>
      <c r="X510">
        <v>18</v>
      </c>
      <c r="Y510">
        <v>10</v>
      </c>
      <c r="Z510" t="s">
        <v>1388</v>
      </c>
      <c r="AA510" t="s">
        <v>1389</v>
      </c>
      <c r="AB510" t="s">
        <v>526</v>
      </c>
      <c r="AC510" t="s">
        <v>527</v>
      </c>
      <c r="AD510" t="s">
        <v>528</v>
      </c>
      <c r="AE510" t="s">
        <v>1320</v>
      </c>
      <c r="AG510" t="s">
        <v>1390</v>
      </c>
      <c r="AH510">
        <v>0</v>
      </c>
      <c r="AI510">
        <v>0</v>
      </c>
      <c r="AJ510">
        <v>0</v>
      </c>
      <c r="AK510">
        <v>0</v>
      </c>
      <c r="AL510">
        <v>0</v>
      </c>
    </row>
    <row r="511" spans="1:38" x14ac:dyDescent="0.3">
      <c r="A511" t="s">
        <v>1315</v>
      </c>
      <c r="B511">
        <v>100159</v>
      </c>
      <c r="C511">
        <v>4</v>
      </c>
      <c r="D511" t="s">
        <v>1387</v>
      </c>
      <c r="E511" t="s">
        <v>944</v>
      </c>
      <c r="F511">
        <v>279</v>
      </c>
      <c r="G511">
        <v>31.34</v>
      </c>
      <c r="H511">
        <v>103.62</v>
      </c>
      <c r="I511">
        <v>25.55</v>
      </c>
      <c r="J511">
        <v>84.48</v>
      </c>
      <c r="K511">
        <v>126</v>
      </c>
      <c r="T511">
        <v>3</v>
      </c>
      <c r="U511">
        <v>2</v>
      </c>
      <c r="V511" t="s">
        <v>541</v>
      </c>
      <c r="W511" t="s">
        <v>227</v>
      </c>
      <c r="X511">
        <v>18</v>
      </c>
      <c r="Y511">
        <v>10</v>
      </c>
      <c r="Z511" t="s">
        <v>1388</v>
      </c>
      <c r="AA511" t="s">
        <v>1389</v>
      </c>
      <c r="AB511" t="s">
        <v>526</v>
      </c>
      <c r="AC511" t="s">
        <v>527</v>
      </c>
      <c r="AD511" t="s">
        <v>528</v>
      </c>
      <c r="AE511" t="s">
        <v>1320</v>
      </c>
      <c r="AG511" t="s">
        <v>1390</v>
      </c>
      <c r="AH511">
        <v>0</v>
      </c>
      <c r="AI511">
        <v>0</v>
      </c>
      <c r="AJ511">
        <v>0</v>
      </c>
      <c r="AK511">
        <v>0</v>
      </c>
      <c r="AL511">
        <v>0</v>
      </c>
    </row>
    <row r="512" spans="1:38" x14ac:dyDescent="0.3">
      <c r="A512" t="s">
        <v>1315</v>
      </c>
      <c r="B512">
        <v>100159</v>
      </c>
      <c r="C512">
        <v>5</v>
      </c>
      <c r="D512" t="s">
        <v>1387</v>
      </c>
      <c r="E512" t="s">
        <v>944</v>
      </c>
      <c r="F512">
        <v>279</v>
      </c>
      <c r="G512">
        <v>31.51</v>
      </c>
      <c r="H512">
        <v>104.19</v>
      </c>
      <c r="I512">
        <v>25.14</v>
      </c>
      <c r="J512">
        <v>83.12</v>
      </c>
      <c r="K512">
        <v>36</v>
      </c>
      <c r="T512">
        <v>3</v>
      </c>
      <c r="U512">
        <v>2</v>
      </c>
      <c r="V512" t="s">
        <v>541</v>
      </c>
      <c r="W512" t="s">
        <v>336</v>
      </c>
      <c r="X512">
        <v>18</v>
      </c>
      <c r="Y512">
        <v>10</v>
      </c>
      <c r="Z512" t="s">
        <v>1388</v>
      </c>
      <c r="AA512" t="s">
        <v>1389</v>
      </c>
      <c r="AB512" t="s">
        <v>526</v>
      </c>
      <c r="AC512" t="s">
        <v>527</v>
      </c>
      <c r="AD512" t="s">
        <v>528</v>
      </c>
      <c r="AE512" t="s">
        <v>1320</v>
      </c>
      <c r="AG512" t="s">
        <v>1390</v>
      </c>
      <c r="AH512">
        <v>0</v>
      </c>
      <c r="AI512">
        <v>0</v>
      </c>
      <c r="AJ512">
        <v>0</v>
      </c>
      <c r="AK512">
        <v>0</v>
      </c>
      <c r="AL512">
        <v>0</v>
      </c>
    </row>
    <row r="513" spans="1:38" x14ac:dyDescent="0.3">
      <c r="A513" t="s">
        <v>1315</v>
      </c>
      <c r="B513">
        <v>121772</v>
      </c>
      <c r="C513">
        <v>1</v>
      </c>
      <c r="D513" t="s">
        <v>1391</v>
      </c>
      <c r="E513" t="s">
        <v>1392</v>
      </c>
      <c r="F513">
        <v>15</v>
      </c>
      <c r="G513">
        <v>51.11</v>
      </c>
      <c r="H513">
        <v>168.98</v>
      </c>
      <c r="I513">
        <v>45.33</v>
      </c>
      <c r="J513">
        <v>149.87</v>
      </c>
      <c r="K513">
        <v>5</v>
      </c>
      <c r="T513">
        <v>4</v>
      </c>
      <c r="U513">
        <v>2</v>
      </c>
      <c r="V513" t="s">
        <v>541</v>
      </c>
      <c r="W513" t="s">
        <v>1393</v>
      </c>
      <c r="X513">
        <v>6</v>
      </c>
      <c r="Y513">
        <v>6</v>
      </c>
      <c r="Z513" t="s">
        <v>1394</v>
      </c>
      <c r="AA513" t="s">
        <v>1395</v>
      </c>
      <c r="AB513" t="s">
        <v>526</v>
      </c>
      <c r="AC513" t="s">
        <v>527</v>
      </c>
      <c r="AD513" t="s">
        <v>528</v>
      </c>
      <c r="AE513" t="s">
        <v>1320</v>
      </c>
      <c r="AG513" t="s">
        <v>1396</v>
      </c>
      <c r="AH513">
        <v>0</v>
      </c>
      <c r="AI513">
        <v>179</v>
      </c>
      <c r="AJ513">
        <v>40</v>
      </c>
      <c r="AK513">
        <v>33</v>
      </c>
      <c r="AL513">
        <v>2.2000000000000002</v>
      </c>
    </row>
    <row r="514" spans="1:38" x14ac:dyDescent="0.3">
      <c r="A514" t="s">
        <v>1315</v>
      </c>
      <c r="B514">
        <v>121772</v>
      </c>
      <c r="C514">
        <v>2</v>
      </c>
      <c r="D514" t="s">
        <v>1391</v>
      </c>
      <c r="E514" t="s">
        <v>1392</v>
      </c>
      <c r="F514">
        <v>15</v>
      </c>
      <c r="G514">
        <v>51.43</v>
      </c>
      <c r="H514">
        <v>170.02</v>
      </c>
      <c r="I514">
        <v>45.64</v>
      </c>
      <c r="J514">
        <v>150.9</v>
      </c>
      <c r="K514">
        <v>5</v>
      </c>
      <c r="T514">
        <v>4</v>
      </c>
      <c r="U514">
        <v>2</v>
      </c>
      <c r="V514" t="s">
        <v>541</v>
      </c>
      <c r="W514" t="s">
        <v>1397</v>
      </c>
      <c r="X514">
        <v>6</v>
      </c>
      <c r="Y514">
        <v>6</v>
      </c>
      <c r="Z514" t="s">
        <v>1394</v>
      </c>
      <c r="AA514" t="s">
        <v>1395</v>
      </c>
      <c r="AB514" t="s">
        <v>526</v>
      </c>
      <c r="AC514" t="s">
        <v>527</v>
      </c>
      <c r="AD514" t="s">
        <v>528</v>
      </c>
      <c r="AE514" t="s">
        <v>1320</v>
      </c>
      <c r="AG514" t="s">
        <v>1396</v>
      </c>
      <c r="AH514">
        <v>0</v>
      </c>
      <c r="AI514">
        <v>179</v>
      </c>
      <c r="AJ514">
        <v>40</v>
      </c>
      <c r="AK514">
        <v>33</v>
      </c>
      <c r="AL514">
        <v>2.2000000000000002</v>
      </c>
    </row>
    <row r="515" spans="1:38" x14ac:dyDescent="0.3">
      <c r="A515" t="s">
        <v>1315</v>
      </c>
      <c r="B515">
        <v>121772</v>
      </c>
      <c r="C515">
        <v>3</v>
      </c>
      <c r="D515" t="s">
        <v>1391</v>
      </c>
      <c r="E515" t="s">
        <v>1392</v>
      </c>
      <c r="F515">
        <v>15</v>
      </c>
      <c r="G515">
        <v>65.83</v>
      </c>
      <c r="H515">
        <v>217.63</v>
      </c>
      <c r="I515">
        <v>55.15</v>
      </c>
      <c r="J515">
        <v>182.34</v>
      </c>
      <c r="K515">
        <v>5</v>
      </c>
      <c r="T515">
        <v>4</v>
      </c>
      <c r="U515">
        <v>2</v>
      </c>
      <c r="V515" t="s">
        <v>541</v>
      </c>
      <c r="W515">
        <v>217</v>
      </c>
      <c r="X515">
        <v>6</v>
      </c>
      <c r="Y515">
        <v>6</v>
      </c>
      <c r="Z515" t="s">
        <v>1394</v>
      </c>
      <c r="AA515" t="s">
        <v>1395</v>
      </c>
      <c r="AB515" t="s">
        <v>526</v>
      </c>
      <c r="AC515" t="s">
        <v>527</v>
      </c>
      <c r="AD515" t="s">
        <v>528</v>
      </c>
      <c r="AE515" t="s">
        <v>1320</v>
      </c>
      <c r="AG515" t="s">
        <v>1396</v>
      </c>
      <c r="AH515">
        <v>0</v>
      </c>
      <c r="AI515">
        <v>179</v>
      </c>
      <c r="AJ515">
        <v>40</v>
      </c>
      <c r="AK515">
        <v>33</v>
      </c>
      <c r="AL515">
        <v>2.2000000000000002</v>
      </c>
    </row>
    <row r="516" spans="1:38" x14ac:dyDescent="0.3">
      <c r="A516" t="s">
        <v>1315</v>
      </c>
      <c r="B516">
        <v>101173</v>
      </c>
      <c r="C516">
        <v>1</v>
      </c>
      <c r="D516" t="s">
        <v>1398</v>
      </c>
      <c r="E516" t="s">
        <v>1399</v>
      </c>
      <c r="F516">
        <v>730</v>
      </c>
      <c r="G516">
        <v>19.59</v>
      </c>
      <c r="H516">
        <v>64.790000000000006</v>
      </c>
      <c r="I516">
        <v>14.99</v>
      </c>
      <c r="J516">
        <v>49.58</v>
      </c>
      <c r="K516">
        <v>50</v>
      </c>
      <c r="T516">
        <v>2</v>
      </c>
      <c r="U516">
        <v>1</v>
      </c>
      <c r="V516" t="s">
        <v>541</v>
      </c>
      <c r="W516">
        <v>64</v>
      </c>
      <c r="X516">
        <v>20</v>
      </c>
      <c r="Y516">
        <v>12</v>
      </c>
      <c r="Z516" t="s">
        <v>1400</v>
      </c>
      <c r="AA516" t="s">
        <v>1401</v>
      </c>
      <c r="AB516" t="s">
        <v>526</v>
      </c>
      <c r="AC516" t="s">
        <v>527</v>
      </c>
      <c r="AD516" t="s">
        <v>528</v>
      </c>
      <c r="AE516" t="s">
        <v>1320</v>
      </c>
      <c r="AG516" t="s">
        <v>1402</v>
      </c>
      <c r="AH516">
        <v>0</v>
      </c>
      <c r="AI516">
        <v>193</v>
      </c>
      <c r="AJ516">
        <v>16</v>
      </c>
      <c r="AK516">
        <v>688</v>
      </c>
      <c r="AL516">
        <v>0.94</v>
      </c>
    </row>
    <row r="517" spans="1:38" x14ac:dyDescent="0.3">
      <c r="A517" t="s">
        <v>1315</v>
      </c>
      <c r="B517">
        <v>101173</v>
      </c>
      <c r="C517">
        <v>2</v>
      </c>
      <c r="D517" t="s">
        <v>1398</v>
      </c>
      <c r="E517" t="s">
        <v>1399</v>
      </c>
      <c r="F517">
        <v>730</v>
      </c>
      <c r="G517">
        <v>20.73</v>
      </c>
      <c r="H517">
        <v>68.540000000000006</v>
      </c>
      <c r="I517">
        <v>15.86</v>
      </c>
      <c r="J517">
        <v>52.45</v>
      </c>
      <c r="K517">
        <v>14</v>
      </c>
      <c r="T517">
        <v>2</v>
      </c>
      <c r="U517">
        <v>1</v>
      </c>
      <c r="V517" t="s">
        <v>541</v>
      </c>
      <c r="W517">
        <v>68</v>
      </c>
      <c r="X517">
        <v>20</v>
      </c>
      <c r="Y517">
        <v>12</v>
      </c>
      <c r="Z517" t="s">
        <v>1400</v>
      </c>
      <c r="AA517" t="s">
        <v>1401</v>
      </c>
      <c r="AB517" t="s">
        <v>526</v>
      </c>
      <c r="AC517" t="s">
        <v>527</v>
      </c>
      <c r="AD517" t="s">
        <v>528</v>
      </c>
      <c r="AE517" t="s">
        <v>1320</v>
      </c>
      <c r="AG517" t="s">
        <v>1402</v>
      </c>
      <c r="AH517">
        <v>0</v>
      </c>
      <c r="AI517">
        <v>193</v>
      </c>
      <c r="AJ517">
        <v>16</v>
      </c>
      <c r="AK517">
        <v>688</v>
      </c>
      <c r="AL517">
        <v>0.94</v>
      </c>
    </row>
    <row r="518" spans="1:38" x14ac:dyDescent="0.3">
      <c r="A518" t="s">
        <v>1315</v>
      </c>
      <c r="B518">
        <v>101173</v>
      </c>
      <c r="C518">
        <v>3</v>
      </c>
      <c r="D518" t="s">
        <v>1398</v>
      </c>
      <c r="E518" t="s">
        <v>1399</v>
      </c>
      <c r="F518">
        <v>730</v>
      </c>
      <c r="G518">
        <v>23.59</v>
      </c>
      <c r="H518">
        <v>77.989999999999995</v>
      </c>
      <c r="I518">
        <v>18.05</v>
      </c>
      <c r="J518">
        <v>59.68</v>
      </c>
      <c r="K518">
        <v>108</v>
      </c>
      <c r="T518">
        <v>3</v>
      </c>
      <c r="U518">
        <v>1</v>
      </c>
      <c r="V518" t="s">
        <v>541</v>
      </c>
      <c r="W518" t="s">
        <v>339</v>
      </c>
      <c r="X518">
        <v>20</v>
      </c>
      <c r="Y518">
        <v>12</v>
      </c>
      <c r="Z518" t="s">
        <v>1400</v>
      </c>
      <c r="AA518" t="s">
        <v>1401</v>
      </c>
      <c r="AB518" t="s">
        <v>526</v>
      </c>
      <c r="AC518" t="s">
        <v>527</v>
      </c>
      <c r="AD518" t="s">
        <v>528</v>
      </c>
      <c r="AE518" t="s">
        <v>1320</v>
      </c>
      <c r="AG518" t="s">
        <v>1402</v>
      </c>
      <c r="AH518">
        <v>0</v>
      </c>
      <c r="AI518">
        <v>193</v>
      </c>
      <c r="AJ518">
        <v>16</v>
      </c>
      <c r="AK518">
        <v>688</v>
      </c>
      <c r="AL518">
        <v>0.94</v>
      </c>
    </row>
    <row r="519" spans="1:38" x14ac:dyDescent="0.3">
      <c r="A519" t="s">
        <v>1315</v>
      </c>
      <c r="B519">
        <v>101173</v>
      </c>
      <c r="C519">
        <v>4</v>
      </c>
      <c r="D519" t="s">
        <v>1398</v>
      </c>
      <c r="E519" t="s">
        <v>1399</v>
      </c>
      <c r="F519">
        <v>730</v>
      </c>
      <c r="G519">
        <v>23.67</v>
      </c>
      <c r="H519">
        <v>78.27</v>
      </c>
      <c r="I519">
        <v>18.11</v>
      </c>
      <c r="J519">
        <v>59.89</v>
      </c>
      <c r="K519">
        <v>366</v>
      </c>
      <c r="T519">
        <v>3</v>
      </c>
      <c r="U519">
        <v>1</v>
      </c>
      <c r="V519" t="s">
        <v>541</v>
      </c>
      <c r="W519" t="s">
        <v>173</v>
      </c>
      <c r="X519">
        <v>20</v>
      </c>
      <c r="Y519">
        <v>12</v>
      </c>
      <c r="Z519" t="s">
        <v>1400</v>
      </c>
      <c r="AA519" t="s">
        <v>1401</v>
      </c>
      <c r="AB519" t="s">
        <v>526</v>
      </c>
      <c r="AC519" t="s">
        <v>527</v>
      </c>
      <c r="AD519" t="s">
        <v>528</v>
      </c>
      <c r="AE519" t="s">
        <v>1320</v>
      </c>
      <c r="AG519" t="s">
        <v>1402</v>
      </c>
      <c r="AH519">
        <v>0</v>
      </c>
      <c r="AI519">
        <v>193</v>
      </c>
      <c r="AJ519">
        <v>16</v>
      </c>
      <c r="AK519">
        <v>688</v>
      </c>
      <c r="AL519">
        <v>0.94</v>
      </c>
    </row>
    <row r="520" spans="1:38" x14ac:dyDescent="0.3">
      <c r="A520" t="s">
        <v>1315</v>
      </c>
      <c r="B520">
        <v>101173</v>
      </c>
      <c r="C520">
        <v>5</v>
      </c>
      <c r="D520" t="s">
        <v>1398</v>
      </c>
      <c r="E520" t="s">
        <v>1399</v>
      </c>
      <c r="F520">
        <v>730</v>
      </c>
      <c r="G520">
        <v>27.41</v>
      </c>
      <c r="H520">
        <v>90.64</v>
      </c>
      <c r="I520">
        <v>20.98</v>
      </c>
      <c r="J520">
        <v>69.36</v>
      </c>
      <c r="K520">
        <v>6</v>
      </c>
      <c r="T520">
        <v>3</v>
      </c>
      <c r="U520">
        <v>2</v>
      </c>
      <c r="V520" t="s">
        <v>541</v>
      </c>
      <c r="W520">
        <v>90</v>
      </c>
      <c r="X520">
        <v>20</v>
      </c>
      <c r="Y520">
        <v>12</v>
      </c>
      <c r="Z520" t="s">
        <v>1400</v>
      </c>
      <c r="AA520" t="s">
        <v>1401</v>
      </c>
      <c r="AB520" t="s">
        <v>526</v>
      </c>
      <c r="AC520" t="s">
        <v>527</v>
      </c>
      <c r="AD520" t="s">
        <v>528</v>
      </c>
      <c r="AE520" t="s">
        <v>1320</v>
      </c>
      <c r="AG520" t="s">
        <v>1402</v>
      </c>
      <c r="AH520">
        <v>0</v>
      </c>
      <c r="AI520">
        <v>193</v>
      </c>
      <c r="AJ520">
        <v>16</v>
      </c>
      <c r="AK520">
        <v>688</v>
      </c>
      <c r="AL520">
        <v>0.94</v>
      </c>
    </row>
    <row r="521" spans="1:38" x14ac:dyDescent="0.3">
      <c r="A521" t="s">
        <v>1315</v>
      </c>
      <c r="B521">
        <v>101173</v>
      </c>
      <c r="C521">
        <v>6</v>
      </c>
      <c r="D521" t="s">
        <v>1398</v>
      </c>
      <c r="E521" t="s">
        <v>1399</v>
      </c>
      <c r="F521">
        <v>730</v>
      </c>
      <c r="G521">
        <v>33.549999999999997</v>
      </c>
      <c r="H521">
        <v>110.94</v>
      </c>
      <c r="I521">
        <v>25.67</v>
      </c>
      <c r="J521">
        <v>84.89</v>
      </c>
      <c r="K521">
        <v>186</v>
      </c>
      <c r="T521">
        <v>3</v>
      </c>
      <c r="U521">
        <v>2</v>
      </c>
      <c r="V521" t="s">
        <v>541</v>
      </c>
      <c r="W521">
        <v>110</v>
      </c>
      <c r="X521">
        <v>20</v>
      </c>
      <c r="Y521">
        <v>12</v>
      </c>
      <c r="Z521" t="s">
        <v>1400</v>
      </c>
      <c r="AA521" t="s">
        <v>1401</v>
      </c>
      <c r="AB521" t="s">
        <v>526</v>
      </c>
      <c r="AC521" t="s">
        <v>527</v>
      </c>
      <c r="AD521" t="s">
        <v>528</v>
      </c>
      <c r="AE521" t="s">
        <v>1320</v>
      </c>
      <c r="AG521" t="s">
        <v>1402</v>
      </c>
      <c r="AH521">
        <v>0</v>
      </c>
      <c r="AI521">
        <v>193</v>
      </c>
      <c r="AJ521">
        <v>16</v>
      </c>
      <c r="AK521">
        <v>688</v>
      </c>
      <c r="AL521">
        <v>0.94</v>
      </c>
    </row>
    <row r="522" spans="1:38" x14ac:dyDescent="0.3">
      <c r="A522" t="s">
        <v>1315</v>
      </c>
      <c r="B522">
        <v>25370</v>
      </c>
      <c r="C522">
        <v>1</v>
      </c>
      <c r="D522" t="s">
        <v>1403</v>
      </c>
      <c r="E522" t="s">
        <v>1404</v>
      </c>
      <c r="F522">
        <v>888</v>
      </c>
      <c r="G522">
        <v>34.909999999999997</v>
      </c>
      <c r="H522">
        <v>115.41</v>
      </c>
      <c r="I522">
        <v>25.59</v>
      </c>
      <c r="J522">
        <v>84.61</v>
      </c>
      <c r="K522">
        <v>735</v>
      </c>
      <c r="T522">
        <v>3</v>
      </c>
      <c r="U522">
        <v>2</v>
      </c>
      <c r="V522" t="s">
        <v>541</v>
      </c>
      <c r="W522" t="s">
        <v>342</v>
      </c>
      <c r="X522">
        <v>20</v>
      </c>
      <c r="Y522">
        <v>16</v>
      </c>
      <c r="Z522" t="s">
        <v>1405</v>
      </c>
      <c r="AA522" t="s">
        <v>1406</v>
      </c>
      <c r="AB522" t="s">
        <v>526</v>
      </c>
      <c r="AC522" t="s">
        <v>527</v>
      </c>
      <c r="AD522" t="s">
        <v>528</v>
      </c>
      <c r="AE522" t="s">
        <v>1320</v>
      </c>
      <c r="AG522" t="s">
        <v>1407</v>
      </c>
      <c r="AH522">
        <v>0</v>
      </c>
      <c r="AI522">
        <v>241</v>
      </c>
      <c r="AJ522">
        <v>19</v>
      </c>
      <c r="AK522">
        <v>935</v>
      </c>
      <c r="AL522">
        <v>1.05</v>
      </c>
    </row>
    <row r="523" spans="1:38" x14ac:dyDescent="0.3">
      <c r="A523" t="s">
        <v>1315</v>
      </c>
      <c r="B523">
        <v>25370</v>
      </c>
      <c r="C523">
        <v>2</v>
      </c>
      <c r="D523" t="s">
        <v>1403</v>
      </c>
      <c r="E523" t="s">
        <v>1404</v>
      </c>
      <c r="F523">
        <v>888</v>
      </c>
      <c r="G523">
        <v>34.909999999999997</v>
      </c>
      <c r="H523">
        <v>115.41</v>
      </c>
      <c r="I523">
        <v>25.59</v>
      </c>
      <c r="J523">
        <v>84.61</v>
      </c>
      <c r="K523">
        <v>136</v>
      </c>
      <c r="T523">
        <v>3</v>
      </c>
      <c r="U523">
        <v>2</v>
      </c>
      <c r="V523" t="s">
        <v>541</v>
      </c>
      <c r="W523" t="s">
        <v>343</v>
      </c>
      <c r="X523">
        <v>20</v>
      </c>
      <c r="Y523">
        <v>16</v>
      </c>
      <c r="Z523" t="s">
        <v>1405</v>
      </c>
      <c r="AA523" t="s">
        <v>1406</v>
      </c>
      <c r="AB523" t="s">
        <v>526</v>
      </c>
      <c r="AC523" t="s">
        <v>527</v>
      </c>
      <c r="AD523" t="s">
        <v>528</v>
      </c>
      <c r="AE523" t="s">
        <v>1320</v>
      </c>
      <c r="AG523" t="s">
        <v>1407</v>
      </c>
      <c r="AH523">
        <v>0</v>
      </c>
      <c r="AI523">
        <v>241</v>
      </c>
      <c r="AJ523">
        <v>19</v>
      </c>
      <c r="AK523">
        <v>935</v>
      </c>
      <c r="AL523">
        <v>1.05</v>
      </c>
    </row>
    <row r="524" spans="1:38" x14ac:dyDescent="0.3">
      <c r="A524" t="s">
        <v>1315</v>
      </c>
      <c r="B524">
        <v>25370</v>
      </c>
      <c r="C524">
        <v>3</v>
      </c>
      <c r="D524" t="s">
        <v>1403</v>
      </c>
      <c r="E524" t="s">
        <v>1404</v>
      </c>
      <c r="F524">
        <v>888</v>
      </c>
      <c r="G524">
        <v>35.06</v>
      </c>
      <c r="H524">
        <v>115.92</v>
      </c>
      <c r="I524">
        <v>25.7</v>
      </c>
      <c r="J524">
        <v>84.99</v>
      </c>
      <c r="K524">
        <v>17</v>
      </c>
      <c r="T524">
        <v>3</v>
      </c>
      <c r="U524">
        <v>2</v>
      </c>
      <c r="V524" t="s">
        <v>541</v>
      </c>
      <c r="W524">
        <v>115</v>
      </c>
      <c r="X524">
        <v>20</v>
      </c>
      <c r="Y524">
        <v>16</v>
      </c>
      <c r="Z524" t="s">
        <v>1405</v>
      </c>
      <c r="AA524" t="s">
        <v>1406</v>
      </c>
      <c r="AB524" t="s">
        <v>526</v>
      </c>
      <c r="AC524" t="s">
        <v>527</v>
      </c>
      <c r="AD524" t="s">
        <v>528</v>
      </c>
      <c r="AE524" t="s">
        <v>1320</v>
      </c>
      <c r="AG524" t="s">
        <v>1407</v>
      </c>
      <c r="AH524">
        <v>0</v>
      </c>
      <c r="AI524">
        <v>241</v>
      </c>
      <c r="AJ524">
        <v>19</v>
      </c>
      <c r="AK524">
        <v>935</v>
      </c>
      <c r="AL524">
        <v>1.05</v>
      </c>
    </row>
    <row r="525" spans="1:38" x14ac:dyDescent="0.3">
      <c r="A525" t="s">
        <v>1315</v>
      </c>
      <c r="B525">
        <v>101174</v>
      </c>
      <c r="C525">
        <v>1</v>
      </c>
      <c r="D525" t="s">
        <v>1408</v>
      </c>
      <c r="E525" t="s">
        <v>1409</v>
      </c>
      <c r="F525">
        <v>270</v>
      </c>
      <c r="G525">
        <v>30.39</v>
      </c>
      <c r="H525">
        <v>100.49</v>
      </c>
      <c r="I525">
        <v>25.18</v>
      </c>
      <c r="J525">
        <v>83.24</v>
      </c>
      <c r="K525">
        <v>270</v>
      </c>
      <c r="T525">
        <v>3</v>
      </c>
      <c r="U525">
        <v>2</v>
      </c>
      <c r="V525" t="s">
        <v>541</v>
      </c>
      <c r="W525">
        <v>100</v>
      </c>
      <c r="X525">
        <v>15</v>
      </c>
      <c r="Y525">
        <v>12</v>
      </c>
      <c r="Z525" t="s">
        <v>1410</v>
      </c>
      <c r="AA525" t="s">
        <v>1411</v>
      </c>
      <c r="AB525" t="s">
        <v>526</v>
      </c>
      <c r="AC525" t="s">
        <v>527</v>
      </c>
      <c r="AD525" t="s">
        <v>528</v>
      </c>
      <c r="AE525" t="s">
        <v>1320</v>
      </c>
      <c r="AG525" t="s">
        <v>1412</v>
      </c>
      <c r="AH525">
        <v>0</v>
      </c>
      <c r="AI525">
        <v>249</v>
      </c>
      <c r="AJ525">
        <v>24</v>
      </c>
      <c r="AK525">
        <v>277</v>
      </c>
      <c r="AL525">
        <v>1.03</v>
      </c>
    </row>
    <row r="526" spans="1:38" x14ac:dyDescent="0.3">
      <c r="A526" t="s">
        <v>1315</v>
      </c>
      <c r="B526">
        <v>110121</v>
      </c>
      <c r="C526">
        <v>1</v>
      </c>
      <c r="D526" t="s">
        <v>1413</v>
      </c>
      <c r="E526" t="s">
        <v>1414</v>
      </c>
      <c r="F526">
        <v>510</v>
      </c>
      <c r="G526">
        <v>24.63</v>
      </c>
      <c r="H526">
        <v>81.44</v>
      </c>
      <c r="I526">
        <v>18.14</v>
      </c>
      <c r="J526">
        <v>59.97</v>
      </c>
      <c r="K526">
        <v>193</v>
      </c>
      <c r="T526">
        <v>3</v>
      </c>
      <c r="U526">
        <v>2</v>
      </c>
      <c r="V526" t="s">
        <v>541</v>
      </c>
      <c r="W526">
        <v>81</v>
      </c>
      <c r="X526">
        <v>15</v>
      </c>
      <c r="Y526">
        <v>10</v>
      </c>
      <c r="Z526" t="s">
        <v>1415</v>
      </c>
      <c r="AA526" t="s">
        <v>1416</v>
      </c>
      <c r="AB526" t="s">
        <v>526</v>
      </c>
      <c r="AC526" t="s">
        <v>527</v>
      </c>
      <c r="AD526" t="s">
        <v>528</v>
      </c>
      <c r="AE526" t="s">
        <v>1320</v>
      </c>
      <c r="AG526" t="s">
        <v>1417</v>
      </c>
      <c r="AH526">
        <v>0</v>
      </c>
      <c r="AI526">
        <v>217</v>
      </c>
      <c r="AJ526">
        <v>23</v>
      </c>
      <c r="AK526">
        <v>579</v>
      </c>
      <c r="AL526">
        <v>1.1399999999999999</v>
      </c>
    </row>
    <row r="527" spans="1:38" x14ac:dyDescent="0.3">
      <c r="A527" t="s">
        <v>1315</v>
      </c>
      <c r="B527">
        <v>110121</v>
      </c>
      <c r="C527">
        <v>2</v>
      </c>
      <c r="D527" t="s">
        <v>1413</v>
      </c>
      <c r="E527" t="s">
        <v>1414</v>
      </c>
      <c r="F527">
        <v>510</v>
      </c>
      <c r="G527">
        <v>32.5</v>
      </c>
      <c r="H527">
        <v>107.47</v>
      </c>
      <c r="I527">
        <v>25.69</v>
      </c>
      <c r="J527">
        <v>84.94</v>
      </c>
      <c r="K527">
        <v>142</v>
      </c>
      <c r="T527">
        <v>3</v>
      </c>
      <c r="U527">
        <v>2</v>
      </c>
      <c r="V527" t="s">
        <v>541</v>
      </c>
      <c r="W527" t="s">
        <v>348</v>
      </c>
      <c r="X527">
        <v>15</v>
      </c>
      <c r="Y527">
        <v>10</v>
      </c>
      <c r="Z527" t="s">
        <v>1415</v>
      </c>
      <c r="AA527" t="s">
        <v>1416</v>
      </c>
      <c r="AB527" t="s">
        <v>526</v>
      </c>
      <c r="AC527" t="s">
        <v>527</v>
      </c>
      <c r="AD527" t="s">
        <v>528</v>
      </c>
      <c r="AE527" t="s">
        <v>1320</v>
      </c>
      <c r="AG527" t="s">
        <v>1417</v>
      </c>
      <c r="AH527">
        <v>0</v>
      </c>
      <c r="AI527">
        <v>217</v>
      </c>
      <c r="AJ527">
        <v>23</v>
      </c>
      <c r="AK527">
        <v>579</v>
      </c>
      <c r="AL527">
        <v>1.1399999999999999</v>
      </c>
    </row>
    <row r="528" spans="1:38" x14ac:dyDescent="0.3">
      <c r="A528" t="s">
        <v>1315</v>
      </c>
      <c r="B528">
        <v>110121</v>
      </c>
      <c r="C528">
        <v>3</v>
      </c>
      <c r="D528" t="s">
        <v>1413</v>
      </c>
      <c r="E528" t="s">
        <v>1414</v>
      </c>
      <c r="F528">
        <v>510</v>
      </c>
      <c r="G528">
        <v>33.26</v>
      </c>
      <c r="H528">
        <v>109.98</v>
      </c>
      <c r="I528">
        <v>25.69</v>
      </c>
      <c r="J528">
        <v>84.94</v>
      </c>
      <c r="K528">
        <v>39</v>
      </c>
      <c r="T528">
        <v>3</v>
      </c>
      <c r="U528">
        <v>2</v>
      </c>
      <c r="V528" t="s">
        <v>541</v>
      </c>
      <c r="W528" t="s">
        <v>192</v>
      </c>
      <c r="X528">
        <v>15</v>
      </c>
      <c r="Y528">
        <v>10</v>
      </c>
      <c r="Z528" t="s">
        <v>1415</v>
      </c>
      <c r="AA528" t="s">
        <v>1416</v>
      </c>
      <c r="AB528" t="s">
        <v>526</v>
      </c>
      <c r="AC528" t="s">
        <v>527</v>
      </c>
      <c r="AD528" t="s">
        <v>528</v>
      </c>
      <c r="AE528" t="s">
        <v>1320</v>
      </c>
      <c r="AG528" t="s">
        <v>1417</v>
      </c>
      <c r="AH528">
        <v>0</v>
      </c>
      <c r="AI528">
        <v>217</v>
      </c>
      <c r="AJ528">
        <v>23</v>
      </c>
      <c r="AK528">
        <v>579</v>
      </c>
      <c r="AL528">
        <v>1.1399999999999999</v>
      </c>
    </row>
    <row r="529" spans="1:38" x14ac:dyDescent="0.3">
      <c r="A529" t="s">
        <v>1315</v>
      </c>
      <c r="B529">
        <v>110121</v>
      </c>
      <c r="C529">
        <v>4</v>
      </c>
      <c r="D529" t="s">
        <v>1413</v>
      </c>
      <c r="E529" t="s">
        <v>1414</v>
      </c>
      <c r="F529">
        <v>510</v>
      </c>
      <c r="G529">
        <v>33.450000000000003</v>
      </c>
      <c r="H529">
        <v>110.6</v>
      </c>
      <c r="I529">
        <v>25.7</v>
      </c>
      <c r="J529">
        <v>84.98</v>
      </c>
      <c r="K529">
        <v>111</v>
      </c>
      <c r="T529">
        <v>3</v>
      </c>
      <c r="U529">
        <v>2</v>
      </c>
      <c r="V529" t="s">
        <v>541</v>
      </c>
      <c r="W529" t="s">
        <v>293</v>
      </c>
      <c r="X529">
        <v>15</v>
      </c>
      <c r="Y529">
        <v>10</v>
      </c>
      <c r="Z529" t="s">
        <v>1415</v>
      </c>
      <c r="AA529" t="s">
        <v>1416</v>
      </c>
      <c r="AB529" t="s">
        <v>526</v>
      </c>
      <c r="AC529" t="s">
        <v>527</v>
      </c>
      <c r="AD529" t="s">
        <v>528</v>
      </c>
      <c r="AE529" t="s">
        <v>1320</v>
      </c>
      <c r="AG529" t="s">
        <v>1417</v>
      </c>
      <c r="AH529">
        <v>0</v>
      </c>
      <c r="AI529">
        <v>217</v>
      </c>
      <c r="AJ529">
        <v>23</v>
      </c>
      <c r="AK529">
        <v>579</v>
      </c>
      <c r="AL529">
        <v>1.1399999999999999</v>
      </c>
    </row>
    <row r="530" spans="1:38" x14ac:dyDescent="0.3">
      <c r="A530" t="s">
        <v>1315</v>
      </c>
      <c r="B530">
        <v>110121</v>
      </c>
      <c r="C530">
        <v>5</v>
      </c>
      <c r="D530" t="s">
        <v>1413</v>
      </c>
      <c r="E530" t="s">
        <v>1414</v>
      </c>
      <c r="F530">
        <v>510</v>
      </c>
      <c r="G530">
        <v>33.78</v>
      </c>
      <c r="H530">
        <v>111.7</v>
      </c>
      <c r="I530">
        <v>25.7</v>
      </c>
      <c r="J530">
        <v>84.97</v>
      </c>
      <c r="K530">
        <v>25</v>
      </c>
      <c r="T530">
        <v>3</v>
      </c>
      <c r="U530">
        <v>2</v>
      </c>
      <c r="V530" t="s">
        <v>541</v>
      </c>
      <c r="W530">
        <v>111</v>
      </c>
      <c r="X530">
        <v>15</v>
      </c>
      <c r="Y530">
        <v>10</v>
      </c>
      <c r="Z530" t="s">
        <v>1415</v>
      </c>
      <c r="AA530" t="s">
        <v>1416</v>
      </c>
      <c r="AB530" t="s">
        <v>526</v>
      </c>
      <c r="AC530" t="s">
        <v>527</v>
      </c>
      <c r="AD530" t="s">
        <v>528</v>
      </c>
      <c r="AE530" t="s">
        <v>1320</v>
      </c>
      <c r="AG530" t="s">
        <v>1417</v>
      </c>
      <c r="AH530">
        <v>0</v>
      </c>
      <c r="AI530">
        <v>217</v>
      </c>
      <c r="AJ530">
        <v>23</v>
      </c>
      <c r="AK530">
        <v>579</v>
      </c>
      <c r="AL530">
        <v>1.1399999999999999</v>
      </c>
    </row>
    <row r="531" spans="1:38" x14ac:dyDescent="0.3">
      <c r="A531" t="s">
        <v>1315</v>
      </c>
      <c r="B531">
        <v>26612</v>
      </c>
      <c r="C531">
        <v>1</v>
      </c>
      <c r="D531" t="s">
        <v>1418</v>
      </c>
      <c r="E531" t="s">
        <v>1419</v>
      </c>
      <c r="F531">
        <v>438</v>
      </c>
      <c r="G531">
        <v>28.5</v>
      </c>
      <c r="H531">
        <v>94.24</v>
      </c>
      <c r="I531">
        <v>25.65</v>
      </c>
      <c r="J531">
        <v>84.8</v>
      </c>
      <c r="K531">
        <v>28</v>
      </c>
      <c r="T531">
        <v>3</v>
      </c>
      <c r="U531">
        <v>2</v>
      </c>
      <c r="V531" t="s">
        <v>541</v>
      </c>
      <c r="W531">
        <v>94</v>
      </c>
      <c r="X531">
        <v>15</v>
      </c>
      <c r="Y531">
        <v>12</v>
      </c>
      <c r="Z531" t="s">
        <v>1420</v>
      </c>
      <c r="AA531" t="s">
        <v>1421</v>
      </c>
      <c r="AB531" t="s">
        <v>526</v>
      </c>
      <c r="AC531" t="s">
        <v>527</v>
      </c>
      <c r="AD531" t="s">
        <v>528</v>
      </c>
      <c r="AE531" t="s">
        <v>1320</v>
      </c>
      <c r="AG531" t="s">
        <v>1422</v>
      </c>
      <c r="AH531">
        <v>0</v>
      </c>
      <c r="AI531">
        <v>236</v>
      </c>
      <c r="AJ531">
        <v>20</v>
      </c>
      <c r="AK531">
        <v>445</v>
      </c>
      <c r="AL531">
        <v>1.02</v>
      </c>
    </row>
    <row r="532" spans="1:38" x14ac:dyDescent="0.3">
      <c r="A532" t="s">
        <v>1315</v>
      </c>
      <c r="B532">
        <v>26612</v>
      </c>
      <c r="C532">
        <v>2</v>
      </c>
      <c r="D532" t="s">
        <v>1418</v>
      </c>
      <c r="E532" t="s">
        <v>1419</v>
      </c>
      <c r="F532">
        <v>438</v>
      </c>
      <c r="G532">
        <v>30.96</v>
      </c>
      <c r="H532">
        <v>102.37</v>
      </c>
      <c r="I532">
        <v>25.63</v>
      </c>
      <c r="J532">
        <v>84.73</v>
      </c>
      <c r="K532">
        <v>60</v>
      </c>
      <c r="T532">
        <v>3</v>
      </c>
      <c r="U532">
        <v>2</v>
      </c>
      <c r="V532" t="s">
        <v>523</v>
      </c>
      <c r="W532">
        <v>102</v>
      </c>
      <c r="X532">
        <v>15</v>
      </c>
      <c r="Y532">
        <v>12</v>
      </c>
      <c r="Z532" t="s">
        <v>1420</v>
      </c>
      <c r="AA532" t="s">
        <v>1421</v>
      </c>
      <c r="AB532" t="s">
        <v>526</v>
      </c>
      <c r="AC532" t="s">
        <v>527</v>
      </c>
      <c r="AD532" t="s">
        <v>528</v>
      </c>
      <c r="AE532" t="s">
        <v>1320</v>
      </c>
      <c r="AG532" t="s">
        <v>1422</v>
      </c>
      <c r="AH532">
        <v>0</v>
      </c>
      <c r="AI532">
        <v>236</v>
      </c>
      <c r="AJ532">
        <v>20</v>
      </c>
      <c r="AK532">
        <v>445</v>
      </c>
      <c r="AL532">
        <v>1.02</v>
      </c>
    </row>
    <row r="533" spans="1:38" x14ac:dyDescent="0.3">
      <c r="A533" t="s">
        <v>1315</v>
      </c>
      <c r="B533">
        <v>26612</v>
      </c>
      <c r="C533">
        <v>3</v>
      </c>
      <c r="D533" t="s">
        <v>1418</v>
      </c>
      <c r="E533" t="s">
        <v>1419</v>
      </c>
      <c r="F533">
        <v>438</v>
      </c>
      <c r="G533">
        <v>32.56</v>
      </c>
      <c r="H533">
        <v>107.65</v>
      </c>
      <c r="I533">
        <v>25.65</v>
      </c>
      <c r="J533">
        <v>84.8</v>
      </c>
      <c r="K533">
        <v>350</v>
      </c>
      <c r="T533">
        <v>3</v>
      </c>
      <c r="U533">
        <v>2</v>
      </c>
      <c r="V533" t="s">
        <v>541</v>
      </c>
      <c r="W533">
        <v>107</v>
      </c>
      <c r="X533">
        <v>15</v>
      </c>
      <c r="Y533">
        <v>12</v>
      </c>
      <c r="Z533" t="s">
        <v>1420</v>
      </c>
      <c r="AA533" t="s">
        <v>1421</v>
      </c>
      <c r="AB533" t="s">
        <v>526</v>
      </c>
      <c r="AC533" t="s">
        <v>527</v>
      </c>
      <c r="AD533" t="s">
        <v>528</v>
      </c>
      <c r="AE533" t="s">
        <v>1320</v>
      </c>
      <c r="AG533" t="s">
        <v>1422</v>
      </c>
      <c r="AH533">
        <v>0</v>
      </c>
      <c r="AI533">
        <v>236</v>
      </c>
      <c r="AJ533">
        <v>20</v>
      </c>
      <c r="AK533">
        <v>445</v>
      </c>
      <c r="AL533">
        <v>1.02</v>
      </c>
    </row>
    <row r="534" spans="1:38" x14ac:dyDescent="0.3">
      <c r="A534" t="s">
        <v>1315</v>
      </c>
      <c r="B534">
        <v>27008</v>
      </c>
      <c r="C534">
        <v>1</v>
      </c>
      <c r="D534" t="s">
        <v>628</v>
      </c>
      <c r="E534" t="s">
        <v>1423</v>
      </c>
      <c r="F534">
        <v>639</v>
      </c>
      <c r="G534">
        <v>33.76</v>
      </c>
      <c r="H534">
        <v>111.62</v>
      </c>
      <c r="I534">
        <v>25.63</v>
      </c>
      <c r="J534">
        <v>84.75</v>
      </c>
      <c r="K534">
        <v>639</v>
      </c>
      <c r="T534">
        <v>3</v>
      </c>
      <c r="U534">
        <v>2</v>
      </c>
      <c r="V534" t="s">
        <v>541</v>
      </c>
      <c r="W534">
        <v>111</v>
      </c>
      <c r="X534">
        <v>20</v>
      </c>
      <c r="Y534">
        <v>12</v>
      </c>
      <c r="Z534" t="s">
        <v>1424</v>
      </c>
      <c r="AA534" t="s">
        <v>1425</v>
      </c>
      <c r="AB534" t="s">
        <v>526</v>
      </c>
      <c r="AC534" t="s">
        <v>527</v>
      </c>
      <c r="AD534" t="s">
        <v>528</v>
      </c>
      <c r="AE534" t="s">
        <v>1320</v>
      </c>
      <c r="AG534" t="s">
        <v>1426</v>
      </c>
      <c r="AH534">
        <v>0</v>
      </c>
      <c r="AI534">
        <v>215</v>
      </c>
      <c r="AJ534">
        <v>23</v>
      </c>
      <c r="AK534">
        <v>689</v>
      </c>
      <c r="AL534">
        <v>1.08</v>
      </c>
    </row>
    <row r="535" spans="1:38" x14ac:dyDescent="0.3">
      <c r="A535" t="s">
        <v>1315</v>
      </c>
      <c r="B535">
        <v>5662</v>
      </c>
      <c r="C535">
        <v>1</v>
      </c>
      <c r="D535" t="s">
        <v>1427</v>
      </c>
      <c r="E535" t="s">
        <v>838</v>
      </c>
      <c r="F535">
        <v>422</v>
      </c>
      <c r="G535">
        <v>24.19</v>
      </c>
      <c r="H535">
        <v>79.98</v>
      </c>
      <c r="I535">
        <v>18.14</v>
      </c>
      <c r="J535">
        <v>59.98</v>
      </c>
      <c r="K535">
        <v>422</v>
      </c>
      <c r="T535">
        <v>3</v>
      </c>
      <c r="U535">
        <v>1</v>
      </c>
      <c r="V535" t="s">
        <v>523</v>
      </c>
      <c r="W535">
        <v>79</v>
      </c>
      <c r="X535">
        <v>15</v>
      </c>
      <c r="Y535">
        <v>7</v>
      </c>
      <c r="Z535" t="s">
        <v>1428</v>
      </c>
      <c r="AA535" t="s">
        <v>1429</v>
      </c>
      <c r="AB535" t="s">
        <v>526</v>
      </c>
      <c r="AC535" t="s">
        <v>527</v>
      </c>
      <c r="AD535" t="s">
        <v>528</v>
      </c>
      <c r="AE535" t="s">
        <v>1320</v>
      </c>
      <c r="AG535" t="s">
        <v>1430</v>
      </c>
      <c r="AH535">
        <v>0</v>
      </c>
      <c r="AI535">
        <v>0</v>
      </c>
      <c r="AJ535">
        <v>0</v>
      </c>
      <c r="AK535">
        <v>126</v>
      </c>
      <c r="AL535">
        <v>0.3</v>
      </c>
    </row>
    <row r="536" spans="1:38" x14ac:dyDescent="0.3">
      <c r="A536" t="s">
        <v>1431</v>
      </c>
      <c r="B536">
        <v>116398</v>
      </c>
      <c r="C536">
        <v>1</v>
      </c>
      <c r="D536" t="s">
        <v>1432</v>
      </c>
      <c r="E536" t="s">
        <v>1433</v>
      </c>
      <c r="F536">
        <v>326</v>
      </c>
      <c r="G536">
        <v>23.43</v>
      </c>
      <c r="H536">
        <v>77.47</v>
      </c>
      <c r="I536">
        <v>18.09</v>
      </c>
      <c r="J536">
        <v>59.82</v>
      </c>
      <c r="K536">
        <v>57</v>
      </c>
      <c r="T536">
        <v>3</v>
      </c>
      <c r="U536">
        <v>2</v>
      </c>
      <c r="V536" t="s">
        <v>541</v>
      </c>
      <c r="W536" t="s">
        <v>357</v>
      </c>
      <c r="X536">
        <v>22</v>
      </c>
      <c r="Y536">
        <v>9</v>
      </c>
      <c r="Z536" t="s">
        <v>1434</v>
      </c>
      <c r="AA536" t="s">
        <v>1435</v>
      </c>
      <c r="AB536" t="s">
        <v>526</v>
      </c>
      <c r="AC536" t="s">
        <v>527</v>
      </c>
      <c r="AD536" t="s">
        <v>528</v>
      </c>
      <c r="AE536" t="s">
        <v>502</v>
      </c>
      <c r="AG536" t="s">
        <v>1436</v>
      </c>
      <c r="AH536">
        <v>0</v>
      </c>
      <c r="AI536">
        <v>228</v>
      </c>
      <c r="AJ536">
        <v>17</v>
      </c>
      <c r="AK536">
        <v>378</v>
      </c>
      <c r="AL536">
        <v>1.1599999999999999</v>
      </c>
    </row>
    <row r="537" spans="1:38" x14ac:dyDescent="0.3">
      <c r="A537" t="s">
        <v>1431</v>
      </c>
      <c r="B537">
        <v>116398</v>
      </c>
      <c r="C537">
        <v>2</v>
      </c>
      <c r="D537" t="s">
        <v>1432</v>
      </c>
      <c r="E537" t="s">
        <v>1433</v>
      </c>
      <c r="F537">
        <v>326</v>
      </c>
      <c r="G537">
        <v>33.26</v>
      </c>
      <c r="H537">
        <v>109.98</v>
      </c>
      <c r="I537">
        <v>25.62</v>
      </c>
      <c r="J537">
        <v>84.71</v>
      </c>
      <c r="K537">
        <v>176</v>
      </c>
      <c r="T537">
        <v>3</v>
      </c>
      <c r="U537">
        <v>2</v>
      </c>
      <c r="V537" t="s">
        <v>541</v>
      </c>
      <c r="W537" t="s">
        <v>124</v>
      </c>
      <c r="X537">
        <v>22</v>
      </c>
      <c r="Y537">
        <v>9</v>
      </c>
      <c r="Z537" t="s">
        <v>1434</v>
      </c>
      <c r="AA537" t="s">
        <v>1435</v>
      </c>
      <c r="AB537" t="s">
        <v>526</v>
      </c>
      <c r="AC537" t="s">
        <v>527</v>
      </c>
      <c r="AD537" t="s">
        <v>528</v>
      </c>
      <c r="AE537" t="s">
        <v>502</v>
      </c>
      <c r="AG537" t="s">
        <v>1436</v>
      </c>
      <c r="AH537">
        <v>0</v>
      </c>
      <c r="AI537">
        <v>228</v>
      </c>
      <c r="AJ537">
        <v>17</v>
      </c>
      <c r="AK537">
        <v>378</v>
      </c>
      <c r="AL537">
        <v>1.1599999999999999</v>
      </c>
    </row>
    <row r="538" spans="1:38" x14ac:dyDescent="0.3">
      <c r="A538" t="s">
        <v>1431</v>
      </c>
      <c r="B538">
        <v>116398</v>
      </c>
      <c r="C538">
        <v>3</v>
      </c>
      <c r="D538" t="s">
        <v>1432</v>
      </c>
      <c r="E538" t="s">
        <v>1433</v>
      </c>
      <c r="F538">
        <v>326</v>
      </c>
      <c r="G538">
        <v>33.299999999999997</v>
      </c>
      <c r="H538">
        <v>110.11</v>
      </c>
      <c r="I538">
        <v>25.66</v>
      </c>
      <c r="J538">
        <v>84.83</v>
      </c>
      <c r="K538">
        <v>64</v>
      </c>
      <c r="T538">
        <v>3</v>
      </c>
      <c r="U538">
        <v>2</v>
      </c>
      <c r="V538" t="s">
        <v>541</v>
      </c>
      <c r="W538" t="s">
        <v>125</v>
      </c>
      <c r="X538">
        <v>22</v>
      </c>
      <c r="Y538">
        <v>9</v>
      </c>
      <c r="Z538" t="s">
        <v>1434</v>
      </c>
      <c r="AA538" t="s">
        <v>1435</v>
      </c>
      <c r="AB538" t="s">
        <v>526</v>
      </c>
      <c r="AC538" t="s">
        <v>527</v>
      </c>
      <c r="AD538" t="s">
        <v>528</v>
      </c>
      <c r="AE538" t="s">
        <v>502</v>
      </c>
      <c r="AG538" t="s">
        <v>1436</v>
      </c>
      <c r="AH538">
        <v>0</v>
      </c>
      <c r="AI538">
        <v>228</v>
      </c>
      <c r="AJ538">
        <v>17</v>
      </c>
      <c r="AK538">
        <v>378</v>
      </c>
      <c r="AL538">
        <v>1.1599999999999999</v>
      </c>
    </row>
    <row r="539" spans="1:38" x14ac:dyDescent="0.3">
      <c r="A539" t="s">
        <v>1431</v>
      </c>
      <c r="B539">
        <v>116398</v>
      </c>
      <c r="C539">
        <v>4</v>
      </c>
      <c r="D539" t="s">
        <v>1432</v>
      </c>
      <c r="E539" t="s">
        <v>1433</v>
      </c>
      <c r="F539">
        <v>326</v>
      </c>
      <c r="G539">
        <v>33.32</v>
      </c>
      <c r="H539">
        <v>110.15</v>
      </c>
      <c r="I539">
        <v>25.66</v>
      </c>
      <c r="J539">
        <v>84.84</v>
      </c>
      <c r="K539">
        <v>29</v>
      </c>
      <c r="T539">
        <v>3</v>
      </c>
      <c r="U539">
        <v>2</v>
      </c>
      <c r="V539" t="s">
        <v>541</v>
      </c>
      <c r="W539" t="s">
        <v>293</v>
      </c>
      <c r="X539">
        <v>22</v>
      </c>
      <c r="Y539">
        <v>9</v>
      </c>
      <c r="Z539" t="s">
        <v>1434</v>
      </c>
      <c r="AA539" t="s">
        <v>1435</v>
      </c>
      <c r="AB539" t="s">
        <v>526</v>
      </c>
      <c r="AC539" t="s">
        <v>527</v>
      </c>
      <c r="AD539" t="s">
        <v>528</v>
      </c>
      <c r="AE539" t="s">
        <v>502</v>
      </c>
      <c r="AG539" t="s">
        <v>1436</v>
      </c>
      <c r="AH539">
        <v>0</v>
      </c>
      <c r="AI539">
        <v>228</v>
      </c>
      <c r="AJ539">
        <v>17</v>
      </c>
      <c r="AK539">
        <v>378</v>
      </c>
      <c r="AL539">
        <v>1.1599999999999999</v>
      </c>
    </row>
    <row r="540" spans="1:38" x14ac:dyDescent="0.3">
      <c r="A540" t="s">
        <v>1431</v>
      </c>
      <c r="B540">
        <v>26327</v>
      </c>
      <c r="C540">
        <v>1</v>
      </c>
      <c r="D540" t="s">
        <v>1437</v>
      </c>
      <c r="E540" t="s">
        <v>1438</v>
      </c>
      <c r="F540">
        <v>71</v>
      </c>
      <c r="G540">
        <v>15.66</v>
      </c>
      <c r="H540">
        <v>51.77</v>
      </c>
      <c r="I540">
        <v>10.42</v>
      </c>
      <c r="J540">
        <v>34.450000000000003</v>
      </c>
      <c r="K540">
        <v>35</v>
      </c>
      <c r="T540">
        <v>2</v>
      </c>
      <c r="U540">
        <v>1</v>
      </c>
      <c r="V540" t="s">
        <v>541</v>
      </c>
      <c r="W540">
        <v>51</v>
      </c>
      <c r="X540">
        <v>9</v>
      </c>
      <c r="Y540">
        <v>7</v>
      </c>
      <c r="Z540" t="s">
        <v>1439</v>
      </c>
      <c r="AA540" t="s">
        <v>1440</v>
      </c>
      <c r="AB540" t="s">
        <v>526</v>
      </c>
      <c r="AC540" t="s">
        <v>527</v>
      </c>
      <c r="AD540" t="s">
        <v>528</v>
      </c>
      <c r="AE540" t="s">
        <v>502</v>
      </c>
      <c r="AG540" t="s">
        <v>1441</v>
      </c>
      <c r="AH540">
        <v>0</v>
      </c>
      <c r="AI540">
        <v>211</v>
      </c>
      <c r="AJ540">
        <v>29</v>
      </c>
      <c r="AK540">
        <v>64</v>
      </c>
      <c r="AL540">
        <v>0.9</v>
      </c>
    </row>
    <row r="541" spans="1:38" x14ac:dyDescent="0.3">
      <c r="A541" t="s">
        <v>1431</v>
      </c>
      <c r="B541">
        <v>26327</v>
      </c>
      <c r="C541">
        <v>2</v>
      </c>
      <c r="D541" t="s">
        <v>1437</v>
      </c>
      <c r="E541" t="s">
        <v>1438</v>
      </c>
      <c r="F541">
        <v>71</v>
      </c>
      <c r="G541">
        <v>31</v>
      </c>
      <c r="H541">
        <v>102.5</v>
      </c>
      <c r="I541">
        <v>25.58</v>
      </c>
      <c r="J541">
        <v>84.57</v>
      </c>
      <c r="K541">
        <v>36</v>
      </c>
      <c r="T541">
        <v>3</v>
      </c>
      <c r="U541">
        <v>2</v>
      </c>
      <c r="V541" t="s">
        <v>541</v>
      </c>
      <c r="W541">
        <v>102</v>
      </c>
      <c r="X541">
        <v>9</v>
      </c>
      <c r="Y541">
        <v>7</v>
      </c>
      <c r="Z541" t="s">
        <v>1439</v>
      </c>
      <c r="AA541" t="s">
        <v>1440</v>
      </c>
      <c r="AB541" t="s">
        <v>526</v>
      </c>
      <c r="AC541" t="s">
        <v>527</v>
      </c>
      <c r="AD541" t="s">
        <v>528</v>
      </c>
      <c r="AE541" t="s">
        <v>502</v>
      </c>
      <c r="AG541" t="s">
        <v>1441</v>
      </c>
      <c r="AH541">
        <v>0</v>
      </c>
      <c r="AI541">
        <v>211</v>
      </c>
      <c r="AJ541">
        <v>29</v>
      </c>
      <c r="AK541">
        <v>64</v>
      </c>
      <c r="AL541">
        <v>0.9</v>
      </c>
    </row>
    <row r="542" spans="1:38" x14ac:dyDescent="0.3">
      <c r="A542" t="s">
        <v>1431</v>
      </c>
      <c r="B542">
        <v>122231</v>
      </c>
      <c r="C542">
        <v>1</v>
      </c>
      <c r="D542" t="s">
        <v>1442</v>
      </c>
      <c r="E542" t="s">
        <v>1443</v>
      </c>
      <c r="F542">
        <v>82</v>
      </c>
      <c r="G542">
        <v>21.99</v>
      </c>
      <c r="H542">
        <v>72.7</v>
      </c>
      <c r="I542">
        <v>16.54</v>
      </c>
      <c r="J542">
        <v>54.68</v>
      </c>
      <c r="K542">
        <v>27</v>
      </c>
      <c r="T542">
        <v>3</v>
      </c>
      <c r="U542">
        <v>1</v>
      </c>
      <c r="V542" t="s">
        <v>541</v>
      </c>
      <c r="W542">
        <v>72</v>
      </c>
      <c r="X542">
        <v>5</v>
      </c>
      <c r="Y542">
        <v>4</v>
      </c>
      <c r="Z542" t="s">
        <v>1444</v>
      </c>
      <c r="AA542" t="s">
        <v>1445</v>
      </c>
      <c r="AB542" t="s">
        <v>526</v>
      </c>
      <c r="AC542" t="s">
        <v>527</v>
      </c>
      <c r="AD542" t="s">
        <v>528</v>
      </c>
      <c r="AE542" t="s">
        <v>502</v>
      </c>
      <c r="AG542" t="s">
        <v>1446</v>
      </c>
      <c r="AH542">
        <v>0</v>
      </c>
      <c r="AI542">
        <v>150</v>
      </c>
      <c r="AJ542">
        <v>48</v>
      </c>
      <c r="AK542">
        <v>117</v>
      </c>
      <c r="AL542">
        <v>1.43</v>
      </c>
    </row>
    <row r="543" spans="1:38" x14ac:dyDescent="0.3">
      <c r="A543" t="s">
        <v>1431</v>
      </c>
      <c r="B543">
        <v>122231</v>
      </c>
      <c r="C543">
        <v>2</v>
      </c>
      <c r="D543" t="s">
        <v>1442</v>
      </c>
      <c r="E543" t="s">
        <v>1443</v>
      </c>
      <c r="F543">
        <v>82</v>
      </c>
      <c r="G543">
        <v>24.29</v>
      </c>
      <c r="H543">
        <v>80.31</v>
      </c>
      <c r="I543">
        <v>18.12</v>
      </c>
      <c r="J543">
        <v>59.92</v>
      </c>
      <c r="K543">
        <v>55</v>
      </c>
      <c r="T543">
        <v>3</v>
      </c>
      <c r="U543">
        <v>1</v>
      </c>
      <c r="V543" t="s">
        <v>541</v>
      </c>
      <c r="W543">
        <v>80</v>
      </c>
      <c r="X543">
        <v>5</v>
      </c>
      <c r="Y543">
        <v>4</v>
      </c>
      <c r="Z543" t="s">
        <v>1444</v>
      </c>
      <c r="AA543" t="s">
        <v>1445</v>
      </c>
      <c r="AB543" t="s">
        <v>526</v>
      </c>
      <c r="AC543" t="s">
        <v>527</v>
      </c>
      <c r="AD543" t="s">
        <v>528</v>
      </c>
      <c r="AE543" t="s">
        <v>502</v>
      </c>
      <c r="AG543" t="s">
        <v>1446</v>
      </c>
      <c r="AH543">
        <v>0</v>
      </c>
      <c r="AI543">
        <v>150</v>
      </c>
      <c r="AJ543">
        <v>48</v>
      </c>
      <c r="AK543">
        <v>117</v>
      </c>
      <c r="AL543">
        <v>1.43</v>
      </c>
    </row>
    <row r="544" spans="1:38" x14ac:dyDescent="0.3">
      <c r="A544" t="s">
        <v>1431</v>
      </c>
      <c r="B544">
        <v>15095</v>
      </c>
      <c r="C544">
        <v>1</v>
      </c>
      <c r="D544" t="s">
        <v>1447</v>
      </c>
      <c r="E544" t="s">
        <v>1127</v>
      </c>
      <c r="F544">
        <v>142</v>
      </c>
      <c r="G544">
        <v>32.06</v>
      </c>
      <c r="H544">
        <v>105.99</v>
      </c>
      <c r="I544">
        <v>25.44</v>
      </c>
      <c r="J544">
        <v>84.1</v>
      </c>
      <c r="K544">
        <v>47</v>
      </c>
      <c r="T544">
        <v>3</v>
      </c>
      <c r="U544">
        <v>2</v>
      </c>
      <c r="V544" t="s">
        <v>541</v>
      </c>
      <c r="W544" t="s">
        <v>1448</v>
      </c>
      <c r="X544">
        <v>6</v>
      </c>
      <c r="Y544">
        <v>5</v>
      </c>
      <c r="Z544" t="s">
        <v>1449</v>
      </c>
      <c r="AA544" t="s">
        <v>1450</v>
      </c>
      <c r="AB544" t="s">
        <v>526</v>
      </c>
      <c r="AC544" t="s">
        <v>527</v>
      </c>
      <c r="AD544" t="s">
        <v>528</v>
      </c>
      <c r="AE544" t="s">
        <v>502</v>
      </c>
      <c r="AG544" t="s">
        <v>1451</v>
      </c>
      <c r="AH544">
        <v>0</v>
      </c>
      <c r="AI544">
        <v>0</v>
      </c>
      <c r="AJ544">
        <v>0</v>
      </c>
      <c r="AK544">
        <v>142</v>
      </c>
      <c r="AL544">
        <v>1</v>
      </c>
    </row>
    <row r="545" spans="1:38" x14ac:dyDescent="0.3">
      <c r="A545" t="s">
        <v>1431</v>
      </c>
      <c r="B545">
        <v>15095</v>
      </c>
      <c r="C545">
        <v>2</v>
      </c>
      <c r="D545" t="s">
        <v>1447</v>
      </c>
      <c r="E545" t="s">
        <v>1127</v>
      </c>
      <c r="F545">
        <v>142</v>
      </c>
      <c r="G545">
        <v>32.21</v>
      </c>
      <c r="H545">
        <v>106.49</v>
      </c>
      <c r="I545">
        <v>25.63</v>
      </c>
      <c r="J545">
        <v>84.73</v>
      </c>
      <c r="K545">
        <v>95</v>
      </c>
      <c r="T545">
        <v>3</v>
      </c>
      <c r="U545">
        <v>2</v>
      </c>
      <c r="V545" t="s">
        <v>541</v>
      </c>
      <c r="W545" t="s">
        <v>467</v>
      </c>
      <c r="X545">
        <v>6</v>
      </c>
      <c r="Y545">
        <v>5</v>
      </c>
      <c r="Z545" t="s">
        <v>1449</v>
      </c>
      <c r="AA545" t="s">
        <v>1450</v>
      </c>
      <c r="AB545" t="s">
        <v>526</v>
      </c>
      <c r="AC545" t="s">
        <v>527</v>
      </c>
      <c r="AD545" t="s">
        <v>528</v>
      </c>
      <c r="AE545" t="s">
        <v>502</v>
      </c>
      <c r="AG545" t="s">
        <v>1451</v>
      </c>
      <c r="AH545">
        <v>0</v>
      </c>
      <c r="AI545">
        <v>0</v>
      </c>
      <c r="AJ545">
        <v>0</v>
      </c>
      <c r="AK545">
        <v>142</v>
      </c>
      <c r="AL545">
        <v>1</v>
      </c>
    </row>
    <row r="546" spans="1:38" x14ac:dyDescent="0.3">
      <c r="A546" t="s">
        <v>1431</v>
      </c>
      <c r="B546">
        <v>5742</v>
      </c>
      <c r="C546">
        <v>1</v>
      </c>
      <c r="D546" t="s">
        <v>1452</v>
      </c>
      <c r="E546" t="s">
        <v>1453</v>
      </c>
      <c r="F546">
        <v>467</v>
      </c>
      <c r="G546">
        <v>23.34</v>
      </c>
      <c r="H546">
        <v>77.180000000000007</v>
      </c>
      <c r="I546">
        <v>18.149999999999999</v>
      </c>
      <c r="J546">
        <v>60</v>
      </c>
      <c r="K546">
        <v>222</v>
      </c>
      <c r="T546">
        <v>3</v>
      </c>
      <c r="U546">
        <v>1</v>
      </c>
      <c r="V546" t="s">
        <v>523</v>
      </c>
      <c r="W546">
        <v>77</v>
      </c>
      <c r="X546">
        <v>20</v>
      </c>
      <c r="Y546">
        <v>11</v>
      </c>
      <c r="Z546" t="s">
        <v>1454</v>
      </c>
      <c r="AA546" t="s">
        <v>1455</v>
      </c>
      <c r="AB546" t="s">
        <v>526</v>
      </c>
      <c r="AC546" t="s">
        <v>527</v>
      </c>
      <c r="AD546" t="s">
        <v>528</v>
      </c>
      <c r="AE546" t="s">
        <v>502</v>
      </c>
      <c r="AG546" t="s">
        <v>1456</v>
      </c>
      <c r="AH546">
        <v>0</v>
      </c>
      <c r="AI546">
        <v>326</v>
      </c>
      <c r="AJ546">
        <v>26</v>
      </c>
      <c r="AK546">
        <v>0</v>
      </c>
      <c r="AL546">
        <v>0</v>
      </c>
    </row>
    <row r="547" spans="1:38" x14ac:dyDescent="0.3">
      <c r="A547" t="s">
        <v>1431</v>
      </c>
      <c r="B547">
        <v>5742</v>
      </c>
      <c r="C547">
        <v>2</v>
      </c>
      <c r="D547" t="s">
        <v>1452</v>
      </c>
      <c r="E547" t="s">
        <v>1453</v>
      </c>
      <c r="F547">
        <v>467</v>
      </c>
      <c r="G547">
        <v>27.56</v>
      </c>
      <c r="H547">
        <v>91.11</v>
      </c>
      <c r="I547">
        <v>21.42</v>
      </c>
      <c r="J547">
        <v>70.83</v>
      </c>
      <c r="K547">
        <v>57</v>
      </c>
      <c r="T547">
        <v>3</v>
      </c>
      <c r="U547">
        <v>1</v>
      </c>
      <c r="V547" t="s">
        <v>523</v>
      </c>
      <c r="W547">
        <v>91</v>
      </c>
      <c r="X547">
        <v>20</v>
      </c>
      <c r="Y547">
        <v>11</v>
      </c>
      <c r="Z547" t="s">
        <v>1454</v>
      </c>
      <c r="AA547" t="s">
        <v>1455</v>
      </c>
      <c r="AB547" t="s">
        <v>526</v>
      </c>
      <c r="AC547" t="s">
        <v>527</v>
      </c>
      <c r="AD547" t="s">
        <v>528</v>
      </c>
      <c r="AE547" t="s">
        <v>502</v>
      </c>
      <c r="AG547" t="s">
        <v>1456</v>
      </c>
      <c r="AH547">
        <v>0</v>
      </c>
      <c r="AI547">
        <v>326</v>
      </c>
      <c r="AJ547">
        <v>26</v>
      </c>
      <c r="AK547">
        <v>0</v>
      </c>
      <c r="AL547">
        <v>0</v>
      </c>
    </row>
    <row r="548" spans="1:38" x14ac:dyDescent="0.3">
      <c r="A548" t="s">
        <v>1431</v>
      </c>
      <c r="B548">
        <v>5742</v>
      </c>
      <c r="C548">
        <v>3</v>
      </c>
      <c r="D548" t="s">
        <v>1452</v>
      </c>
      <c r="E548" t="s">
        <v>1453</v>
      </c>
      <c r="F548">
        <v>467</v>
      </c>
      <c r="G548">
        <v>32.51</v>
      </c>
      <c r="H548">
        <v>107.49</v>
      </c>
      <c r="I548">
        <v>25.27</v>
      </c>
      <c r="J548">
        <v>83.56</v>
      </c>
      <c r="K548">
        <v>188</v>
      </c>
      <c r="T548">
        <v>3</v>
      </c>
      <c r="U548">
        <v>2</v>
      </c>
      <c r="V548" t="s">
        <v>523</v>
      </c>
      <c r="W548">
        <v>107</v>
      </c>
      <c r="X548">
        <v>20</v>
      </c>
      <c r="Y548">
        <v>11</v>
      </c>
      <c r="Z548" t="s">
        <v>1454</v>
      </c>
      <c r="AA548" t="s">
        <v>1455</v>
      </c>
      <c r="AB548" t="s">
        <v>526</v>
      </c>
      <c r="AC548" t="s">
        <v>527</v>
      </c>
      <c r="AD548" t="s">
        <v>528</v>
      </c>
      <c r="AE548" t="s">
        <v>502</v>
      </c>
      <c r="AG548" t="s">
        <v>1456</v>
      </c>
      <c r="AH548">
        <v>0</v>
      </c>
      <c r="AI548">
        <v>326</v>
      </c>
      <c r="AJ548">
        <v>26</v>
      </c>
      <c r="AK548">
        <v>0</v>
      </c>
      <c r="AL548">
        <v>0</v>
      </c>
    </row>
    <row r="549" spans="1:38" x14ac:dyDescent="0.3">
      <c r="A549" t="s">
        <v>1431</v>
      </c>
      <c r="B549">
        <v>5706</v>
      </c>
      <c r="C549">
        <v>1</v>
      </c>
      <c r="D549" t="s">
        <v>1457</v>
      </c>
      <c r="E549" t="s">
        <v>1280</v>
      </c>
      <c r="F549">
        <v>120</v>
      </c>
      <c r="G549">
        <v>39.49</v>
      </c>
      <c r="H549">
        <v>130.55000000000001</v>
      </c>
      <c r="I549">
        <v>33.85</v>
      </c>
      <c r="J549">
        <v>111.92</v>
      </c>
      <c r="K549">
        <v>14</v>
      </c>
      <c r="T549">
        <v>3</v>
      </c>
      <c r="U549">
        <v>2</v>
      </c>
      <c r="V549" t="s">
        <v>541</v>
      </c>
      <c r="W549">
        <v>130</v>
      </c>
      <c r="X549">
        <v>15</v>
      </c>
      <c r="Y549">
        <v>15</v>
      </c>
      <c r="Z549" t="s">
        <v>1458</v>
      </c>
      <c r="AA549" t="s">
        <v>1459</v>
      </c>
      <c r="AB549" t="s">
        <v>526</v>
      </c>
      <c r="AC549" t="s">
        <v>527</v>
      </c>
      <c r="AD549" t="s">
        <v>528</v>
      </c>
      <c r="AE549" t="s">
        <v>502</v>
      </c>
      <c r="AG549" t="s">
        <v>1460</v>
      </c>
      <c r="AH549">
        <v>0</v>
      </c>
      <c r="AI549">
        <v>0</v>
      </c>
      <c r="AJ549">
        <v>0</v>
      </c>
      <c r="AK549">
        <v>0</v>
      </c>
      <c r="AL549">
        <v>0</v>
      </c>
    </row>
    <row r="550" spans="1:38" x14ac:dyDescent="0.3">
      <c r="A550" t="s">
        <v>1431</v>
      </c>
      <c r="B550">
        <v>5706</v>
      </c>
      <c r="C550">
        <v>2</v>
      </c>
      <c r="D550" t="s">
        <v>1457</v>
      </c>
      <c r="E550" t="s">
        <v>1280</v>
      </c>
      <c r="F550">
        <v>120</v>
      </c>
      <c r="G550">
        <v>42.92</v>
      </c>
      <c r="H550">
        <v>141.88999999999999</v>
      </c>
      <c r="I550">
        <v>36.79</v>
      </c>
      <c r="J550">
        <v>121.64</v>
      </c>
      <c r="K550">
        <v>3</v>
      </c>
      <c r="T550">
        <v>4</v>
      </c>
      <c r="U550">
        <v>2</v>
      </c>
      <c r="V550" t="s">
        <v>541</v>
      </c>
      <c r="W550" t="s">
        <v>1461</v>
      </c>
      <c r="X550">
        <v>15</v>
      </c>
      <c r="Y550">
        <v>15</v>
      </c>
      <c r="Z550" t="s">
        <v>1458</v>
      </c>
      <c r="AA550" t="s">
        <v>1459</v>
      </c>
      <c r="AB550" t="s">
        <v>526</v>
      </c>
      <c r="AC550" t="s">
        <v>527</v>
      </c>
      <c r="AD550" t="s">
        <v>528</v>
      </c>
      <c r="AE550" t="s">
        <v>502</v>
      </c>
      <c r="AG550" t="s">
        <v>1460</v>
      </c>
      <c r="AH550">
        <v>0</v>
      </c>
      <c r="AI550">
        <v>0</v>
      </c>
      <c r="AJ550">
        <v>0</v>
      </c>
      <c r="AK550">
        <v>0</v>
      </c>
      <c r="AL550">
        <v>0</v>
      </c>
    </row>
    <row r="551" spans="1:38" x14ac:dyDescent="0.3">
      <c r="A551" t="s">
        <v>1431</v>
      </c>
      <c r="B551">
        <v>5706</v>
      </c>
      <c r="C551">
        <v>3</v>
      </c>
      <c r="D551" t="s">
        <v>1457</v>
      </c>
      <c r="E551" t="s">
        <v>1280</v>
      </c>
      <c r="F551">
        <v>120</v>
      </c>
      <c r="G551">
        <v>43.34</v>
      </c>
      <c r="H551">
        <v>143.29</v>
      </c>
      <c r="I551">
        <v>37.15</v>
      </c>
      <c r="J551">
        <v>122.84</v>
      </c>
      <c r="K551">
        <v>95</v>
      </c>
      <c r="T551">
        <v>4</v>
      </c>
      <c r="U551">
        <v>2</v>
      </c>
      <c r="V551" t="s">
        <v>541</v>
      </c>
      <c r="W551" t="s">
        <v>432</v>
      </c>
      <c r="X551">
        <v>15</v>
      </c>
      <c r="Y551">
        <v>15</v>
      </c>
      <c r="Z551" t="s">
        <v>1458</v>
      </c>
      <c r="AA551" t="s">
        <v>1459</v>
      </c>
      <c r="AB551" t="s">
        <v>526</v>
      </c>
      <c r="AC551" t="s">
        <v>527</v>
      </c>
      <c r="AD551" t="s">
        <v>528</v>
      </c>
      <c r="AE551" t="s">
        <v>502</v>
      </c>
      <c r="AG551" t="s">
        <v>1460</v>
      </c>
      <c r="AH551">
        <v>0</v>
      </c>
      <c r="AI551">
        <v>0</v>
      </c>
      <c r="AJ551">
        <v>0</v>
      </c>
      <c r="AK551">
        <v>0</v>
      </c>
      <c r="AL551">
        <v>0</v>
      </c>
    </row>
    <row r="552" spans="1:38" x14ac:dyDescent="0.3">
      <c r="A552" t="s">
        <v>1431</v>
      </c>
      <c r="B552">
        <v>5706</v>
      </c>
      <c r="C552">
        <v>4</v>
      </c>
      <c r="D552" t="s">
        <v>1457</v>
      </c>
      <c r="E552" t="s">
        <v>1280</v>
      </c>
      <c r="F552">
        <v>120</v>
      </c>
      <c r="G552">
        <v>51.62</v>
      </c>
      <c r="H552">
        <v>170.67</v>
      </c>
      <c r="I552">
        <v>44.25</v>
      </c>
      <c r="J552">
        <v>146.31</v>
      </c>
      <c r="K552">
        <v>1</v>
      </c>
      <c r="T552">
        <v>4</v>
      </c>
      <c r="U552">
        <v>2</v>
      </c>
      <c r="V552" t="s">
        <v>541</v>
      </c>
      <c r="W552">
        <v>170</v>
      </c>
      <c r="X552">
        <v>15</v>
      </c>
      <c r="Y552">
        <v>15</v>
      </c>
      <c r="Z552" t="s">
        <v>1458</v>
      </c>
      <c r="AA552" t="s">
        <v>1459</v>
      </c>
      <c r="AB552" t="s">
        <v>526</v>
      </c>
      <c r="AC552" t="s">
        <v>527</v>
      </c>
      <c r="AD552" t="s">
        <v>528</v>
      </c>
      <c r="AE552" t="s">
        <v>502</v>
      </c>
      <c r="AG552" t="s">
        <v>1460</v>
      </c>
      <c r="AH552">
        <v>0</v>
      </c>
      <c r="AI552">
        <v>0</v>
      </c>
      <c r="AJ552">
        <v>0</v>
      </c>
      <c r="AK552">
        <v>0</v>
      </c>
      <c r="AL552">
        <v>0</v>
      </c>
    </row>
    <row r="553" spans="1:38" x14ac:dyDescent="0.3">
      <c r="A553" t="s">
        <v>1431</v>
      </c>
      <c r="B553">
        <v>5706</v>
      </c>
      <c r="C553">
        <v>5</v>
      </c>
      <c r="D553" t="s">
        <v>1457</v>
      </c>
      <c r="E553" t="s">
        <v>1280</v>
      </c>
      <c r="F553">
        <v>120</v>
      </c>
      <c r="G553">
        <v>56.01</v>
      </c>
      <c r="H553">
        <v>185.18</v>
      </c>
      <c r="I553">
        <v>48.02</v>
      </c>
      <c r="J553">
        <v>158.75</v>
      </c>
      <c r="K553">
        <v>3</v>
      </c>
      <c r="T553">
        <v>4</v>
      </c>
      <c r="U553">
        <v>2</v>
      </c>
      <c r="V553" t="s">
        <v>541</v>
      </c>
      <c r="W553">
        <v>185</v>
      </c>
      <c r="X553">
        <v>15</v>
      </c>
      <c r="Y553">
        <v>15</v>
      </c>
      <c r="Z553" t="s">
        <v>1458</v>
      </c>
      <c r="AA553" t="s">
        <v>1459</v>
      </c>
      <c r="AB553" t="s">
        <v>526</v>
      </c>
      <c r="AC553" t="s">
        <v>527</v>
      </c>
      <c r="AD553" t="s">
        <v>528</v>
      </c>
      <c r="AE553" t="s">
        <v>502</v>
      </c>
      <c r="AG553" t="s">
        <v>1460</v>
      </c>
      <c r="AH553">
        <v>0</v>
      </c>
      <c r="AI553">
        <v>0</v>
      </c>
      <c r="AJ553">
        <v>0</v>
      </c>
      <c r="AK553">
        <v>0</v>
      </c>
      <c r="AL553">
        <v>0</v>
      </c>
    </row>
    <row r="554" spans="1:38" x14ac:dyDescent="0.3">
      <c r="A554" t="s">
        <v>1431</v>
      </c>
      <c r="B554">
        <v>5706</v>
      </c>
      <c r="C554">
        <v>6</v>
      </c>
      <c r="D554" t="s">
        <v>1457</v>
      </c>
      <c r="E554" t="s">
        <v>1280</v>
      </c>
      <c r="F554">
        <v>120</v>
      </c>
      <c r="G554">
        <v>59.96</v>
      </c>
      <c r="H554">
        <v>198.23</v>
      </c>
      <c r="I554">
        <v>51.4</v>
      </c>
      <c r="J554">
        <v>169.94</v>
      </c>
      <c r="K554">
        <v>4</v>
      </c>
      <c r="T554">
        <v>5</v>
      </c>
      <c r="U554">
        <v>3</v>
      </c>
      <c r="V554" t="s">
        <v>541</v>
      </c>
      <c r="W554">
        <v>198</v>
      </c>
      <c r="X554">
        <v>15</v>
      </c>
      <c r="Y554">
        <v>15</v>
      </c>
      <c r="Z554" t="s">
        <v>1458</v>
      </c>
      <c r="AA554" t="s">
        <v>1459</v>
      </c>
      <c r="AB554" t="s">
        <v>526</v>
      </c>
      <c r="AC554" t="s">
        <v>527</v>
      </c>
      <c r="AD554" t="s">
        <v>528</v>
      </c>
      <c r="AE554" t="s">
        <v>502</v>
      </c>
      <c r="AG554" t="s">
        <v>1460</v>
      </c>
      <c r="AH554">
        <v>0</v>
      </c>
      <c r="AI554">
        <v>0</v>
      </c>
      <c r="AJ554">
        <v>0</v>
      </c>
      <c r="AK554">
        <v>0</v>
      </c>
      <c r="AL554">
        <v>0</v>
      </c>
    </row>
    <row r="555" spans="1:38" x14ac:dyDescent="0.3">
      <c r="A555" t="s">
        <v>1431</v>
      </c>
      <c r="B555">
        <v>5711</v>
      </c>
      <c r="C555">
        <v>1</v>
      </c>
      <c r="D555" t="s">
        <v>1462</v>
      </c>
      <c r="E555" t="s">
        <v>1127</v>
      </c>
      <c r="F555">
        <v>135</v>
      </c>
      <c r="G555">
        <v>33.840000000000003</v>
      </c>
      <c r="H555">
        <v>111.9</v>
      </c>
      <c r="I555">
        <v>25.68</v>
      </c>
      <c r="J555">
        <v>84.9</v>
      </c>
      <c r="K555">
        <v>134</v>
      </c>
      <c r="T555">
        <v>3</v>
      </c>
      <c r="U555">
        <v>2</v>
      </c>
      <c r="V555" t="s">
        <v>541</v>
      </c>
      <c r="W555" t="s">
        <v>221</v>
      </c>
      <c r="X555">
        <v>5</v>
      </c>
      <c r="Y555">
        <v>5</v>
      </c>
      <c r="Z555" t="s">
        <v>1463</v>
      </c>
      <c r="AA555" t="s">
        <v>1464</v>
      </c>
      <c r="AB555" t="s">
        <v>526</v>
      </c>
      <c r="AC555" t="s">
        <v>527</v>
      </c>
      <c r="AD555" t="s">
        <v>528</v>
      </c>
      <c r="AE555" t="s">
        <v>502</v>
      </c>
      <c r="AG555" t="s">
        <v>1465</v>
      </c>
      <c r="AH555">
        <v>0</v>
      </c>
      <c r="AI555">
        <v>0</v>
      </c>
      <c r="AJ555">
        <v>0</v>
      </c>
      <c r="AK555">
        <v>0</v>
      </c>
      <c r="AL555">
        <v>0</v>
      </c>
    </row>
    <row r="556" spans="1:38" x14ac:dyDescent="0.3">
      <c r="A556" t="s">
        <v>1431</v>
      </c>
      <c r="B556">
        <v>5711</v>
      </c>
      <c r="C556">
        <v>2</v>
      </c>
      <c r="D556" t="s">
        <v>1462</v>
      </c>
      <c r="E556" t="s">
        <v>1127</v>
      </c>
      <c r="F556">
        <v>135</v>
      </c>
      <c r="G556">
        <v>33.6</v>
      </c>
      <c r="H556">
        <v>111.09</v>
      </c>
      <c r="I556">
        <v>25.43</v>
      </c>
      <c r="J556">
        <v>84.09</v>
      </c>
      <c r="K556">
        <v>1</v>
      </c>
      <c r="T556">
        <v>3</v>
      </c>
      <c r="U556">
        <v>2</v>
      </c>
      <c r="V556" t="s">
        <v>541</v>
      </c>
      <c r="W556" t="s">
        <v>220</v>
      </c>
      <c r="X556">
        <v>5</v>
      </c>
      <c r="Y556">
        <v>5</v>
      </c>
      <c r="Z556" t="s">
        <v>1463</v>
      </c>
      <c r="AA556" t="s">
        <v>1464</v>
      </c>
      <c r="AB556" t="s">
        <v>526</v>
      </c>
      <c r="AC556" t="s">
        <v>527</v>
      </c>
      <c r="AD556" t="s">
        <v>528</v>
      </c>
      <c r="AE556" t="s">
        <v>502</v>
      </c>
      <c r="AG556" t="s">
        <v>1465</v>
      </c>
      <c r="AH556">
        <v>0</v>
      </c>
      <c r="AI556">
        <v>0</v>
      </c>
      <c r="AJ556">
        <v>0</v>
      </c>
      <c r="AK556">
        <v>0</v>
      </c>
      <c r="AL556">
        <v>0</v>
      </c>
    </row>
    <row r="557" spans="1:38" x14ac:dyDescent="0.3">
      <c r="A557" t="s">
        <v>1431</v>
      </c>
      <c r="B557">
        <v>5743</v>
      </c>
      <c r="C557">
        <v>1</v>
      </c>
      <c r="D557" t="s">
        <v>1466</v>
      </c>
      <c r="E557" t="s">
        <v>1467</v>
      </c>
      <c r="F557">
        <v>1155</v>
      </c>
      <c r="G557">
        <v>25.13</v>
      </c>
      <c r="H557">
        <v>83.09</v>
      </c>
      <c r="I557">
        <v>18.09</v>
      </c>
      <c r="J557">
        <v>59.82</v>
      </c>
      <c r="K557">
        <v>435</v>
      </c>
      <c r="T557">
        <v>3</v>
      </c>
      <c r="U557">
        <v>1</v>
      </c>
      <c r="V557" t="s">
        <v>523</v>
      </c>
      <c r="W557">
        <v>83</v>
      </c>
      <c r="X557">
        <v>15</v>
      </c>
      <c r="Y557">
        <v>10</v>
      </c>
      <c r="Z557" t="s">
        <v>1468</v>
      </c>
      <c r="AA557" t="s">
        <v>1469</v>
      </c>
      <c r="AB557" t="s">
        <v>526</v>
      </c>
      <c r="AC557" t="s">
        <v>527</v>
      </c>
      <c r="AD557" t="s">
        <v>528</v>
      </c>
      <c r="AE557" t="s">
        <v>502</v>
      </c>
      <c r="AG557" t="s">
        <v>1470</v>
      </c>
      <c r="AH557">
        <v>0</v>
      </c>
      <c r="AI557">
        <v>199</v>
      </c>
      <c r="AJ557">
        <v>18</v>
      </c>
      <c r="AK557">
        <v>1051</v>
      </c>
      <c r="AL557">
        <v>0.91</v>
      </c>
    </row>
    <row r="558" spans="1:38" x14ac:dyDescent="0.3">
      <c r="A558" t="s">
        <v>1431</v>
      </c>
      <c r="B558">
        <v>5743</v>
      </c>
      <c r="C558">
        <v>2</v>
      </c>
      <c r="D558" t="s">
        <v>1466</v>
      </c>
      <c r="E558" t="s">
        <v>1467</v>
      </c>
      <c r="F558">
        <v>1155</v>
      </c>
      <c r="G558">
        <v>30.96</v>
      </c>
      <c r="H558">
        <v>102.38</v>
      </c>
      <c r="I558">
        <v>25.64</v>
      </c>
      <c r="J558">
        <v>84.78</v>
      </c>
      <c r="K558">
        <v>480</v>
      </c>
      <c r="T558">
        <v>3</v>
      </c>
      <c r="U558">
        <v>2</v>
      </c>
      <c r="V558" t="s">
        <v>541</v>
      </c>
      <c r="W558">
        <v>102</v>
      </c>
      <c r="X558">
        <v>15</v>
      </c>
      <c r="Y558">
        <v>10</v>
      </c>
      <c r="Z558" t="s">
        <v>1468</v>
      </c>
      <c r="AA558" t="s">
        <v>1469</v>
      </c>
      <c r="AB558" t="s">
        <v>526</v>
      </c>
      <c r="AC558" t="s">
        <v>527</v>
      </c>
      <c r="AD558" t="s">
        <v>528</v>
      </c>
      <c r="AE558" t="s">
        <v>502</v>
      </c>
      <c r="AG558" t="s">
        <v>1470</v>
      </c>
      <c r="AH558">
        <v>0</v>
      </c>
      <c r="AI558">
        <v>199</v>
      </c>
      <c r="AJ558">
        <v>18</v>
      </c>
      <c r="AK558">
        <v>1051</v>
      </c>
      <c r="AL558">
        <v>0.91</v>
      </c>
    </row>
    <row r="559" spans="1:38" x14ac:dyDescent="0.3">
      <c r="A559" t="s">
        <v>1431</v>
      </c>
      <c r="B559">
        <v>5743</v>
      </c>
      <c r="C559">
        <v>3</v>
      </c>
      <c r="D559" t="s">
        <v>1466</v>
      </c>
      <c r="E559" t="s">
        <v>1467</v>
      </c>
      <c r="F559">
        <v>1155</v>
      </c>
      <c r="G559">
        <v>38.549999999999997</v>
      </c>
      <c r="H559">
        <v>127.46</v>
      </c>
      <c r="I559">
        <v>32.67</v>
      </c>
      <c r="J559">
        <v>108.03</v>
      </c>
      <c r="K559">
        <v>240</v>
      </c>
      <c r="T559">
        <v>4</v>
      </c>
      <c r="U559">
        <v>2</v>
      </c>
      <c r="V559" t="s">
        <v>541</v>
      </c>
      <c r="W559">
        <v>127</v>
      </c>
      <c r="X559">
        <v>15</v>
      </c>
      <c r="Y559">
        <v>10</v>
      </c>
      <c r="Z559" t="s">
        <v>1468</v>
      </c>
      <c r="AA559" t="s">
        <v>1469</v>
      </c>
      <c r="AB559" t="s">
        <v>526</v>
      </c>
      <c r="AC559" t="s">
        <v>527</v>
      </c>
      <c r="AD559" t="s">
        <v>528</v>
      </c>
      <c r="AE559" t="s">
        <v>502</v>
      </c>
      <c r="AG559" t="s">
        <v>1470</v>
      </c>
      <c r="AH559">
        <v>0</v>
      </c>
      <c r="AI559">
        <v>199</v>
      </c>
      <c r="AJ559">
        <v>18</v>
      </c>
      <c r="AK559">
        <v>1051</v>
      </c>
      <c r="AL559">
        <v>0.91</v>
      </c>
    </row>
    <row r="560" spans="1:38" x14ac:dyDescent="0.3">
      <c r="A560" t="s">
        <v>1431</v>
      </c>
      <c r="B560">
        <v>5766</v>
      </c>
      <c r="C560">
        <v>1</v>
      </c>
      <c r="D560" t="s">
        <v>1471</v>
      </c>
      <c r="E560" t="s">
        <v>1472</v>
      </c>
      <c r="F560">
        <v>1230</v>
      </c>
      <c r="G560">
        <v>13.83</v>
      </c>
      <c r="H560">
        <v>45.72</v>
      </c>
      <c r="I560">
        <v>13.83</v>
      </c>
      <c r="J560">
        <v>45.72</v>
      </c>
      <c r="K560">
        <v>100</v>
      </c>
      <c r="T560">
        <v>2</v>
      </c>
      <c r="U560">
        <v>1</v>
      </c>
      <c r="V560" t="s">
        <v>541</v>
      </c>
      <c r="W560" t="s">
        <v>364</v>
      </c>
      <c r="X560">
        <v>5</v>
      </c>
      <c r="Y560">
        <v>5</v>
      </c>
      <c r="Z560" t="s">
        <v>1473</v>
      </c>
      <c r="AA560" t="s">
        <v>1474</v>
      </c>
      <c r="AB560" t="s">
        <v>526</v>
      </c>
      <c r="AC560" t="s">
        <v>527</v>
      </c>
      <c r="AD560" t="s">
        <v>528</v>
      </c>
      <c r="AE560" t="s">
        <v>502</v>
      </c>
      <c r="AG560" t="s">
        <v>1475</v>
      </c>
      <c r="AH560">
        <v>0</v>
      </c>
      <c r="AI560">
        <v>0</v>
      </c>
      <c r="AJ560">
        <v>0</v>
      </c>
      <c r="AK560">
        <v>861</v>
      </c>
      <c r="AL560">
        <v>0.7</v>
      </c>
    </row>
    <row r="561" spans="1:38" x14ac:dyDescent="0.3">
      <c r="A561" t="s">
        <v>1431</v>
      </c>
      <c r="B561">
        <v>5766</v>
      </c>
      <c r="C561">
        <v>2</v>
      </c>
      <c r="D561" t="s">
        <v>1471</v>
      </c>
      <c r="E561" t="s">
        <v>1472</v>
      </c>
      <c r="F561">
        <v>1230</v>
      </c>
      <c r="G561">
        <v>13.86</v>
      </c>
      <c r="H561">
        <v>45.85</v>
      </c>
      <c r="I561">
        <v>13.86</v>
      </c>
      <c r="J561">
        <v>45.85</v>
      </c>
      <c r="K561">
        <v>100</v>
      </c>
      <c r="T561">
        <v>2</v>
      </c>
      <c r="U561">
        <v>1</v>
      </c>
      <c r="V561" t="s">
        <v>541</v>
      </c>
      <c r="W561" t="s">
        <v>365</v>
      </c>
      <c r="X561">
        <v>5</v>
      </c>
      <c r="Y561">
        <v>5</v>
      </c>
      <c r="Z561" t="s">
        <v>1473</v>
      </c>
      <c r="AA561" t="s">
        <v>1474</v>
      </c>
      <c r="AB561" t="s">
        <v>526</v>
      </c>
      <c r="AC561" t="s">
        <v>527</v>
      </c>
      <c r="AD561" t="s">
        <v>528</v>
      </c>
      <c r="AE561" t="s">
        <v>502</v>
      </c>
      <c r="AG561" t="s">
        <v>1475</v>
      </c>
      <c r="AH561">
        <v>0</v>
      </c>
      <c r="AI561">
        <v>0</v>
      </c>
      <c r="AJ561">
        <v>0</v>
      </c>
      <c r="AK561">
        <v>861</v>
      </c>
      <c r="AL561">
        <v>0.7</v>
      </c>
    </row>
    <row r="562" spans="1:38" x14ac:dyDescent="0.3">
      <c r="A562" t="s">
        <v>1431</v>
      </c>
      <c r="B562">
        <v>5766</v>
      </c>
      <c r="C562">
        <v>3</v>
      </c>
      <c r="D562" t="s">
        <v>1471</v>
      </c>
      <c r="E562" t="s">
        <v>1472</v>
      </c>
      <c r="F562">
        <v>1230</v>
      </c>
      <c r="G562">
        <v>14.38</v>
      </c>
      <c r="H562">
        <v>47.57</v>
      </c>
      <c r="I562">
        <v>14.38</v>
      </c>
      <c r="J562">
        <v>47.57</v>
      </c>
      <c r="K562">
        <v>34</v>
      </c>
      <c r="T562">
        <v>2</v>
      </c>
      <c r="U562">
        <v>1</v>
      </c>
      <c r="V562" t="s">
        <v>541</v>
      </c>
      <c r="W562" t="s">
        <v>366</v>
      </c>
      <c r="X562">
        <v>5</v>
      </c>
      <c r="Y562">
        <v>5</v>
      </c>
      <c r="Z562" t="s">
        <v>1473</v>
      </c>
      <c r="AA562" t="s">
        <v>1474</v>
      </c>
      <c r="AB562" t="s">
        <v>526</v>
      </c>
      <c r="AC562" t="s">
        <v>527</v>
      </c>
      <c r="AD562" t="s">
        <v>528</v>
      </c>
      <c r="AE562" t="s">
        <v>502</v>
      </c>
      <c r="AG562" t="s">
        <v>1475</v>
      </c>
      <c r="AH562">
        <v>0</v>
      </c>
      <c r="AI562">
        <v>0</v>
      </c>
      <c r="AJ562">
        <v>0</v>
      </c>
      <c r="AK562">
        <v>861</v>
      </c>
      <c r="AL562">
        <v>0.7</v>
      </c>
    </row>
    <row r="563" spans="1:38" x14ac:dyDescent="0.3">
      <c r="A563" t="s">
        <v>1431</v>
      </c>
      <c r="B563">
        <v>5766</v>
      </c>
      <c r="C563">
        <v>4</v>
      </c>
      <c r="D563" t="s">
        <v>1471</v>
      </c>
      <c r="E563" t="s">
        <v>1472</v>
      </c>
      <c r="F563">
        <v>1230</v>
      </c>
      <c r="G563">
        <v>15.84</v>
      </c>
      <c r="H563">
        <v>52.37</v>
      </c>
      <c r="I563">
        <v>15.84</v>
      </c>
      <c r="J563">
        <v>52.37</v>
      </c>
      <c r="K563">
        <v>100</v>
      </c>
      <c r="T563">
        <v>3</v>
      </c>
      <c r="U563">
        <v>1</v>
      </c>
      <c r="V563" t="s">
        <v>541</v>
      </c>
      <c r="W563" t="s">
        <v>367</v>
      </c>
      <c r="X563">
        <v>5</v>
      </c>
      <c r="Y563">
        <v>5</v>
      </c>
      <c r="Z563" t="s">
        <v>1473</v>
      </c>
      <c r="AA563" t="s">
        <v>1474</v>
      </c>
      <c r="AB563" t="s">
        <v>526</v>
      </c>
      <c r="AC563" t="s">
        <v>527</v>
      </c>
      <c r="AD563" t="s">
        <v>528</v>
      </c>
      <c r="AE563" t="s">
        <v>502</v>
      </c>
      <c r="AG563" t="s">
        <v>1475</v>
      </c>
      <c r="AH563">
        <v>0</v>
      </c>
      <c r="AI563">
        <v>0</v>
      </c>
      <c r="AJ563">
        <v>0</v>
      </c>
      <c r="AK563">
        <v>861</v>
      </c>
      <c r="AL563">
        <v>0.7</v>
      </c>
    </row>
    <row r="564" spans="1:38" x14ac:dyDescent="0.3">
      <c r="A564" t="s">
        <v>1431</v>
      </c>
      <c r="B564">
        <v>5766</v>
      </c>
      <c r="C564">
        <v>5</v>
      </c>
      <c r="D564" t="s">
        <v>1471</v>
      </c>
      <c r="E564" t="s">
        <v>1472</v>
      </c>
      <c r="F564">
        <v>1230</v>
      </c>
      <c r="G564">
        <v>15.95</v>
      </c>
      <c r="H564">
        <v>52.73</v>
      </c>
      <c r="I564">
        <v>15.95</v>
      </c>
      <c r="J564">
        <v>52.73</v>
      </c>
      <c r="K564">
        <v>100</v>
      </c>
      <c r="T564">
        <v>3</v>
      </c>
      <c r="U564">
        <v>1</v>
      </c>
      <c r="V564" t="s">
        <v>541</v>
      </c>
      <c r="W564" t="s">
        <v>368</v>
      </c>
      <c r="X564">
        <v>5</v>
      </c>
      <c r="Y564">
        <v>5</v>
      </c>
      <c r="Z564" t="s">
        <v>1473</v>
      </c>
      <c r="AA564" t="s">
        <v>1474</v>
      </c>
      <c r="AB564" t="s">
        <v>526</v>
      </c>
      <c r="AC564" t="s">
        <v>527</v>
      </c>
      <c r="AD564" t="s">
        <v>528</v>
      </c>
      <c r="AE564" t="s">
        <v>502</v>
      </c>
      <c r="AG564" t="s">
        <v>1475</v>
      </c>
      <c r="AH564">
        <v>0</v>
      </c>
      <c r="AI564">
        <v>0</v>
      </c>
      <c r="AJ564">
        <v>0</v>
      </c>
      <c r="AK564">
        <v>861</v>
      </c>
      <c r="AL564">
        <v>0.7</v>
      </c>
    </row>
    <row r="565" spans="1:38" x14ac:dyDescent="0.3">
      <c r="A565" t="s">
        <v>1431</v>
      </c>
      <c r="B565">
        <v>5766</v>
      </c>
      <c r="C565">
        <v>6</v>
      </c>
      <c r="D565" t="s">
        <v>1471</v>
      </c>
      <c r="E565" t="s">
        <v>1472</v>
      </c>
      <c r="F565">
        <v>1230</v>
      </c>
      <c r="G565">
        <v>16.37</v>
      </c>
      <c r="H565">
        <v>54.12</v>
      </c>
      <c r="I565">
        <v>16.37</v>
      </c>
      <c r="J565">
        <v>54.12</v>
      </c>
      <c r="K565">
        <v>185</v>
      </c>
      <c r="T565">
        <v>3</v>
      </c>
      <c r="U565">
        <v>1</v>
      </c>
      <c r="V565" t="s">
        <v>541</v>
      </c>
      <c r="W565" t="s">
        <v>369</v>
      </c>
      <c r="X565">
        <v>5</v>
      </c>
      <c r="Y565">
        <v>5</v>
      </c>
      <c r="Z565" t="s">
        <v>1473</v>
      </c>
      <c r="AA565" t="s">
        <v>1474</v>
      </c>
      <c r="AB565" t="s">
        <v>526</v>
      </c>
      <c r="AC565" t="s">
        <v>527</v>
      </c>
      <c r="AD565" t="s">
        <v>528</v>
      </c>
      <c r="AE565" t="s">
        <v>502</v>
      </c>
      <c r="AG565" t="s">
        <v>1475</v>
      </c>
      <c r="AH565">
        <v>0</v>
      </c>
      <c r="AI565">
        <v>0</v>
      </c>
      <c r="AJ565">
        <v>0</v>
      </c>
      <c r="AK565">
        <v>861</v>
      </c>
      <c r="AL565">
        <v>0.7</v>
      </c>
    </row>
    <row r="566" spans="1:38" x14ac:dyDescent="0.3">
      <c r="A566" t="s">
        <v>1431</v>
      </c>
      <c r="B566">
        <v>5766</v>
      </c>
      <c r="C566">
        <v>7</v>
      </c>
      <c r="D566" t="s">
        <v>1471</v>
      </c>
      <c r="E566" t="s">
        <v>1472</v>
      </c>
      <c r="F566">
        <v>1230</v>
      </c>
      <c r="G566">
        <v>16.559999999999999</v>
      </c>
      <c r="H566">
        <v>54.77</v>
      </c>
      <c r="I566">
        <v>16.559999999999999</v>
      </c>
      <c r="J566">
        <v>54.77</v>
      </c>
      <c r="K566">
        <v>136</v>
      </c>
      <c r="T566">
        <v>3</v>
      </c>
      <c r="U566">
        <v>1</v>
      </c>
      <c r="V566" t="s">
        <v>541</v>
      </c>
      <c r="W566" t="s">
        <v>370</v>
      </c>
      <c r="X566">
        <v>5</v>
      </c>
      <c r="Y566">
        <v>5</v>
      </c>
      <c r="Z566" t="s">
        <v>1473</v>
      </c>
      <c r="AA566" t="s">
        <v>1474</v>
      </c>
      <c r="AB566" t="s">
        <v>526</v>
      </c>
      <c r="AC566" t="s">
        <v>527</v>
      </c>
      <c r="AD566" t="s">
        <v>528</v>
      </c>
      <c r="AE566" t="s">
        <v>502</v>
      </c>
      <c r="AG566" t="s">
        <v>1475</v>
      </c>
      <c r="AH566">
        <v>0</v>
      </c>
      <c r="AI566">
        <v>0</v>
      </c>
      <c r="AJ566">
        <v>0</v>
      </c>
      <c r="AK566">
        <v>861</v>
      </c>
      <c r="AL566">
        <v>0.7</v>
      </c>
    </row>
    <row r="567" spans="1:38" x14ac:dyDescent="0.3">
      <c r="A567" t="s">
        <v>1431</v>
      </c>
      <c r="B567">
        <v>5766</v>
      </c>
      <c r="C567">
        <v>8</v>
      </c>
      <c r="D567" t="s">
        <v>1471</v>
      </c>
      <c r="E567" t="s">
        <v>1472</v>
      </c>
      <c r="F567">
        <v>1230</v>
      </c>
      <c r="G567">
        <v>19.72</v>
      </c>
      <c r="H567">
        <v>65.2</v>
      </c>
      <c r="I567">
        <v>19.72</v>
      </c>
      <c r="J567">
        <v>65.2</v>
      </c>
      <c r="K567">
        <v>185</v>
      </c>
      <c r="T567">
        <v>3</v>
      </c>
      <c r="U567">
        <v>1</v>
      </c>
      <c r="V567" t="s">
        <v>541</v>
      </c>
      <c r="W567" t="s">
        <v>371</v>
      </c>
      <c r="X567">
        <v>5</v>
      </c>
      <c r="Y567">
        <v>5</v>
      </c>
      <c r="Z567" t="s">
        <v>1473</v>
      </c>
      <c r="AA567" t="s">
        <v>1474</v>
      </c>
      <c r="AB567" t="s">
        <v>526</v>
      </c>
      <c r="AC567" t="s">
        <v>527</v>
      </c>
      <c r="AD567" t="s">
        <v>528</v>
      </c>
      <c r="AE567" t="s">
        <v>502</v>
      </c>
      <c r="AG567" t="s">
        <v>1475</v>
      </c>
      <c r="AH567">
        <v>0</v>
      </c>
      <c r="AI567">
        <v>0</v>
      </c>
      <c r="AJ567">
        <v>0</v>
      </c>
      <c r="AK567">
        <v>861</v>
      </c>
      <c r="AL567">
        <v>0.7</v>
      </c>
    </row>
    <row r="568" spans="1:38" x14ac:dyDescent="0.3">
      <c r="A568" t="s">
        <v>1431</v>
      </c>
      <c r="B568">
        <v>5766</v>
      </c>
      <c r="C568">
        <v>9</v>
      </c>
      <c r="D568" t="s">
        <v>1471</v>
      </c>
      <c r="E568" t="s">
        <v>1472</v>
      </c>
      <c r="F568">
        <v>1230</v>
      </c>
      <c r="G568">
        <v>19.96</v>
      </c>
      <c r="H568">
        <v>65.989999999999995</v>
      </c>
      <c r="I568">
        <v>19.96</v>
      </c>
      <c r="J568">
        <v>65.989999999999995</v>
      </c>
      <c r="K568">
        <v>170</v>
      </c>
      <c r="T568">
        <v>3</v>
      </c>
      <c r="U568">
        <v>1</v>
      </c>
      <c r="V568" t="s">
        <v>541</v>
      </c>
      <c r="W568" t="s">
        <v>372</v>
      </c>
      <c r="X568">
        <v>5</v>
      </c>
      <c r="Y568">
        <v>5</v>
      </c>
      <c r="Z568" t="s">
        <v>1473</v>
      </c>
      <c r="AA568" t="s">
        <v>1474</v>
      </c>
      <c r="AB568" t="s">
        <v>526</v>
      </c>
      <c r="AC568" t="s">
        <v>527</v>
      </c>
      <c r="AD568" t="s">
        <v>528</v>
      </c>
      <c r="AE568" t="s">
        <v>502</v>
      </c>
      <c r="AG568" t="s">
        <v>1475</v>
      </c>
      <c r="AH568">
        <v>0</v>
      </c>
      <c r="AI568">
        <v>0</v>
      </c>
      <c r="AJ568">
        <v>0</v>
      </c>
      <c r="AK568">
        <v>861</v>
      </c>
      <c r="AL568">
        <v>0.7</v>
      </c>
    </row>
    <row r="569" spans="1:38" x14ac:dyDescent="0.3">
      <c r="A569" t="s">
        <v>1431</v>
      </c>
      <c r="B569">
        <v>5766</v>
      </c>
      <c r="C569">
        <v>10</v>
      </c>
      <c r="D569" t="s">
        <v>1471</v>
      </c>
      <c r="E569" t="s">
        <v>1472</v>
      </c>
      <c r="F569">
        <v>1230</v>
      </c>
      <c r="G569">
        <v>22.79</v>
      </c>
      <c r="H569">
        <v>75.349999999999994</v>
      </c>
      <c r="I569">
        <v>22.79</v>
      </c>
      <c r="J569">
        <v>75.349999999999994</v>
      </c>
      <c r="K569">
        <v>60</v>
      </c>
      <c r="T569">
        <v>3</v>
      </c>
      <c r="U569">
        <v>1</v>
      </c>
      <c r="V569" t="s">
        <v>541</v>
      </c>
      <c r="W569">
        <v>75</v>
      </c>
      <c r="X569">
        <v>5</v>
      </c>
      <c r="Y569">
        <v>5</v>
      </c>
      <c r="Z569" t="s">
        <v>1473</v>
      </c>
      <c r="AA569" t="s">
        <v>1474</v>
      </c>
      <c r="AB569" t="s">
        <v>526</v>
      </c>
      <c r="AC569" t="s">
        <v>527</v>
      </c>
      <c r="AD569" t="s">
        <v>528</v>
      </c>
      <c r="AE569" t="s">
        <v>502</v>
      </c>
      <c r="AG569" t="s">
        <v>1475</v>
      </c>
      <c r="AH569">
        <v>0</v>
      </c>
      <c r="AI569">
        <v>0</v>
      </c>
      <c r="AJ569">
        <v>0</v>
      </c>
      <c r="AK569">
        <v>861</v>
      </c>
      <c r="AL569">
        <v>0.7</v>
      </c>
    </row>
    <row r="570" spans="1:38" x14ac:dyDescent="0.3">
      <c r="A570" t="s">
        <v>1431</v>
      </c>
      <c r="B570">
        <v>5766</v>
      </c>
      <c r="C570">
        <v>11</v>
      </c>
      <c r="D570" t="s">
        <v>1471</v>
      </c>
      <c r="E570" t="s">
        <v>1472</v>
      </c>
      <c r="F570">
        <v>1230</v>
      </c>
      <c r="G570">
        <v>25.5</v>
      </c>
      <c r="H570">
        <v>84.3</v>
      </c>
      <c r="I570">
        <v>25.5</v>
      </c>
      <c r="J570">
        <v>84.3</v>
      </c>
      <c r="K570">
        <v>60</v>
      </c>
      <c r="T570">
        <v>3</v>
      </c>
      <c r="U570">
        <v>1</v>
      </c>
      <c r="V570" t="s">
        <v>541</v>
      </c>
      <c r="W570">
        <v>84</v>
      </c>
      <c r="X570">
        <v>5</v>
      </c>
      <c r="Y570">
        <v>5</v>
      </c>
      <c r="Z570" t="s">
        <v>1473</v>
      </c>
      <c r="AA570" t="s">
        <v>1474</v>
      </c>
      <c r="AB570" t="s">
        <v>526</v>
      </c>
      <c r="AC570" t="s">
        <v>527</v>
      </c>
      <c r="AD570" t="s">
        <v>528</v>
      </c>
      <c r="AE570" t="s">
        <v>502</v>
      </c>
      <c r="AG570" t="s">
        <v>1475</v>
      </c>
      <c r="AH570">
        <v>0</v>
      </c>
      <c r="AI570">
        <v>0</v>
      </c>
      <c r="AJ570">
        <v>0</v>
      </c>
      <c r="AK570">
        <v>861</v>
      </c>
      <c r="AL570">
        <v>0.7</v>
      </c>
    </row>
    <row r="571" spans="1:38" x14ac:dyDescent="0.3">
      <c r="A571" t="s">
        <v>1431</v>
      </c>
      <c r="B571">
        <v>5720</v>
      </c>
      <c r="C571">
        <v>1</v>
      </c>
      <c r="D571" t="s">
        <v>1476</v>
      </c>
      <c r="E571" t="s">
        <v>1477</v>
      </c>
      <c r="F571">
        <v>343</v>
      </c>
      <c r="G571">
        <v>27.11</v>
      </c>
      <c r="H571">
        <v>89.65</v>
      </c>
      <c r="I571">
        <v>22.73</v>
      </c>
      <c r="J571">
        <v>75.16</v>
      </c>
      <c r="K571">
        <v>65</v>
      </c>
      <c r="T571">
        <v>3</v>
      </c>
      <c r="U571">
        <v>2</v>
      </c>
      <c r="V571" t="s">
        <v>541</v>
      </c>
      <c r="W571">
        <v>89</v>
      </c>
      <c r="X571">
        <v>15</v>
      </c>
      <c r="Y571">
        <v>9</v>
      </c>
      <c r="Z571" t="s">
        <v>1478</v>
      </c>
      <c r="AA571" t="s">
        <v>1479</v>
      </c>
      <c r="AB571" t="s">
        <v>526</v>
      </c>
      <c r="AC571" t="s">
        <v>527</v>
      </c>
      <c r="AD571" t="s">
        <v>528</v>
      </c>
      <c r="AE571" t="s">
        <v>502</v>
      </c>
      <c r="AG571" t="s">
        <v>1480</v>
      </c>
      <c r="AH571">
        <v>0</v>
      </c>
      <c r="AI571">
        <v>0</v>
      </c>
      <c r="AJ571">
        <v>0</v>
      </c>
      <c r="AK571">
        <v>274</v>
      </c>
      <c r="AL571">
        <v>0.8</v>
      </c>
    </row>
    <row r="572" spans="1:38" x14ac:dyDescent="0.3">
      <c r="A572" t="s">
        <v>1431</v>
      </c>
      <c r="B572">
        <v>5720</v>
      </c>
      <c r="C572">
        <v>2</v>
      </c>
      <c r="D572" t="s">
        <v>1476</v>
      </c>
      <c r="E572" t="s">
        <v>1477</v>
      </c>
      <c r="F572">
        <v>343</v>
      </c>
      <c r="G572">
        <v>30.48</v>
      </c>
      <c r="H572">
        <v>100.77</v>
      </c>
      <c r="I572">
        <v>25.67</v>
      </c>
      <c r="J572">
        <v>84.87</v>
      </c>
      <c r="K572">
        <v>52</v>
      </c>
      <c r="T572">
        <v>3</v>
      </c>
      <c r="U572">
        <v>2</v>
      </c>
      <c r="V572" t="s">
        <v>541</v>
      </c>
      <c r="W572" t="s">
        <v>375</v>
      </c>
      <c r="X572">
        <v>15</v>
      </c>
      <c r="Y572">
        <v>9</v>
      </c>
      <c r="Z572" t="s">
        <v>1478</v>
      </c>
      <c r="AA572" t="s">
        <v>1479</v>
      </c>
      <c r="AB572" t="s">
        <v>526</v>
      </c>
      <c r="AC572" t="s">
        <v>527</v>
      </c>
      <c r="AD572" t="s">
        <v>528</v>
      </c>
      <c r="AE572" t="s">
        <v>502</v>
      </c>
      <c r="AG572" t="s">
        <v>1480</v>
      </c>
      <c r="AH572">
        <v>0</v>
      </c>
      <c r="AI572">
        <v>0</v>
      </c>
      <c r="AJ572">
        <v>0</v>
      </c>
      <c r="AK572">
        <v>274</v>
      </c>
      <c r="AL572">
        <v>0.8</v>
      </c>
    </row>
    <row r="573" spans="1:38" x14ac:dyDescent="0.3">
      <c r="A573" t="s">
        <v>1431</v>
      </c>
      <c r="B573">
        <v>5720</v>
      </c>
      <c r="C573">
        <v>3</v>
      </c>
      <c r="D573" t="s">
        <v>1476</v>
      </c>
      <c r="E573" t="s">
        <v>1477</v>
      </c>
      <c r="F573">
        <v>343</v>
      </c>
      <c r="G573">
        <v>30.6</v>
      </c>
      <c r="H573">
        <v>101.16</v>
      </c>
      <c r="I573">
        <v>25.69</v>
      </c>
      <c r="J573">
        <v>84.94</v>
      </c>
      <c r="K573">
        <v>167</v>
      </c>
      <c r="T573">
        <v>3</v>
      </c>
      <c r="U573">
        <v>2</v>
      </c>
      <c r="V573" t="s">
        <v>541</v>
      </c>
      <c r="W573">
        <v>101</v>
      </c>
      <c r="X573">
        <v>15</v>
      </c>
      <c r="Y573">
        <v>9</v>
      </c>
      <c r="Z573" t="s">
        <v>1478</v>
      </c>
      <c r="AA573" t="s">
        <v>1479</v>
      </c>
      <c r="AB573" t="s">
        <v>526</v>
      </c>
      <c r="AC573" t="s">
        <v>527</v>
      </c>
      <c r="AD573" t="s">
        <v>528</v>
      </c>
      <c r="AE573" t="s">
        <v>502</v>
      </c>
      <c r="AG573" t="s">
        <v>1480</v>
      </c>
      <c r="AH573">
        <v>0</v>
      </c>
      <c r="AI573">
        <v>0</v>
      </c>
      <c r="AJ573">
        <v>0</v>
      </c>
      <c r="AK573">
        <v>274</v>
      </c>
      <c r="AL573">
        <v>0.8</v>
      </c>
    </row>
    <row r="574" spans="1:38" x14ac:dyDescent="0.3">
      <c r="A574" t="s">
        <v>1431</v>
      </c>
      <c r="B574">
        <v>5720</v>
      </c>
      <c r="C574">
        <v>4</v>
      </c>
      <c r="D574" t="s">
        <v>1476</v>
      </c>
      <c r="E574" t="s">
        <v>1477</v>
      </c>
      <c r="F574">
        <v>343</v>
      </c>
      <c r="G574">
        <v>47.62</v>
      </c>
      <c r="H574">
        <v>157.44</v>
      </c>
      <c r="I574">
        <v>40.1</v>
      </c>
      <c r="J574">
        <v>132.59</v>
      </c>
      <c r="K574">
        <v>59</v>
      </c>
      <c r="T574">
        <v>4</v>
      </c>
      <c r="U574">
        <v>2</v>
      </c>
      <c r="V574" t="s">
        <v>541</v>
      </c>
      <c r="W574">
        <v>157</v>
      </c>
      <c r="X574">
        <v>15</v>
      </c>
      <c r="Y574">
        <v>9</v>
      </c>
      <c r="Z574" t="s">
        <v>1478</v>
      </c>
      <c r="AA574" t="s">
        <v>1479</v>
      </c>
      <c r="AB574" t="s">
        <v>526</v>
      </c>
      <c r="AC574" t="s">
        <v>527</v>
      </c>
      <c r="AD574" t="s">
        <v>528</v>
      </c>
      <c r="AE574" t="s">
        <v>502</v>
      </c>
      <c r="AG574" t="s">
        <v>1480</v>
      </c>
      <c r="AH574">
        <v>0</v>
      </c>
      <c r="AI574">
        <v>0</v>
      </c>
      <c r="AJ574">
        <v>0</v>
      </c>
      <c r="AK574">
        <v>274</v>
      </c>
      <c r="AL574">
        <v>0.8</v>
      </c>
    </row>
    <row r="575" spans="1:38" x14ac:dyDescent="0.3">
      <c r="A575" t="s">
        <v>1431</v>
      </c>
      <c r="B575">
        <v>101175</v>
      </c>
      <c r="C575">
        <v>1</v>
      </c>
      <c r="D575" t="s">
        <v>1481</v>
      </c>
      <c r="E575" t="s">
        <v>1166</v>
      </c>
      <c r="F575">
        <v>386</v>
      </c>
      <c r="G575">
        <v>32.799999999999997</v>
      </c>
      <c r="H575">
        <v>108.44</v>
      </c>
      <c r="I575">
        <v>25.52</v>
      </c>
      <c r="J575">
        <v>84.39</v>
      </c>
      <c r="K575">
        <v>368</v>
      </c>
      <c r="T575">
        <v>3</v>
      </c>
      <c r="U575">
        <v>2</v>
      </c>
      <c r="V575" t="s">
        <v>541</v>
      </c>
      <c r="W575">
        <v>108</v>
      </c>
      <c r="X575">
        <v>18</v>
      </c>
      <c r="Y575">
        <v>17</v>
      </c>
      <c r="Z575" t="s">
        <v>1482</v>
      </c>
      <c r="AA575" t="s">
        <v>1483</v>
      </c>
      <c r="AB575" t="s">
        <v>526</v>
      </c>
      <c r="AC575" t="s">
        <v>527</v>
      </c>
      <c r="AD575" t="s">
        <v>528</v>
      </c>
      <c r="AE575" t="s">
        <v>502</v>
      </c>
      <c r="AG575" t="s">
        <v>1484</v>
      </c>
      <c r="AH575">
        <v>0</v>
      </c>
      <c r="AI575">
        <v>240</v>
      </c>
      <c r="AJ575">
        <v>17</v>
      </c>
      <c r="AK575">
        <v>394</v>
      </c>
      <c r="AL575">
        <v>1.02</v>
      </c>
    </row>
    <row r="576" spans="1:38" x14ac:dyDescent="0.3">
      <c r="A576" t="s">
        <v>1431</v>
      </c>
      <c r="B576">
        <v>101175</v>
      </c>
      <c r="C576">
        <v>2</v>
      </c>
      <c r="D576" t="s">
        <v>1481</v>
      </c>
      <c r="E576" t="s">
        <v>1166</v>
      </c>
      <c r="F576">
        <v>386</v>
      </c>
      <c r="G576">
        <v>37.08</v>
      </c>
      <c r="H576">
        <v>122.61</v>
      </c>
      <c r="I576">
        <v>24.79</v>
      </c>
      <c r="J576">
        <v>81.96</v>
      </c>
      <c r="K576">
        <v>18</v>
      </c>
      <c r="T576">
        <v>3</v>
      </c>
      <c r="U576">
        <v>2</v>
      </c>
      <c r="V576" t="s">
        <v>541</v>
      </c>
      <c r="W576">
        <v>122</v>
      </c>
      <c r="X576">
        <v>18</v>
      </c>
      <c r="Y576">
        <v>17</v>
      </c>
      <c r="Z576" t="s">
        <v>1482</v>
      </c>
      <c r="AA576" t="s">
        <v>1483</v>
      </c>
      <c r="AB576" t="s">
        <v>526</v>
      </c>
      <c r="AC576" t="s">
        <v>527</v>
      </c>
      <c r="AD576" t="s">
        <v>528</v>
      </c>
      <c r="AE576" t="s">
        <v>502</v>
      </c>
      <c r="AG576" t="s">
        <v>1484</v>
      </c>
      <c r="AH576">
        <v>0</v>
      </c>
      <c r="AI576">
        <v>240</v>
      </c>
      <c r="AJ576">
        <v>17</v>
      </c>
      <c r="AK576">
        <v>394</v>
      </c>
      <c r="AL576">
        <v>1.02</v>
      </c>
    </row>
    <row r="577" spans="1:38" x14ac:dyDescent="0.3">
      <c r="A577" t="s">
        <v>1431</v>
      </c>
      <c r="B577">
        <v>17113</v>
      </c>
      <c r="C577">
        <v>1</v>
      </c>
      <c r="D577" t="s">
        <v>1485</v>
      </c>
      <c r="E577" t="s">
        <v>657</v>
      </c>
      <c r="F577">
        <v>498</v>
      </c>
      <c r="G577">
        <v>19.45</v>
      </c>
      <c r="H577">
        <v>64.3</v>
      </c>
      <c r="I577">
        <v>14.95</v>
      </c>
      <c r="J577">
        <v>49.45</v>
      </c>
      <c r="K577">
        <v>50</v>
      </c>
      <c r="T577">
        <v>2</v>
      </c>
      <c r="U577">
        <v>1</v>
      </c>
      <c r="V577" t="s">
        <v>541</v>
      </c>
      <c r="W577">
        <v>64</v>
      </c>
      <c r="X577">
        <v>18</v>
      </c>
      <c r="Y577">
        <v>8</v>
      </c>
      <c r="Z577" t="s">
        <v>1486</v>
      </c>
      <c r="AA577" t="s">
        <v>1487</v>
      </c>
      <c r="AB577" t="s">
        <v>526</v>
      </c>
      <c r="AC577" t="s">
        <v>527</v>
      </c>
      <c r="AD577" t="s">
        <v>528</v>
      </c>
      <c r="AE577" t="s">
        <v>502</v>
      </c>
      <c r="AG577" t="s">
        <v>1488</v>
      </c>
      <c r="AH577">
        <v>0</v>
      </c>
      <c r="AI577">
        <v>243</v>
      </c>
      <c r="AJ577">
        <v>18</v>
      </c>
      <c r="AK577">
        <v>0</v>
      </c>
      <c r="AL577">
        <v>0</v>
      </c>
    </row>
    <row r="578" spans="1:38" x14ac:dyDescent="0.3">
      <c r="A578" t="s">
        <v>1431</v>
      </c>
      <c r="B578">
        <v>17113</v>
      </c>
      <c r="C578">
        <v>2</v>
      </c>
      <c r="D578" t="s">
        <v>1485</v>
      </c>
      <c r="E578" t="s">
        <v>657</v>
      </c>
      <c r="F578">
        <v>498</v>
      </c>
      <c r="G578">
        <v>23.31</v>
      </c>
      <c r="H578">
        <v>77.09</v>
      </c>
      <c r="I578">
        <v>18.12</v>
      </c>
      <c r="J578">
        <v>59.92</v>
      </c>
      <c r="K578">
        <v>448</v>
      </c>
      <c r="T578">
        <v>3</v>
      </c>
      <c r="U578">
        <v>1</v>
      </c>
      <c r="V578" t="s">
        <v>541</v>
      </c>
      <c r="W578">
        <v>77</v>
      </c>
      <c r="X578">
        <v>18</v>
      </c>
      <c r="Y578">
        <v>8</v>
      </c>
      <c r="Z578" t="s">
        <v>1486</v>
      </c>
      <c r="AA578" t="s">
        <v>1487</v>
      </c>
      <c r="AB578" t="s">
        <v>526</v>
      </c>
      <c r="AC578" t="s">
        <v>527</v>
      </c>
      <c r="AD578" t="s">
        <v>528</v>
      </c>
      <c r="AE578" t="s">
        <v>502</v>
      </c>
      <c r="AG578" t="s">
        <v>1488</v>
      </c>
      <c r="AH578">
        <v>0</v>
      </c>
      <c r="AI578">
        <v>243</v>
      </c>
      <c r="AJ578">
        <v>18</v>
      </c>
      <c r="AK578">
        <v>0</v>
      </c>
      <c r="AL578">
        <v>0</v>
      </c>
    </row>
    <row r="579" spans="1:38" x14ac:dyDescent="0.3">
      <c r="A579" t="s">
        <v>1431</v>
      </c>
      <c r="B579">
        <v>19719</v>
      </c>
      <c r="C579">
        <v>1</v>
      </c>
      <c r="D579" t="s">
        <v>1489</v>
      </c>
      <c r="E579" t="s">
        <v>1490</v>
      </c>
      <c r="F579">
        <v>370</v>
      </c>
      <c r="G579">
        <v>27.65</v>
      </c>
      <c r="H579">
        <v>91.42</v>
      </c>
      <c r="I579">
        <v>22.54</v>
      </c>
      <c r="J579">
        <v>74.52</v>
      </c>
      <c r="K579">
        <v>114</v>
      </c>
      <c r="T579">
        <v>3</v>
      </c>
      <c r="U579">
        <v>2</v>
      </c>
      <c r="V579" t="s">
        <v>541</v>
      </c>
      <c r="W579">
        <v>91</v>
      </c>
      <c r="X579">
        <v>19</v>
      </c>
      <c r="Y579">
        <v>10</v>
      </c>
      <c r="Z579" t="s">
        <v>1491</v>
      </c>
      <c r="AA579" t="s">
        <v>1492</v>
      </c>
      <c r="AB579" t="s">
        <v>526</v>
      </c>
      <c r="AC579" t="s">
        <v>527</v>
      </c>
      <c r="AD579" t="s">
        <v>528</v>
      </c>
      <c r="AE579" t="s">
        <v>502</v>
      </c>
      <c r="AG579" t="s">
        <v>1493</v>
      </c>
      <c r="AH579">
        <v>0</v>
      </c>
      <c r="AI579">
        <v>247</v>
      </c>
      <c r="AJ579">
        <v>19</v>
      </c>
      <c r="AK579">
        <v>390</v>
      </c>
      <c r="AL579">
        <v>1.05</v>
      </c>
    </row>
    <row r="580" spans="1:38" x14ac:dyDescent="0.3">
      <c r="A580" t="s">
        <v>1431</v>
      </c>
      <c r="B580">
        <v>19719</v>
      </c>
      <c r="C580">
        <v>2</v>
      </c>
      <c r="D580" t="s">
        <v>1489</v>
      </c>
      <c r="E580" t="s">
        <v>1490</v>
      </c>
      <c r="F580">
        <v>370</v>
      </c>
      <c r="G580">
        <v>31.18</v>
      </c>
      <c r="H580">
        <v>103.09</v>
      </c>
      <c r="I580">
        <v>25.52</v>
      </c>
      <c r="J580">
        <v>84.37</v>
      </c>
      <c r="K580">
        <v>104</v>
      </c>
      <c r="T580">
        <v>3</v>
      </c>
      <c r="U580">
        <v>2</v>
      </c>
      <c r="V580" t="s">
        <v>541</v>
      </c>
      <c r="W580" t="s">
        <v>226</v>
      </c>
      <c r="X580">
        <v>19</v>
      </c>
      <c r="Y580">
        <v>10</v>
      </c>
      <c r="Z580" t="s">
        <v>1491</v>
      </c>
      <c r="AA580" t="s">
        <v>1492</v>
      </c>
      <c r="AB580" t="s">
        <v>526</v>
      </c>
      <c r="AC580" t="s">
        <v>527</v>
      </c>
      <c r="AD580" t="s">
        <v>528</v>
      </c>
      <c r="AE580" t="s">
        <v>502</v>
      </c>
      <c r="AG580" t="s">
        <v>1493</v>
      </c>
      <c r="AH580">
        <v>0</v>
      </c>
      <c r="AI580">
        <v>247</v>
      </c>
      <c r="AJ580">
        <v>19</v>
      </c>
      <c r="AK580">
        <v>390</v>
      </c>
      <c r="AL580">
        <v>1.05</v>
      </c>
    </row>
    <row r="581" spans="1:38" x14ac:dyDescent="0.3">
      <c r="A581" t="s">
        <v>1431</v>
      </c>
      <c r="B581">
        <v>19719</v>
      </c>
      <c r="C581">
        <v>3</v>
      </c>
      <c r="D581" t="s">
        <v>1489</v>
      </c>
      <c r="E581" t="s">
        <v>1490</v>
      </c>
      <c r="F581">
        <v>370</v>
      </c>
      <c r="G581">
        <v>31.18</v>
      </c>
      <c r="H581">
        <v>103.09</v>
      </c>
      <c r="I581">
        <v>25.52</v>
      </c>
      <c r="J581">
        <v>84.37</v>
      </c>
      <c r="K581">
        <v>55</v>
      </c>
      <c r="T581">
        <v>3</v>
      </c>
      <c r="U581">
        <v>2</v>
      </c>
      <c r="V581" t="s">
        <v>541</v>
      </c>
      <c r="W581" t="s">
        <v>227</v>
      </c>
      <c r="X581">
        <v>19</v>
      </c>
      <c r="Y581">
        <v>10</v>
      </c>
      <c r="Z581" t="s">
        <v>1491</v>
      </c>
      <c r="AA581" t="s">
        <v>1492</v>
      </c>
      <c r="AB581" t="s">
        <v>526</v>
      </c>
      <c r="AC581" t="s">
        <v>527</v>
      </c>
      <c r="AD581" t="s">
        <v>528</v>
      </c>
      <c r="AE581" t="s">
        <v>502</v>
      </c>
      <c r="AG581" t="s">
        <v>1493</v>
      </c>
      <c r="AH581">
        <v>0</v>
      </c>
      <c r="AI581">
        <v>247</v>
      </c>
      <c r="AJ581">
        <v>19</v>
      </c>
      <c r="AK581">
        <v>390</v>
      </c>
      <c r="AL581">
        <v>1.05</v>
      </c>
    </row>
    <row r="582" spans="1:38" x14ac:dyDescent="0.3">
      <c r="A582" t="s">
        <v>1431</v>
      </c>
      <c r="B582">
        <v>19719</v>
      </c>
      <c r="C582">
        <v>4</v>
      </c>
      <c r="D582" t="s">
        <v>1489</v>
      </c>
      <c r="E582" t="s">
        <v>1490</v>
      </c>
      <c r="F582">
        <v>370</v>
      </c>
      <c r="G582">
        <v>31.46</v>
      </c>
      <c r="H582">
        <v>104.01</v>
      </c>
      <c r="I582">
        <v>25.58</v>
      </c>
      <c r="J582">
        <v>84.59</v>
      </c>
      <c r="K582">
        <v>23</v>
      </c>
      <c r="T582">
        <v>3</v>
      </c>
      <c r="U582">
        <v>2</v>
      </c>
      <c r="V582" t="s">
        <v>541</v>
      </c>
      <c r="W582" t="s">
        <v>380</v>
      </c>
      <c r="X582">
        <v>19</v>
      </c>
      <c r="Y582">
        <v>10</v>
      </c>
      <c r="Z582" t="s">
        <v>1491</v>
      </c>
      <c r="AA582" t="s">
        <v>1492</v>
      </c>
      <c r="AB582" t="s">
        <v>526</v>
      </c>
      <c r="AC582" t="s">
        <v>527</v>
      </c>
      <c r="AD582" t="s">
        <v>528</v>
      </c>
      <c r="AE582" t="s">
        <v>502</v>
      </c>
      <c r="AG582" t="s">
        <v>1493</v>
      </c>
      <c r="AH582">
        <v>0</v>
      </c>
      <c r="AI582">
        <v>247</v>
      </c>
      <c r="AJ582">
        <v>19</v>
      </c>
      <c r="AK582">
        <v>390</v>
      </c>
      <c r="AL582">
        <v>1.05</v>
      </c>
    </row>
    <row r="583" spans="1:38" x14ac:dyDescent="0.3">
      <c r="A583" t="s">
        <v>1431</v>
      </c>
      <c r="B583">
        <v>19719</v>
      </c>
      <c r="C583">
        <v>5</v>
      </c>
      <c r="D583" t="s">
        <v>1489</v>
      </c>
      <c r="E583" t="s">
        <v>1490</v>
      </c>
      <c r="F583">
        <v>370</v>
      </c>
      <c r="G583">
        <v>43.84</v>
      </c>
      <c r="H583">
        <v>144.94</v>
      </c>
      <c r="I583">
        <v>35.89</v>
      </c>
      <c r="J583">
        <v>118.67</v>
      </c>
      <c r="K583">
        <v>74</v>
      </c>
      <c r="T583">
        <v>4</v>
      </c>
      <c r="U583">
        <v>2</v>
      </c>
      <c r="V583" t="s">
        <v>541</v>
      </c>
      <c r="W583">
        <v>144</v>
      </c>
      <c r="X583">
        <v>19</v>
      </c>
      <c r="Y583">
        <v>10</v>
      </c>
      <c r="Z583" t="s">
        <v>1491</v>
      </c>
      <c r="AA583" t="s">
        <v>1492</v>
      </c>
      <c r="AB583" t="s">
        <v>526</v>
      </c>
      <c r="AC583" t="s">
        <v>527</v>
      </c>
      <c r="AD583" t="s">
        <v>528</v>
      </c>
      <c r="AE583" t="s">
        <v>502</v>
      </c>
      <c r="AG583" t="s">
        <v>1493</v>
      </c>
      <c r="AH583">
        <v>0</v>
      </c>
      <c r="AI583">
        <v>247</v>
      </c>
      <c r="AJ583">
        <v>19</v>
      </c>
      <c r="AK583">
        <v>390</v>
      </c>
      <c r="AL583">
        <v>1.05</v>
      </c>
    </row>
    <row r="584" spans="1:38" x14ac:dyDescent="0.3">
      <c r="A584" t="s">
        <v>1431</v>
      </c>
      <c r="B584">
        <v>105360</v>
      </c>
      <c r="C584">
        <v>1</v>
      </c>
      <c r="D584" t="s">
        <v>1494</v>
      </c>
      <c r="E584" t="s">
        <v>1495</v>
      </c>
      <c r="F584">
        <v>181</v>
      </c>
      <c r="G584">
        <v>32.15</v>
      </c>
      <c r="H584">
        <v>106.3</v>
      </c>
      <c r="I584">
        <v>25.68</v>
      </c>
      <c r="J584">
        <v>84.92</v>
      </c>
      <c r="K584">
        <v>15</v>
      </c>
      <c r="T584">
        <v>3</v>
      </c>
      <c r="U584">
        <v>2</v>
      </c>
      <c r="V584" t="s">
        <v>541</v>
      </c>
      <c r="W584" t="s">
        <v>1496</v>
      </c>
      <c r="X584">
        <v>15</v>
      </c>
      <c r="Y584">
        <v>7</v>
      </c>
      <c r="Z584" t="s">
        <v>1497</v>
      </c>
      <c r="AA584" t="s">
        <v>1498</v>
      </c>
      <c r="AB584" t="s">
        <v>526</v>
      </c>
      <c r="AC584" t="s">
        <v>527</v>
      </c>
      <c r="AD584" t="s">
        <v>528</v>
      </c>
      <c r="AE584" t="s">
        <v>502</v>
      </c>
      <c r="AG584" t="s">
        <v>1499</v>
      </c>
      <c r="AH584">
        <v>0</v>
      </c>
      <c r="AI584">
        <v>227</v>
      </c>
      <c r="AJ584">
        <v>24</v>
      </c>
      <c r="AK584">
        <v>187</v>
      </c>
      <c r="AL584">
        <v>1.03</v>
      </c>
    </row>
    <row r="585" spans="1:38" x14ac:dyDescent="0.3">
      <c r="A585" t="s">
        <v>1431</v>
      </c>
      <c r="B585">
        <v>105360</v>
      </c>
      <c r="C585">
        <v>2</v>
      </c>
      <c r="D585" t="s">
        <v>1494</v>
      </c>
      <c r="E585" t="s">
        <v>1495</v>
      </c>
      <c r="F585">
        <v>181</v>
      </c>
      <c r="G585">
        <v>32.19</v>
      </c>
      <c r="H585">
        <v>106.43</v>
      </c>
      <c r="I585">
        <v>25.68</v>
      </c>
      <c r="J585">
        <v>84.92</v>
      </c>
      <c r="K585">
        <v>14</v>
      </c>
      <c r="T585">
        <v>3</v>
      </c>
      <c r="U585">
        <v>2</v>
      </c>
      <c r="V585" t="s">
        <v>541</v>
      </c>
      <c r="W585" t="s">
        <v>466</v>
      </c>
      <c r="X585">
        <v>15</v>
      </c>
      <c r="Y585">
        <v>7</v>
      </c>
      <c r="Z585" t="s">
        <v>1497</v>
      </c>
      <c r="AA585" t="s">
        <v>1498</v>
      </c>
      <c r="AB585" t="s">
        <v>526</v>
      </c>
      <c r="AC585" t="s">
        <v>527</v>
      </c>
      <c r="AD585" t="s">
        <v>528</v>
      </c>
      <c r="AE585" t="s">
        <v>502</v>
      </c>
      <c r="AG585" t="s">
        <v>1499</v>
      </c>
      <c r="AH585">
        <v>0</v>
      </c>
      <c r="AI585">
        <v>227</v>
      </c>
      <c r="AJ585">
        <v>24</v>
      </c>
      <c r="AK585">
        <v>187</v>
      </c>
      <c r="AL585">
        <v>1.03</v>
      </c>
    </row>
    <row r="586" spans="1:38" x14ac:dyDescent="0.3">
      <c r="A586" t="s">
        <v>1431</v>
      </c>
      <c r="B586">
        <v>105360</v>
      </c>
      <c r="C586">
        <v>3</v>
      </c>
      <c r="D586" t="s">
        <v>1494</v>
      </c>
      <c r="E586" t="s">
        <v>1495</v>
      </c>
      <c r="F586">
        <v>181</v>
      </c>
      <c r="G586">
        <v>32.79</v>
      </c>
      <c r="H586">
        <v>108.42</v>
      </c>
      <c r="I586">
        <v>25.68</v>
      </c>
      <c r="J586">
        <v>84.92</v>
      </c>
      <c r="K586">
        <v>15</v>
      </c>
      <c r="T586">
        <v>3</v>
      </c>
      <c r="U586">
        <v>2</v>
      </c>
      <c r="V586" t="s">
        <v>541</v>
      </c>
      <c r="W586" t="s">
        <v>1500</v>
      </c>
      <c r="X586">
        <v>15</v>
      </c>
      <c r="Y586">
        <v>7</v>
      </c>
      <c r="Z586" t="s">
        <v>1497</v>
      </c>
      <c r="AA586" t="s">
        <v>1498</v>
      </c>
      <c r="AB586" t="s">
        <v>526</v>
      </c>
      <c r="AC586" t="s">
        <v>527</v>
      </c>
      <c r="AD586" t="s">
        <v>528</v>
      </c>
      <c r="AE586" t="s">
        <v>502</v>
      </c>
      <c r="AG586" t="s">
        <v>1499</v>
      </c>
      <c r="AH586">
        <v>0</v>
      </c>
      <c r="AI586">
        <v>227</v>
      </c>
      <c r="AJ586">
        <v>24</v>
      </c>
      <c r="AK586">
        <v>187</v>
      </c>
      <c r="AL586">
        <v>1.03</v>
      </c>
    </row>
    <row r="587" spans="1:38" x14ac:dyDescent="0.3">
      <c r="A587" t="s">
        <v>1431</v>
      </c>
      <c r="B587">
        <v>105360</v>
      </c>
      <c r="C587">
        <v>4</v>
      </c>
      <c r="D587" t="s">
        <v>1494</v>
      </c>
      <c r="E587" t="s">
        <v>1495</v>
      </c>
      <c r="F587">
        <v>181</v>
      </c>
      <c r="G587">
        <v>33.729999999999997</v>
      </c>
      <c r="H587">
        <v>111.52</v>
      </c>
      <c r="I587">
        <v>25.68</v>
      </c>
      <c r="J587">
        <v>84.92</v>
      </c>
      <c r="K587">
        <v>137</v>
      </c>
      <c r="T587">
        <v>3</v>
      </c>
      <c r="U587">
        <v>2</v>
      </c>
      <c r="V587" t="s">
        <v>541</v>
      </c>
      <c r="W587" t="s">
        <v>221</v>
      </c>
      <c r="X587">
        <v>15</v>
      </c>
      <c r="Y587">
        <v>7</v>
      </c>
      <c r="Z587" t="s">
        <v>1497</v>
      </c>
      <c r="AA587" t="s">
        <v>1498</v>
      </c>
      <c r="AB587" t="s">
        <v>526</v>
      </c>
      <c r="AC587" t="s">
        <v>527</v>
      </c>
      <c r="AD587" t="s">
        <v>528</v>
      </c>
      <c r="AE587" t="s">
        <v>502</v>
      </c>
      <c r="AG587" t="s">
        <v>1499</v>
      </c>
      <c r="AH587">
        <v>0</v>
      </c>
      <c r="AI587">
        <v>227</v>
      </c>
      <c r="AJ587">
        <v>24</v>
      </c>
      <c r="AK587">
        <v>187</v>
      </c>
      <c r="AL587">
        <v>1.03</v>
      </c>
    </row>
    <row r="588" spans="1:38" x14ac:dyDescent="0.3">
      <c r="A588" t="s">
        <v>1431</v>
      </c>
      <c r="B588">
        <v>100908</v>
      </c>
      <c r="C588">
        <v>1</v>
      </c>
      <c r="D588" t="s">
        <v>1501</v>
      </c>
      <c r="E588" t="s">
        <v>1502</v>
      </c>
      <c r="F588">
        <v>70</v>
      </c>
      <c r="G588">
        <v>37.74</v>
      </c>
      <c r="H588">
        <v>124.79</v>
      </c>
      <c r="I588">
        <v>33.630000000000003</v>
      </c>
      <c r="J588">
        <v>111.19</v>
      </c>
      <c r="K588">
        <v>40</v>
      </c>
      <c r="T588">
        <v>4</v>
      </c>
      <c r="U588">
        <v>2</v>
      </c>
      <c r="V588" t="s">
        <v>541</v>
      </c>
      <c r="W588">
        <v>124</v>
      </c>
      <c r="X588">
        <v>5</v>
      </c>
      <c r="Y588">
        <v>5</v>
      </c>
      <c r="Z588" t="s">
        <v>1503</v>
      </c>
      <c r="AA588" t="s">
        <v>1504</v>
      </c>
      <c r="AB588" t="s">
        <v>526</v>
      </c>
      <c r="AC588" t="s">
        <v>527</v>
      </c>
      <c r="AD588" t="s">
        <v>528</v>
      </c>
      <c r="AE588" t="s">
        <v>502</v>
      </c>
      <c r="AG588" t="s">
        <v>1505</v>
      </c>
      <c r="AH588">
        <v>0</v>
      </c>
      <c r="AI588">
        <v>0</v>
      </c>
      <c r="AJ588">
        <v>0</v>
      </c>
      <c r="AK588">
        <v>0</v>
      </c>
      <c r="AL588">
        <v>0</v>
      </c>
    </row>
    <row r="589" spans="1:38" x14ac:dyDescent="0.3">
      <c r="A589" t="s">
        <v>1431</v>
      </c>
      <c r="B589">
        <v>100908</v>
      </c>
      <c r="C589">
        <v>2</v>
      </c>
      <c r="D589" t="s">
        <v>1501</v>
      </c>
      <c r="E589" t="s">
        <v>1502</v>
      </c>
      <c r="F589">
        <v>70</v>
      </c>
      <c r="G589">
        <v>43.41</v>
      </c>
      <c r="H589">
        <v>143.52000000000001</v>
      </c>
      <c r="I589">
        <v>37.700000000000003</v>
      </c>
      <c r="J589">
        <v>124.63</v>
      </c>
      <c r="K589">
        <v>30</v>
      </c>
      <c r="T589">
        <v>4</v>
      </c>
      <c r="U589">
        <v>2</v>
      </c>
      <c r="V589" t="s">
        <v>541</v>
      </c>
      <c r="W589">
        <v>143</v>
      </c>
      <c r="X589">
        <v>5</v>
      </c>
      <c r="Y589">
        <v>5</v>
      </c>
      <c r="Z589" t="s">
        <v>1503</v>
      </c>
      <c r="AA589" t="s">
        <v>1504</v>
      </c>
      <c r="AB589" t="s">
        <v>526</v>
      </c>
      <c r="AC589" t="s">
        <v>527</v>
      </c>
      <c r="AD589" t="s">
        <v>528</v>
      </c>
      <c r="AE589" t="s">
        <v>502</v>
      </c>
      <c r="AG589" t="s">
        <v>1505</v>
      </c>
      <c r="AH589">
        <v>0</v>
      </c>
      <c r="AI589">
        <v>0</v>
      </c>
      <c r="AJ589">
        <v>0</v>
      </c>
      <c r="AK589">
        <v>0</v>
      </c>
      <c r="AL589">
        <v>0</v>
      </c>
    </row>
    <row r="590" spans="1:38" x14ac:dyDescent="0.3">
      <c r="A590" t="s">
        <v>1431</v>
      </c>
      <c r="B590">
        <v>5772</v>
      </c>
      <c r="C590">
        <v>1</v>
      </c>
      <c r="D590" t="s">
        <v>1506</v>
      </c>
      <c r="E590" t="s">
        <v>1507</v>
      </c>
      <c r="F590">
        <v>582</v>
      </c>
      <c r="G590">
        <v>26.12</v>
      </c>
      <c r="H590">
        <v>86.38</v>
      </c>
      <c r="I590">
        <v>21.31</v>
      </c>
      <c r="J590">
        <v>70.47</v>
      </c>
      <c r="K590">
        <v>192</v>
      </c>
      <c r="T590">
        <v>3</v>
      </c>
      <c r="U590">
        <v>1</v>
      </c>
      <c r="V590" t="s">
        <v>541</v>
      </c>
      <c r="W590" t="s">
        <v>383</v>
      </c>
      <c r="X590">
        <v>15</v>
      </c>
      <c r="Y590">
        <v>12</v>
      </c>
      <c r="Z590" t="s">
        <v>1508</v>
      </c>
      <c r="AA590" t="s">
        <v>1509</v>
      </c>
      <c r="AB590" t="s">
        <v>526</v>
      </c>
      <c r="AC590" t="s">
        <v>527</v>
      </c>
      <c r="AD590" t="s">
        <v>528</v>
      </c>
      <c r="AE590" t="s">
        <v>502</v>
      </c>
      <c r="AG590" t="s">
        <v>1510</v>
      </c>
      <c r="AH590">
        <v>0</v>
      </c>
      <c r="AI590">
        <v>0</v>
      </c>
      <c r="AJ590">
        <v>0</v>
      </c>
      <c r="AK590">
        <v>232</v>
      </c>
      <c r="AL590">
        <v>0.4</v>
      </c>
    </row>
    <row r="591" spans="1:38" x14ac:dyDescent="0.3">
      <c r="A591" t="s">
        <v>1431</v>
      </c>
      <c r="B591">
        <v>5772</v>
      </c>
      <c r="C591">
        <v>2</v>
      </c>
      <c r="D591" t="s">
        <v>1506</v>
      </c>
      <c r="E591" t="s">
        <v>1507</v>
      </c>
      <c r="F591">
        <v>582</v>
      </c>
      <c r="G591">
        <v>26.45</v>
      </c>
      <c r="H591">
        <v>87.46</v>
      </c>
      <c r="I591">
        <v>21.58</v>
      </c>
      <c r="J591">
        <v>71.349999999999994</v>
      </c>
      <c r="K591">
        <v>15</v>
      </c>
      <c r="T591">
        <v>3</v>
      </c>
      <c r="U591">
        <v>1</v>
      </c>
      <c r="V591" t="s">
        <v>541</v>
      </c>
      <c r="W591" t="s">
        <v>384</v>
      </c>
      <c r="X591">
        <v>15</v>
      </c>
      <c r="Y591">
        <v>12</v>
      </c>
      <c r="Z591" t="s">
        <v>1508</v>
      </c>
      <c r="AA591" t="s">
        <v>1509</v>
      </c>
      <c r="AB591" t="s">
        <v>526</v>
      </c>
      <c r="AC591" t="s">
        <v>527</v>
      </c>
      <c r="AD591" t="s">
        <v>528</v>
      </c>
      <c r="AE591" t="s">
        <v>502</v>
      </c>
      <c r="AG591" t="s">
        <v>1510</v>
      </c>
      <c r="AH591">
        <v>0</v>
      </c>
      <c r="AI591">
        <v>0</v>
      </c>
      <c r="AJ591">
        <v>0</v>
      </c>
      <c r="AK591">
        <v>232</v>
      </c>
      <c r="AL591">
        <v>0.4</v>
      </c>
    </row>
    <row r="592" spans="1:38" x14ac:dyDescent="0.3">
      <c r="A592" t="s">
        <v>1431</v>
      </c>
      <c r="B592">
        <v>5772</v>
      </c>
      <c r="C592">
        <v>3</v>
      </c>
      <c r="D592" t="s">
        <v>1506</v>
      </c>
      <c r="E592" t="s">
        <v>1507</v>
      </c>
      <c r="F592">
        <v>582</v>
      </c>
      <c r="G592">
        <v>30.52</v>
      </c>
      <c r="H592">
        <v>100.9</v>
      </c>
      <c r="I592">
        <v>25.51</v>
      </c>
      <c r="J592">
        <v>84.35</v>
      </c>
      <c r="K592">
        <v>375</v>
      </c>
      <c r="T592">
        <v>3</v>
      </c>
      <c r="U592">
        <v>2</v>
      </c>
      <c r="V592" t="s">
        <v>541</v>
      </c>
      <c r="W592">
        <v>100</v>
      </c>
      <c r="X592">
        <v>15</v>
      </c>
      <c r="Y592">
        <v>12</v>
      </c>
      <c r="Z592" t="s">
        <v>1508</v>
      </c>
      <c r="AA592" t="s">
        <v>1509</v>
      </c>
      <c r="AB592" t="s">
        <v>526</v>
      </c>
      <c r="AC592" t="s">
        <v>527</v>
      </c>
      <c r="AD592" t="s">
        <v>528</v>
      </c>
      <c r="AE592" t="s">
        <v>502</v>
      </c>
      <c r="AG592" t="s">
        <v>1510</v>
      </c>
      <c r="AH592">
        <v>0</v>
      </c>
      <c r="AI592">
        <v>0</v>
      </c>
      <c r="AJ592">
        <v>0</v>
      </c>
      <c r="AK592">
        <v>232</v>
      </c>
      <c r="AL592">
        <v>0.4</v>
      </c>
    </row>
    <row r="593" spans="1:38" x14ac:dyDescent="0.3">
      <c r="A593" t="s">
        <v>1431</v>
      </c>
      <c r="B593">
        <v>113643</v>
      </c>
      <c r="C593">
        <v>1</v>
      </c>
      <c r="D593" t="s">
        <v>1511</v>
      </c>
      <c r="E593" t="s">
        <v>1512</v>
      </c>
      <c r="F593">
        <v>85</v>
      </c>
      <c r="G593">
        <v>31.45</v>
      </c>
      <c r="H593">
        <v>103.97</v>
      </c>
      <c r="I593">
        <v>23.49</v>
      </c>
      <c r="J593">
        <v>77.67</v>
      </c>
      <c r="K593">
        <v>1</v>
      </c>
      <c r="T593">
        <v>3</v>
      </c>
      <c r="U593">
        <v>2</v>
      </c>
      <c r="V593" t="s">
        <v>541</v>
      </c>
      <c r="W593">
        <v>103</v>
      </c>
      <c r="X593">
        <v>7</v>
      </c>
      <c r="Y593">
        <v>7</v>
      </c>
      <c r="Z593" t="s">
        <v>1513</v>
      </c>
      <c r="AA593" t="s">
        <v>1514</v>
      </c>
      <c r="AB593" t="s">
        <v>526</v>
      </c>
      <c r="AC593" t="s">
        <v>527</v>
      </c>
      <c r="AD593" t="s">
        <v>528</v>
      </c>
      <c r="AE593" t="s">
        <v>502</v>
      </c>
      <c r="AG593" t="s">
        <v>1515</v>
      </c>
      <c r="AH593">
        <v>0</v>
      </c>
      <c r="AI593">
        <v>0</v>
      </c>
      <c r="AJ593">
        <v>0</v>
      </c>
      <c r="AK593">
        <v>0</v>
      </c>
      <c r="AL593">
        <v>0</v>
      </c>
    </row>
    <row r="594" spans="1:38" x14ac:dyDescent="0.3">
      <c r="A594" t="s">
        <v>1431</v>
      </c>
      <c r="B594">
        <v>113643</v>
      </c>
      <c r="C594">
        <v>2</v>
      </c>
      <c r="D594" t="s">
        <v>1511</v>
      </c>
      <c r="E594" t="s">
        <v>1512</v>
      </c>
      <c r="F594">
        <v>85</v>
      </c>
      <c r="G594">
        <v>33.909999999999997</v>
      </c>
      <c r="H594">
        <v>112.1</v>
      </c>
      <c r="I594">
        <v>25.63</v>
      </c>
      <c r="J594">
        <v>84.74</v>
      </c>
      <c r="K594">
        <v>47</v>
      </c>
      <c r="T594">
        <v>3</v>
      </c>
      <c r="U594">
        <v>2</v>
      </c>
      <c r="V594" t="s">
        <v>541</v>
      </c>
      <c r="W594" t="s">
        <v>247</v>
      </c>
      <c r="X594">
        <v>7</v>
      </c>
      <c r="Y594">
        <v>7</v>
      </c>
      <c r="Z594" t="s">
        <v>1513</v>
      </c>
      <c r="AA594" t="s">
        <v>1514</v>
      </c>
      <c r="AB594" t="s">
        <v>526</v>
      </c>
      <c r="AC594" t="s">
        <v>527</v>
      </c>
      <c r="AD594" t="s">
        <v>528</v>
      </c>
      <c r="AE594" t="s">
        <v>502</v>
      </c>
      <c r="AG594" t="s">
        <v>1515</v>
      </c>
      <c r="AH594">
        <v>0</v>
      </c>
      <c r="AI594">
        <v>0</v>
      </c>
      <c r="AJ594">
        <v>0</v>
      </c>
      <c r="AK594">
        <v>0</v>
      </c>
      <c r="AL594">
        <v>0</v>
      </c>
    </row>
    <row r="595" spans="1:38" x14ac:dyDescent="0.3">
      <c r="A595" t="s">
        <v>1431</v>
      </c>
      <c r="B595">
        <v>113643</v>
      </c>
      <c r="C595">
        <v>3</v>
      </c>
      <c r="D595" t="s">
        <v>1511</v>
      </c>
      <c r="E595" t="s">
        <v>1512</v>
      </c>
      <c r="F595">
        <v>85</v>
      </c>
      <c r="G595">
        <v>33.909999999999997</v>
      </c>
      <c r="H595">
        <v>112.11</v>
      </c>
      <c r="I595">
        <v>25.63</v>
      </c>
      <c r="J595">
        <v>84.75</v>
      </c>
      <c r="K595">
        <v>1</v>
      </c>
      <c r="T595">
        <v>3</v>
      </c>
      <c r="U595">
        <v>2</v>
      </c>
      <c r="V595" t="s">
        <v>541</v>
      </c>
      <c r="W595" t="s">
        <v>249</v>
      </c>
      <c r="X595">
        <v>7</v>
      </c>
      <c r="Y595">
        <v>7</v>
      </c>
      <c r="Z595" t="s">
        <v>1513</v>
      </c>
      <c r="AA595" t="s">
        <v>1514</v>
      </c>
      <c r="AB595" t="s">
        <v>526</v>
      </c>
      <c r="AC595" t="s">
        <v>527</v>
      </c>
      <c r="AD595" t="s">
        <v>528</v>
      </c>
      <c r="AE595" t="s">
        <v>502</v>
      </c>
      <c r="AG595" t="s">
        <v>1515</v>
      </c>
      <c r="AH595">
        <v>0</v>
      </c>
      <c r="AI595">
        <v>0</v>
      </c>
      <c r="AJ595">
        <v>0</v>
      </c>
      <c r="AK595">
        <v>0</v>
      </c>
      <c r="AL595">
        <v>0</v>
      </c>
    </row>
    <row r="596" spans="1:38" x14ac:dyDescent="0.3">
      <c r="A596" t="s">
        <v>1431</v>
      </c>
      <c r="B596">
        <v>113643</v>
      </c>
      <c r="C596">
        <v>4</v>
      </c>
      <c r="D596" t="s">
        <v>1511</v>
      </c>
      <c r="E596" t="s">
        <v>1512</v>
      </c>
      <c r="F596">
        <v>85</v>
      </c>
      <c r="G596">
        <v>34.31</v>
      </c>
      <c r="H596">
        <v>113.44</v>
      </c>
      <c r="I596">
        <v>25.7</v>
      </c>
      <c r="J596">
        <v>84.98</v>
      </c>
      <c r="K596">
        <v>36</v>
      </c>
      <c r="T596">
        <v>3</v>
      </c>
      <c r="U596">
        <v>2</v>
      </c>
      <c r="V596" t="s">
        <v>541</v>
      </c>
      <c r="W596" t="s">
        <v>1516</v>
      </c>
      <c r="X596">
        <v>7</v>
      </c>
      <c r="Y596">
        <v>7</v>
      </c>
      <c r="Z596" t="s">
        <v>1513</v>
      </c>
      <c r="AA596" t="s">
        <v>1514</v>
      </c>
      <c r="AB596" t="s">
        <v>526</v>
      </c>
      <c r="AC596" t="s">
        <v>527</v>
      </c>
      <c r="AD596" t="s">
        <v>528</v>
      </c>
      <c r="AE596" t="s">
        <v>502</v>
      </c>
      <c r="AG596" t="s">
        <v>1515</v>
      </c>
      <c r="AH596">
        <v>0</v>
      </c>
      <c r="AI596">
        <v>0</v>
      </c>
      <c r="AJ596">
        <v>0</v>
      </c>
      <c r="AK596">
        <v>0</v>
      </c>
      <c r="AL596">
        <v>0</v>
      </c>
    </row>
    <row r="597" spans="1:38" x14ac:dyDescent="0.3">
      <c r="A597" t="s">
        <v>1431</v>
      </c>
      <c r="B597">
        <v>128786</v>
      </c>
      <c r="C597">
        <v>1</v>
      </c>
      <c r="D597" t="s">
        <v>1517</v>
      </c>
      <c r="E597" t="s">
        <v>1518</v>
      </c>
      <c r="F597">
        <v>55</v>
      </c>
      <c r="G597">
        <v>25.04</v>
      </c>
      <c r="H597">
        <v>82.8</v>
      </c>
      <c r="I597">
        <v>23.3</v>
      </c>
      <c r="J597">
        <v>77.040000000000006</v>
      </c>
      <c r="K597">
        <v>36</v>
      </c>
      <c r="T597">
        <v>3</v>
      </c>
      <c r="U597">
        <v>2</v>
      </c>
      <c r="V597" t="s">
        <v>541</v>
      </c>
      <c r="W597">
        <v>82</v>
      </c>
      <c r="X597">
        <v>3</v>
      </c>
      <c r="Y597">
        <v>3</v>
      </c>
      <c r="Z597" t="s">
        <v>1519</v>
      </c>
      <c r="AA597" t="s">
        <v>1520</v>
      </c>
      <c r="AB597" t="s">
        <v>526</v>
      </c>
      <c r="AC597" t="s">
        <v>527</v>
      </c>
      <c r="AD597" t="s">
        <v>528</v>
      </c>
      <c r="AE597" t="s">
        <v>502</v>
      </c>
      <c r="AG597" t="s">
        <v>1521</v>
      </c>
      <c r="AH597">
        <v>0</v>
      </c>
      <c r="AI597">
        <v>0</v>
      </c>
      <c r="AJ597">
        <v>0</v>
      </c>
      <c r="AK597">
        <v>0</v>
      </c>
      <c r="AL597">
        <v>0</v>
      </c>
    </row>
    <row r="598" spans="1:38" x14ac:dyDescent="0.3">
      <c r="A598" t="s">
        <v>1431</v>
      </c>
      <c r="B598">
        <v>128786</v>
      </c>
      <c r="C598">
        <v>2</v>
      </c>
      <c r="D598" t="s">
        <v>1517</v>
      </c>
      <c r="E598" t="s">
        <v>1518</v>
      </c>
      <c r="F598">
        <v>55</v>
      </c>
      <c r="G598">
        <v>25.86</v>
      </c>
      <c r="H598">
        <v>85.5</v>
      </c>
      <c r="I598">
        <v>24.12</v>
      </c>
      <c r="J598">
        <v>79.739999999999995</v>
      </c>
      <c r="K598">
        <v>18</v>
      </c>
      <c r="T598">
        <v>3</v>
      </c>
      <c r="U598">
        <v>2</v>
      </c>
      <c r="V598" t="s">
        <v>541</v>
      </c>
      <c r="W598">
        <v>85</v>
      </c>
      <c r="X598">
        <v>3</v>
      </c>
      <c r="Y598">
        <v>3</v>
      </c>
      <c r="Z598" t="s">
        <v>1519</v>
      </c>
      <c r="AA598" t="s">
        <v>1520</v>
      </c>
      <c r="AB598" t="s">
        <v>526</v>
      </c>
      <c r="AC598" t="s">
        <v>527</v>
      </c>
      <c r="AD598" t="s">
        <v>528</v>
      </c>
      <c r="AE598" t="s">
        <v>502</v>
      </c>
      <c r="AG598" t="s">
        <v>1521</v>
      </c>
      <c r="AH598">
        <v>0</v>
      </c>
      <c r="AI598">
        <v>0</v>
      </c>
      <c r="AJ598">
        <v>0</v>
      </c>
      <c r="AK598">
        <v>0</v>
      </c>
      <c r="AL598">
        <v>0</v>
      </c>
    </row>
    <row r="599" spans="1:38" x14ac:dyDescent="0.3">
      <c r="A599" t="s">
        <v>1431</v>
      </c>
      <c r="B599">
        <v>128786</v>
      </c>
      <c r="C599">
        <v>3</v>
      </c>
      <c r="D599" t="s">
        <v>1517</v>
      </c>
      <c r="E599" t="s">
        <v>1518</v>
      </c>
      <c r="F599">
        <v>55</v>
      </c>
      <c r="G599">
        <v>27.14</v>
      </c>
      <c r="H599">
        <v>89.73</v>
      </c>
      <c r="I599">
        <v>27.14</v>
      </c>
      <c r="J599">
        <v>89.73</v>
      </c>
      <c r="K599">
        <v>1</v>
      </c>
      <c r="T599">
        <v>3</v>
      </c>
      <c r="U599">
        <v>2</v>
      </c>
      <c r="V599" t="s">
        <v>541</v>
      </c>
      <c r="W599">
        <v>89</v>
      </c>
      <c r="X599">
        <v>3</v>
      </c>
      <c r="Y599">
        <v>3</v>
      </c>
      <c r="Z599" t="s">
        <v>1519</v>
      </c>
      <c r="AA599" t="s">
        <v>1520</v>
      </c>
      <c r="AB599" t="s">
        <v>526</v>
      </c>
      <c r="AC599" t="s">
        <v>527</v>
      </c>
      <c r="AD599" t="s">
        <v>528</v>
      </c>
      <c r="AE599" t="s">
        <v>502</v>
      </c>
      <c r="AG599" t="s">
        <v>1521</v>
      </c>
      <c r="AH599">
        <v>0</v>
      </c>
      <c r="AI599">
        <v>0</v>
      </c>
      <c r="AJ599">
        <v>0</v>
      </c>
      <c r="AK599">
        <v>0</v>
      </c>
      <c r="AL599">
        <v>0</v>
      </c>
    </row>
    <row r="600" spans="1:38" x14ac:dyDescent="0.3">
      <c r="A600" t="s">
        <v>1431</v>
      </c>
      <c r="B600">
        <v>5751</v>
      </c>
      <c r="C600">
        <v>1</v>
      </c>
      <c r="D600" t="s">
        <v>1522</v>
      </c>
      <c r="E600" t="s">
        <v>1523</v>
      </c>
      <c r="F600">
        <v>144</v>
      </c>
      <c r="G600">
        <v>31.11</v>
      </c>
      <c r="H600">
        <v>102.86</v>
      </c>
      <c r="I600">
        <v>25.69</v>
      </c>
      <c r="J600">
        <v>84.94</v>
      </c>
      <c r="K600">
        <v>144</v>
      </c>
      <c r="T600">
        <v>3</v>
      </c>
      <c r="U600">
        <v>1</v>
      </c>
      <c r="V600" t="s">
        <v>541</v>
      </c>
      <c r="W600">
        <v>102</v>
      </c>
      <c r="X600">
        <v>12</v>
      </c>
      <c r="Y600">
        <v>12</v>
      </c>
      <c r="Z600" t="s">
        <v>1524</v>
      </c>
      <c r="AA600" t="s">
        <v>1525</v>
      </c>
      <c r="AB600" t="s">
        <v>526</v>
      </c>
      <c r="AC600" t="s">
        <v>527</v>
      </c>
      <c r="AD600" t="s">
        <v>528</v>
      </c>
      <c r="AE600" t="s">
        <v>502</v>
      </c>
      <c r="AG600" t="s">
        <v>1526</v>
      </c>
      <c r="AH600">
        <v>0</v>
      </c>
      <c r="AI600">
        <v>0</v>
      </c>
      <c r="AJ600">
        <v>0</v>
      </c>
      <c r="AK600">
        <v>0</v>
      </c>
      <c r="AL600">
        <v>0</v>
      </c>
    </row>
    <row r="601" spans="1:38" x14ac:dyDescent="0.3">
      <c r="A601" t="s">
        <v>1431</v>
      </c>
      <c r="B601">
        <v>5714</v>
      </c>
      <c r="C601">
        <v>1</v>
      </c>
      <c r="D601" t="s">
        <v>1527</v>
      </c>
      <c r="E601" t="s">
        <v>1528</v>
      </c>
      <c r="F601">
        <v>720</v>
      </c>
      <c r="G601">
        <v>27.28</v>
      </c>
      <c r="H601">
        <v>90.2</v>
      </c>
      <c r="I601">
        <v>22.4</v>
      </c>
      <c r="J601">
        <v>74.069999999999993</v>
      </c>
      <c r="K601">
        <v>240</v>
      </c>
      <c r="T601">
        <v>3</v>
      </c>
      <c r="U601">
        <v>2</v>
      </c>
      <c r="V601" t="s">
        <v>541</v>
      </c>
      <c r="W601">
        <v>90</v>
      </c>
      <c r="X601">
        <v>15</v>
      </c>
      <c r="Y601">
        <v>15</v>
      </c>
      <c r="Z601" t="s">
        <v>1529</v>
      </c>
      <c r="AA601" t="s">
        <v>1530</v>
      </c>
      <c r="AB601" t="s">
        <v>526</v>
      </c>
      <c r="AC601" t="s">
        <v>527</v>
      </c>
      <c r="AD601" t="s">
        <v>528</v>
      </c>
      <c r="AE601" t="s">
        <v>502</v>
      </c>
      <c r="AG601" t="s">
        <v>1531</v>
      </c>
      <c r="AH601">
        <v>0</v>
      </c>
      <c r="AI601">
        <v>175</v>
      </c>
      <c r="AJ601">
        <v>15</v>
      </c>
      <c r="AK601">
        <v>456</v>
      </c>
      <c r="AL601">
        <v>0.63</v>
      </c>
    </row>
    <row r="602" spans="1:38" x14ac:dyDescent="0.3">
      <c r="A602" t="s">
        <v>1431</v>
      </c>
      <c r="B602">
        <v>5714</v>
      </c>
      <c r="C602">
        <v>2</v>
      </c>
      <c r="D602" t="s">
        <v>1527</v>
      </c>
      <c r="E602" t="s">
        <v>1528</v>
      </c>
      <c r="F602">
        <v>720</v>
      </c>
      <c r="G602">
        <v>30.69</v>
      </c>
      <c r="H602">
        <v>101.47</v>
      </c>
      <c r="I602">
        <v>25.62</v>
      </c>
      <c r="J602">
        <v>84.71</v>
      </c>
      <c r="K602">
        <v>360</v>
      </c>
      <c r="T602">
        <v>3</v>
      </c>
      <c r="U602">
        <v>2</v>
      </c>
      <c r="V602" t="s">
        <v>541</v>
      </c>
      <c r="W602">
        <v>101</v>
      </c>
      <c r="X602">
        <v>15</v>
      </c>
      <c r="Y602">
        <v>15</v>
      </c>
      <c r="Z602" t="s">
        <v>1529</v>
      </c>
      <c r="AA602" t="s">
        <v>1530</v>
      </c>
      <c r="AB602" t="s">
        <v>526</v>
      </c>
      <c r="AC602" t="s">
        <v>527</v>
      </c>
      <c r="AD602" t="s">
        <v>528</v>
      </c>
      <c r="AE602" t="s">
        <v>502</v>
      </c>
      <c r="AG602" t="s">
        <v>1531</v>
      </c>
      <c r="AH602">
        <v>0</v>
      </c>
      <c r="AI602">
        <v>175</v>
      </c>
      <c r="AJ602">
        <v>15</v>
      </c>
      <c r="AK602">
        <v>456</v>
      </c>
      <c r="AL602">
        <v>0.63</v>
      </c>
    </row>
    <row r="603" spans="1:38" x14ac:dyDescent="0.3">
      <c r="A603" t="s">
        <v>1431</v>
      </c>
      <c r="B603">
        <v>5714</v>
      </c>
      <c r="C603">
        <v>3</v>
      </c>
      <c r="D603" t="s">
        <v>1527</v>
      </c>
      <c r="E603" t="s">
        <v>1528</v>
      </c>
      <c r="F603">
        <v>720</v>
      </c>
      <c r="G603">
        <v>42.97</v>
      </c>
      <c r="H603">
        <v>142.07</v>
      </c>
      <c r="I603">
        <v>37.21</v>
      </c>
      <c r="J603">
        <v>123.01</v>
      </c>
      <c r="K603">
        <v>120</v>
      </c>
      <c r="T603">
        <v>4</v>
      </c>
      <c r="U603">
        <v>2</v>
      </c>
      <c r="V603" t="s">
        <v>541</v>
      </c>
      <c r="W603">
        <v>142</v>
      </c>
      <c r="X603">
        <v>15</v>
      </c>
      <c r="Y603">
        <v>15</v>
      </c>
      <c r="Z603" t="s">
        <v>1529</v>
      </c>
      <c r="AA603" t="s">
        <v>1530</v>
      </c>
      <c r="AB603" t="s">
        <v>526</v>
      </c>
      <c r="AC603" t="s">
        <v>527</v>
      </c>
      <c r="AD603" t="s">
        <v>528</v>
      </c>
      <c r="AE603" t="s">
        <v>502</v>
      </c>
      <c r="AG603" t="s">
        <v>1531</v>
      </c>
      <c r="AH603">
        <v>0</v>
      </c>
      <c r="AI603">
        <v>175</v>
      </c>
      <c r="AJ603">
        <v>15</v>
      </c>
      <c r="AK603">
        <v>456</v>
      </c>
      <c r="AL603">
        <v>0.63</v>
      </c>
    </row>
    <row r="604" spans="1:38" x14ac:dyDescent="0.3">
      <c r="A604" t="s">
        <v>1431</v>
      </c>
      <c r="B604">
        <v>15105</v>
      </c>
      <c r="C604">
        <v>1</v>
      </c>
      <c r="D604" t="s">
        <v>590</v>
      </c>
      <c r="E604" t="s">
        <v>1523</v>
      </c>
      <c r="F604">
        <v>230</v>
      </c>
      <c r="G604">
        <v>21.58</v>
      </c>
      <c r="H604">
        <v>71.34</v>
      </c>
      <c r="I604">
        <v>18.12</v>
      </c>
      <c r="J604">
        <v>59.93</v>
      </c>
      <c r="K604">
        <v>230</v>
      </c>
      <c r="T604">
        <v>3</v>
      </c>
      <c r="U604">
        <v>1</v>
      </c>
      <c r="V604" t="s">
        <v>541</v>
      </c>
      <c r="W604">
        <v>71</v>
      </c>
      <c r="X604">
        <v>5</v>
      </c>
      <c r="Y604">
        <v>2</v>
      </c>
      <c r="Z604" t="s">
        <v>1532</v>
      </c>
      <c r="AA604" t="s">
        <v>1533</v>
      </c>
      <c r="AB604" t="s">
        <v>526</v>
      </c>
      <c r="AC604" t="s">
        <v>527</v>
      </c>
      <c r="AD604" t="s">
        <v>528</v>
      </c>
      <c r="AE604" t="s">
        <v>502</v>
      </c>
      <c r="AG604" t="s">
        <v>1534</v>
      </c>
      <c r="AH604">
        <v>0</v>
      </c>
      <c r="AI604">
        <v>0</v>
      </c>
      <c r="AJ604">
        <v>0</v>
      </c>
      <c r="AK604">
        <v>0</v>
      </c>
      <c r="AL604">
        <v>0</v>
      </c>
    </row>
    <row r="605" spans="1:38" x14ac:dyDescent="0.3">
      <c r="A605" t="s">
        <v>1431</v>
      </c>
      <c r="B605">
        <v>5759</v>
      </c>
      <c r="C605">
        <v>1</v>
      </c>
      <c r="D605" t="s">
        <v>1535</v>
      </c>
      <c r="E605" t="s">
        <v>1070</v>
      </c>
      <c r="F605">
        <v>360</v>
      </c>
      <c r="G605">
        <v>22.98</v>
      </c>
      <c r="H605">
        <v>75.98</v>
      </c>
      <c r="I605">
        <v>18.13</v>
      </c>
      <c r="J605">
        <v>59.95</v>
      </c>
      <c r="K605">
        <v>180</v>
      </c>
      <c r="T605">
        <v>3</v>
      </c>
      <c r="U605">
        <v>1</v>
      </c>
      <c r="V605" t="s">
        <v>541</v>
      </c>
      <c r="W605">
        <v>75</v>
      </c>
      <c r="X605">
        <v>15</v>
      </c>
      <c r="Y605">
        <v>15</v>
      </c>
      <c r="Z605" t="s">
        <v>1536</v>
      </c>
      <c r="AA605" t="s">
        <v>1537</v>
      </c>
      <c r="AB605" t="s">
        <v>526</v>
      </c>
      <c r="AC605" t="s">
        <v>527</v>
      </c>
      <c r="AD605" t="s">
        <v>528</v>
      </c>
      <c r="AE605" t="s">
        <v>502</v>
      </c>
      <c r="AG605" t="s">
        <v>1538</v>
      </c>
      <c r="AH605">
        <v>0</v>
      </c>
      <c r="AI605">
        <v>199</v>
      </c>
      <c r="AJ605">
        <v>16</v>
      </c>
      <c r="AK605">
        <v>295</v>
      </c>
      <c r="AL605">
        <v>0.82</v>
      </c>
    </row>
    <row r="606" spans="1:38" x14ac:dyDescent="0.3">
      <c r="A606" t="s">
        <v>1431</v>
      </c>
      <c r="B606">
        <v>5759</v>
      </c>
      <c r="C606">
        <v>2</v>
      </c>
      <c r="D606" t="s">
        <v>1535</v>
      </c>
      <c r="E606" t="s">
        <v>1070</v>
      </c>
      <c r="F606">
        <v>360</v>
      </c>
      <c r="G606">
        <v>31.72</v>
      </c>
      <c r="H606">
        <v>104.88</v>
      </c>
      <c r="I606">
        <v>25.68</v>
      </c>
      <c r="J606">
        <v>84.92</v>
      </c>
      <c r="K606">
        <v>180</v>
      </c>
      <c r="T606">
        <v>3</v>
      </c>
      <c r="U606">
        <v>2</v>
      </c>
      <c r="V606" t="s">
        <v>541</v>
      </c>
      <c r="W606">
        <v>104</v>
      </c>
      <c r="X606">
        <v>15</v>
      </c>
      <c r="Y606">
        <v>15</v>
      </c>
      <c r="Z606" t="s">
        <v>1536</v>
      </c>
      <c r="AA606" t="s">
        <v>1537</v>
      </c>
      <c r="AB606" t="s">
        <v>526</v>
      </c>
      <c r="AC606" t="s">
        <v>527</v>
      </c>
      <c r="AD606" t="s">
        <v>528</v>
      </c>
      <c r="AE606" t="s">
        <v>502</v>
      </c>
      <c r="AG606" t="s">
        <v>1538</v>
      </c>
      <c r="AH606">
        <v>0</v>
      </c>
      <c r="AI606">
        <v>199</v>
      </c>
      <c r="AJ606">
        <v>16</v>
      </c>
      <c r="AK606">
        <v>295</v>
      </c>
      <c r="AL606">
        <v>0.82</v>
      </c>
    </row>
    <row r="607" spans="1:38" x14ac:dyDescent="0.3">
      <c r="A607" t="s">
        <v>1431</v>
      </c>
      <c r="B607">
        <v>17109</v>
      </c>
      <c r="C607">
        <v>1</v>
      </c>
      <c r="D607" t="s">
        <v>1539</v>
      </c>
      <c r="E607" t="s">
        <v>1540</v>
      </c>
      <c r="F607">
        <v>138</v>
      </c>
      <c r="G607">
        <v>23.85</v>
      </c>
      <c r="H607">
        <v>78.849999999999994</v>
      </c>
      <c r="I607">
        <v>18.13</v>
      </c>
      <c r="J607">
        <v>59.94</v>
      </c>
      <c r="K607">
        <v>56</v>
      </c>
      <c r="T607">
        <v>3</v>
      </c>
      <c r="U607">
        <v>1</v>
      </c>
      <c r="V607" t="s">
        <v>541</v>
      </c>
      <c r="W607">
        <v>78</v>
      </c>
      <c r="X607">
        <v>16</v>
      </c>
      <c r="Y607">
        <v>12</v>
      </c>
      <c r="Z607" t="s">
        <v>1541</v>
      </c>
      <c r="AA607" t="s">
        <v>1542</v>
      </c>
      <c r="AB607" t="s">
        <v>526</v>
      </c>
      <c r="AC607" t="s">
        <v>527</v>
      </c>
      <c r="AD607" t="s">
        <v>528</v>
      </c>
      <c r="AE607" t="s">
        <v>502</v>
      </c>
      <c r="AG607" t="s">
        <v>1543</v>
      </c>
      <c r="AH607">
        <v>0</v>
      </c>
      <c r="AI607">
        <v>209</v>
      </c>
      <c r="AJ607">
        <v>21</v>
      </c>
      <c r="AK607">
        <v>138</v>
      </c>
      <c r="AL607">
        <v>1</v>
      </c>
    </row>
    <row r="608" spans="1:38" x14ac:dyDescent="0.3">
      <c r="A608" t="s">
        <v>1431</v>
      </c>
      <c r="B608">
        <v>17109</v>
      </c>
      <c r="C608">
        <v>2</v>
      </c>
      <c r="D608" t="s">
        <v>1539</v>
      </c>
      <c r="E608" t="s">
        <v>1540</v>
      </c>
      <c r="F608">
        <v>138</v>
      </c>
      <c r="G608">
        <v>31.64</v>
      </c>
      <c r="H608">
        <v>104.62</v>
      </c>
      <c r="I608">
        <v>25.7</v>
      </c>
      <c r="J608">
        <v>84.96</v>
      </c>
      <c r="K608">
        <v>82</v>
      </c>
      <c r="T608">
        <v>3</v>
      </c>
      <c r="U608">
        <v>2</v>
      </c>
      <c r="V608" t="s">
        <v>541</v>
      </c>
      <c r="W608">
        <v>104</v>
      </c>
      <c r="X608">
        <v>16</v>
      </c>
      <c r="Y608">
        <v>12</v>
      </c>
      <c r="Z608" t="s">
        <v>1541</v>
      </c>
      <c r="AA608" t="s">
        <v>1542</v>
      </c>
      <c r="AB608" t="s">
        <v>526</v>
      </c>
      <c r="AC608" t="s">
        <v>527</v>
      </c>
      <c r="AD608" t="s">
        <v>528</v>
      </c>
      <c r="AE608" t="s">
        <v>502</v>
      </c>
      <c r="AG608" t="s">
        <v>1543</v>
      </c>
      <c r="AH608">
        <v>0</v>
      </c>
      <c r="AI608">
        <v>209</v>
      </c>
      <c r="AJ608">
        <v>21</v>
      </c>
      <c r="AK608">
        <v>138</v>
      </c>
      <c r="AL608">
        <v>1</v>
      </c>
    </row>
    <row r="609" spans="1:38" x14ac:dyDescent="0.3">
      <c r="A609" t="s">
        <v>1431</v>
      </c>
      <c r="B609">
        <v>15097</v>
      </c>
      <c r="C609">
        <v>1</v>
      </c>
      <c r="D609" t="s">
        <v>1544</v>
      </c>
      <c r="E609" t="s">
        <v>1545</v>
      </c>
      <c r="F609">
        <v>112</v>
      </c>
      <c r="G609">
        <v>31.48</v>
      </c>
      <c r="H609">
        <v>104.09</v>
      </c>
      <c r="I609">
        <v>25.52</v>
      </c>
      <c r="J609">
        <v>84.39</v>
      </c>
      <c r="K609">
        <v>84</v>
      </c>
      <c r="T609">
        <v>3</v>
      </c>
      <c r="U609">
        <v>2</v>
      </c>
      <c r="V609" t="s">
        <v>541</v>
      </c>
      <c r="W609">
        <v>104</v>
      </c>
      <c r="X609">
        <v>14</v>
      </c>
      <c r="Y609">
        <v>14</v>
      </c>
      <c r="Z609" t="s">
        <v>1546</v>
      </c>
      <c r="AA609" t="s">
        <v>1547</v>
      </c>
      <c r="AB609" t="s">
        <v>526</v>
      </c>
      <c r="AC609" t="s">
        <v>527</v>
      </c>
      <c r="AD609" t="s">
        <v>528</v>
      </c>
      <c r="AE609" t="s">
        <v>502</v>
      </c>
      <c r="AG609" t="s">
        <v>1548</v>
      </c>
      <c r="AH609">
        <v>0</v>
      </c>
      <c r="AI609">
        <v>0</v>
      </c>
      <c r="AJ609">
        <v>0</v>
      </c>
      <c r="AK609">
        <v>0</v>
      </c>
      <c r="AL609">
        <v>0</v>
      </c>
    </row>
    <row r="610" spans="1:38" x14ac:dyDescent="0.3">
      <c r="A610" t="s">
        <v>1431</v>
      </c>
      <c r="B610">
        <v>15097</v>
      </c>
      <c r="C610">
        <v>2</v>
      </c>
      <c r="D610" t="s">
        <v>1544</v>
      </c>
      <c r="E610" t="s">
        <v>1545</v>
      </c>
      <c r="F610">
        <v>112</v>
      </c>
      <c r="G610">
        <v>43.21</v>
      </c>
      <c r="H610">
        <v>142.86000000000001</v>
      </c>
      <c r="I610">
        <v>37.31</v>
      </c>
      <c r="J610">
        <v>123.37</v>
      </c>
      <c r="K610">
        <v>28</v>
      </c>
      <c r="T610">
        <v>4</v>
      </c>
      <c r="U610">
        <v>2</v>
      </c>
      <c r="V610" t="s">
        <v>541</v>
      </c>
      <c r="W610">
        <v>142</v>
      </c>
      <c r="X610">
        <v>14</v>
      </c>
      <c r="Y610">
        <v>14</v>
      </c>
      <c r="Z610" t="s">
        <v>1546</v>
      </c>
      <c r="AA610" t="s">
        <v>1547</v>
      </c>
      <c r="AB610" t="s">
        <v>526</v>
      </c>
      <c r="AC610" t="s">
        <v>527</v>
      </c>
      <c r="AD610" t="s">
        <v>528</v>
      </c>
      <c r="AE610" t="s">
        <v>502</v>
      </c>
      <c r="AG610" t="s">
        <v>1548</v>
      </c>
      <c r="AH610">
        <v>0</v>
      </c>
      <c r="AI610">
        <v>0</v>
      </c>
      <c r="AJ610">
        <v>0</v>
      </c>
      <c r="AK610">
        <v>0</v>
      </c>
      <c r="AL610">
        <v>0</v>
      </c>
    </row>
    <row r="611" spans="1:38" x14ac:dyDescent="0.3">
      <c r="A611" t="s">
        <v>1431</v>
      </c>
      <c r="B611">
        <v>5733</v>
      </c>
      <c r="C611">
        <v>1</v>
      </c>
      <c r="D611" t="s">
        <v>1549</v>
      </c>
      <c r="E611" t="s">
        <v>1176</v>
      </c>
      <c r="F611">
        <v>200</v>
      </c>
      <c r="G611">
        <v>50</v>
      </c>
      <c r="H611">
        <v>165.32</v>
      </c>
      <c r="I611">
        <v>39.880000000000003</v>
      </c>
      <c r="J611">
        <v>131.85</v>
      </c>
      <c r="K611">
        <v>160</v>
      </c>
      <c r="T611">
        <v>4</v>
      </c>
      <c r="U611">
        <v>2</v>
      </c>
      <c r="V611" t="s">
        <v>541</v>
      </c>
      <c r="W611">
        <v>165</v>
      </c>
      <c r="X611">
        <v>20</v>
      </c>
      <c r="Y611">
        <v>20</v>
      </c>
      <c r="Z611" t="s">
        <v>1550</v>
      </c>
      <c r="AA611" t="s">
        <v>1551</v>
      </c>
      <c r="AB611" t="s">
        <v>526</v>
      </c>
      <c r="AC611" t="s">
        <v>527</v>
      </c>
      <c r="AD611" t="s">
        <v>528</v>
      </c>
      <c r="AE611" t="s">
        <v>502</v>
      </c>
      <c r="AG611" t="s">
        <v>1552</v>
      </c>
      <c r="AH611">
        <v>0</v>
      </c>
      <c r="AI611">
        <v>287</v>
      </c>
      <c r="AJ611">
        <v>19</v>
      </c>
      <c r="AK611">
        <v>0</v>
      </c>
      <c r="AL611">
        <v>0</v>
      </c>
    </row>
    <row r="612" spans="1:38" x14ac:dyDescent="0.3">
      <c r="A612" t="s">
        <v>1431</v>
      </c>
      <c r="B612">
        <v>5733</v>
      </c>
      <c r="C612">
        <v>2</v>
      </c>
      <c r="D612" t="s">
        <v>1549</v>
      </c>
      <c r="E612" t="s">
        <v>1176</v>
      </c>
      <c r="F612">
        <v>200</v>
      </c>
      <c r="G612">
        <v>58.27</v>
      </c>
      <c r="H612">
        <v>192.63</v>
      </c>
      <c r="I612">
        <v>46.73</v>
      </c>
      <c r="J612">
        <v>154.51</v>
      </c>
      <c r="K612">
        <v>40</v>
      </c>
      <c r="T612">
        <v>4</v>
      </c>
      <c r="U612">
        <v>2</v>
      </c>
      <c r="V612" t="s">
        <v>541</v>
      </c>
      <c r="W612">
        <v>192</v>
      </c>
      <c r="X612">
        <v>20</v>
      </c>
      <c r="Y612">
        <v>20</v>
      </c>
      <c r="Z612" t="s">
        <v>1550</v>
      </c>
      <c r="AA612" t="s">
        <v>1551</v>
      </c>
      <c r="AB612" t="s">
        <v>526</v>
      </c>
      <c r="AC612" t="s">
        <v>527</v>
      </c>
      <c r="AD612" t="s">
        <v>528</v>
      </c>
      <c r="AE612" t="s">
        <v>502</v>
      </c>
      <c r="AG612" t="s">
        <v>1552</v>
      </c>
      <c r="AH612">
        <v>0</v>
      </c>
      <c r="AI612">
        <v>287</v>
      </c>
      <c r="AJ612">
        <v>19</v>
      </c>
      <c r="AK612">
        <v>0</v>
      </c>
      <c r="AL612">
        <v>0</v>
      </c>
    </row>
    <row r="613" spans="1:38" x14ac:dyDescent="0.3">
      <c r="A613" t="s">
        <v>1431</v>
      </c>
      <c r="B613">
        <v>116876</v>
      </c>
      <c r="C613">
        <v>1</v>
      </c>
      <c r="D613" t="s">
        <v>1553</v>
      </c>
      <c r="E613" t="s">
        <v>1554</v>
      </c>
      <c r="F613">
        <v>90</v>
      </c>
      <c r="G613">
        <v>14.67</v>
      </c>
      <c r="H613">
        <v>48.52</v>
      </c>
      <c r="I613">
        <v>12.94</v>
      </c>
      <c r="J613">
        <v>42.8</v>
      </c>
      <c r="K613">
        <v>20</v>
      </c>
      <c r="T613">
        <v>2</v>
      </c>
      <c r="U613">
        <v>1</v>
      </c>
      <c r="V613" t="s">
        <v>523</v>
      </c>
      <c r="W613" t="s">
        <v>1555</v>
      </c>
      <c r="X613">
        <v>5</v>
      </c>
      <c r="Y613">
        <v>5</v>
      </c>
      <c r="Z613" t="s">
        <v>1556</v>
      </c>
      <c r="AA613" t="s">
        <v>1557</v>
      </c>
      <c r="AB613" t="s">
        <v>526</v>
      </c>
      <c r="AC613" t="s">
        <v>527</v>
      </c>
      <c r="AD613" t="s">
        <v>528</v>
      </c>
      <c r="AE613" t="s">
        <v>502</v>
      </c>
      <c r="AG613" t="s">
        <v>1558</v>
      </c>
      <c r="AH613">
        <v>0</v>
      </c>
      <c r="AI613">
        <v>0</v>
      </c>
      <c r="AJ613">
        <v>0</v>
      </c>
      <c r="AK613">
        <v>0</v>
      </c>
      <c r="AL613">
        <v>0</v>
      </c>
    </row>
    <row r="614" spans="1:38" x14ac:dyDescent="0.3">
      <c r="A614" t="s">
        <v>1431</v>
      </c>
      <c r="B614">
        <v>116876</v>
      </c>
      <c r="C614">
        <v>2</v>
      </c>
      <c r="D614" t="s">
        <v>1553</v>
      </c>
      <c r="E614" t="s">
        <v>1554</v>
      </c>
      <c r="F614">
        <v>90</v>
      </c>
      <c r="G614">
        <v>14.71</v>
      </c>
      <c r="H614">
        <v>48.66</v>
      </c>
      <c r="I614">
        <v>12.91</v>
      </c>
      <c r="J614">
        <v>42.68</v>
      </c>
      <c r="K614">
        <v>5</v>
      </c>
      <c r="T614">
        <v>2</v>
      </c>
      <c r="U614">
        <v>1</v>
      </c>
      <c r="V614" t="s">
        <v>541</v>
      </c>
      <c r="W614" t="s">
        <v>1152</v>
      </c>
      <c r="X614">
        <v>5</v>
      </c>
      <c r="Y614">
        <v>5</v>
      </c>
      <c r="Z614" t="s">
        <v>1556</v>
      </c>
      <c r="AA614" t="s">
        <v>1557</v>
      </c>
      <c r="AB614" t="s">
        <v>526</v>
      </c>
      <c r="AC614" t="s">
        <v>527</v>
      </c>
      <c r="AD614" t="s">
        <v>528</v>
      </c>
      <c r="AE614" t="s">
        <v>502</v>
      </c>
      <c r="AG614" t="s">
        <v>1558</v>
      </c>
      <c r="AH614">
        <v>0</v>
      </c>
      <c r="AI614">
        <v>0</v>
      </c>
      <c r="AJ614">
        <v>0</v>
      </c>
      <c r="AK614">
        <v>0</v>
      </c>
      <c r="AL614">
        <v>0</v>
      </c>
    </row>
    <row r="615" spans="1:38" x14ac:dyDescent="0.3">
      <c r="A615" t="s">
        <v>1431</v>
      </c>
      <c r="B615">
        <v>116876</v>
      </c>
      <c r="C615">
        <v>3</v>
      </c>
      <c r="D615" t="s">
        <v>1553</v>
      </c>
      <c r="E615" t="s">
        <v>1554</v>
      </c>
      <c r="F615">
        <v>90</v>
      </c>
      <c r="G615">
        <v>16.66</v>
      </c>
      <c r="H615">
        <v>55.09</v>
      </c>
      <c r="I615">
        <v>14.93</v>
      </c>
      <c r="J615">
        <v>49.37</v>
      </c>
      <c r="K615">
        <v>39</v>
      </c>
      <c r="T615">
        <v>2</v>
      </c>
      <c r="U615">
        <v>1</v>
      </c>
      <c r="V615" t="s">
        <v>523</v>
      </c>
      <c r="W615" t="s">
        <v>1559</v>
      </c>
      <c r="X615">
        <v>5</v>
      </c>
      <c r="Y615">
        <v>5</v>
      </c>
      <c r="Z615" t="s">
        <v>1556</v>
      </c>
      <c r="AA615" t="s">
        <v>1557</v>
      </c>
      <c r="AB615" t="s">
        <v>526</v>
      </c>
      <c r="AC615" t="s">
        <v>527</v>
      </c>
      <c r="AD615" t="s">
        <v>528</v>
      </c>
      <c r="AE615" t="s">
        <v>502</v>
      </c>
      <c r="AG615" t="s">
        <v>1558</v>
      </c>
      <c r="AH615">
        <v>0</v>
      </c>
      <c r="AI615">
        <v>0</v>
      </c>
      <c r="AJ615">
        <v>0</v>
      </c>
      <c r="AK615">
        <v>0</v>
      </c>
      <c r="AL615">
        <v>0</v>
      </c>
    </row>
    <row r="616" spans="1:38" x14ac:dyDescent="0.3">
      <c r="A616" t="s">
        <v>1431</v>
      </c>
      <c r="B616">
        <v>116876</v>
      </c>
      <c r="C616">
        <v>4</v>
      </c>
      <c r="D616" t="s">
        <v>1553</v>
      </c>
      <c r="E616" t="s">
        <v>1554</v>
      </c>
      <c r="F616">
        <v>90</v>
      </c>
      <c r="G616">
        <v>16.64</v>
      </c>
      <c r="H616">
        <v>55.01</v>
      </c>
      <c r="I616">
        <v>14.83</v>
      </c>
      <c r="J616">
        <v>49.03</v>
      </c>
      <c r="K616">
        <v>25</v>
      </c>
      <c r="T616">
        <v>2</v>
      </c>
      <c r="U616">
        <v>1</v>
      </c>
      <c r="V616" t="s">
        <v>523</v>
      </c>
      <c r="W616" t="s">
        <v>1560</v>
      </c>
      <c r="X616">
        <v>5</v>
      </c>
      <c r="Y616">
        <v>5</v>
      </c>
      <c r="Z616" t="s">
        <v>1556</v>
      </c>
      <c r="AA616" t="s">
        <v>1557</v>
      </c>
      <c r="AB616" t="s">
        <v>526</v>
      </c>
      <c r="AC616" t="s">
        <v>527</v>
      </c>
      <c r="AD616" t="s">
        <v>528</v>
      </c>
      <c r="AE616" t="s">
        <v>502</v>
      </c>
      <c r="AG616" t="s">
        <v>1558</v>
      </c>
      <c r="AH616">
        <v>0</v>
      </c>
      <c r="AI616">
        <v>0</v>
      </c>
      <c r="AJ616">
        <v>0</v>
      </c>
      <c r="AK616">
        <v>0</v>
      </c>
      <c r="AL616">
        <v>0</v>
      </c>
    </row>
    <row r="617" spans="1:38" x14ac:dyDescent="0.3">
      <c r="A617" t="s">
        <v>1431</v>
      </c>
      <c r="B617">
        <v>116876</v>
      </c>
      <c r="C617">
        <v>5</v>
      </c>
      <c r="D617" t="s">
        <v>1553</v>
      </c>
      <c r="E617" t="s">
        <v>1554</v>
      </c>
      <c r="F617">
        <v>90</v>
      </c>
      <c r="G617">
        <v>16.690000000000001</v>
      </c>
      <c r="H617">
        <v>55.19</v>
      </c>
      <c r="I617">
        <v>14.96</v>
      </c>
      <c r="J617">
        <v>49.47</v>
      </c>
      <c r="K617">
        <v>1</v>
      </c>
      <c r="T617">
        <v>2</v>
      </c>
      <c r="U617">
        <v>1</v>
      </c>
      <c r="V617" t="s">
        <v>523</v>
      </c>
      <c r="W617" t="s">
        <v>1561</v>
      </c>
      <c r="X617">
        <v>5</v>
      </c>
      <c r="Y617">
        <v>5</v>
      </c>
      <c r="Z617" t="s">
        <v>1556</v>
      </c>
      <c r="AA617" t="s">
        <v>1557</v>
      </c>
      <c r="AB617" t="s">
        <v>526</v>
      </c>
      <c r="AC617" t="s">
        <v>527</v>
      </c>
      <c r="AD617" t="s">
        <v>528</v>
      </c>
      <c r="AE617" t="s">
        <v>502</v>
      </c>
      <c r="AG617" t="s">
        <v>1558</v>
      </c>
      <c r="AH617">
        <v>0</v>
      </c>
      <c r="AI617">
        <v>0</v>
      </c>
      <c r="AJ617">
        <v>0</v>
      </c>
      <c r="AK617">
        <v>0</v>
      </c>
      <c r="AL617">
        <v>0</v>
      </c>
    </row>
    <row r="618" spans="1:38" x14ac:dyDescent="0.3">
      <c r="A618" t="s">
        <v>1431</v>
      </c>
      <c r="B618">
        <v>117446</v>
      </c>
      <c r="C618">
        <v>1</v>
      </c>
      <c r="D618" t="s">
        <v>1562</v>
      </c>
      <c r="E618" t="s">
        <v>1443</v>
      </c>
      <c r="F618">
        <v>40</v>
      </c>
      <c r="G618">
        <v>23.95</v>
      </c>
      <c r="H618">
        <v>79.19</v>
      </c>
      <c r="I618">
        <v>17.75</v>
      </c>
      <c r="J618">
        <v>58.69</v>
      </c>
      <c r="K618">
        <v>15</v>
      </c>
      <c r="T618">
        <v>3</v>
      </c>
      <c r="U618">
        <v>2</v>
      </c>
      <c r="V618" t="s">
        <v>541</v>
      </c>
      <c r="W618" t="s">
        <v>275</v>
      </c>
      <c r="X618">
        <v>7</v>
      </c>
      <c r="Y618">
        <v>7</v>
      </c>
      <c r="Z618" t="s">
        <v>1563</v>
      </c>
      <c r="AA618" t="s">
        <v>1564</v>
      </c>
      <c r="AB618" t="s">
        <v>526</v>
      </c>
      <c r="AC618" t="s">
        <v>527</v>
      </c>
      <c r="AD618" t="s">
        <v>528</v>
      </c>
      <c r="AE618" t="s">
        <v>502</v>
      </c>
      <c r="AG618" t="s">
        <v>1565</v>
      </c>
      <c r="AH618">
        <v>0</v>
      </c>
      <c r="AI618">
        <v>132</v>
      </c>
      <c r="AJ618">
        <v>39</v>
      </c>
      <c r="AK618">
        <v>41</v>
      </c>
      <c r="AL618">
        <v>1.02</v>
      </c>
    </row>
    <row r="619" spans="1:38" x14ac:dyDescent="0.3">
      <c r="A619" t="s">
        <v>1431</v>
      </c>
      <c r="B619">
        <v>117446</v>
      </c>
      <c r="C619">
        <v>2</v>
      </c>
      <c r="D619" t="s">
        <v>1562</v>
      </c>
      <c r="E619" t="s">
        <v>1443</v>
      </c>
      <c r="F619">
        <v>40</v>
      </c>
      <c r="G619">
        <v>23.95</v>
      </c>
      <c r="H619">
        <v>79.19</v>
      </c>
      <c r="I619">
        <v>17.75</v>
      </c>
      <c r="J619">
        <v>58.69</v>
      </c>
      <c r="K619">
        <v>1</v>
      </c>
      <c r="T619">
        <v>3</v>
      </c>
      <c r="U619">
        <v>2</v>
      </c>
      <c r="V619" t="s">
        <v>541</v>
      </c>
      <c r="W619" t="s">
        <v>1120</v>
      </c>
      <c r="X619">
        <v>7</v>
      </c>
      <c r="Y619">
        <v>7</v>
      </c>
      <c r="Z619" t="s">
        <v>1563</v>
      </c>
      <c r="AA619" t="s">
        <v>1564</v>
      </c>
      <c r="AB619" t="s">
        <v>526</v>
      </c>
      <c r="AC619" t="s">
        <v>527</v>
      </c>
      <c r="AD619" t="s">
        <v>528</v>
      </c>
      <c r="AE619" t="s">
        <v>502</v>
      </c>
      <c r="AG619" t="s">
        <v>1565</v>
      </c>
      <c r="AH619">
        <v>0</v>
      </c>
      <c r="AI619">
        <v>132</v>
      </c>
      <c r="AJ619">
        <v>39</v>
      </c>
      <c r="AK619">
        <v>41</v>
      </c>
      <c r="AL619">
        <v>1.02</v>
      </c>
    </row>
    <row r="620" spans="1:38" x14ac:dyDescent="0.3">
      <c r="A620" t="s">
        <v>1431</v>
      </c>
      <c r="B620">
        <v>117446</v>
      </c>
      <c r="C620">
        <v>3</v>
      </c>
      <c r="D620" t="s">
        <v>1562</v>
      </c>
      <c r="E620" t="s">
        <v>1443</v>
      </c>
      <c r="F620">
        <v>40</v>
      </c>
      <c r="G620">
        <v>24.62</v>
      </c>
      <c r="H620">
        <v>81.42</v>
      </c>
      <c r="I620">
        <v>18.12</v>
      </c>
      <c r="J620">
        <v>59.92</v>
      </c>
      <c r="K620">
        <v>24</v>
      </c>
      <c r="T620">
        <v>3</v>
      </c>
      <c r="U620">
        <v>2</v>
      </c>
      <c r="V620" t="s">
        <v>541</v>
      </c>
      <c r="W620">
        <v>81</v>
      </c>
      <c r="X620">
        <v>7</v>
      </c>
      <c r="Y620">
        <v>7</v>
      </c>
      <c r="Z620" t="s">
        <v>1563</v>
      </c>
      <c r="AA620" t="s">
        <v>1564</v>
      </c>
      <c r="AB620" t="s">
        <v>526</v>
      </c>
      <c r="AC620" t="s">
        <v>527</v>
      </c>
      <c r="AD620" t="s">
        <v>528</v>
      </c>
      <c r="AE620" t="s">
        <v>502</v>
      </c>
      <c r="AG620" t="s">
        <v>1565</v>
      </c>
      <c r="AH620">
        <v>0</v>
      </c>
      <c r="AI620">
        <v>132</v>
      </c>
      <c r="AJ620">
        <v>39</v>
      </c>
      <c r="AK620">
        <v>41</v>
      </c>
      <c r="AL620">
        <v>1.02</v>
      </c>
    </row>
    <row r="621" spans="1:38" x14ac:dyDescent="0.3">
      <c r="A621" t="s">
        <v>1431</v>
      </c>
      <c r="B621">
        <v>5756</v>
      </c>
      <c r="C621">
        <v>1</v>
      </c>
      <c r="D621" t="s">
        <v>1566</v>
      </c>
      <c r="E621" t="s">
        <v>1523</v>
      </c>
      <c r="F621">
        <v>240</v>
      </c>
      <c r="G621">
        <v>31.02</v>
      </c>
      <c r="H621">
        <v>102.55</v>
      </c>
      <c r="I621">
        <v>25.7</v>
      </c>
      <c r="J621">
        <v>84.99</v>
      </c>
      <c r="K621">
        <v>240</v>
      </c>
      <c r="T621">
        <v>3</v>
      </c>
      <c r="U621">
        <v>2</v>
      </c>
      <c r="V621" t="s">
        <v>541</v>
      </c>
      <c r="W621">
        <v>102</v>
      </c>
      <c r="X621">
        <v>5</v>
      </c>
      <c r="Y621">
        <v>5</v>
      </c>
      <c r="Z621" t="s">
        <v>1567</v>
      </c>
      <c r="AA621" t="s">
        <v>1568</v>
      </c>
      <c r="AB621" t="s">
        <v>526</v>
      </c>
      <c r="AC621" t="s">
        <v>527</v>
      </c>
      <c r="AD621" t="s">
        <v>528</v>
      </c>
      <c r="AE621" t="s">
        <v>502</v>
      </c>
      <c r="AG621" t="s">
        <v>1569</v>
      </c>
      <c r="AH621">
        <v>0</v>
      </c>
      <c r="AI621">
        <v>0</v>
      </c>
      <c r="AJ621">
        <v>0</v>
      </c>
      <c r="AK621">
        <v>168</v>
      </c>
      <c r="AL621">
        <v>0.7</v>
      </c>
    </row>
    <row r="622" spans="1:38" x14ac:dyDescent="0.3">
      <c r="A622" t="s">
        <v>1431</v>
      </c>
      <c r="B622">
        <v>104944</v>
      </c>
      <c r="C622">
        <v>1</v>
      </c>
      <c r="D622" t="s">
        <v>1570</v>
      </c>
      <c r="E622" t="s">
        <v>1571</v>
      </c>
      <c r="F622">
        <v>80</v>
      </c>
      <c r="G622">
        <v>27.22</v>
      </c>
      <c r="H622">
        <v>90.01</v>
      </c>
      <c r="I622">
        <v>23.16</v>
      </c>
      <c r="J622">
        <v>76.59</v>
      </c>
      <c r="K622">
        <v>50</v>
      </c>
      <c r="T622">
        <v>3</v>
      </c>
      <c r="U622">
        <v>1</v>
      </c>
      <c r="V622" t="s">
        <v>541</v>
      </c>
      <c r="W622">
        <v>90</v>
      </c>
      <c r="X622">
        <v>5</v>
      </c>
      <c r="Y622">
        <v>5</v>
      </c>
      <c r="Z622" t="s">
        <v>1572</v>
      </c>
      <c r="AA622" t="s">
        <v>1573</v>
      </c>
      <c r="AB622" t="s">
        <v>526</v>
      </c>
      <c r="AC622" t="s">
        <v>527</v>
      </c>
      <c r="AD622" t="s">
        <v>528</v>
      </c>
      <c r="AE622" t="s">
        <v>502</v>
      </c>
      <c r="AG622" t="s">
        <v>1574</v>
      </c>
      <c r="AH622">
        <v>0</v>
      </c>
      <c r="AI622">
        <v>0</v>
      </c>
      <c r="AJ622">
        <v>0</v>
      </c>
      <c r="AK622">
        <v>0</v>
      </c>
      <c r="AL622">
        <v>0</v>
      </c>
    </row>
    <row r="623" spans="1:38" x14ac:dyDescent="0.3">
      <c r="A623" t="s">
        <v>1431</v>
      </c>
      <c r="B623">
        <v>104944</v>
      </c>
      <c r="C623">
        <v>2</v>
      </c>
      <c r="D623" t="s">
        <v>1570</v>
      </c>
      <c r="E623" t="s">
        <v>1571</v>
      </c>
      <c r="F623">
        <v>80</v>
      </c>
      <c r="G623">
        <v>30.48</v>
      </c>
      <c r="H623">
        <v>100.77</v>
      </c>
      <c r="I623">
        <v>25.67</v>
      </c>
      <c r="J623">
        <v>84.87</v>
      </c>
      <c r="K623">
        <v>30</v>
      </c>
      <c r="T623">
        <v>3</v>
      </c>
      <c r="U623">
        <v>2</v>
      </c>
      <c r="V623" t="s">
        <v>541</v>
      </c>
      <c r="W623">
        <v>100</v>
      </c>
      <c r="X623">
        <v>5</v>
      </c>
      <c r="Y623">
        <v>5</v>
      </c>
      <c r="Z623" t="s">
        <v>1572</v>
      </c>
      <c r="AA623" t="s">
        <v>1573</v>
      </c>
      <c r="AB623" t="s">
        <v>526</v>
      </c>
      <c r="AC623" t="s">
        <v>527</v>
      </c>
      <c r="AD623" t="s">
        <v>528</v>
      </c>
      <c r="AE623" t="s">
        <v>502</v>
      </c>
      <c r="AG623" t="s">
        <v>1574</v>
      </c>
      <c r="AH623">
        <v>0</v>
      </c>
      <c r="AI623">
        <v>0</v>
      </c>
      <c r="AJ623">
        <v>0</v>
      </c>
      <c r="AK623">
        <v>0</v>
      </c>
      <c r="AL623">
        <v>0</v>
      </c>
    </row>
    <row r="624" spans="1:38" x14ac:dyDescent="0.3">
      <c r="A624" t="s">
        <v>1431</v>
      </c>
      <c r="B624">
        <v>5753</v>
      </c>
      <c r="C624">
        <v>1</v>
      </c>
      <c r="D624" t="s">
        <v>1575</v>
      </c>
      <c r="E624" t="s">
        <v>1576</v>
      </c>
      <c r="F624">
        <v>345</v>
      </c>
      <c r="G624">
        <v>22.48</v>
      </c>
      <c r="H624">
        <v>74.33</v>
      </c>
      <c r="I624">
        <v>18.09</v>
      </c>
      <c r="J624">
        <v>59.81</v>
      </c>
      <c r="K624">
        <v>180</v>
      </c>
      <c r="T624">
        <v>3</v>
      </c>
      <c r="U624">
        <v>1</v>
      </c>
      <c r="V624" t="s">
        <v>541</v>
      </c>
      <c r="W624">
        <v>74</v>
      </c>
      <c r="X624">
        <v>15</v>
      </c>
      <c r="Y624">
        <v>15</v>
      </c>
      <c r="Z624" t="s">
        <v>1577</v>
      </c>
      <c r="AA624" t="s">
        <v>1578</v>
      </c>
      <c r="AB624" t="s">
        <v>526</v>
      </c>
      <c r="AC624" t="s">
        <v>527</v>
      </c>
      <c r="AD624" t="s">
        <v>528</v>
      </c>
      <c r="AE624" t="s">
        <v>502</v>
      </c>
      <c r="AG624" t="s">
        <v>1579</v>
      </c>
      <c r="AH624">
        <v>0</v>
      </c>
      <c r="AI624">
        <v>200</v>
      </c>
      <c r="AJ624">
        <v>17</v>
      </c>
      <c r="AK624">
        <v>273</v>
      </c>
      <c r="AL624">
        <v>0.79</v>
      </c>
    </row>
    <row r="625" spans="1:38" x14ac:dyDescent="0.3">
      <c r="A625" t="s">
        <v>1431</v>
      </c>
      <c r="B625">
        <v>5753</v>
      </c>
      <c r="C625">
        <v>2</v>
      </c>
      <c r="D625" t="s">
        <v>1575</v>
      </c>
      <c r="E625" t="s">
        <v>1576</v>
      </c>
      <c r="F625">
        <v>345</v>
      </c>
      <c r="G625">
        <v>31.36</v>
      </c>
      <c r="H625">
        <v>103.68</v>
      </c>
      <c r="I625">
        <v>25.64</v>
      </c>
      <c r="J625">
        <v>84.78</v>
      </c>
      <c r="K625">
        <v>165</v>
      </c>
      <c r="T625">
        <v>3</v>
      </c>
      <c r="U625">
        <v>2</v>
      </c>
      <c r="V625" t="s">
        <v>541</v>
      </c>
      <c r="W625">
        <v>103</v>
      </c>
      <c r="X625">
        <v>15</v>
      </c>
      <c r="Y625">
        <v>15</v>
      </c>
      <c r="Z625" t="s">
        <v>1577</v>
      </c>
      <c r="AA625" t="s">
        <v>1578</v>
      </c>
      <c r="AB625" t="s">
        <v>526</v>
      </c>
      <c r="AC625" t="s">
        <v>527</v>
      </c>
      <c r="AD625" t="s">
        <v>528</v>
      </c>
      <c r="AE625" t="s">
        <v>502</v>
      </c>
      <c r="AG625" t="s">
        <v>1579</v>
      </c>
      <c r="AH625">
        <v>0</v>
      </c>
      <c r="AI625">
        <v>200</v>
      </c>
      <c r="AJ625">
        <v>17</v>
      </c>
      <c r="AK625">
        <v>273</v>
      </c>
      <c r="AL625">
        <v>0.79</v>
      </c>
    </row>
    <row r="626" spans="1:38" x14ac:dyDescent="0.3">
      <c r="A626" t="s">
        <v>1431</v>
      </c>
      <c r="B626">
        <v>15108</v>
      </c>
      <c r="C626">
        <v>1</v>
      </c>
      <c r="D626" t="s">
        <v>1580</v>
      </c>
      <c r="E626" t="s">
        <v>591</v>
      </c>
      <c r="F626">
        <v>224</v>
      </c>
      <c r="G626">
        <v>25.53</v>
      </c>
      <c r="H626">
        <v>84.41</v>
      </c>
      <c r="I626">
        <v>18.13</v>
      </c>
      <c r="J626">
        <v>59.94</v>
      </c>
      <c r="K626">
        <v>224</v>
      </c>
      <c r="T626">
        <v>3</v>
      </c>
      <c r="U626">
        <v>1</v>
      </c>
      <c r="V626" t="s">
        <v>541</v>
      </c>
      <c r="W626">
        <v>84</v>
      </c>
      <c r="X626">
        <v>6</v>
      </c>
      <c r="Y626">
        <v>5</v>
      </c>
      <c r="Z626" t="s">
        <v>1581</v>
      </c>
      <c r="AA626" t="s">
        <v>1582</v>
      </c>
      <c r="AB626" t="s">
        <v>526</v>
      </c>
      <c r="AC626" t="s">
        <v>527</v>
      </c>
      <c r="AD626" t="s">
        <v>528</v>
      </c>
      <c r="AE626" t="s">
        <v>502</v>
      </c>
      <c r="AG626" t="s">
        <v>1583</v>
      </c>
      <c r="AH626">
        <v>0</v>
      </c>
      <c r="AI626">
        <v>0</v>
      </c>
      <c r="AJ626">
        <v>0</v>
      </c>
      <c r="AK626">
        <v>0</v>
      </c>
      <c r="AL626">
        <v>0</v>
      </c>
    </row>
    <row r="627" spans="1:38" x14ac:dyDescent="0.3">
      <c r="A627" t="s">
        <v>1431</v>
      </c>
      <c r="B627">
        <v>5739</v>
      </c>
      <c r="C627">
        <v>1</v>
      </c>
      <c r="D627" t="s">
        <v>1584</v>
      </c>
      <c r="E627" t="s">
        <v>1523</v>
      </c>
      <c r="F627">
        <v>666</v>
      </c>
      <c r="G627">
        <v>26.21</v>
      </c>
      <c r="H627">
        <v>86.65</v>
      </c>
      <c r="I627">
        <v>21.42</v>
      </c>
      <c r="J627">
        <v>70.81</v>
      </c>
      <c r="K627">
        <v>228</v>
      </c>
      <c r="T627">
        <v>3</v>
      </c>
      <c r="U627">
        <v>1</v>
      </c>
      <c r="V627" t="s">
        <v>523</v>
      </c>
      <c r="W627">
        <v>86</v>
      </c>
      <c r="X627">
        <v>15</v>
      </c>
      <c r="Y627">
        <v>13</v>
      </c>
      <c r="Z627" t="s">
        <v>1585</v>
      </c>
      <c r="AA627" t="s">
        <v>1586</v>
      </c>
      <c r="AB627" t="s">
        <v>526</v>
      </c>
      <c r="AC627" t="s">
        <v>527</v>
      </c>
      <c r="AD627" t="s">
        <v>528</v>
      </c>
      <c r="AE627" t="s">
        <v>502</v>
      </c>
      <c r="AG627" t="s">
        <v>1587</v>
      </c>
      <c r="AH627">
        <v>0</v>
      </c>
      <c r="AI627">
        <v>0</v>
      </c>
      <c r="AJ627">
        <v>0</v>
      </c>
      <c r="AK627">
        <v>0</v>
      </c>
      <c r="AL627">
        <v>0</v>
      </c>
    </row>
    <row r="628" spans="1:38" x14ac:dyDescent="0.3">
      <c r="A628" t="s">
        <v>1431</v>
      </c>
      <c r="B628">
        <v>5739</v>
      </c>
      <c r="C628">
        <v>2</v>
      </c>
      <c r="D628" t="s">
        <v>1584</v>
      </c>
      <c r="E628" t="s">
        <v>1523</v>
      </c>
      <c r="F628">
        <v>666</v>
      </c>
      <c r="G628">
        <v>30.84</v>
      </c>
      <c r="H628">
        <v>101.98</v>
      </c>
      <c r="I628">
        <v>25.67</v>
      </c>
      <c r="J628">
        <v>84.88</v>
      </c>
      <c r="K628">
        <v>264</v>
      </c>
      <c r="T628">
        <v>3</v>
      </c>
      <c r="U628">
        <v>2</v>
      </c>
      <c r="V628" t="s">
        <v>541</v>
      </c>
      <c r="W628">
        <v>101</v>
      </c>
      <c r="X628">
        <v>15</v>
      </c>
      <c r="Y628">
        <v>13</v>
      </c>
      <c r="Z628" t="s">
        <v>1585</v>
      </c>
      <c r="AA628" t="s">
        <v>1586</v>
      </c>
      <c r="AB628" t="s">
        <v>526</v>
      </c>
      <c r="AC628" t="s">
        <v>527</v>
      </c>
      <c r="AD628" t="s">
        <v>528</v>
      </c>
      <c r="AE628" t="s">
        <v>502</v>
      </c>
      <c r="AG628" t="s">
        <v>1587</v>
      </c>
      <c r="AH628">
        <v>0</v>
      </c>
      <c r="AI628">
        <v>0</v>
      </c>
      <c r="AJ628">
        <v>0</v>
      </c>
      <c r="AK628">
        <v>0</v>
      </c>
      <c r="AL628">
        <v>0</v>
      </c>
    </row>
    <row r="629" spans="1:38" x14ac:dyDescent="0.3">
      <c r="A629" t="s">
        <v>1431</v>
      </c>
      <c r="B629">
        <v>5739</v>
      </c>
      <c r="C629">
        <v>3</v>
      </c>
      <c r="D629" t="s">
        <v>1584</v>
      </c>
      <c r="E629" t="s">
        <v>1523</v>
      </c>
      <c r="F629">
        <v>666</v>
      </c>
      <c r="G629">
        <v>44.95</v>
      </c>
      <c r="H629">
        <v>148.61000000000001</v>
      </c>
      <c r="I629">
        <v>38.9</v>
      </c>
      <c r="J629">
        <v>128.62</v>
      </c>
      <c r="K629">
        <v>174</v>
      </c>
      <c r="T629">
        <v>4</v>
      </c>
      <c r="U629">
        <v>2</v>
      </c>
      <c r="V629" t="s">
        <v>541</v>
      </c>
      <c r="W629">
        <v>148</v>
      </c>
      <c r="X629">
        <v>15</v>
      </c>
      <c r="Y629">
        <v>13</v>
      </c>
      <c r="Z629" t="s">
        <v>1585</v>
      </c>
      <c r="AA629" t="s">
        <v>1586</v>
      </c>
      <c r="AB629" t="s">
        <v>526</v>
      </c>
      <c r="AC629" t="s">
        <v>527</v>
      </c>
      <c r="AD629" t="s">
        <v>528</v>
      </c>
      <c r="AE629" t="s">
        <v>502</v>
      </c>
      <c r="AG629" t="s">
        <v>1587</v>
      </c>
      <c r="AH629">
        <v>0</v>
      </c>
      <c r="AI629">
        <v>0</v>
      </c>
      <c r="AJ629">
        <v>0</v>
      </c>
      <c r="AK629">
        <v>0</v>
      </c>
      <c r="AL629">
        <v>0</v>
      </c>
    </row>
    <row r="630" spans="1:38" x14ac:dyDescent="0.3">
      <c r="A630" t="s">
        <v>1431</v>
      </c>
      <c r="B630">
        <v>105191</v>
      </c>
      <c r="C630">
        <v>1</v>
      </c>
      <c r="D630" t="s">
        <v>1588</v>
      </c>
      <c r="E630" t="s">
        <v>1589</v>
      </c>
      <c r="F630">
        <v>55</v>
      </c>
      <c r="G630">
        <v>29.14</v>
      </c>
      <c r="H630">
        <v>96.35</v>
      </c>
      <c r="I630">
        <v>25.48</v>
      </c>
      <c r="J630">
        <v>84.24</v>
      </c>
      <c r="K630">
        <v>50</v>
      </c>
      <c r="T630">
        <v>3</v>
      </c>
      <c r="U630">
        <v>1</v>
      </c>
      <c r="V630" t="s">
        <v>541</v>
      </c>
      <c r="W630">
        <v>96</v>
      </c>
      <c r="X630">
        <v>5</v>
      </c>
      <c r="Y630">
        <v>5</v>
      </c>
      <c r="Z630" t="s">
        <v>1590</v>
      </c>
      <c r="AA630" t="s">
        <v>1591</v>
      </c>
      <c r="AB630" t="s">
        <v>526</v>
      </c>
      <c r="AC630" t="s">
        <v>527</v>
      </c>
      <c r="AD630" t="s">
        <v>528</v>
      </c>
      <c r="AE630" t="s">
        <v>502</v>
      </c>
      <c r="AG630" t="s">
        <v>1592</v>
      </c>
      <c r="AH630">
        <v>0</v>
      </c>
      <c r="AI630">
        <v>0</v>
      </c>
      <c r="AJ630">
        <v>0</v>
      </c>
      <c r="AK630">
        <v>0</v>
      </c>
      <c r="AL630">
        <v>0</v>
      </c>
    </row>
    <row r="631" spans="1:38" x14ac:dyDescent="0.3">
      <c r="A631" t="s">
        <v>1431</v>
      </c>
      <c r="B631">
        <v>105191</v>
      </c>
      <c r="C631">
        <v>2</v>
      </c>
      <c r="D631" t="s">
        <v>1588</v>
      </c>
      <c r="E631" t="s">
        <v>1589</v>
      </c>
      <c r="F631">
        <v>55</v>
      </c>
      <c r="G631">
        <v>30.18</v>
      </c>
      <c r="H631">
        <v>99.79</v>
      </c>
      <c r="I631">
        <v>24.82</v>
      </c>
      <c r="J631">
        <v>82.08</v>
      </c>
      <c r="K631">
        <v>5</v>
      </c>
      <c r="T631">
        <v>3</v>
      </c>
      <c r="U631">
        <v>1</v>
      </c>
      <c r="V631" t="s">
        <v>523</v>
      </c>
      <c r="W631">
        <v>99</v>
      </c>
      <c r="X631">
        <v>5</v>
      </c>
      <c r="Y631">
        <v>5</v>
      </c>
      <c r="Z631" t="s">
        <v>1590</v>
      </c>
      <c r="AA631" t="s">
        <v>1591</v>
      </c>
      <c r="AB631" t="s">
        <v>526</v>
      </c>
      <c r="AC631" t="s">
        <v>527</v>
      </c>
      <c r="AD631" t="s">
        <v>528</v>
      </c>
      <c r="AE631" t="s">
        <v>502</v>
      </c>
      <c r="AG631" t="s">
        <v>1592</v>
      </c>
      <c r="AH631">
        <v>0</v>
      </c>
      <c r="AI631">
        <v>0</v>
      </c>
      <c r="AJ631">
        <v>0</v>
      </c>
      <c r="AK631">
        <v>0</v>
      </c>
      <c r="AL631">
        <v>0</v>
      </c>
    </row>
    <row r="632" spans="1:38" x14ac:dyDescent="0.3">
      <c r="A632" t="s">
        <v>1431</v>
      </c>
      <c r="B632">
        <v>15104</v>
      </c>
      <c r="C632">
        <v>1</v>
      </c>
      <c r="D632" t="s">
        <v>1593</v>
      </c>
      <c r="E632" t="s">
        <v>818</v>
      </c>
      <c r="F632">
        <v>235</v>
      </c>
      <c r="G632">
        <v>22.07</v>
      </c>
      <c r="H632">
        <v>72.97</v>
      </c>
      <c r="I632">
        <v>17.98</v>
      </c>
      <c r="J632">
        <v>59.45</v>
      </c>
      <c r="K632">
        <v>85</v>
      </c>
      <c r="T632">
        <v>2</v>
      </c>
      <c r="U632">
        <v>1</v>
      </c>
      <c r="V632" t="s">
        <v>523</v>
      </c>
      <c r="W632">
        <v>72</v>
      </c>
      <c r="X632">
        <v>15</v>
      </c>
      <c r="Y632">
        <v>9</v>
      </c>
      <c r="Z632" t="s">
        <v>1594</v>
      </c>
      <c r="AA632" t="s">
        <v>1595</v>
      </c>
      <c r="AB632" t="s">
        <v>526</v>
      </c>
      <c r="AC632" t="s">
        <v>527</v>
      </c>
      <c r="AD632" t="s">
        <v>528</v>
      </c>
      <c r="AE632" t="s">
        <v>502</v>
      </c>
      <c r="AG632" t="s">
        <v>1596</v>
      </c>
      <c r="AH632">
        <v>0</v>
      </c>
      <c r="AI632">
        <v>288</v>
      </c>
      <c r="AJ632">
        <v>29</v>
      </c>
      <c r="AK632">
        <v>140</v>
      </c>
      <c r="AL632">
        <v>0.6</v>
      </c>
    </row>
    <row r="633" spans="1:38" x14ac:dyDescent="0.3">
      <c r="A633" t="s">
        <v>1431</v>
      </c>
      <c r="B633">
        <v>15104</v>
      </c>
      <c r="C633">
        <v>2</v>
      </c>
      <c r="D633" t="s">
        <v>1593</v>
      </c>
      <c r="E633" t="s">
        <v>818</v>
      </c>
      <c r="F633">
        <v>235</v>
      </c>
      <c r="G633">
        <v>30.86</v>
      </c>
      <c r="H633">
        <v>102.03</v>
      </c>
      <c r="I633">
        <v>25.14</v>
      </c>
      <c r="J633">
        <v>83.13</v>
      </c>
      <c r="K633">
        <v>74</v>
      </c>
      <c r="T633">
        <v>3</v>
      </c>
      <c r="U633">
        <v>2</v>
      </c>
      <c r="V633" t="s">
        <v>541</v>
      </c>
      <c r="W633">
        <v>102</v>
      </c>
      <c r="X633">
        <v>15</v>
      </c>
      <c r="Y633">
        <v>9</v>
      </c>
      <c r="Z633" t="s">
        <v>1594</v>
      </c>
      <c r="AA633" t="s">
        <v>1595</v>
      </c>
      <c r="AB633" t="s">
        <v>526</v>
      </c>
      <c r="AC633" t="s">
        <v>527</v>
      </c>
      <c r="AD633" t="s">
        <v>528</v>
      </c>
      <c r="AE633" t="s">
        <v>502</v>
      </c>
      <c r="AG633" t="s">
        <v>1596</v>
      </c>
      <c r="AH633">
        <v>0</v>
      </c>
      <c r="AI633">
        <v>288</v>
      </c>
      <c r="AJ633">
        <v>29</v>
      </c>
      <c r="AK633">
        <v>140</v>
      </c>
      <c r="AL633">
        <v>0.6</v>
      </c>
    </row>
    <row r="634" spans="1:38" x14ac:dyDescent="0.3">
      <c r="A634" t="s">
        <v>1431</v>
      </c>
      <c r="B634">
        <v>15104</v>
      </c>
      <c r="C634">
        <v>3</v>
      </c>
      <c r="D634" t="s">
        <v>1593</v>
      </c>
      <c r="E634" t="s">
        <v>818</v>
      </c>
      <c r="F634">
        <v>235</v>
      </c>
      <c r="G634">
        <v>31.53</v>
      </c>
      <c r="H634">
        <v>104.24</v>
      </c>
      <c r="I634">
        <v>25.69</v>
      </c>
      <c r="J634">
        <v>84.93</v>
      </c>
      <c r="K634">
        <v>9</v>
      </c>
      <c r="T634">
        <v>3</v>
      </c>
      <c r="U634">
        <v>2</v>
      </c>
      <c r="V634" t="s">
        <v>541</v>
      </c>
      <c r="W634">
        <v>104</v>
      </c>
      <c r="X634">
        <v>15</v>
      </c>
      <c r="Y634">
        <v>9</v>
      </c>
      <c r="Z634" t="s">
        <v>1594</v>
      </c>
      <c r="AA634" t="s">
        <v>1595</v>
      </c>
      <c r="AB634" t="s">
        <v>526</v>
      </c>
      <c r="AC634" t="s">
        <v>527</v>
      </c>
      <c r="AD634" t="s">
        <v>528</v>
      </c>
      <c r="AE634" t="s">
        <v>502</v>
      </c>
      <c r="AG634" t="s">
        <v>1596</v>
      </c>
      <c r="AH634">
        <v>0</v>
      </c>
      <c r="AI634">
        <v>288</v>
      </c>
      <c r="AJ634">
        <v>29</v>
      </c>
      <c r="AK634">
        <v>140</v>
      </c>
      <c r="AL634">
        <v>0.6</v>
      </c>
    </row>
    <row r="635" spans="1:38" x14ac:dyDescent="0.3">
      <c r="A635" t="s">
        <v>1431</v>
      </c>
      <c r="B635">
        <v>15104</v>
      </c>
      <c r="C635">
        <v>4</v>
      </c>
      <c r="D635" t="s">
        <v>1593</v>
      </c>
      <c r="E635" t="s">
        <v>818</v>
      </c>
      <c r="F635">
        <v>235</v>
      </c>
      <c r="G635">
        <v>42.59</v>
      </c>
      <c r="H635">
        <v>140.80000000000001</v>
      </c>
      <c r="I635">
        <v>34.69</v>
      </c>
      <c r="J635">
        <v>114.71</v>
      </c>
      <c r="K635">
        <v>57</v>
      </c>
      <c r="T635">
        <v>4</v>
      </c>
      <c r="U635">
        <v>2</v>
      </c>
      <c r="V635" t="s">
        <v>541</v>
      </c>
      <c r="W635">
        <v>140</v>
      </c>
      <c r="X635">
        <v>15</v>
      </c>
      <c r="Y635">
        <v>9</v>
      </c>
      <c r="Z635" t="s">
        <v>1594</v>
      </c>
      <c r="AA635" t="s">
        <v>1595</v>
      </c>
      <c r="AB635" t="s">
        <v>526</v>
      </c>
      <c r="AC635" t="s">
        <v>527</v>
      </c>
      <c r="AD635" t="s">
        <v>528</v>
      </c>
      <c r="AE635" t="s">
        <v>502</v>
      </c>
      <c r="AG635" t="s">
        <v>1596</v>
      </c>
      <c r="AH635">
        <v>0</v>
      </c>
      <c r="AI635">
        <v>288</v>
      </c>
      <c r="AJ635">
        <v>29</v>
      </c>
      <c r="AK635">
        <v>140</v>
      </c>
      <c r="AL635">
        <v>0.6</v>
      </c>
    </row>
    <row r="636" spans="1:38" x14ac:dyDescent="0.3">
      <c r="A636" t="s">
        <v>1431</v>
      </c>
      <c r="B636">
        <v>15104</v>
      </c>
      <c r="C636">
        <v>5</v>
      </c>
      <c r="D636" t="s">
        <v>1593</v>
      </c>
      <c r="E636" t="s">
        <v>818</v>
      </c>
      <c r="F636">
        <v>235</v>
      </c>
      <c r="G636">
        <v>49.23</v>
      </c>
      <c r="H636">
        <v>162.75</v>
      </c>
      <c r="I636">
        <v>40.11</v>
      </c>
      <c r="J636">
        <v>132.6</v>
      </c>
      <c r="K636">
        <v>10</v>
      </c>
      <c r="T636">
        <v>4</v>
      </c>
      <c r="U636">
        <v>2</v>
      </c>
      <c r="V636" t="s">
        <v>541</v>
      </c>
      <c r="W636">
        <v>162</v>
      </c>
      <c r="X636">
        <v>15</v>
      </c>
      <c r="Y636">
        <v>9</v>
      </c>
      <c r="Z636" t="s">
        <v>1594</v>
      </c>
      <c r="AA636" t="s">
        <v>1595</v>
      </c>
      <c r="AB636" t="s">
        <v>526</v>
      </c>
      <c r="AC636" t="s">
        <v>527</v>
      </c>
      <c r="AD636" t="s">
        <v>528</v>
      </c>
      <c r="AE636" t="s">
        <v>502</v>
      </c>
      <c r="AG636" t="s">
        <v>1596</v>
      </c>
      <c r="AH636">
        <v>0</v>
      </c>
      <c r="AI636">
        <v>288</v>
      </c>
      <c r="AJ636">
        <v>29</v>
      </c>
      <c r="AK636">
        <v>140</v>
      </c>
      <c r="AL636">
        <v>0.6</v>
      </c>
    </row>
    <row r="637" spans="1:38" x14ac:dyDescent="0.3">
      <c r="A637" t="s">
        <v>1431</v>
      </c>
      <c r="B637">
        <v>127902</v>
      </c>
      <c r="C637">
        <v>1</v>
      </c>
      <c r="D637" t="s">
        <v>1597</v>
      </c>
      <c r="E637" t="s">
        <v>1598</v>
      </c>
      <c r="F637">
        <v>1248</v>
      </c>
      <c r="G637">
        <v>23.7</v>
      </c>
      <c r="H637">
        <v>78.36</v>
      </c>
      <c r="I637">
        <v>18.13</v>
      </c>
      <c r="J637">
        <v>59.94</v>
      </c>
      <c r="K637">
        <v>98</v>
      </c>
      <c r="T637">
        <v>3</v>
      </c>
      <c r="U637">
        <v>2</v>
      </c>
      <c r="V637" t="s">
        <v>541</v>
      </c>
      <c r="W637">
        <v>78</v>
      </c>
      <c r="X637">
        <v>17</v>
      </c>
      <c r="Y637">
        <v>17</v>
      </c>
      <c r="Z637" t="s">
        <v>1599</v>
      </c>
      <c r="AA637" t="s">
        <v>1600</v>
      </c>
      <c r="AB637" t="s">
        <v>526</v>
      </c>
      <c r="AC637" t="s">
        <v>527</v>
      </c>
      <c r="AD637" t="s">
        <v>528</v>
      </c>
      <c r="AE637" t="s">
        <v>502</v>
      </c>
      <c r="AG637" t="s">
        <v>899</v>
      </c>
      <c r="AH637">
        <v>0</v>
      </c>
      <c r="AI637">
        <v>224</v>
      </c>
      <c r="AJ637">
        <v>22</v>
      </c>
      <c r="AK637">
        <v>1701</v>
      </c>
      <c r="AL637">
        <v>1.36</v>
      </c>
    </row>
    <row r="638" spans="1:38" x14ac:dyDescent="0.3">
      <c r="A638" t="s">
        <v>1431</v>
      </c>
      <c r="B638">
        <v>127902</v>
      </c>
      <c r="C638">
        <v>2</v>
      </c>
      <c r="D638" t="s">
        <v>1597</v>
      </c>
      <c r="E638" t="s">
        <v>1598</v>
      </c>
      <c r="F638">
        <v>1248</v>
      </c>
      <c r="G638">
        <v>27.56</v>
      </c>
      <c r="H638">
        <v>91.13</v>
      </c>
      <c r="I638">
        <v>21.36</v>
      </c>
      <c r="J638">
        <v>70.64</v>
      </c>
      <c r="K638">
        <v>170</v>
      </c>
      <c r="T638">
        <v>3</v>
      </c>
      <c r="U638">
        <v>2</v>
      </c>
      <c r="V638" t="s">
        <v>541</v>
      </c>
      <c r="W638">
        <v>91</v>
      </c>
      <c r="X638">
        <v>17</v>
      </c>
      <c r="Y638">
        <v>17</v>
      </c>
      <c r="Z638" t="s">
        <v>1599</v>
      </c>
      <c r="AA638" t="s">
        <v>1600</v>
      </c>
      <c r="AB638" t="s">
        <v>526</v>
      </c>
      <c r="AC638" t="s">
        <v>527</v>
      </c>
      <c r="AD638" t="s">
        <v>528</v>
      </c>
      <c r="AE638" t="s">
        <v>502</v>
      </c>
      <c r="AG638" t="s">
        <v>899</v>
      </c>
      <c r="AH638">
        <v>0</v>
      </c>
      <c r="AI638">
        <v>224</v>
      </c>
      <c r="AJ638">
        <v>22</v>
      </c>
      <c r="AK638">
        <v>1701</v>
      </c>
      <c r="AL638">
        <v>1.36</v>
      </c>
    </row>
    <row r="639" spans="1:38" x14ac:dyDescent="0.3">
      <c r="A639" t="s">
        <v>1431</v>
      </c>
      <c r="B639">
        <v>127902</v>
      </c>
      <c r="C639">
        <v>3</v>
      </c>
      <c r="D639" t="s">
        <v>1597</v>
      </c>
      <c r="E639" t="s">
        <v>1598</v>
      </c>
      <c r="F639">
        <v>1248</v>
      </c>
      <c r="G639">
        <v>30.79</v>
      </c>
      <c r="H639">
        <v>101.81</v>
      </c>
      <c r="I639">
        <v>23.76</v>
      </c>
      <c r="J639">
        <v>78.56</v>
      </c>
      <c r="K639">
        <v>183</v>
      </c>
      <c r="T639">
        <v>3</v>
      </c>
      <c r="U639">
        <v>2</v>
      </c>
      <c r="V639" t="s">
        <v>541</v>
      </c>
      <c r="W639" t="s">
        <v>399</v>
      </c>
      <c r="X639">
        <v>17</v>
      </c>
      <c r="Y639">
        <v>17</v>
      </c>
      <c r="Z639" t="s">
        <v>1599</v>
      </c>
      <c r="AA639" t="s">
        <v>1600</v>
      </c>
      <c r="AB639" t="s">
        <v>526</v>
      </c>
      <c r="AC639" t="s">
        <v>527</v>
      </c>
      <c r="AD639" t="s">
        <v>528</v>
      </c>
      <c r="AE639" t="s">
        <v>502</v>
      </c>
      <c r="AG639" t="s">
        <v>899</v>
      </c>
      <c r="AH639">
        <v>0</v>
      </c>
      <c r="AI639">
        <v>224</v>
      </c>
      <c r="AJ639">
        <v>22</v>
      </c>
      <c r="AK639">
        <v>1701</v>
      </c>
      <c r="AL639">
        <v>1.36</v>
      </c>
    </row>
    <row r="640" spans="1:38" x14ac:dyDescent="0.3">
      <c r="A640" t="s">
        <v>1431</v>
      </c>
      <c r="B640">
        <v>127902</v>
      </c>
      <c r="C640">
        <v>4</v>
      </c>
      <c r="D640" t="s">
        <v>1597</v>
      </c>
      <c r="E640" t="s">
        <v>1598</v>
      </c>
      <c r="F640">
        <v>1248</v>
      </c>
      <c r="G640">
        <v>31.13</v>
      </c>
      <c r="H640">
        <v>102.93</v>
      </c>
      <c r="I640">
        <v>23.89</v>
      </c>
      <c r="J640">
        <v>78.98</v>
      </c>
      <c r="K640">
        <v>128</v>
      </c>
      <c r="T640">
        <v>3</v>
      </c>
      <c r="U640">
        <v>2</v>
      </c>
      <c r="V640" t="s">
        <v>541</v>
      </c>
      <c r="W640" t="s">
        <v>400</v>
      </c>
      <c r="X640">
        <v>17</v>
      </c>
      <c r="Y640">
        <v>17</v>
      </c>
      <c r="Z640" t="s">
        <v>1599</v>
      </c>
      <c r="AA640" t="s">
        <v>1600</v>
      </c>
      <c r="AB640" t="s">
        <v>526</v>
      </c>
      <c r="AC640" t="s">
        <v>527</v>
      </c>
      <c r="AD640" t="s">
        <v>528</v>
      </c>
      <c r="AE640" t="s">
        <v>502</v>
      </c>
      <c r="AG640" t="s">
        <v>899</v>
      </c>
      <c r="AH640">
        <v>0</v>
      </c>
      <c r="AI640">
        <v>224</v>
      </c>
      <c r="AJ640">
        <v>22</v>
      </c>
      <c r="AK640">
        <v>1701</v>
      </c>
      <c r="AL640">
        <v>1.36</v>
      </c>
    </row>
    <row r="641" spans="1:38" x14ac:dyDescent="0.3">
      <c r="A641" t="s">
        <v>1431</v>
      </c>
      <c r="B641">
        <v>127902</v>
      </c>
      <c r="C641">
        <v>5</v>
      </c>
      <c r="D641" t="s">
        <v>1597</v>
      </c>
      <c r="E641" t="s">
        <v>1598</v>
      </c>
      <c r="F641">
        <v>1248</v>
      </c>
      <c r="G641">
        <v>30.95</v>
      </c>
      <c r="H641">
        <v>102.32</v>
      </c>
      <c r="I641">
        <v>23.89</v>
      </c>
      <c r="J641">
        <v>78.989999999999995</v>
      </c>
      <c r="K641">
        <v>91</v>
      </c>
      <c r="T641">
        <v>4</v>
      </c>
      <c r="U641">
        <v>2</v>
      </c>
      <c r="V641" t="s">
        <v>541</v>
      </c>
      <c r="W641" t="s">
        <v>401</v>
      </c>
      <c r="X641">
        <v>17</v>
      </c>
      <c r="Y641">
        <v>17</v>
      </c>
      <c r="Z641" t="s">
        <v>1599</v>
      </c>
      <c r="AA641" t="s">
        <v>1600</v>
      </c>
      <c r="AB641" t="s">
        <v>526</v>
      </c>
      <c r="AC641" t="s">
        <v>527</v>
      </c>
      <c r="AD641" t="s">
        <v>528</v>
      </c>
      <c r="AE641" t="s">
        <v>502</v>
      </c>
      <c r="AG641" t="s">
        <v>899</v>
      </c>
      <c r="AH641">
        <v>0</v>
      </c>
      <c r="AI641">
        <v>224</v>
      </c>
      <c r="AJ641">
        <v>22</v>
      </c>
      <c r="AK641">
        <v>1701</v>
      </c>
      <c r="AL641">
        <v>1.36</v>
      </c>
    </row>
    <row r="642" spans="1:38" x14ac:dyDescent="0.3">
      <c r="A642" t="s">
        <v>1431</v>
      </c>
      <c r="B642">
        <v>127902</v>
      </c>
      <c r="C642">
        <v>6</v>
      </c>
      <c r="D642" t="s">
        <v>1597</v>
      </c>
      <c r="E642" t="s">
        <v>1598</v>
      </c>
      <c r="F642">
        <v>1248</v>
      </c>
      <c r="G642">
        <v>33.31</v>
      </c>
      <c r="H642">
        <v>110.14</v>
      </c>
      <c r="I642">
        <v>25.7</v>
      </c>
      <c r="J642">
        <v>84.98</v>
      </c>
      <c r="K642">
        <v>329</v>
      </c>
      <c r="T642">
        <v>4</v>
      </c>
      <c r="U642">
        <v>2</v>
      </c>
      <c r="V642" t="s">
        <v>541</v>
      </c>
      <c r="W642" t="s">
        <v>292</v>
      </c>
      <c r="X642">
        <v>17</v>
      </c>
      <c r="Y642">
        <v>17</v>
      </c>
      <c r="Z642" t="s">
        <v>1599</v>
      </c>
      <c r="AA642" t="s">
        <v>1600</v>
      </c>
      <c r="AB642" t="s">
        <v>526</v>
      </c>
      <c r="AC642" t="s">
        <v>527</v>
      </c>
      <c r="AD642" t="s">
        <v>528</v>
      </c>
      <c r="AE642" t="s">
        <v>502</v>
      </c>
      <c r="AG642" t="s">
        <v>899</v>
      </c>
      <c r="AH642">
        <v>0</v>
      </c>
      <c r="AI642">
        <v>224</v>
      </c>
      <c r="AJ642">
        <v>22</v>
      </c>
      <c r="AK642">
        <v>1701</v>
      </c>
      <c r="AL642">
        <v>1.36</v>
      </c>
    </row>
    <row r="643" spans="1:38" x14ac:dyDescent="0.3">
      <c r="A643" t="s">
        <v>1431</v>
      </c>
      <c r="B643">
        <v>127902</v>
      </c>
      <c r="C643">
        <v>7</v>
      </c>
      <c r="D643" t="s">
        <v>1597</v>
      </c>
      <c r="E643" t="s">
        <v>1598</v>
      </c>
      <c r="F643">
        <v>1248</v>
      </c>
      <c r="G643">
        <v>33.409999999999997</v>
      </c>
      <c r="H643">
        <v>110.46</v>
      </c>
      <c r="I643">
        <v>25.68</v>
      </c>
      <c r="J643">
        <v>84.91</v>
      </c>
      <c r="K643">
        <v>148</v>
      </c>
      <c r="T643">
        <v>4</v>
      </c>
      <c r="U643">
        <v>2</v>
      </c>
      <c r="V643" t="s">
        <v>541</v>
      </c>
      <c r="W643" t="s">
        <v>125</v>
      </c>
      <c r="X643">
        <v>17</v>
      </c>
      <c r="Y643">
        <v>17</v>
      </c>
      <c r="Z643" t="s">
        <v>1599</v>
      </c>
      <c r="AA643" t="s">
        <v>1600</v>
      </c>
      <c r="AB643" t="s">
        <v>526</v>
      </c>
      <c r="AC643" t="s">
        <v>527</v>
      </c>
      <c r="AD643" t="s">
        <v>528</v>
      </c>
      <c r="AE643" t="s">
        <v>502</v>
      </c>
      <c r="AG643" t="s">
        <v>899</v>
      </c>
      <c r="AH643">
        <v>0</v>
      </c>
      <c r="AI643">
        <v>224</v>
      </c>
      <c r="AJ643">
        <v>22</v>
      </c>
      <c r="AK643">
        <v>1701</v>
      </c>
      <c r="AL643">
        <v>1.36</v>
      </c>
    </row>
    <row r="644" spans="1:38" x14ac:dyDescent="0.3">
      <c r="A644" t="s">
        <v>1431</v>
      </c>
      <c r="B644">
        <v>127902</v>
      </c>
      <c r="C644">
        <v>8</v>
      </c>
      <c r="D644" t="s">
        <v>1597</v>
      </c>
      <c r="E644" t="s">
        <v>1598</v>
      </c>
      <c r="F644">
        <v>1248</v>
      </c>
      <c r="G644">
        <v>39.89</v>
      </c>
      <c r="H644">
        <v>131.9</v>
      </c>
      <c r="I644">
        <v>30.81</v>
      </c>
      <c r="J644">
        <v>101.87</v>
      </c>
      <c r="K644">
        <v>34</v>
      </c>
      <c r="T644">
        <v>4</v>
      </c>
      <c r="U644">
        <v>2</v>
      </c>
      <c r="V644" t="s">
        <v>541</v>
      </c>
      <c r="W644" t="s">
        <v>402</v>
      </c>
      <c r="X644">
        <v>17</v>
      </c>
      <c r="Y644">
        <v>17</v>
      </c>
      <c r="Z644" t="s">
        <v>1599</v>
      </c>
      <c r="AA644" t="s">
        <v>1600</v>
      </c>
      <c r="AB644" t="s">
        <v>526</v>
      </c>
      <c r="AC644" t="s">
        <v>527</v>
      </c>
      <c r="AD644" t="s">
        <v>528</v>
      </c>
      <c r="AE644" t="s">
        <v>502</v>
      </c>
      <c r="AG644" t="s">
        <v>899</v>
      </c>
      <c r="AH644">
        <v>0</v>
      </c>
      <c r="AI644">
        <v>224</v>
      </c>
      <c r="AJ644">
        <v>22</v>
      </c>
      <c r="AK644">
        <v>1701</v>
      </c>
      <c r="AL644">
        <v>1.36</v>
      </c>
    </row>
    <row r="645" spans="1:38" x14ac:dyDescent="0.3">
      <c r="A645" t="s">
        <v>1431</v>
      </c>
      <c r="B645">
        <v>127902</v>
      </c>
      <c r="C645">
        <v>9</v>
      </c>
      <c r="D645" t="s">
        <v>1597</v>
      </c>
      <c r="E645" t="s">
        <v>1598</v>
      </c>
      <c r="F645">
        <v>1248</v>
      </c>
      <c r="G645">
        <v>39.68</v>
      </c>
      <c r="H645">
        <v>131.18</v>
      </c>
      <c r="I645">
        <v>30.76</v>
      </c>
      <c r="J645">
        <v>101.69</v>
      </c>
      <c r="K645">
        <v>34</v>
      </c>
      <c r="T645">
        <v>3</v>
      </c>
      <c r="U645">
        <v>2</v>
      </c>
      <c r="V645" t="s">
        <v>541</v>
      </c>
      <c r="W645" t="s">
        <v>403</v>
      </c>
      <c r="X645">
        <v>17</v>
      </c>
      <c r="Y645">
        <v>17</v>
      </c>
      <c r="Z645" t="s">
        <v>1599</v>
      </c>
      <c r="AA645" t="s">
        <v>1600</v>
      </c>
      <c r="AB645" t="s">
        <v>526</v>
      </c>
      <c r="AC645" t="s">
        <v>527</v>
      </c>
      <c r="AD645" t="s">
        <v>528</v>
      </c>
      <c r="AE645" t="s">
        <v>502</v>
      </c>
      <c r="AG645" t="s">
        <v>899</v>
      </c>
      <c r="AH645">
        <v>0</v>
      </c>
      <c r="AI645">
        <v>224</v>
      </c>
      <c r="AJ645">
        <v>22</v>
      </c>
      <c r="AK645">
        <v>1701</v>
      </c>
      <c r="AL645">
        <v>1.36</v>
      </c>
    </row>
    <row r="646" spans="1:38" x14ac:dyDescent="0.3">
      <c r="A646" t="s">
        <v>1431</v>
      </c>
      <c r="B646">
        <v>105190</v>
      </c>
      <c r="C646">
        <v>1</v>
      </c>
      <c r="D646" t="s">
        <v>1601</v>
      </c>
      <c r="E646" t="s">
        <v>1602</v>
      </c>
      <c r="F646">
        <v>100</v>
      </c>
      <c r="G646">
        <v>20.010000000000002</v>
      </c>
      <c r="H646">
        <v>66.150000000000006</v>
      </c>
      <c r="I646">
        <v>16.32</v>
      </c>
      <c r="J646">
        <v>53.98</v>
      </c>
      <c r="K646">
        <v>40</v>
      </c>
      <c r="T646">
        <v>3</v>
      </c>
      <c r="U646">
        <v>1</v>
      </c>
      <c r="V646" t="s">
        <v>541</v>
      </c>
      <c r="W646">
        <v>66</v>
      </c>
      <c r="X646">
        <v>5</v>
      </c>
      <c r="Y646">
        <v>5</v>
      </c>
      <c r="Z646" t="s">
        <v>1603</v>
      </c>
      <c r="AA646" t="s">
        <v>1604</v>
      </c>
      <c r="AB646" t="s">
        <v>526</v>
      </c>
      <c r="AC646" t="s">
        <v>527</v>
      </c>
      <c r="AD646" t="s">
        <v>528</v>
      </c>
      <c r="AE646" t="s">
        <v>502</v>
      </c>
      <c r="AG646" t="s">
        <v>1605</v>
      </c>
      <c r="AH646">
        <v>0</v>
      </c>
      <c r="AI646">
        <v>0</v>
      </c>
      <c r="AJ646">
        <v>0</v>
      </c>
      <c r="AK646">
        <v>0</v>
      </c>
      <c r="AL646">
        <v>0</v>
      </c>
    </row>
    <row r="647" spans="1:38" x14ac:dyDescent="0.3">
      <c r="A647" t="s">
        <v>1431</v>
      </c>
      <c r="B647">
        <v>105190</v>
      </c>
      <c r="C647">
        <v>2</v>
      </c>
      <c r="D647" t="s">
        <v>1601</v>
      </c>
      <c r="E647" t="s">
        <v>1602</v>
      </c>
      <c r="F647">
        <v>100</v>
      </c>
      <c r="G647">
        <v>25.67</v>
      </c>
      <c r="H647">
        <v>84.86</v>
      </c>
      <c r="I647">
        <v>21.23</v>
      </c>
      <c r="J647">
        <v>70.19</v>
      </c>
      <c r="K647">
        <v>60</v>
      </c>
      <c r="T647">
        <v>3</v>
      </c>
      <c r="U647">
        <v>1</v>
      </c>
      <c r="V647" t="s">
        <v>541</v>
      </c>
      <c r="W647">
        <v>84</v>
      </c>
      <c r="X647">
        <v>5</v>
      </c>
      <c r="Y647">
        <v>5</v>
      </c>
      <c r="Z647" t="s">
        <v>1603</v>
      </c>
      <c r="AA647" t="s">
        <v>1604</v>
      </c>
      <c r="AB647" t="s">
        <v>526</v>
      </c>
      <c r="AC647" t="s">
        <v>527</v>
      </c>
      <c r="AD647" t="s">
        <v>528</v>
      </c>
      <c r="AE647" t="s">
        <v>502</v>
      </c>
      <c r="AG647" t="s">
        <v>1605</v>
      </c>
      <c r="AH647">
        <v>0</v>
      </c>
      <c r="AI647">
        <v>0</v>
      </c>
      <c r="AJ647">
        <v>0</v>
      </c>
      <c r="AK647">
        <v>0</v>
      </c>
      <c r="AL647">
        <v>0</v>
      </c>
    </row>
    <row r="648" spans="1:38" x14ac:dyDescent="0.3">
      <c r="A648" t="s">
        <v>1431</v>
      </c>
      <c r="B648">
        <v>116040</v>
      </c>
      <c r="C648">
        <v>1</v>
      </c>
      <c r="D648" t="s">
        <v>1606</v>
      </c>
      <c r="E648" t="s">
        <v>522</v>
      </c>
      <c r="F648">
        <v>84</v>
      </c>
      <c r="G648">
        <v>31.71</v>
      </c>
      <c r="H648">
        <v>104.85</v>
      </c>
      <c r="I648">
        <v>25.69</v>
      </c>
      <c r="J648">
        <v>84.94</v>
      </c>
      <c r="K648">
        <v>60</v>
      </c>
      <c r="T648">
        <v>3</v>
      </c>
      <c r="U648">
        <v>2</v>
      </c>
      <c r="V648" t="s">
        <v>541</v>
      </c>
      <c r="W648">
        <v>104</v>
      </c>
      <c r="X648">
        <v>6</v>
      </c>
      <c r="Y648">
        <v>6</v>
      </c>
      <c r="Z648" t="s">
        <v>1607</v>
      </c>
      <c r="AA648" t="s">
        <v>1608</v>
      </c>
      <c r="AB648" t="s">
        <v>526</v>
      </c>
      <c r="AC648" t="s">
        <v>527</v>
      </c>
      <c r="AD648" t="s">
        <v>528</v>
      </c>
      <c r="AE648" t="s">
        <v>502</v>
      </c>
      <c r="AG648" t="s">
        <v>1609</v>
      </c>
      <c r="AH648">
        <v>0</v>
      </c>
      <c r="AI648">
        <v>0</v>
      </c>
      <c r="AJ648">
        <v>0</v>
      </c>
      <c r="AK648">
        <v>0</v>
      </c>
      <c r="AL648">
        <v>0</v>
      </c>
    </row>
    <row r="649" spans="1:38" x14ac:dyDescent="0.3">
      <c r="A649" t="s">
        <v>1431</v>
      </c>
      <c r="B649">
        <v>116040</v>
      </c>
      <c r="C649">
        <v>2</v>
      </c>
      <c r="D649" t="s">
        <v>1606</v>
      </c>
      <c r="E649" t="s">
        <v>522</v>
      </c>
      <c r="F649">
        <v>84</v>
      </c>
      <c r="G649">
        <v>46.84</v>
      </c>
      <c r="H649">
        <v>154.86000000000001</v>
      </c>
      <c r="I649">
        <v>37.880000000000003</v>
      </c>
      <c r="J649">
        <v>125.25</v>
      </c>
      <c r="K649">
        <v>6</v>
      </c>
      <c r="T649">
        <v>4</v>
      </c>
      <c r="U649">
        <v>2</v>
      </c>
      <c r="V649" t="s">
        <v>541</v>
      </c>
      <c r="W649">
        <v>154</v>
      </c>
      <c r="X649">
        <v>6</v>
      </c>
      <c r="Y649">
        <v>6</v>
      </c>
      <c r="Z649" t="s">
        <v>1607</v>
      </c>
      <c r="AA649" t="s">
        <v>1608</v>
      </c>
      <c r="AB649" t="s">
        <v>526</v>
      </c>
      <c r="AC649" t="s">
        <v>527</v>
      </c>
      <c r="AD649" t="s">
        <v>528</v>
      </c>
      <c r="AE649" t="s">
        <v>502</v>
      </c>
      <c r="AG649" t="s">
        <v>1609</v>
      </c>
      <c r="AH649">
        <v>0</v>
      </c>
      <c r="AI649">
        <v>0</v>
      </c>
      <c r="AJ649">
        <v>0</v>
      </c>
      <c r="AK649">
        <v>0</v>
      </c>
      <c r="AL649">
        <v>0</v>
      </c>
    </row>
    <row r="650" spans="1:38" x14ac:dyDescent="0.3">
      <c r="A650" t="s">
        <v>1431</v>
      </c>
      <c r="B650">
        <v>116040</v>
      </c>
      <c r="C650">
        <v>3</v>
      </c>
      <c r="D650" t="s">
        <v>1606</v>
      </c>
      <c r="E650" t="s">
        <v>522</v>
      </c>
      <c r="F650">
        <v>84</v>
      </c>
      <c r="G650">
        <v>47.68</v>
      </c>
      <c r="H650">
        <v>157.62</v>
      </c>
      <c r="I650">
        <v>38.72</v>
      </c>
      <c r="J650">
        <v>128.01</v>
      </c>
      <c r="K650">
        <v>12</v>
      </c>
      <c r="T650">
        <v>4</v>
      </c>
      <c r="U650">
        <v>2</v>
      </c>
      <c r="V650" t="s">
        <v>541</v>
      </c>
      <c r="W650" t="s">
        <v>1610</v>
      </c>
      <c r="X650">
        <v>6</v>
      </c>
      <c r="Y650">
        <v>6</v>
      </c>
      <c r="Z650" t="s">
        <v>1607</v>
      </c>
      <c r="AA650" t="s">
        <v>1608</v>
      </c>
      <c r="AB650" t="s">
        <v>526</v>
      </c>
      <c r="AC650" t="s">
        <v>527</v>
      </c>
      <c r="AD650" t="s">
        <v>528</v>
      </c>
      <c r="AE650" t="s">
        <v>502</v>
      </c>
      <c r="AG650" t="s">
        <v>1609</v>
      </c>
      <c r="AH650">
        <v>0</v>
      </c>
      <c r="AI650">
        <v>0</v>
      </c>
      <c r="AJ650">
        <v>0</v>
      </c>
      <c r="AK650">
        <v>0</v>
      </c>
      <c r="AL650">
        <v>0</v>
      </c>
    </row>
    <row r="651" spans="1:38" x14ac:dyDescent="0.3">
      <c r="A651" t="s">
        <v>1431</v>
      </c>
      <c r="B651">
        <v>116040</v>
      </c>
      <c r="C651">
        <v>4</v>
      </c>
      <c r="D651" t="s">
        <v>1606</v>
      </c>
      <c r="E651" t="s">
        <v>522</v>
      </c>
      <c r="F651">
        <v>84</v>
      </c>
      <c r="G651">
        <v>47.71</v>
      </c>
      <c r="H651">
        <v>157.72</v>
      </c>
      <c r="I651">
        <v>38.75</v>
      </c>
      <c r="J651">
        <v>128.11000000000001</v>
      </c>
      <c r="K651">
        <v>6</v>
      </c>
      <c r="T651">
        <v>4</v>
      </c>
      <c r="U651">
        <v>2</v>
      </c>
      <c r="V651" t="s">
        <v>541</v>
      </c>
      <c r="W651" t="s">
        <v>1611</v>
      </c>
      <c r="X651">
        <v>6</v>
      </c>
      <c r="Y651">
        <v>6</v>
      </c>
      <c r="Z651" t="s">
        <v>1607</v>
      </c>
      <c r="AA651" t="s">
        <v>1608</v>
      </c>
      <c r="AB651" t="s">
        <v>526</v>
      </c>
      <c r="AC651" t="s">
        <v>527</v>
      </c>
      <c r="AD651" t="s">
        <v>528</v>
      </c>
      <c r="AE651" t="s">
        <v>502</v>
      </c>
      <c r="AG651" t="s">
        <v>1609</v>
      </c>
      <c r="AH651">
        <v>0</v>
      </c>
      <c r="AI651">
        <v>0</v>
      </c>
      <c r="AJ651">
        <v>0</v>
      </c>
      <c r="AK651">
        <v>0</v>
      </c>
      <c r="AL651">
        <v>0</v>
      </c>
    </row>
    <row r="652" spans="1:38" x14ac:dyDescent="0.3">
      <c r="A652" t="s">
        <v>1431</v>
      </c>
      <c r="B652">
        <v>5737</v>
      </c>
      <c r="C652">
        <v>1</v>
      </c>
      <c r="D652" t="s">
        <v>1612</v>
      </c>
      <c r="E652" t="s">
        <v>1613</v>
      </c>
      <c r="F652">
        <v>626</v>
      </c>
      <c r="G652">
        <v>24.21</v>
      </c>
      <c r="H652">
        <v>80.05</v>
      </c>
      <c r="I652">
        <v>18.100000000000001</v>
      </c>
      <c r="J652">
        <v>59.85</v>
      </c>
      <c r="K652">
        <v>141</v>
      </c>
      <c r="T652">
        <v>3</v>
      </c>
      <c r="U652">
        <v>1</v>
      </c>
      <c r="V652" t="s">
        <v>541</v>
      </c>
      <c r="W652">
        <v>80</v>
      </c>
      <c r="X652">
        <v>25</v>
      </c>
      <c r="Y652">
        <v>10</v>
      </c>
      <c r="Z652" t="s">
        <v>1614</v>
      </c>
      <c r="AA652" t="s">
        <v>1615</v>
      </c>
      <c r="AB652" t="s">
        <v>526</v>
      </c>
      <c r="AC652" t="s">
        <v>527</v>
      </c>
      <c r="AD652" t="s">
        <v>528</v>
      </c>
      <c r="AE652" t="s">
        <v>502</v>
      </c>
      <c r="AG652" t="s">
        <v>1616</v>
      </c>
      <c r="AH652">
        <v>0</v>
      </c>
      <c r="AI652">
        <v>249</v>
      </c>
      <c r="AJ652">
        <v>18</v>
      </c>
      <c r="AK652">
        <v>624</v>
      </c>
      <c r="AL652">
        <v>1</v>
      </c>
    </row>
    <row r="653" spans="1:38" x14ac:dyDescent="0.3">
      <c r="A653" t="s">
        <v>1431</v>
      </c>
      <c r="B653">
        <v>5737</v>
      </c>
      <c r="C653">
        <v>2</v>
      </c>
      <c r="D653" t="s">
        <v>1612</v>
      </c>
      <c r="E653" t="s">
        <v>1613</v>
      </c>
      <c r="F653">
        <v>626</v>
      </c>
      <c r="G653">
        <v>32.950000000000003</v>
      </c>
      <c r="H653">
        <v>108.95</v>
      </c>
      <c r="I653">
        <v>25.71</v>
      </c>
      <c r="J653">
        <v>85</v>
      </c>
      <c r="K653">
        <v>362</v>
      </c>
      <c r="T653">
        <v>3</v>
      </c>
      <c r="U653">
        <v>2</v>
      </c>
      <c r="V653" t="s">
        <v>541</v>
      </c>
      <c r="W653">
        <v>108</v>
      </c>
      <c r="X653">
        <v>25</v>
      </c>
      <c r="Y653">
        <v>10</v>
      </c>
      <c r="Z653" t="s">
        <v>1614</v>
      </c>
      <c r="AA653" t="s">
        <v>1615</v>
      </c>
      <c r="AB653" t="s">
        <v>526</v>
      </c>
      <c r="AC653" t="s">
        <v>527</v>
      </c>
      <c r="AD653" t="s">
        <v>528</v>
      </c>
      <c r="AE653" t="s">
        <v>502</v>
      </c>
      <c r="AG653" t="s">
        <v>1616</v>
      </c>
      <c r="AH653">
        <v>0</v>
      </c>
      <c r="AI653">
        <v>249</v>
      </c>
      <c r="AJ653">
        <v>18</v>
      </c>
      <c r="AK653">
        <v>624</v>
      </c>
      <c r="AL653">
        <v>1</v>
      </c>
    </row>
    <row r="654" spans="1:38" x14ac:dyDescent="0.3">
      <c r="A654" t="s">
        <v>1431</v>
      </c>
      <c r="B654">
        <v>5737</v>
      </c>
      <c r="C654">
        <v>3</v>
      </c>
      <c r="D654" t="s">
        <v>1612</v>
      </c>
      <c r="E654" t="s">
        <v>1613</v>
      </c>
      <c r="F654">
        <v>626</v>
      </c>
      <c r="G654">
        <v>39.229999999999997</v>
      </c>
      <c r="H654">
        <v>129.71</v>
      </c>
      <c r="I654">
        <v>31.87</v>
      </c>
      <c r="J654">
        <v>105.36</v>
      </c>
      <c r="K654">
        <v>123</v>
      </c>
      <c r="T654">
        <v>4</v>
      </c>
      <c r="U654">
        <v>2</v>
      </c>
      <c r="V654" t="s">
        <v>541</v>
      </c>
      <c r="W654">
        <v>129</v>
      </c>
      <c r="X654">
        <v>25</v>
      </c>
      <c r="Y654">
        <v>10</v>
      </c>
      <c r="Z654" t="s">
        <v>1614</v>
      </c>
      <c r="AA654" t="s">
        <v>1615</v>
      </c>
      <c r="AB654" t="s">
        <v>526</v>
      </c>
      <c r="AC654" t="s">
        <v>527</v>
      </c>
      <c r="AD654" t="s">
        <v>528</v>
      </c>
      <c r="AE654" t="s">
        <v>502</v>
      </c>
      <c r="AG654" t="s">
        <v>1616</v>
      </c>
      <c r="AH654">
        <v>0</v>
      </c>
      <c r="AI654">
        <v>249</v>
      </c>
      <c r="AJ654">
        <v>18</v>
      </c>
      <c r="AK654">
        <v>624</v>
      </c>
      <c r="AL654">
        <v>1</v>
      </c>
    </row>
    <row r="655" spans="1:38" x14ac:dyDescent="0.3">
      <c r="A655" t="s">
        <v>1431</v>
      </c>
      <c r="B655">
        <v>15093</v>
      </c>
      <c r="C655">
        <v>1</v>
      </c>
      <c r="D655" t="s">
        <v>1617</v>
      </c>
      <c r="E655" t="s">
        <v>1618</v>
      </c>
      <c r="F655">
        <v>85</v>
      </c>
      <c r="G655">
        <v>29.17</v>
      </c>
      <c r="H655">
        <v>96.46</v>
      </c>
      <c r="I655">
        <v>23.49</v>
      </c>
      <c r="J655">
        <v>77.67</v>
      </c>
      <c r="K655">
        <v>45</v>
      </c>
      <c r="T655">
        <v>3</v>
      </c>
      <c r="U655">
        <v>2</v>
      </c>
      <c r="V655" t="s">
        <v>541</v>
      </c>
      <c r="W655">
        <v>96</v>
      </c>
      <c r="X655">
        <v>5</v>
      </c>
      <c r="Y655">
        <v>5</v>
      </c>
      <c r="Z655" t="s">
        <v>1619</v>
      </c>
      <c r="AA655" t="s">
        <v>1620</v>
      </c>
      <c r="AB655" t="s">
        <v>526</v>
      </c>
      <c r="AC655" t="s">
        <v>527</v>
      </c>
      <c r="AD655" t="s">
        <v>528</v>
      </c>
      <c r="AE655" t="s">
        <v>502</v>
      </c>
      <c r="AG655" t="s">
        <v>1621</v>
      </c>
      <c r="AH655">
        <v>0</v>
      </c>
      <c r="AI655">
        <v>0</v>
      </c>
      <c r="AJ655">
        <v>0</v>
      </c>
      <c r="AK655">
        <v>0</v>
      </c>
      <c r="AL655">
        <v>0</v>
      </c>
    </row>
    <row r="656" spans="1:38" x14ac:dyDescent="0.3">
      <c r="A656" t="s">
        <v>1431</v>
      </c>
      <c r="B656">
        <v>15093</v>
      </c>
      <c r="C656">
        <v>2</v>
      </c>
      <c r="D656" t="s">
        <v>1617</v>
      </c>
      <c r="E656" t="s">
        <v>1618</v>
      </c>
      <c r="F656">
        <v>85</v>
      </c>
      <c r="G656">
        <v>32.36</v>
      </c>
      <c r="H656">
        <v>107</v>
      </c>
      <c r="I656">
        <v>25.62</v>
      </c>
      <c r="J656">
        <v>84.72</v>
      </c>
      <c r="K656">
        <v>40</v>
      </c>
      <c r="T656">
        <v>3</v>
      </c>
      <c r="U656">
        <v>2</v>
      </c>
      <c r="V656" t="s">
        <v>541</v>
      </c>
      <c r="W656">
        <v>107</v>
      </c>
      <c r="X656">
        <v>5</v>
      </c>
      <c r="Y656">
        <v>5</v>
      </c>
      <c r="Z656" t="s">
        <v>1619</v>
      </c>
      <c r="AA656" t="s">
        <v>1620</v>
      </c>
      <c r="AB656" t="s">
        <v>526</v>
      </c>
      <c r="AC656" t="s">
        <v>527</v>
      </c>
      <c r="AD656" t="s">
        <v>528</v>
      </c>
      <c r="AE656" t="s">
        <v>502</v>
      </c>
      <c r="AG656" t="s">
        <v>1621</v>
      </c>
      <c r="AH656">
        <v>0</v>
      </c>
      <c r="AI656">
        <v>0</v>
      </c>
      <c r="AJ656">
        <v>0</v>
      </c>
      <c r="AK656">
        <v>0</v>
      </c>
      <c r="AL656">
        <v>0</v>
      </c>
    </row>
    <row r="657" spans="1:38" x14ac:dyDescent="0.3">
      <c r="A657" t="s">
        <v>1431</v>
      </c>
      <c r="B657">
        <v>19212</v>
      </c>
      <c r="C657">
        <v>1</v>
      </c>
      <c r="D657" t="s">
        <v>1622</v>
      </c>
      <c r="E657" t="s">
        <v>1623</v>
      </c>
      <c r="F657">
        <v>260</v>
      </c>
      <c r="G657">
        <v>30.39</v>
      </c>
      <c r="H657">
        <v>100.49</v>
      </c>
      <c r="I657">
        <v>23.67</v>
      </c>
      <c r="J657">
        <v>78.27</v>
      </c>
      <c r="K657">
        <v>36</v>
      </c>
      <c r="T657">
        <v>3</v>
      </c>
      <c r="U657">
        <v>2</v>
      </c>
      <c r="V657" t="s">
        <v>541</v>
      </c>
      <c r="W657">
        <v>100</v>
      </c>
      <c r="X657">
        <v>24</v>
      </c>
      <c r="Y657">
        <v>18</v>
      </c>
      <c r="Z657" t="s">
        <v>1624</v>
      </c>
      <c r="AA657" t="s">
        <v>1625</v>
      </c>
      <c r="AB657" t="s">
        <v>526</v>
      </c>
      <c r="AC657" t="s">
        <v>527</v>
      </c>
      <c r="AD657" t="s">
        <v>528</v>
      </c>
      <c r="AE657" t="s">
        <v>502</v>
      </c>
      <c r="AG657" t="s">
        <v>1626</v>
      </c>
      <c r="AH657">
        <v>0</v>
      </c>
      <c r="AI657">
        <v>249</v>
      </c>
      <c r="AJ657">
        <v>15</v>
      </c>
      <c r="AK657">
        <v>283</v>
      </c>
      <c r="AL657">
        <v>1.0900000000000001</v>
      </c>
    </row>
    <row r="658" spans="1:38" x14ac:dyDescent="0.3">
      <c r="A658" t="s">
        <v>1431</v>
      </c>
      <c r="B658">
        <v>19212</v>
      </c>
      <c r="C658">
        <v>2</v>
      </c>
      <c r="D658" t="s">
        <v>1622</v>
      </c>
      <c r="E658" t="s">
        <v>1623</v>
      </c>
      <c r="F658">
        <v>260</v>
      </c>
      <c r="G658">
        <v>33.21</v>
      </c>
      <c r="H658">
        <v>109.81</v>
      </c>
      <c r="I658">
        <v>25.7</v>
      </c>
      <c r="J658">
        <v>84.96</v>
      </c>
      <c r="K658">
        <v>155</v>
      </c>
      <c r="T658">
        <v>3</v>
      </c>
      <c r="U658">
        <v>2</v>
      </c>
      <c r="V658" t="s">
        <v>541</v>
      </c>
      <c r="W658" t="s">
        <v>124</v>
      </c>
      <c r="X658">
        <v>24</v>
      </c>
      <c r="Y658">
        <v>18</v>
      </c>
      <c r="Z658" t="s">
        <v>1624</v>
      </c>
      <c r="AA658" t="s">
        <v>1625</v>
      </c>
      <c r="AB658" t="s">
        <v>526</v>
      </c>
      <c r="AC658" t="s">
        <v>527</v>
      </c>
      <c r="AD658" t="s">
        <v>528</v>
      </c>
      <c r="AE658" t="s">
        <v>502</v>
      </c>
      <c r="AG658" t="s">
        <v>1626</v>
      </c>
      <c r="AH658">
        <v>0</v>
      </c>
      <c r="AI658">
        <v>249</v>
      </c>
      <c r="AJ658">
        <v>15</v>
      </c>
      <c r="AK658">
        <v>283</v>
      </c>
      <c r="AL658">
        <v>1.0900000000000001</v>
      </c>
    </row>
    <row r="659" spans="1:38" x14ac:dyDescent="0.3">
      <c r="A659" t="s">
        <v>1431</v>
      </c>
      <c r="B659">
        <v>19212</v>
      </c>
      <c r="C659">
        <v>3</v>
      </c>
      <c r="D659" t="s">
        <v>1622</v>
      </c>
      <c r="E659" t="s">
        <v>1623</v>
      </c>
      <c r="F659">
        <v>260</v>
      </c>
      <c r="G659">
        <v>33.15</v>
      </c>
      <c r="H659">
        <v>109.61</v>
      </c>
      <c r="I659">
        <v>25.62</v>
      </c>
      <c r="J659">
        <v>84.7</v>
      </c>
      <c r="K659">
        <v>21</v>
      </c>
      <c r="T659">
        <v>3</v>
      </c>
      <c r="U659">
        <v>2</v>
      </c>
      <c r="V659" t="s">
        <v>541</v>
      </c>
      <c r="W659" t="s">
        <v>192</v>
      </c>
      <c r="X659">
        <v>24</v>
      </c>
      <c r="Y659">
        <v>18</v>
      </c>
      <c r="Z659" t="s">
        <v>1624</v>
      </c>
      <c r="AA659" t="s">
        <v>1625</v>
      </c>
      <c r="AB659" t="s">
        <v>526</v>
      </c>
      <c r="AC659" t="s">
        <v>527</v>
      </c>
      <c r="AD659" t="s">
        <v>528</v>
      </c>
      <c r="AE659" t="s">
        <v>502</v>
      </c>
      <c r="AG659" t="s">
        <v>1626</v>
      </c>
      <c r="AH659">
        <v>0</v>
      </c>
      <c r="AI659">
        <v>249</v>
      </c>
      <c r="AJ659">
        <v>15</v>
      </c>
      <c r="AK659">
        <v>283</v>
      </c>
      <c r="AL659">
        <v>1.0900000000000001</v>
      </c>
    </row>
    <row r="660" spans="1:38" x14ac:dyDescent="0.3">
      <c r="A660" t="s">
        <v>1431</v>
      </c>
      <c r="B660">
        <v>19212</v>
      </c>
      <c r="C660">
        <v>4</v>
      </c>
      <c r="D660" t="s">
        <v>1622</v>
      </c>
      <c r="E660" t="s">
        <v>1623</v>
      </c>
      <c r="F660">
        <v>260</v>
      </c>
      <c r="G660">
        <v>46.29</v>
      </c>
      <c r="H660">
        <v>153.03</v>
      </c>
      <c r="I660">
        <v>35.950000000000003</v>
      </c>
      <c r="J660">
        <v>118.87</v>
      </c>
      <c r="K660">
        <v>48</v>
      </c>
      <c r="T660">
        <v>4</v>
      </c>
      <c r="U660">
        <v>2</v>
      </c>
      <c r="V660" t="s">
        <v>541</v>
      </c>
      <c r="W660">
        <v>153</v>
      </c>
      <c r="X660">
        <v>24</v>
      </c>
      <c r="Y660">
        <v>18</v>
      </c>
      <c r="Z660" t="s">
        <v>1624</v>
      </c>
      <c r="AA660" t="s">
        <v>1625</v>
      </c>
      <c r="AB660" t="s">
        <v>526</v>
      </c>
      <c r="AC660" t="s">
        <v>527</v>
      </c>
      <c r="AD660" t="s">
        <v>528</v>
      </c>
      <c r="AE660" t="s">
        <v>502</v>
      </c>
      <c r="AG660" t="s">
        <v>1626</v>
      </c>
      <c r="AH660">
        <v>0</v>
      </c>
      <c r="AI660">
        <v>249</v>
      </c>
      <c r="AJ660">
        <v>15</v>
      </c>
      <c r="AK660">
        <v>283</v>
      </c>
      <c r="AL660">
        <v>1.0900000000000001</v>
      </c>
    </row>
    <row r="661" spans="1:38" x14ac:dyDescent="0.3">
      <c r="A661" t="s">
        <v>1431</v>
      </c>
      <c r="B661">
        <v>5719</v>
      </c>
      <c r="C661">
        <v>1</v>
      </c>
      <c r="D661" t="s">
        <v>915</v>
      </c>
      <c r="E661" t="s">
        <v>1627</v>
      </c>
      <c r="F661">
        <v>240</v>
      </c>
      <c r="G661">
        <v>21.14</v>
      </c>
      <c r="H661">
        <v>69.89</v>
      </c>
      <c r="I661">
        <v>18.100000000000001</v>
      </c>
      <c r="J661">
        <v>59.84</v>
      </c>
      <c r="K661">
        <v>240</v>
      </c>
      <c r="T661">
        <v>3</v>
      </c>
      <c r="U661">
        <v>1</v>
      </c>
      <c r="V661" t="s">
        <v>541</v>
      </c>
      <c r="W661">
        <v>69</v>
      </c>
      <c r="X661">
        <v>6</v>
      </c>
      <c r="Y661">
        <v>6</v>
      </c>
      <c r="Z661" t="s">
        <v>1628</v>
      </c>
      <c r="AA661" t="s">
        <v>1629</v>
      </c>
      <c r="AB661" t="s">
        <v>526</v>
      </c>
      <c r="AC661" t="s">
        <v>527</v>
      </c>
      <c r="AD661" t="s">
        <v>528</v>
      </c>
      <c r="AE661" t="s">
        <v>502</v>
      </c>
      <c r="AG661" t="s">
        <v>1630</v>
      </c>
      <c r="AH661">
        <v>0</v>
      </c>
      <c r="AI661">
        <v>0</v>
      </c>
      <c r="AJ661">
        <v>0</v>
      </c>
      <c r="AK661">
        <v>96</v>
      </c>
      <c r="AL661">
        <v>0.4</v>
      </c>
    </row>
    <row r="662" spans="1:38" x14ac:dyDescent="0.3">
      <c r="A662" t="s">
        <v>1431</v>
      </c>
      <c r="B662">
        <v>15092</v>
      </c>
      <c r="C662">
        <v>1</v>
      </c>
      <c r="D662" t="s">
        <v>1631</v>
      </c>
      <c r="E662" t="s">
        <v>1632</v>
      </c>
      <c r="F662">
        <v>126</v>
      </c>
      <c r="G662">
        <v>27.42</v>
      </c>
      <c r="H662">
        <v>90.67</v>
      </c>
      <c r="I662">
        <v>23.21</v>
      </c>
      <c r="J662">
        <v>76.739999999999995</v>
      </c>
      <c r="K662">
        <v>50</v>
      </c>
      <c r="T662">
        <v>3</v>
      </c>
      <c r="U662">
        <v>2</v>
      </c>
      <c r="V662" t="s">
        <v>541</v>
      </c>
      <c r="W662">
        <v>90</v>
      </c>
      <c r="X662">
        <v>5</v>
      </c>
      <c r="Y662">
        <v>4</v>
      </c>
      <c r="Z662" t="s">
        <v>1633</v>
      </c>
      <c r="AA662" t="s">
        <v>1634</v>
      </c>
      <c r="AB662" t="s">
        <v>526</v>
      </c>
      <c r="AC662" t="s">
        <v>527</v>
      </c>
      <c r="AD662" t="s">
        <v>528</v>
      </c>
      <c r="AE662" t="s">
        <v>502</v>
      </c>
      <c r="AG662" t="s">
        <v>1635</v>
      </c>
      <c r="AH662">
        <v>0</v>
      </c>
      <c r="AI662">
        <v>0</v>
      </c>
      <c r="AJ662">
        <v>0</v>
      </c>
      <c r="AK662">
        <v>0</v>
      </c>
      <c r="AL662">
        <v>0</v>
      </c>
    </row>
    <row r="663" spans="1:38" x14ac:dyDescent="0.3">
      <c r="A663" t="s">
        <v>1431</v>
      </c>
      <c r="B663">
        <v>15092</v>
      </c>
      <c r="C663">
        <v>2</v>
      </c>
      <c r="D663" t="s">
        <v>1631</v>
      </c>
      <c r="E663" t="s">
        <v>1632</v>
      </c>
      <c r="F663">
        <v>126</v>
      </c>
      <c r="G663">
        <v>29.68</v>
      </c>
      <c r="H663">
        <v>98.14</v>
      </c>
      <c r="I663">
        <v>25.47</v>
      </c>
      <c r="J663">
        <v>84.21</v>
      </c>
      <c r="K663">
        <v>30</v>
      </c>
      <c r="T663">
        <v>3</v>
      </c>
      <c r="U663">
        <v>2</v>
      </c>
      <c r="V663" t="s">
        <v>541</v>
      </c>
      <c r="W663" t="s">
        <v>283</v>
      </c>
      <c r="X663">
        <v>5</v>
      </c>
      <c r="Y663">
        <v>4</v>
      </c>
      <c r="Z663" t="s">
        <v>1633</v>
      </c>
      <c r="AA663" t="s">
        <v>1634</v>
      </c>
      <c r="AB663" t="s">
        <v>526</v>
      </c>
      <c r="AC663" t="s">
        <v>527</v>
      </c>
      <c r="AD663" t="s">
        <v>528</v>
      </c>
      <c r="AE663" t="s">
        <v>502</v>
      </c>
      <c r="AG663" t="s">
        <v>1635</v>
      </c>
      <c r="AH663">
        <v>0</v>
      </c>
      <c r="AI663">
        <v>0</v>
      </c>
      <c r="AJ663">
        <v>0</v>
      </c>
      <c r="AK663">
        <v>0</v>
      </c>
      <c r="AL663">
        <v>0</v>
      </c>
    </row>
    <row r="664" spans="1:38" x14ac:dyDescent="0.3">
      <c r="A664" t="s">
        <v>1431</v>
      </c>
      <c r="B664">
        <v>15092</v>
      </c>
      <c r="C664">
        <v>3</v>
      </c>
      <c r="D664" t="s">
        <v>1631</v>
      </c>
      <c r="E664" t="s">
        <v>1632</v>
      </c>
      <c r="F664">
        <v>126</v>
      </c>
      <c r="G664">
        <v>29.88</v>
      </c>
      <c r="H664">
        <v>98.8</v>
      </c>
      <c r="I664">
        <v>25.67</v>
      </c>
      <c r="J664">
        <v>84.87</v>
      </c>
      <c r="K664">
        <v>30</v>
      </c>
      <c r="T664">
        <v>3</v>
      </c>
      <c r="U664">
        <v>2</v>
      </c>
      <c r="V664" t="s">
        <v>541</v>
      </c>
      <c r="W664" t="s">
        <v>1636</v>
      </c>
      <c r="X664">
        <v>5</v>
      </c>
      <c r="Y664">
        <v>4</v>
      </c>
      <c r="Z664" t="s">
        <v>1633</v>
      </c>
      <c r="AA664" t="s">
        <v>1634</v>
      </c>
      <c r="AB664" t="s">
        <v>526</v>
      </c>
      <c r="AC664" t="s">
        <v>527</v>
      </c>
      <c r="AD664" t="s">
        <v>528</v>
      </c>
      <c r="AE664" t="s">
        <v>502</v>
      </c>
      <c r="AG664" t="s">
        <v>1635</v>
      </c>
      <c r="AH664">
        <v>0</v>
      </c>
      <c r="AI664">
        <v>0</v>
      </c>
      <c r="AJ664">
        <v>0</v>
      </c>
      <c r="AK664">
        <v>0</v>
      </c>
      <c r="AL664">
        <v>0</v>
      </c>
    </row>
    <row r="665" spans="1:38" x14ac:dyDescent="0.3">
      <c r="A665" t="s">
        <v>1431</v>
      </c>
      <c r="B665">
        <v>15092</v>
      </c>
      <c r="C665">
        <v>4</v>
      </c>
      <c r="D665" t="s">
        <v>1631</v>
      </c>
      <c r="E665" t="s">
        <v>1632</v>
      </c>
      <c r="F665">
        <v>126</v>
      </c>
      <c r="G665">
        <v>29.84</v>
      </c>
      <c r="H665">
        <v>98.65</v>
      </c>
      <c r="I665">
        <v>25.62</v>
      </c>
      <c r="J665">
        <v>84.72</v>
      </c>
      <c r="K665">
        <v>16</v>
      </c>
      <c r="T665">
        <v>3</v>
      </c>
      <c r="U665">
        <v>2</v>
      </c>
      <c r="V665" t="s">
        <v>541</v>
      </c>
      <c r="W665" t="s">
        <v>277</v>
      </c>
      <c r="X665">
        <v>5</v>
      </c>
      <c r="Y665">
        <v>4</v>
      </c>
      <c r="Z665" t="s">
        <v>1633</v>
      </c>
      <c r="AA665" t="s">
        <v>1634</v>
      </c>
      <c r="AB665" t="s">
        <v>526</v>
      </c>
      <c r="AC665" t="s">
        <v>527</v>
      </c>
      <c r="AD665" t="s">
        <v>528</v>
      </c>
      <c r="AE665" t="s">
        <v>502</v>
      </c>
      <c r="AG665" t="s">
        <v>1635</v>
      </c>
      <c r="AH665">
        <v>0</v>
      </c>
      <c r="AI665">
        <v>0</v>
      </c>
      <c r="AJ665">
        <v>0</v>
      </c>
      <c r="AK665">
        <v>0</v>
      </c>
      <c r="AL665">
        <v>0</v>
      </c>
    </row>
    <row r="666" spans="1:38" x14ac:dyDescent="0.3">
      <c r="A666" t="s">
        <v>1431</v>
      </c>
      <c r="B666">
        <v>108441</v>
      </c>
      <c r="C666">
        <v>1</v>
      </c>
      <c r="D666" t="s">
        <v>1637</v>
      </c>
      <c r="E666" t="s">
        <v>1638</v>
      </c>
      <c r="F666">
        <v>30</v>
      </c>
      <c r="G666">
        <v>38.89</v>
      </c>
      <c r="H666">
        <v>128.59</v>
      </c>
      <c r="I666">
        <v>29.65</v>
      </c>
      <c r="J666">
        <v>98.04</v>
      </c>
      <c r="K666">
        <v>30</v>
      </c>
      <c r="T666">
        <v>3</v>
      </c>
      <c r="U666">
        <v>2</v>
      </c>
      <c r="V666" t="s">
        <v>541</v>
      </c>
      <c r="W666">
        <v>128</v>
      </c>
      <c r="X666">
        <v>5</v>
      </c>
      <c r="Y666">
        <v>5</v>
      </c>
      <c r="Z666" t="s">
        <v>1639</v>
      </c>
      <c r="AA666" t="s">
        <v>1640</v>
      </c>
      <c r="AB666" t="s">
        <v>526</v>
      </c>
      <c r="AC666" t="s">
        <v>527</v>
      </c>
      <c r="AD666" t="s">
        <v>528</v>
      </c>
      <c r="AE666" t="s">
        <v>502</v>
      </c>
      <c r="AG666" t="s">
        <v>1641</v>
      </c>
      <c r="AH666">
        <v>0</v>
      </c>
      <c r="AI666">
        <v>0</v>
      </c>
      <c r="AJ666">
        <v>0</v>
      </c>
      <c r="AK666">
        <v>0</v>
      </c>
      <c r="AL666">
        <v>0</v>
      </c>
    </row>
    <row r="667" spans="1:38" x14ac:dyDescent="0.3">
      <c r="A667" t="s">
        <v>1431</v>
      </c>
      <c r="B667">
        <v>15099</v>
      </c>
      <c r="C667">
        <v>1</v>
      </c>
      <c r="D667" t="s">
        <v>1642</v>
      </c>
      <c r="E667" t="s">
        <v>1643</v>
      </c>
      <c r="F667">
        <v>499</v>
      </c>
      <c r="G667">
        <v>24.19</v>
      </c>
      <c r="H667">
        <v>79.97</v>
      </c>
      <c r="I667">
        <v>18.100000000000001</v>
      </c>
      <c r="J667">
        <v>59.85</v>
      </c>
      <c r="K667">
        <v>322</v>
      </c>
      <c r="T667">
        <v>3</v>
      </c>
      <c r="U667">
        <v>1</v>
      </c>
      <c r="V667" t="s">
        <v>523</v>
      </c>
      <c r="W667">
        <v>79</v>
      </c>
      <c r="X667">
        <v>15</v>
      </c>
      <c r="Y667">
        <v>8</v>
      </c>
      <c r="Z667" t="s">
        <v>1644</v>
      </c>
      <c r="AA667" t="s">
        <v>1645</v>
      </c>
      <c r="AB667" t="s">
        <v>526</v>
      </c>
      <c r="AC667" t="s">
        <v>527</v>
      </c>
      <c r="AD667" t="s">
        <v>528</v>
      </c>
      <c r="AE667" t="s">
        <v>502</v>
      </c>
      <c r="AG667" t="s">
        <v>1646</v>
      </c>
      <c r="AH667">
        <v>0</v>
      </c>
      <c r="AI667">
        <v>0</v>
      </c>
      <c r="AJ667">
        <v>0</v>
      </c>
      <c r="AK667">
        <v>0</v>
      </c>
      <c r="AL667">
        <v>0</v>
      </c>
    </row>
    <row r="668" spans="1:38" x14ac:dyDescent="0.3">
      <c r="A668" t="s">
        <v>1431</v>
      </c>
      <c r="B668">
        <v>15099</v>
      </c>
      <c r="C668">
        <v>2</v>
      </c>
      <c r="D668" t="s">
        <v>1642</v>
      </c>
      <c r="E668" t="s">
        <v>1643</v>
      </c>
      <c r="F668">
        <v>499</v>
      </c>
      <c r="G668">
        <v>34.17</v>
      </c>
      <c r="H668">
        <v>112.98</v>
      </c>
      <c r="I668">
        <v>25.6</v>
      </c>
      <c r="J668">
        <v>84.66</v>
      </c>
      <c r="K668">
        <v>177</v>
      </c>
      <c r="T668">
        <v>3</v>
      </c>
      <c r="U668">
        <v>2</v>
      </c>
      <c r="V668" t="s">
        <v>523</v>
      </c>
      <c r="W668">
        <v>112</v>
      </c>
      <c r="X668">
        <v>15</v>
      </c>
      <c r="Y668">
        <v>8</v>
      </c>
      <c r="Z668" t="s">
        <v>1644</v>
      </c>
      <c r="AA668" t="s">
        <v>1645</v>
      </c>
      <c r="AB668" t="s">
        <v>526</v>
      </c>
      <c r="AC668" t="s">
        <v>527</v>
      </c>
      <c r="AD668" t="s">
        <v>528</v>
      </c>
      <c r="AE668" t="s">
        <v>502</v>
      </c>
      <c r="AG668" t="s">
        <v>1646</v>
      </c>
      <c r="AH668">
        <v>0</v>
      </c>
      <c r="AI668">
        <v>0</v>
      </c>
      <c r="AJ668">
        <v>0</v>
      </c>
      <c r="AK668">
        <v>0</v>
      </c>
      <c r="AL668">
        <v>0</v>
      </c>
    </row>
    <row r="669" spans="1:38" x14ac:dyDescent="0.3">
      <c r="A669" t="s">
        <v>1431</v>
      </c>
      <c r="B669">
        <v>143281</v>
      </c>
      <c r="C669">
        <v>1</v>
      </c>
      <c r="D669" t="s">
        <v>1647</v>
      </c>
      <c r="E669" t="s">
        <v>944</v>
      </c>
      <c r="F669">
        <v>38</v>
      </c>
      <c r="G669">
        <v>10.46</v>
      </c>
      <c r="H669">
        <v>34.61</v>
      </c>
      <c r="I669">
        <v>6.95</v>
      </c>
      <c r="J669">
        <v>22.98</v>
      </c>
      <c r="K669">
        <v>6</v>
      </c>
      <c r="T669">
        <v>1</v>
      </c>
      <c r="U669">
        <v>1</v>
      </c>
      <c r="V669" t="s">
        <v>541</v>
      </c>
      <c r="W669">
        <v>34</v>
      </c>
      <c r="X669">
        <v>6</v>
      </c>
      <c r="Y669">
        <v>5</v>
      </c>
      <c r="Z669" t="s">
        <v>1648</v>
      </c>
      <c r="AA669" t="s">
        <v>1649</v>
      </c>
      <c r="AB669" t="s">
        <v>526</v>
      </c>
      <c r="AC669" t="s">
        <v>527</v>
      </c>
      <c r="AD669" t="s">
        <v>528</v>
      </c>
      <c r="AE669" t="s">
        <v>502</v>
      </c>
      <c r="AG669" t="s">
        <v>1650</v>
      </c>
      <c r="AH669">
        <v>0</v>
      </c>
      <c r="AI669">
        <v>210</v>
      </c>
      <c r="AJ669">
        <v>47</v>
      </c>
      <c r="AK669">
        <v>27</v>
      </c>
      <c r="AL669">
        <v>0.71</v>
      </c>
    </row>
    <row r="670" spans="1:38" x14ac:dyDescent="0.3">
      <c r="A670" t="s">
        <v>1431</v>
      </c>
      <c r="B670">
        <v>143281</v>
      </c>
      <c r="C670">
        <v>2</v>
      </c>
      <c r="D670" t="s">
        <v>1647</v>
      </c>
      <c r="E670" t="s">
        <v>944</v>
      </c>
      <c r="F670">
        <v>38</v>
      </c>
      <c r="G670">
        <v>11.85</v>
      </c>
      <c r="H670">
        <v>39.19</v>
      </c>
      <c r="I670">
        <v>7.87</v>
      </c>
      <c r="J670">
        <v>26.02</v>
      </c>
      <c r="K670">
        <v>6</v>
      </c>
      <c r="T670">
        <v>1</v>
      </c>
      <c r="U670">
        <v>1</v>
      </c>
      <c r="V670" t="s">
        <v>541</v>
      </c>
      <c r="W670">
        <v>39</v>
      </c>
      <c r="X670">
        <v>6</v>
      </c>
      <c r="Y670">
        <v>5</v>
      </c>
      <c r="Z670" t="s">
        <v>1648</v>
      </c>
      <c r="AA670" t="s">
        <v>1649</v>
      </c>
      <c r="AB670" t="s">
        <v>526</v>
      </c>
      <c r="AC670" t="s">
        <v>527</v>
      </c>
      <c r="AD670" t="s">
        <v>528</v>
      </c>
      <c r="AE670" t="s">
        <v>502</v>
      </c>
      <c r="AG670" t="s">
        <v>1650</v>
      </c>
      <c r="AH670">
        <v>0</v>
      </c>
      <c r="AI670">
        <v>210</v>
      </c>
      <c r="AJ670">
        <v>47</v>
      </c>
      <c r="AK670">
        <v>27</v>
      </c>
      <c r="AL670">
        <v>0.71</v>
      </c>
    </row>
    <row r="671" spans="1:38" x14ac:dyDescent="0.3">
      <c r="A671" t="s">
        <v>1431</v>
      </c>
      <c r="B671">
        <v>143281</v>
      </c>
      <c r="C671">
        <v>3</v>
      </c>
      <c r="D671" t="s">
        <v>1647</v>
      </c>
      <c r="E671" t="s">
        <v>944</v>
      </c>
      <c r="F671">
        <v>38</v>
      </c>
      <c r="G671">
        <v>13.76</v>
      </c>
      <c r="H671">
        <v>45.49</v>
      </c>
      <c r="I671">
        <v>9.1300000000000008</v>
      </c>
      <c r="J671">
        <v>30.2</v>
      </c>
      <c r="K671">
        <v>12</v>
      </c>
      <c r="T671">
        <v>1</v>
      </c>
      <c r="U671">
        <v>1</v>
      </c>
      <c r="V671" t="s">
        <v>541</v>
      </c>
      <c r="W671" t="s">
        <v>364</v>
      </c>
      <c r="X671">
        <v>6</v>
      </c>
      <c r="Y671">
        <v>5</v>
      </c>
      <c r="Z671" t="s">
        <v>1648</v>
      </c>
      <c r="AA671" t="s">
        <v>1649</v>
      </c>
      <c r="AB671" t="s">
        <v>526</v>
      </c>
      <c r="AC671" t="s">
        <v>527</v>
      </c>
      <c r="AD671" t="s">
        <v>528</v>
      </c>
      <c r="AE671" t="s">
        <v>502</v>
      </c>
      <c r="AG671" t="s">
        <v>1650</v>
      </c>
      <c r="AH671">
        <v>0</v>
      </c>
      <c r="AI671">
        <v>210</v>
      </c>
      <c r="AJ671">
        <v>47</v>
      </c>
      <c r="AK671">
        <v>27</v>
      </c>
      <c r="AL671">
        <v>0.71</v>
      </c>
    </row>
    <row r="672" spans="1:38" x14ac:dyDescent="0.3">
      <c r="A672" t="s">
        <v>1431</v>
      </c>
      <c r="B672">
        <v>143281</v>
      </c>
      <c r="C672">
        <v>4</v>
      </c>
      <c r="D672" t="s">
        <v>1647</v>
      </c>
      <c r="E672" t="s">
        <v>944</v>
      </c>
      <c r="F672">
        <v>38</v>
      </c>
      <c r="G672">
        <v>14.45</v>
      </c>
      <c r="H672">
        <v>47.78</v>
      </c>
      <c r="I672">
        <v>9.59</v>
      </c>
      <c r="J672">
        <v>31.72</v>
      </c>
      <c r="K672">
        <v>12</v>
      </c>
      <c r="T672">
        <v>1</v>
      </c>
      <c r="U672">
        <v>1</v>
      </c>
      <c r="V672" t="s">
        <v>541</v>
      </c>
      <c r="W672" t="s">
        <v>1651</v>
      </c>
      <c r="X672">
        <v>6</v>
      </c>
      <c r="Y672">
        <v>5</v>
      </c>
      <c r="Z672" t="s">
        <v>1648</v>
      </c>
      <c r="AA672" t="s">
        <v>1649</v>
      </c>
      <c r="AB672" t="s">
        <v>526</v>
      </c>
      <c r="AC672" t="s">
        <v>527</v>
      </c>
      <c r="AD672" t="s">
        <v>528</v>
      </c>
      <c r="AE672" t="s">
        <v>502</v>
      </c>
      <c r="AG672" t="s">
        <v>1650</v>
      </c>
      <c r="AH672">
        <v>0</v>
      </c>
      <c r="AI672">
        <v>210</v>
      </c>
      <c r="AJ672">
        <v>47</v>
      </c>
      <c r="AK672">
        <v>27</v>
      </c>
      <c r="AL672">
        <v>0.71</v>
      </c>
    </row>
    <row r="673" spans="1:38" x14ac:dyDescent="0.3">
      <c r="A673" t="s">
        <v>1431</v>
      </c>
      <c r="B673">
        <v>143281</v>
      </c>
      <c r="C673">
        <v>5</v>
      </c>
      <c r="D673" t="s">
        <v>1647</v>
      </c>
      <c r="E673" t="s">
        <v>944</v>
      </c>
      <c r="F673">
        <v>38</v>
      </c>
      <c r="G673">
        <v>26.17</v>
      </c>
      <c r="H673">
        <v>86.54</v>
      </c>
      <c r="I673">
        <v>17.38</v>
      </c>
      <c r="J673">
        <v>57.46</v>
      </c>
      <c r="K673">
        <v>1</v>
      </c>
      <c r="T673">
        <v>3</v>
      </c>
      <c r="U673">
        <v>2</v>
      </c>
      <c r="V673" t="s">
        <v>541</v>
      </c>
      <c r="W673">
        <v>86</v>
      </c>
      <c r="X673">
        <v>6</v>
      </c>
      <c r="Y673">
        <v>5</v>
      </c>
      <c r="Z673" t="s">
        <v>1648</v>
      </c>
      <c r="AA673" t="s">
        <v>1649</v>
      </c>
      <c r="AB673" t="s">
        <v>526</v>
      </c>
      <c r="AC673" t="s">
        <v>527</v>
      </c>
      <c r="AD673" t="s">
        <v>528</v>
      </c>
      <c r="AE673" t="s">
        <v>502</v>
      </c>
      <c r="AG673" t="s">
        <v>1650</v>
      </c>
      <c r="AH673">
        <v>0</v>
      </c>
      <c r="AI673">
        <v>210</v>
      </c>
      <c r="AJ673">
        <v>47</v>
      </c>
      <c r="AK673">
        <v>27</v>
      </c>
      <c r="AL673">
        <v>0.71</v>
      </c>
    </row>
    <row r="674" spans="1:38" x14ac:dyDescent="0.3">
      <c r="A674" t="s">
        <v>1431</v>
      </c>
      <c r="B674">
        <v>143281</v>
      </c>
      <c r="C674">
        <v>6</v>
      </c>
      <c r="D674" t="s">
        <v>1647</v>
      </c>
      <c r="E674" t="s">
        <v>944</v>
      </c>
      <c r="F674">
        <v>38</v>
      </c>
      <c r="G674">
        <v>40.729999999999997</v>
      </c>
      <c r="H674">
        <v>134.66999999999999</v>
      </c>
      <c r="I674">
        <v>27.04</v>
      </c>
      <c r="J674">
        <v>89.4</v>
      </c>
      <c r="K674">
        <v>1</v>
      </c>
      <c r="T674">
        <v>4</v>
      </c>
      <c r="U674">
        <v>2</v>
      </c>
      <c r="V674" t="s">
        <v>541</v>
      </c>
      <c r="W674">
        <v>134</v>
      </c>
      <c r="X674">
        <v>6</v>
      </c>
      <c r="Y674">
        <v>5</v>
      </c>
      <c r="Z674" t="s">
        <v>1648</v>
      </c>
      <c r="AA674" t="s">
        <v>1649</v>
      </c>
      <c r="AB674" t="s">
        <v>526</v>
      </c>
      <c r="AC674" t="s">
        <v>527</v>
      </c>
      <c r="AD674" t="s">
        <v>528</v>
      </c>
      <c r="AE674" t="s">
        <v>502</v>
      </c>
      <c r="AG674" t="s">
        <v>1650</v>
      </c>
      <c r="AH674">
        <v>0</v>
      </c>
      <c r="AI674">
        <v>210</v>
      </c>
      <c r="AJ674">
        <v>47</v>
      </c>
      <c r="AK674">
        <v>27</v>
      </c>
      <c r="AL674">
        <v>0.71</v>
      </c>
    </row>
    <row r="675" spans="1:38" x14ac:dyDescent="0.3">
      <c r="A675" t="s">
        <v>1652</v>
      </c>
      <c r="B675">
        <v>107035</v>
      </c>
      <c r="C675">
        <v>1</v>
      </c>
      <c r="D675" t="s">
        <v>1653</v>
      </c>
      <c r="E675" t="s">
        <v>1654</v>
      </c>
      <c r="F675">
        <v>115</v>
      </c>
      <c r="G675">
        <v>19.53</v>
      </c>
      <c r="H675">
        <v>64.58</v>
      </c>
      <c r="I675">
        <v>15.95</v>
      </c>
      <c r="J675">
        <v>52.74</v>
      </c>
      <c r="K675">
        <v>20</v>
      </c>
      <c r="T675">
        <v>3</v>
      </c>
      <c r="U675">
        <v>1</v>
      </c>
      <c r="V675" t="s">
        <v>541</v>
      </c>
      <c r="W675">
        <v>64</v>
      </c>
      <c r="X675">
        <v>5</v>
      </c>
      <c r="Y675">
        <v>4</v>
      </c>
      <c r="Z675" t="s">
        <v>1655</v>
      </c>
      <c r="AA675" t="s">
        <v>1656</v>
      </c>
      <c r="AB675" t="s">
        <v>526</v>
      </c>
      <c r="AC675" t="s">
        <v>527</v>
      </c>
      <c r="AD675" t="s">
        <v>528</v>
      </c>
      <c r="AE675" t="s">
        <v>501</v>
      </c>
      <c r="AG675" t="s">
        <v>1657</v>
      </c>
      <c r="AH675">
        <v>0</v>
      </c>
      <c r="AI675">
        <v>0</v>
      </c>
      <c r="AJ675">
        <v>0</v>
      </c>
      <c r="AK675">
        <v>120</v>
      </c>
      <c r="AL675">
        <v>1.04</v>
      </c>
    </row>
    <row r="676" spans="1:38" x14ac:dyDescent="0.3">
      <c r="A676" t="s">
        <v>1652</v>
      </c>
      <c r="B676">
        <v>107035</v>
      </c>
      <c r="C676">
        <v>2</v>
      </c>
      <c r="D676" t="s">
        <v>1653</v>
      </c>
      <c r="E676" t="s">
        <v>1654</v>
      </c>
      <c r="F676">
        <v>115</v>
      </c>
      <c r="G676">
        <v>21.91</v>
      </c>
      <c r="H676">
        <v>72.459999999999994</v>
      </c>
      <c r="I676">
        <v>18.07</v>
      </c>
      <c r="J676">
        <v>59.75</v>
      </c>
      <c r="K676">
        <v>55</v>
      </c>
      <c r="T676">
        <v>3</v>
      </c>
      <c r="U676">
        <v>1</v>
      </c>
      <c r="V676" t="s">
        <v>541</v>
      </c>
      <c r="W676" t="s">
        <v>91</v>
      </c>
      <c r="X676">
        <v>5</v>
      </c>
      <c r="Y676">
        <v>4</v>
      </c>
      <c r="Z676" t="s">
        <v>1655</v>
      </c>
      <c r="AA676" t="s">
        <v>1656</v>
      </c>
      <c r="AB676" t="s">
        <v>526</v>
      </c>
      <c r="AC676" t="s">
        <v>527</v>
      </c>
      <c r="AD676" t="s">
        <v>528</v>
      </c>
      <c r="AE676" t="s">
        <v>501</v>
      </c>
      <c r="AG676" t="s">
        <v>1657</v>
      </c>
      <c r="AH676">
        <v>0</v>
      </c>
      <c r="AI676">
        <v>0</v>
      </c>
      <c r="AJ676">
        <v>0</v>
      </c>
      <c r="AK676">
        <v>120</v>
      </c>
      <c r="AL676">
        <v>1.04</v>
      </c>
    </row>
    <row r="677" spans="1:38" x14ac:dyDescent="0.3">
      <c r="A677" t="s">
        <v>1652</v>
      </c>
      <c r="B677">
        <v>107035</v>
      </c>
      <c r="C677">
        <v>3</v>
      </c>
      <c r="D677" t="s">
        <v>1653</v>
      </c>
      <c r="E677" t="s">
        <v>1654</v>
      </c>
      <c r="F677">
        <v>115</v>
      </c>
      <c r="G677">
        <v>21.99</v>
      </c>
      <c r="H677">
        <v>72.709999999999994</v>
      </c>
      <c r="I677">
        <v>18.14</v>
      </c>
      <c r="J677">
        <v>59.99</v>
      </c>
      <c r="K677">
        <v>40</v>
      </c>
      <c r="T677">
        <v>3</v>
      </c>
      <c r="U677">
        <v>1</v>
      </c>
      <c r="V677" t="s">
        <v>541</v>
      </c>
      <c r="W677" t="s">
        <v>92</v>
      </c>
      <c r="X677">
        <v>5</v>
      </c>
      <c r="Y677">
        <v>4</v>
      </c>
      <c r="Z677" t="s">
        <v>1655</v>
      </c>
      <c r="AA677" t="s">
        <v>1656</v>
      </c>
      <c r="AB677" t="s">
        <v>526</v>
      </c>
      <c r="AC677" t="s">
        <v>527</v>
      </c>
      <c r="AD677" t="s">
        <v>528</v>
      </c>
      <c r="AE677" t="s">
        <v>501</v>
      </c>
      <c r="AG677" t="s">
        <v>1657</v>
      </c>
      <c r="AH677">
        <v>0</v>
      </c>
      <c r="AI677">
        <v>0</v>
      </c>
      <c r="AJ677">
        <v>0</v>
      </c>
      <c r="AK677">
        <v>120</v>
      </c>
      <c r="AL677">
        <v>1.04</v>
      </c>
    </row>
    <row r="678" spans="1:38" x14ac:dyDescent="0.3">
      <c r="A678" t="s">
        <v>1652</v>
      </c>
      <c r="B678">
        <v>27665</v>
      </c>
      <c r="C678">
        <v>1</v>
      </c>
      <c r="D678" t="s">
        <v>1658</v>
      </c>
      <c r="E678" t="s">
        <v>1659</v>
      </c>
      <c r="F678">
        <v>502</v>
      </c>
      <c r="G678">
        <v>29.45</v>
      </c>
      <c r="H678">
        <v>97.36</v>
      </c>
      <c r="I678">
        <v>22.64</v>
      </c>
      <c r="J678">
        <v>74.87</v>
      </c>
      <c r="K678">
        <v>70</v>
      </c>
      <c r="T678">
        <v>3</v>
      </c>
      <c r="U678">
        <v>2</v>
      </c>
      <c r="V678" t="s">
        <v>541</v>
      </c>
      <c r="W678">
        <v>97</v>
      </c>
      <c r="X678">
        <v>20</v>
      </c>
      <c r="Y678">
        <v>15</v>
      </c>
      <c r="Z678" t="s">
        <v>1660</v>
      </c>
      <c r="AA678" t="s">
        <v>1661</v>
      </c>
      <c r="AB678" t="s">
        <v>526</v>
      </c>
      <c r="AC678" t="s">
        <v>527</v>
      </c>
      <c r="AD678" t="s">
        <v>528</v>
      </c>
      <c r="AE678" t="s">
        <v>501</v>
      </c>
      <c r="AG678" t="s">
        <v>1662</v>
      </c>
      <c r="AH678">
        <v>0</v>
      </c>
      <c r="AI678">
        <v>164</v>
      </c>
      <c r="AJ678">
        <v>13</v>
      </c>
      <c r="AK678">
        <v>624</v>
      </c>
      <c r="AL678">
        <v>1.24</v>
      </c>
    </row>
    <row r="679" spans="1:38" x14ac:dyDescent="0.3">
      <c r="A679" t="s">
        <v>1652</v>
      </c>
      <c r="B679">
        <v>27665</v>
      </c>
      <c r="C679">
        <v>2</v>
      </c>
      <c r="D679" t="s">
        <v>1658</v>
      </c>
      <c r="E679" t="s">
        <v>1659</v>
      </c>
      <c r="F679">
        <v>502</v>
      </c>
      <c r="G679">
        <v>33.409999999999997</v>
      </c>
      <c r="H679">
        <v>110.47</v>
      </c>
      <c r="I679">
        <v>25.69</v>
      </c>
      <c r="J679">
        <v>84.95</v>
      </c>
      <c r="K679">
        <v>274</v>
      </c>
      <c r="T679">
        <v>3</v>
      </c>
      <c r="U679">
        <v>2</v>
      </c>
      <c r="V679" t="s">
        <v>541</v>
      </c>
      <c r="W679" t="s">
        <v>292</v>
      </c>
      <c r="X679">
        <v>20</v>
      </c>
      <c r="Y679">
        <v>15</v>
      </c>
      <c r="Z679" t="s">
        <v>1660</v>
      </c>
      <c r="AA679" t="s">
        <v>1661</v>
      </c>
      <c r="AB679" t="s">
        <v>526</v>
      </c>
      <c r="AC679" t="s">
        <v>527</v>
      </c>
      <c r="AD679" t="s">
        <v>528</v>
      </c>
      <c r="AE679" t="s">
        <v>501</v>
      </c>
      <c r="AG679" t="s">
        <v>1662</v>
      </c>
      <c r="AH679">
        <v>0</v>
      </c>
      <c r="AI679">
        <v>164</v>
      </c>
      <c r="AJ679">
        <v>13</v>
      </c>
      <c r="AK679">
        <v>624</v>
      </c>
      <c r="AL679">
        <v>1.24</v>
      </c>
    </row>
    <row r="680" spans="1:38" x14ac:dyDescent="0.3">
      <c r="A680" t="s">
        <v>1652</v>
      </c>
      <c r="B680">
        <v>27665</v>
      </c>
      <c r="C680">
        <v>3</v>
      </c>
      <c r="D680" t="s">
        <v>1658</v>
      </c>
      <c r="E680" t="s">
        <v>1659</v>
      </c>
      <c r="F680">
        <v>502</v>
      </c>
      <c r="G680">
        <v>33.369999999999997</v>
      </c>
      <c r="H680">
        <v>110.34</v>
      </c>
      <c r="I680">
        <v>25.66</v>
      </c>
      <c r="J680">
        <v>84.85</v>
      </c>
      <c r="K680">
        <v>80</v>
      </c>
      <c r="T680">
        <v>3</v>
      </c>
      <c r="U680">
        <v>2</v>
      </c>
      <c r="V680" t="s">
        <v>541</v>
      </c>
      <c r="W680" t="s">
        <v>293</v>
      </c>
      <c r="X680">
        <v>20</v>
      </c>
      <c r="Y680">
        <v>15</v>
      </c>
      <c r="Z680" t="s">
        <v>1660</v>
      </c>
      <c r="AA680" t="s">
        <v>1661</v>
      </c>
      <c r="AB680" t="s">
        <v>526</v>
      </c>
      <c r="AC680" t="s">
        <v>527</v>
      </c>
      <c r="AD680" t="s">
        <v>528</v>
      </c>
      <c r="AE680" t="s">
        <v>501</v>
      </c>
      <c r="AG680" t="s">
        <v>1662</v>
      </c>
      <c r="AH680">
        <v>0</v>
      </c>
      <c r="AI680">
        <v>164</v>
      </c>
      <c r="AJ680">
        <v>13</v>
      </c>
      <c r="AK680">
        <v>624</v>
      </c>
      <c r="AL680">
        <v>1.24</v>
      </c>
    </row>
    <row r="681" spans="1:38" x14ac:dyDescent="0.3">
      <c r="A681" t="s">
        <v>1652</v>
      </c>
      <c r="B681">
        <v>27665</v>
      </c>
      <c r="C681">
        <v>4</v>
      </c>
      <c r="D681" t="s">
        <v>1658</v>
      </c>
      <c r="E681" t="s">
        <v>1659</v>
      </c>
      <c r="F681">
        <v>502</v>
      </c>
      <c r="G681">
        <v>33.42</v>
      </c>
      <c r="H681">
        <v>110.48</v>
      </c>
      <c r="I681">
        <v>25.7</v>
      </c>
      <c r="J681">
        <v>84.96</v>
      </c>
      <c r="K681">
        <v>78</v>
      </c>
      <c r="T681">
        <v>3</v>
      </c>
      <c r="U681">
        <v>2</v>
      </c>
      <c r="V681" t="s">
        <v>541</v>
      </c>
      <c r="W681" t="s">
        <v>125</v>
      </c>
      <c r="X681">
        <v>20</v>
      </c>
      <c r="Y681">
        <v>15</v>
      </c>
      <c r="Z681" t="s">
        <v>1660</v>
      </c>
      <c r="AA681" t="s">
        <v>1661</v>
      </c>
      <c r="AB681" t="s">
        <v>526</v>
      </c>
      <c r="AC681" t="s">
        <v>527</v>
      </c>
      <c r="AD681" t="s">
        <v>528</v>
      </c>
      <c r="AE681" t="s">
        <v>501</v>
      </c>
      <c r="AG681" t="s">
        <v>1662</v>
      </c>
      <c r="AH681">
        <v>0</v>
      </c>
      <c r="AI681">
        <v>164</v>
      </c>
      <c r="AJ681">
        <v>13</v>
      </c>
      <c r="AK681">
        <v>624</v>
      </c>
      <c r="AL681">
        <v>1.24</v>
      </c>
    </row>
    <row r="682" spans="1:38" x14ac:dyDescent="0.3">
      <c r="A682" t="s">
        <v>1652</v>
      </c>
      <c r="B682">
        <v>108457</v>
      </c>
      <c r="C682">
        <v>1</v>
      </c>
      <c r="D682" t="s">
        <v>1663</v>
      </c>
      <c r="E682" t="s">
        <v>1664</v>
      </c>
      <c r="F682">
        <v>481</v>
      </c>
      <c r="G682">
        <v>35.04</v>
      </c>
      <c r="H682">
        <v>115.86</v>
      </c>
      <c r="I682">
        <v>25.7</v>
      </c>
      <c r="J682">
        <v>84.97</v>
      </c>
      <c r="K682">
        <v>201</v>
      </c>
      <c r="T682">
        <v>3</v>
      </c>
      <c r="U682">
        <v>2</v>
      </c>
      <c r="V682" t="s">
        <v>541</v>
      </c>
      <c r="W682" t="s">
        <v>343</v>
      </c>
      <c r="X682">
        <v>29</v>
      </c>
      <c r="Y682">
        <v>26</v>
      </c>
      <c r="Z682" t="s">
        <v>1665</v>
      </c>
      <c r="AA682" t="s">
        <v>1666</v>
      </c>
      <c r="AB682" t="s">
        <v>526</v>
      </c>
      <c r="AC682" t="s">
        <v>527</v>
      </c>
      <c r="AD682" t="s">
        <v>528</v>
      </c>
      <c r="AE682" t="s">
        <v>501</v>
      </c>
      <c r="AG682" t="s">
        <v>1667</v>
      </c>
      <c r="AH682">
        <v>0</v>
      </c>
      <c r="AI682">
        <v>490</v>
      </c>
      <c r="AJ682">
        <v>60</v>
      </c>
      <c r="AK682">
        <v>739</v>
      </c>
      <c r="AL682">
        <v>1.54</v>
      </c>
    </row>
    <row r="683" spans="1:38" x14ac:dyDescent="0.3">
      <c r="A683" t="s">
        <v>1652</v>
      </c>
      <c r="B683">
        <v>108457</v>
      </c>
      <c r="C683">
        <v>2</v>
      </c>
      <c r="D683" t="s">
        <v>1663</v>
      </c>
      <c r="E683" t="s">
        <v>1664</v>
      </c>
      <c r="F683">
        <v>481</v>
      </c>
      <c r="G683">
        <v>35.049999999999997</v>
      </c>
      <c r="H683">
        <v>115.88</v>
      </c>
      <c r="I683">
        <v>25.7</v>
      </c>
      <c r="J683">
        <v>84.98</v>
      </c>
      <c r="K683">
        <v>184</v>
      </c>
      <c r="T683">
        <v>3</v>
      </c>
      <c r="U683">
        <v>2</v>
      </c>
      <c r="V683" t="s">
        <v>541</v>
      </c>
      <c r="W683" t="s">
        <v>342</v>
      </c>
      <c r="X683">
        <v>29</v>
      </c>
      <c r="Y683">
        <v>26</v>
      </c>
      <c r="Z683" t="s">
        <v>1665</v>
      </c>
      <c r="AA683" t="s">
        <v>1666</v>
      </c>
      <c r="AB683" t="s">
        <v>526</v>
      </c>
      <c r="AC683" t="s">
        <v>527</v>
      </c>
      <c r="AD683" t="s">
        <v>528</v>
      </c>
      <c r="AE683" t="s">
        <v>501</v>
      </c>
      <c r="AG683" t="s">
        <v>1667</v>
      </c>
      <c r="AH683">
        <v>0</v>
      </c>
      <c r="AI683">
        <v>490</v>
      </c>
      <c r="AJ683">
        <v>60</v>
      </c>
      <c r="AK683">
        <v>739</v>
      </c>
      <c r="AL683">
        <v>1.54</v>
      </c>
    </row>
    <row r="684" spans="1:38" x14ac:dyDescent="0.3">
      <c r="A684" t="s">
        <v>1652</v>
      </c>
      <c r="B684">
        <v>108457</v>
      </c>
      <c r="C684">
        <v>3</v>
      </c>
      <c r="D684" t="s">
        <v>1663</v>
      </c>
      <c r="E684" t="s">
        <v>1664</v>
      </c>
      <c r="F684">
        <v>481</v>
      </c>
      <c r="G684">
        <v>35.049999999999997</v>
      </c>
      <c r="H684">
        <v>115.89</v>
      </c>
      <c r="I684">
        <v>25.7</v>
      </c>
      <c r="J684">
        <v>84.99</v>
      </c>
      <c r="K684">
        <v>52</v>
      </c>
      <c r="T684">
        <v>3</v>
      </c>
      <c r="U684">
        <v>2</v>
      </c>
      <c r="V684" t="s">
        <v>541</v>
      </c>
      <c r="W684" t="s">
        <v>416</v>
      </c>
      <c r="X684">
        <v>29</v>
      </c>
      <c r="Y684">
        <v>26</v>
      </c>
      <c r="Z684" t="s">
        <v>1665</v>
      </c>
      <c r="AA684" t="s">
        <v>1666</v>
      </c>
      <c r="AB684" t="s">
        <v>526</v>
      </c>
      <c r="AC684" t="s">
        <v>527</v>
      </c>
      <c r="AD684" t="s">
        <v>528</v>
      </c>
      <c r="AE684" t="s">
        <v>501</v>
      </c>
      <c r="AG684" t="s">
        <v>1667</v>
      </c>
      <c r="AH684">
        <v>0</v>
      </c>
      <c r="AI684">
        <v>490</v>
      </c>
      <c r="AJ684">
        <v>60</v>
      </c>
      <c r="AK684">
        <v>739</v>
      </c>
      <c r="AL684">
        <v>1.54</v>
      </c>
    </row>
    <row r="685" spans="1:38" x14ac:dyDescent="0.3">
      <c r="A685" t="s">
        <v>1652</v>
      </c>
      <c r="B685">
        <v>108457</v>
      </c>
      <c r="C685">
        <v>4</v>
      </c>
      <c r="D685" t="s">
        <v>1663</v>
      </c>
      <c r="E685" t="s">
        <v>1664</v>
      </c>
      <c r="F685">
        <v>481</v>
      </c>
      <c r="G685">
        <v>35.04</v>
      </c>
      <c r="H685">
        <v>115.84</v>
      </c>
      <c r="I685">
        <v>25.69</v>
      </c>
      <c r="J685">
        <v>84.95</v>
      </c>
      <c r="K685">
        <v>44</v>
      </c>
      <c r="T685">
        <v>3</v>
      </c>
      <c r="U685">
        <v>2</v>
      </c>
      <c r="V685" t="s">
        <v>541</v>
      </c>
      <c r="W685" t="s">
        <v>417</v>
      </c>
      <c r="X685">
        <v>29</v>
      </c>
      <c r="Y685">
        <v>26</v>
      </c>
      <c r="Z685" t="s">
        <v>1665</v>
      </c>
      <c r="AA685" t="s">
        <v>1666</v>
      </c>
      <c r="AB685" t="s">
        <v>526</v>
      </c>
      <c r="AC685" t="s">
        <v>527</v>
      </c>
      <c r="AD685" t="s">
        <v>528</v>
      </c>
      <c r="AE685" t="s">
        <v>501</v>
      </c>
      <c r="AG685" t="s">
        <v>1667</v>
      </c>
      <c r="AH685">
        <v>0</v>
      </c>
      <c r="AI685">
        <v>490</v>
      </c>
      <c r="AJ685">
        <v>60</v>
      </c>
      <c r="AK685">
        <v>739</v>
      </c>
      <c r="AL685">
        <v>1.54</v>
      </c>
    </row>
    <row r="686" spans="1:38" x14ac:dyDescent="0.3">
      <c r="A686" t="s">
        <v>1652</v>
      </c>
      <c r="B686">
        <v>118657</v>
      </c>
      <c r="C686">
        <v>1</v>
      </c>
      <c r="D686" t="s">
        <v>1668</v>
      </c>
      <c r="E686" t="s">
        <v>1669</v>
      </c>
      <c r="F686">
        <v>1128</v>
      </c>
      <c r="G686">
        <v>33.01</v>
      </c>
      <c r="H686">
        <v>109.14</v>
      </c>
      <c r="I686">
        <v>25.7</v>
      </c>
      <c r="J686">
        <v>84.98</v>
      </c>
      <c r="K686">
        <v>671</v>
      </c>
      <c r="T686">
        <v>3</v>
      </c>
      <c r="U686">
        <v>2</v>
      </c>
      <c r="V686" t="s">
        <v>541</v>
      </c>
      <c r="W686" t="s">
        <v>124</v>
      </c>
      <c r="X686">
        <v>25</v>
      </c>
      <c r="Y686">
        <v>20</v>
      </c>
      <c r="Z686" t="s">
        <v>1670</v>
      </c>
      <c r="AA686" t="s">
        <v>1671</v>
      </c>
      <c r="AB686" t="s">
        <v>526</v>
      </c>
      <c r="AC686" t="s">
        <v>527</v>
      </c>
      <c r="AD686" t="s">
        <v>528</v>
      </c>
      <c r="AE686" t="s">
        <v>501</v>
      </c>
      <c r="AG686" t="s">
        <v>1672</v>
      </c>
      <c r="AH686">
        <v>0</v>
      </c>
      <c r="AI686">
        <v>199</v>
      </c>
      <c r="AJ686">
        <v>13</v>
      </c>
      <c r="AK686">
        <v>1541</v>
      </c>
      <c r="AL686">
        <v>1.37</v>
      </c>
    </row>
    <row r="687" spans="1:38" x14ac:dyDescent="0.3">
      <c r="A687" t="s">
        <v>1652</v>
      </c>
      <c r="B687">
        <v>118657</v>
      </c>
      <c r="C687">
        <v>2</v>
      </c>
      <c r="D687" t="s">
        <v>1668</v>
      </c>
      <c r="E687" t="s">
        <v>1669</v>
      </c>
      <c r="F687">
        <v>1128</v>
      </c>
      <c r="G687">
        <v>33.03</v>
      </c>
      <c r="H687">
        <v>109.21</v>
      </c>
      <c r="I687">
        <v>25.69</v>
      </c>
      <c r="J687">
        <v>84.93</v>
      </c>
      <c r="K687">
        <v>312</v>
      </c>
      <c r="T687">
        <v>4</v>
      </c>
      <c r="U687">
        <v>2</v>
      </c>
      <c r="V687" t="s">
        <v>541</v>
      </c>
      <c r="W687" t="s">
        <v>192</v>
      </c>
      <c r="X687">
        <v>25</v>
      </c>
      <c r="Y687">
        <v>20</v>
      </c>
      <c r="Z687" t="s">
        <v>1670</v>
      </c>
      <c r="AA687" t="s">
        <v>1671</v>
      </c>
      <c r="AB687" t="s">
        <v>526</v>
      </c>
      <c r="AC687" t="s">
        <v>527</v>
      </c>
      <c r="AD687" t="s">
        <v>528</v>
      </c>
      <c r="AE687" t="s">
        <v>501</v>
      </c>
      <c r="AG687" t="s">
        <v>1672</v>
      </c>
      <c r="AH687">
        <v>0</v>
      </c>
      <c r="AI687">
        <v>199</v>
      </c>
      <c r="AJ687">
        <v>13</v>
      </c>
      <c r="AK687">
        <v>1541</v>
      </c>
      <c r="AL687">
        <v>1.37</v>
      </c>
    </row>
    <row r="688" spans="1:38" x14ac:dyDescent="0.3">
      <c r="A688" t="s">
        <v>1652</v>
      </c>
      <c r="B688">
        <v>118657</v>
      </c>
      <c r="C688">
        <v>3</v>
      </c>
      <c r="D688" t="s">
        <v>1668</v>
      </c>
      <c r="E688" t="s">
        <v>1669</v>
      </c>
      <c r="F688">
        <v>1128</v>
      </c>
      <c r="G688">
        <v>33.43</v>
      </c>
      <c r="H688">
        <v>110.54</v>
      </c>
      <c r="I688">
        <v>25.7</v>
      </c>
      <c r="J688">
        <v>84.99</v>
      </c>
      <c r="K688">
        <v>145</v>
      </c>
      <c r="T688">
        <v>3</v>
      </c>
      <c r="U688">
        <v>2</v>
      </c>
      <c r="V688" t="s">
        <v>541</v>
      </c>
      <c r="W688" t="s">
        <v>293</v>
      </c>
      <c r="X688">
        <v>25</v>
      </c>
      <c r="Y688">
        <v>20</v>
      </c>
      <c r="Z688" t="s">
        <v>1670</v>
      </c>
      <c r="AA688" t="s">
        <v>1671</v>
      </c>
      <c r="AB688" t="s">
        <v>526</v>
      </c>
      <c r="AC688" t="s">
        <v>527</v>
      </c>
      <c r="AD688" t="s">
        <v>528</v>
      </c>
      <c r="AE688" t="s">
        <v>501</v>
      </c>
      <c r="AG688" t="s">
        <v>1672</v>
      </c>
      <c r="AH688">
        <v>0</v>
      </c>
      <c r="AI688">
        <v>199</v>
      </c>
      <c r="AJ688">
        <v>13</v>
      </c>
      <c r="AK688">
        <v>1541</v>
      </c>
      <c r="AL688">
        <v>1.37</v>
      </c>
    </row>
    <row r="689" spans="1:38" x14ac:dyDescent="0.3">
      <c r="A689" t="s">
        <v>1652</v>
      </c>
      <c r="B689">
        <v>24640</v>
      </c>
      <c r="C689">
        <v>1</v>
      </c>
      <c r="D689" t="s">
        <v>1673</v>
      </c>
      <c r="E689" t="s">
        <v>540</v>
      </c>
      <c r="F689">
        <v>269</v>
      </c>
      <c r="G689">
        <v>45.85</v>
      </c>
      <c r="H689">
        <v>151.6</v>
      </c>
      <c r="I689">
        <v>36.840000000000003</v>
      </c>
      <c r="J689">
        <v>121.79</v>
      </c>
      <c r="K689">
        <v>88</v>
      </c>
      <c r="T689">
        <v>4</v>
      </c>
      <c r="U689">
        <v>2</v>
      </c>
      <c r="V689" t="s">
        <v>541</v>
      </c>
      <c r="W689">
        <v>151</v>
      </c>
      <c r="X689">
        <v>15</v>
      </c>
      <c r="Y689">
        <v>8</v>
      </c>
      <c r="Z689" t="s">
        <v>1674</v>
      </c>
      <c r="AA689" t="s">
        <v>1675</v>
      </c>
      <c r="AB689" t="s">
        <v>526</v>
      </c>
      <c r="AC689" t="s">
        <v>527</v>
      </c>
      <c r="AD689" t="s">
        <v>528</v>
      </c>
      <c r="AE689" t="s">
        <v>501</v>
      </c>
      <c r="AG689" t="s">
        <v>1676</v>
      </c>
      <c r="AH689">
        <v>0</v>
      </c>
      <c r="AI689">
        <v>229</v>
      </c>
      <c r="AJ689">
        <v>19</v>
      </c>
      <c r="AK689">
        <v>539</v>
      </c>
      <c r="AL689">
        <v>2</v>
      </c>
    </row>
    <row r="690" spans="1:38" x14ac:dyDescent="0.3">
      <c r="A690" t="s">
        <v>1652</v>
      </c>
      <c r="B690">
        <v>24640</v>
      </c>
      <c r="C690">
        <v>2</v>
      </c>
      <c r="D690" t="s">
        <v>1673</v>
      </c>
      <c r="E690" t="s">
        <v>540</v>
      </c>
      <c r="F690">
        <v>269</v>
      </c>
      <c r="G690">
        <v>53.71</v>
      </c>
      <c r="H690">
        <v>177.58</v>
      </c>
      <c r="I690">
        <v>43.98</v>
      </c>
      <c r="J690">
        <v>145.4</v>
      </c>
      <c r="K690">
        <v>121</v>
      </c>
      <c r="T690">
        <v>4</v>
      </c>
      <c r="U690">
        <v>2</v>
      </c>
      <c r="V690" t="s">
        <v>541</v>
      </c>
      <c r="W690">
        <v>177</v>
      </c>
      <c r="X690">
        <v>15</v>
      </c>
      <c r="Y690">
        <v>8</v>
      </c>
      <c r="Z690" t="s">
        <v>1674</v>
      </c>
      <c r="AA690" t="s">
        <v>1675</v>
      </c>
      <c r="AB690" t="s">
        <v>526</v>
      </c>
      <c r="AC690" t="s">
        <v>527</v>
      </c>
      <c r="AD690" t="s">
        <v>528</v>
      </c>
      <c r="AE690" t="s">
        <v>501</v>
      </c>
      <c r="AG690" t="s">
        <v>1676</v>
      </c>
      <c r="AH690">
        <v>0</v>
      </c>
      <c r="AI690">
        <v>229</v>
      </c>
      <c r="AJ690">
        <v>19</v>
      </c>
      <c r="AK690">
        <v>539</v>
      </c>
      <c r="AL690">
        <v>2</v>
      </c>
    </row>
    <row r="691" spans="1:38" x14ac:dyDescent="0.3">
      <c r="A691" t="s">
        <v>1652</v>
      </c>
      <c r="B691">
        <v>24640</v>
      </c>
      <c r="C691">
        <v>3</v>
      </c>
      <c r="D691" t="s">
        <v>1673</v>
      </c>
      <c r="E691" t="s">
        <v>540</v>
      </c>
      <c r="F691">
        <v>269</v>
      </c>
      <c r="G691">
        <v>62.23</v>
      </c>
      <c r="H691">
        <v>205.72</v>
      </c>
      <c r="I691">
        <v>52.33</v>
      </c>
      <c r="J691">
        <v>173.01</v>
      </c>
      <c r="K691">
        <v>26</v>
      </c>
      <c r="T691">
        <v>4</v>
      </c>
      <c r="U691">
        <v>3</v>
      </c>
      <c r="V691" t="s">
        <v>541</v>
      </c>
      <c r="W691">
        <v>205</v>
      </c>
      <c r="X691">
        <v>15</v>
      </c>
      <c r="Y691">
        <v>8</v>
      </c>
      <c r="Z691" t="s">
        <v>1674</v>
      </c>
      <c r="AA691" t="s">
        <v>1675</v>
      </c>
      <c r="AB691" t="s">
        <v>526</v>
      </c>
      <c r="AC691" t="s">
        <v>527</v>
      </c>
      <c r="AD691" t="s">
        <v>528</v>
      </c>
      <c r="AE691" t="s">
        <v>501</v>
      </c>
      <c r="AG691" t="s">
        <v>1676</v>
      </c>
      <c r="AH691">
        <v>0</v>
      </c>
      <c r="AI691">
        <v>229</v>
      </c>
      <c r="AJ691">
        <v>19</v>
      </c>
      <c r="AK691">
        <v>539</v>
      </c>
      <c r="AL691">
        <v>2</v>
      </c>
    </row>
    <row r="692" spans="1:38" x14ac:dyDescent="0.3">
      <c r="A692" t="s">
        <v>1652</v>
      </c>
      <c r="B692">
        <v>24640</v>
      </c>
      <c r="C692">
        <v>4</v>
      </c>
      <c r="D692" t="s">
        <v>1673</v>
      </c>
      <c r="E692" t="s">
        <v>540</v>
      </c>
      <c r="F692">
        <v>269</v>
      </c>
      <c r="G692">
        <v>68.03</v>
      </c>
      <c r="H692">
        <v>224.91</v>
      </c>
      <c r="I692">
        <v>57.72</v>
      </c>
      <c r="J692">
        <v>190.83</v>
      </c>
      <c r="K692">
        <v>26</v>
      </c>
      <c r="T692">
        <v>4</v>
      </c>
      <c r="U692">
        <v>3</v>
      </c>
      <c r="V692" t="s">
        <v>541</v>
      </c>
      <c r="W692">
        <v>224</v>
      </c>
      <c r="X692">
        <v>15</v>
      </c>
      <c r="Y692">
        <v>8</v>
      </c>
      <c r="Z692" t="s">
        <v>1674</v>
      </c>
      <c r="AA692" t="s">
        <v>1675</v>
      </c>
      <c r="AB692" t="s">
        <v>526</v>
      </c>
      <c r="AC692" t="s">
        <v>527</v>
      </c>
      <c r="AD692" t="s">
        <v>528</v>
      </c>
      <c r="AE692" t="s">
        <v>501</v>
      </c>
      <c r="AG692" t="s">
        <v>1676</v>
      </c>
      <c r="AH692">
        <v>0</v>
      </c>
      <c r="AI692">
        <v>229</v>
      </c>
      <c r="AJ692">
        <v>19</v>
      </c>
      <c r="AK692">
        <v>539</v>
      </c>
      <c r="AL692">
        <v>2</v>
      </c>
    </row>
    <row r="693" spans="1:38" x14ac:dyDescent="0.3">
      <c r="A693" t="s">
        <v>1652</v>
      </c>
      <c r="B693">
        <v>24640</v>
      </c>
      <c r="C693">
        <v>5</v>
      </c>
      <c r="D693" t="s">
        <v>1673</v>
      </c>
      <c r="E693" t="s">
        <v>540</v>
      </c>
      <c r="F693">
        <v>269</v>
      </c>
      <c r="G693">
        <v>79.099999999999994</v>
      </c>
      <c r="H693">
        <v>261.52</v>
      </c>
      <c r="I693">
        <v>64.17</v>
      </c>
      <c r="J693">
        <v>212.16</v>
      </c>
      <c r="K693">
        <v>4</v>
      </c>
      <c r="T693">
        <v>5</v>
      </c>
      <c r="U693">
        <v>3</v>
      </c>
      <c r="V693" t="s">
        <v>541</v>
      </c>
      <c r="W693">
        <v>261</v>
      </c>
      <c r="X693">
        <v>15</v>
      </c>
      <c r="Y693">
        <v>8</v>
      </c>
      <c r="Z693" t="s">
        <v>1674</v>
      </c>
      <c r="AA693" t="s">
        <v>1675</v>
      </c>
      <c r="AB693" t="s">
        <v>526</v>
      </c>
      <c r="AC693" t="s">
        <v>527</v>
      </c>
      <c r="AD693" t="s">
        <v>528</v>
      </c>
      <c r="AE693" t="s">
        <v>501</v>
      </c>
      <c r="AG693" t="s">
        <v>1676</v>
      </c>
      <c r="AH693">
        <v>0</v>
      </c>
      <c r="AI693">
        <v>229</v>
      </c>
      <c r="AJ693">
        <v>19</v>
      </c>
      <c r="AK693">
        <v>539</v>
      </c>
      <c r="AL693">
        <v>2</v>
      </c>
    </row>
    <row r="694" spans="1:38" x14ac:dyDescent="0.3">
      <c r="A694" t="s">
        <v>1652</v>
      </c>
      <c r="B694">
        <v>24640</v>
      </c>
      <c r="C694">
        <v>6</v>
      </c>
      <c r="D694" t="s">
        <v>1673</v>
      </c>
      <c r="E694" t="s">
        <v>540</v>
      </c>
      <c r="F694">
        <v>269</v>
      </c>
      <c r="G694">
        <v>95.44</v>
      </c>
      <c r="H694">
        <v>315.52</v>
      </c>
      <c r="I694">
        <v>80.599999999999994</v>
      </c>
      <c r="J694">
        <v>266.47000000000003</v>
      </c>
      <c r="K694">
        <v>2</v>
      </c>
      <c r="T694">
        <v>6</v>
      </c>
      <c r="U694">
        <v>3</v>
      </c>
      <c r="V694" t="s">
        <v>541</v>
      </c>
      <c r="W694">
        <v>315</v>
      </c>
      <c r="X694">
        <v>15</v>
      </c>
      <c r="Y694">
        <v>8</v>
      </c>
      <c r="Z694" t="s">
        <v>1674</v>
      </c>
      <c r="AA694" t="s">
        <v>1675</v>
      </c>
      <c r="AB694" t="s">
        <v>526</v>
      </c>
      <c r="AC694" t="s">
        <v>527</v>
      </c>
      <c r="AD694" t="s">
        <v>528</v>
      </c>
      <c r="AE694" t="s">
        <v>501</v>
      </c>
      <c r="AG694" t="s">
        <v>1676</v>
      </c>
      <c r="AH694">
        <v>0</v>
      </c>
      <c r="AI694">
        <v>229</v>
      </c>
      <c r="AJ694">
        <v>19</v>
      </c>
      <c r="AK694">
        <v>539</v>
      </c>
      <c r="AL694">
        <v>2</v>
      </c>
    </row>
    <row r="695" spans="1:38" x14ac:dyDescent="0.3">
      <c r="A695" t="s">
        <v>1652</v>
      </c>
      <c r="B695">
        <v>24640</v>
      </c>
      <c r="C695">
        <v>7</v>
      </c>
      <c r="D695" t="s">
        <v>1673</v>
      </c>
      <c r="E695" t="s">
        <v>540</v>
      </c>
      <c r="F695">
        <v>269</v>
      </c>
      <c r="G695">
        <v>100.2</v>
      </c>
      <c r="H695">
        <v>331.25</v>
      </c>
      <c r="I695">
        <v>80.83</v>
      </c>
      <c r="J695">
        <v>267.23</v>
      </c>
      <c r="K695">
        <v>2</v>
      </c>
      <c r="T695">
        <v>6</v>
      </c>
      <c r="U695">
        <v>4</v>
      </c>
      <c r="V695" t="s">
        <v>541</v>
      </c>
      <c r="W695">
        <v>331</v>
      </c>
      <c r="X695">
        <v>15</v>
      </c>
      <c r="Y695">
        <v>8</v>
      </c>
      <c r="Z695" t="s">
        <v>1674</v>
      </c>
      <c r="AA695" t="s">
        <v>1675</v>
      </c>
      <c r="AB695" t="s">
        <v>526</v>
      </c>
      <c r="AC695" t="s">
        <v>527</v>
      </c>
      <c r="AD695" t="s">
        <v>528</v>
      </c>
      <c r="AE695" t="s">
        <v>501</v>
      </c>
      <c r="AG695" t="s">
        <v>1676</v>
      </c>
      <c r="AH695">
        <v>0</v>
      </c>
      <c r="AI695">
        <v>229</v>
      </c>
      <c r="AJ695">
        <v>19</v>
      </c>
      <c r="AK695">
        <v>539</v>
      </c>
      <c r="AL695">
        <v>2</v>
      </c>
    </row>
    <row r="696" spans="1:38" x14ac:dyDescent="0.3">
      <c r="A696" t="s">
        <v>1652</v>
      </c>
      <c r="B696">
        <v>123154</v>
      </c>
      <c r="C696">
        <v>1</v>
      </c>
      <c r="D696" t="s">
        <v>1677</v>
      </c>
      <c r="E696" t="s">
        <v>1678</v>
      </c>
      <c r="F696">
        <v>22</v>
      </c>
      <c r="G696">
        <v>24.29</v>
      </c>
      <c r="H696">
        <v>80.319999999999993</v>
      </c>
      <c r="I696">
        <v>15.89</v>
      </c>
      <c r="J696">
        <v>52.56</v>
      </c>
      <c r="K696">
        <v>13</v>
      </c>
      <c r="T696">
        <v>3</v>
      </c>
      <c r="U696">
        <v>1</v>
      </c>
      <c r="V696" t="s">
        <v>541</v>
      </c>
      <c r="W696" t="s">
        <v>133</v>
      </c>
      <c r="X696">
        <v>14</v>
      </c>
      <c r="Y696">
        <v>10</v>
      </c>
      <c r="Z696" t="s">
        <v>1679</v>
      </c>
      <c r="AA696" t="s">
        <v>1680</v>
      </c>
      <c r="AB696" t="s">
        <v>526</v>
      </c>
      <c r="AC696" t="s">
        <v>527</v>
      </c>
      <c r="AD696" t="s">
        <v>528</v>
      </c>
      <c r="AE696" t="s">
        <v>501</v>
      </c>
      <c r="AG696" t="s">
        <v>1681</v>
      </c>
      <c r="AH696">
        <v>0</v>
      </c>
      <c r="AI696">
        <v>229</v>
      </c>
      <c r="AJ696">
        <v>42</v>
      </c>
      <c r="AK696">
        <v>17</v>
      </c>
      <c r="AL696">
        <v>0.77</v>
      </c>
    </row>
    <row r="697" spans="1:38" x14ac:dyDescent="0.3">
      <c r="A697" t="s">
        <v>1652</v>
      </c>
      <c r="B697">
        <v>123154</v>
      </c>
      <c r="C697">
        <v>2</v>
      </c>
      <c r="D697" t="s">
        <v>1677</v>
      </c>
      <c r="E697" t="s">
        <v>1678</v>
      </c>
      <c r="F697">
        <v>22</v>
      </c>
      <c r="G697">
        <v>24.45</v>
      </c>
      <c r="H697">
        <v>80.849999999999994</v>
      </c>
      <c r="I697">
        <v>16.14</v>
      </c>
      <c r="J697">
        <v>53.36</v>
      </c>
      <c r="K697">
        <v>8</v>
      </c>
      <c r="T697">
        <v>3</v>
      </c>
      <c r="U697">
        <v>1</v>
      </c>
      <c r="V697" t="s">
        <v>541</v>
      </c>
      <c r="W697" t="s">
        <v>132</v>
      </c>
      <c r="X697">
        <v>14</v>
      </c>
      <c r="Y697">
        <v>10</v>
      </c>
      <c r="Z697" t="s">
        <v>1679</v>
      </c>
      <c r="AA697" t="s">
        <v>1680</v>
      </c>
      <c r="AB697" t="s">
        <v>526</v>
      </c>
      <c r="AC697" t="s">
        <v>527</v>
      </c>
      <c r="AD697" t="s">
        <v>528</v>
      </c>
      <c r="AE697" t="s">
        <v>501</v>
      </c>
      <c r="AG697" t="s">
        <v>1681</v>
      </c>
      <c r="AH697">
        <v>0</v>
      </c>
      <c r="AI697">
        <v>229</v>
      </c>
      <c r="AJ697">
        <v>42</v>
      </c>
      <c r="AK697">
        <v>17</v>
      </c>
      <c r="AL697">
        <v>0.77</v>
      </c>
    </row>
    <row r="698" spans="1:38" x14ac:dyDescent="0.3">
      <c r="A698" t="s">
        <v>1652</v>
      </c>
      <c r="B698">
        <v>123154</v>
      </c>
      <c r="C698">
        <v>3</v>
      </c>
      <c r="D698" t="s">
        <v>1677</v>
      </c>
      <c r="E698" t="s">
        <v>1678</v>
      </c>
      <c r="F698">
        <v>22</v>
      </c>
      <c r="G698">
        <v>34.93</v>
      </c>
      <c r="H698">
        <v>115.5</v>
      </c>
      <c r="I698">
        <v>22.99</v>
      </c>
      <c r="J698">
        <v>76</v>
      </c>
      <c r="K698">
        <v>1</v>
      </c>
      <c r="T698">
        <v>3</v>
      </c>
      <c r="U698">
        <v>2</v>
      </c>
      <c r="V698" t="s">
        <v>541</v>
      </c>
      <c r="W698">
        <v>115</v>
      </c>
      <c r="X698">
        <v>14</v>
      </c>
      <c r="Y698">
        <v>10</v>
      </c>
      <c r="Z698" t="s">
        <v>1679</v>
      </c>
      <c r="AA698" t="s">
        <v>1680</v>
      </c>
      <c r="AB698" t="s">
        <v>526</v>
      </c>
      <c r="AC698" t="s">
        <v>527</v>
      </c>
      <c r="AD698" t="s">
        <v>528</v>
      </c>
      <c r="AE698" t="s">
        <v>501</v>
      </c>
      <c r="AG698" t="s">
        <v>1681</v>
      </c>
      <c r="AH698">
        <v>0</v>
      </c>
      <c r="AI698">
        <v>229</v>
      </c>
      <c r="AJ698">
        <v>42</v>
      </c>
      <c r="AK698">
        <v>17</v>
      </c>
      <c r="AL698">
        <v>0.77</v>
      </c>
    </row>
    <row r="699" spans="1:38" x14ac:dyDescent="0.3">
      <c r="A699" t="s">
        <v>1652</v>
      </c>
      <c r="B699">
        <v>116670</v>
      </c>
      <c r="C699">
        <v>1</v>
      </c>
      <c r="D699" t="s">
        <v>1682</v>
      </c>
      <c r="E699" t="s">
        <v>1683</v>
      </c>
      <c r="F699">
        <v>1120</v>
      </c>
      <c r="G699">
        <v>33.06</v>
      </c>
      <c r="H699">
        <v>109.31</v>
      </c>
      <c r="I699">
        <v>25.7</v>
      </c>
      <c r="J699">
        <v>84.98</v>
      </c>
      <c r="K699">
        <v>694</v>
      </c>
      <c r="T699">
        <v>3</v>
      </c>
      <c r="U699">
        <v>2</v>
      </c>
      <c r="V699" t="s">
        <v>541</v>
      </c>
      <c r="W699" t="s">
        <v>124</v>
      </c>
      <c r="X699">
        <v>25</v>
      </c>
      <c r="Y699">
        <v>20</v>
      </c>
      <c r="Z699" t="s">
        <v>1684</v>
      </c>
      <c r="AA699" t="s">
        <v>1685</v>
      </c>
      <c r="AB699" t="s">
        <v>526</v>
      </c>
      <c r="AC699" t="s">
        <v>527</v>
      </c>
      <c r="AD699" t="s">
        <v>528</v>
      </c>
      <c r="AE699" t="s">
        <v>501</v>
      </c>
      <c r="AG699" t="s">
        <v>1686</v>
      </c>
      <c r="AH699">
        <v>0</v>
      </c>
      <c r="AI699">
        <v>199</v>
      </c>
      <c r="AJ699">
        <v>13</v>
      </c>
      <c r="AK699">
        <v>1530</v>
      </c>
      <c r="AL699">
        <v>1.37</v>
      </c>
    </row>
    <row r="700" spans="1:38" x14ac:dyDescent="0.3">
      <c r="A700" t="s">
        <v>1652</v>
      </c>
      <c r="B700">
        <v>116670</v>
      </c>
      <c r="C700">
        <v>2</v>
      </c>
      <c r="D700" t="s">
        <v>1682</v>
      </c>
      <c r="E700" t="s">
        <v>1683</v>
      </c>
      <c r="F700">
        <v>1120</v>
      </c>
      <c r="G700">
        <v>33.08</v>
      </c>
      <c r="H700">
        <v>109.37</v>
      </c>
      <c r="I700">
        <v>25.69</v>
      </c>
      <c r="J700">
        <v>84.93</v>
      </c>
      <c r="K700">
        <v>302</v>
      </c>
      <c r="T700">
        <v>4</v>
      </c>
      <c r="U700">
        <v>2</v>
      </c>
      <c r="V700" t="s">
        <v>541</v>
      </c>
      <c r="W700" t="s">
        <v>192</v>
      </c>
      <c r="X700">
        <v>25</v>
      </c>
      <c r="Y700">
        <v>20</v>
      </c>
      <c r="Z700" t="s">
        <v>1684</v>
      </c>
      <c r="AA700" t="s">
        <v>1685</v>
      </c>
      <c r="AB700" t="s">
        <v>526</v>
      </c>
      <c r="AC700" t="s">
        <v>527</v>
      </c>
      <c r="AD700" t="s">
        <v>528</v>
      </c>
      <c r="AE700" t="s">
        <v>501</v>
      </c>
      <c r="AG700" t="s">
        <v>1686</v>
      </c>
      <c r="AH700">
        <v>0</v>
      </c>
      <c r="AI700">
        <v>199</v>
      </c>
      <c r="AJ700">
        <v>13</v>
      </c>
      <c r="AK700">
        <v>1530</v>
      </c>
      <c r="AL700">
        <v>1.37</v>
      </c>
    </row>
    <row r="701" spans="1:38" x14ac:dyDescent="0.3">
      <c r="A701" t="s">
        <v>1652</v>
      </c>
      <c r="B701">
        <v>116670</v>
      </c>
      <c r="C701">
        <v>3</v>
      </c>
      <c r="D701" t="s">
        <v>1682</v>
      </c>
      <c r="E701" t="s">
        <v>1683</v>
      </c>
      <c r="F701">
        <v>1120</v>
      </c>
      <c r="G701">
        <v>33.479999999999997</v>
      </c>
      <c r="H701">
        <v>110.71</v>
      </c>
      <c r="I701">
        <v>25.7</v>
      </c>
      <c r="J701">
        <v>84.99</v>
      </c>
      <c r="K701">
        <v>124</v>
      </c>
      <c r="T701">
        <v>3</v>
      </c>
      <c r="U701">
        <v>2</v>
      </c>
      <c r="V701" t="s">
        <v>541</v>
      </c>
      <c r="W701" t="s">
        <v>293</v>
      </c>
      <c r="X701">
        <v>25</v>
      </c>
      <c r="Y701">
        <v>20</v>
      </c>
      <c r="Z701" t="s">
        <v>1684</v>
      </c>
      <c r="AA701" t="s">
        <v>1685</v>
      </c>
      <c r="AB701" t="s">
        <v>526</v>
      </c>
      <c r="AC701" t="s">
        <v>527</v>
      </c>
      <c r="AD701" t="s">
        <v>528</v>
      </c>
      <c r="AE701" t="s">
        <v>501</v>
      </c>
      <c r="AG701" t="s">
        <v>1686</v>
      </c>
      <c r="AH701">
        <v>0</v>
      </c>
      <c r="AI701">
        <v>199</v>
      </c>
      <c r="AJ701">
        <v>13</v>
      </c>
      <c r="AK701">
        <v>1530</v>
      </c>
      <c r="AL701">
        <v>1.37</v>
      </c>
    </row>
    <row r="702" spans="1:38" x14ac:dyDescent="0.3">
      <c r="A702" t="s">
        <v>1652</v>
      </c>
      <c r="B702">
        <v>119323</v>
      </c>
      <c r="C702">
        <v>1</v>
      </c>
      <c r="D702" t="s">
        <v>1687</v>
      </c>
      <c r="E702" t="s">
        <v>1688</v>
      </c>
      <c r="F702">
        <v>1370</v>
      </c>
      <c r="G702">
        <v>33.799999999999997</v>
      </c>
      <c r="H702">
        <v>111.76</v>
      </c>
      <c r="I702">
        <v>25.7</v>
      </c>
      <c r="J702">
        <v>84.99</v>
      </c>
      <c r="K702">
        <v>349</v>
      </c>
      <c r="T702">
        <v>3</v>
      </c>
      <c r="U702">
        <v>2</v>
      </c>
      <c r="V702" t="s">
        <v>541</v>
      </c>
      <c r="W702" t="s">
        <v>428</v>
      </c>
      <c r="X702">
        <v>25</v>
      </c>
      <c r="Y702">
        <v>20</v>
      </c>
      <c r="Z702" t="s">
        <v>1689</v>
      </c>
      <c r="AA702" t="s">
        <v>1690</v>
      </c>
      <c r="AB702" t="s">
        <v>526</v>
      </c>
      <c r="AC702" t="s">
        <v>527</v>
      </c>
      <c r="AD702" t="s">
        <v>528</v>
      </c>
      <c r="AE702" t="s">
        <v>501</v>
      </c>
      <c r="AG702" t="s">
        <v>1691</v>
      </c>
      <c r="AH702">
        <v>0</v>
      </c>
      <c r="AI702">
        <v>0</v>
      </c>
      <c r="AJ702">
        <v>0</v>
      </c>
      <c r="AK702">
        <v>2203</v>
      </c>
      <c r="AL702">
        <v>1.61</v>
      </c>
    </row>
    <row r="703" spans="1:38" x14ac:dyDescent="0.3">
      <c r="A703" t="s">
        <v>1652</v>
      </c>
      <c r="B703">
        <v>119323</v>
      </c>
      <c r="C703">
        <v>2</v>
      </c>
      <c r="D703" t="s">
        <v>1687</v>
      </c>
      <c r="E703" t="s">
        <v>1688</v>
      </c>
      <c r="F703">
        <v>1370</v>
      </c>
      <c r="G703">
        <v>33.619999999999997</v>
      </c>
      <c r="H703">
        <v>111.16</v>
      </c>
      <c r="I703">
        <v>25.69</v>
      </c>
      <c r="J703">
        <v>84.93</v>
      </c>
      <c r="K703">
        <v>173</v>
      </c>
      <c r="T703">
        <v>4</v>
      </c>
      <c r="U703">
        <v>2</v>
      </c>
      <c r="V703" t="s">
        <v>541</v>
      </c>
      <c r="W703" t="s">
        <v>220</v>
      </c>
      <c r="X703">
        <v>25</v>
      </c>
      <c r="Y703">
        <v>20</v>
      </c>
      <c r="Z703" t="s">
        <v>1689</v>
      </c>
      <c r="AA703" t="s">
        <v>1690</v>
      </c>
      <c r="AB703" t="s">
        <v>526</v>
      </c>
      <c r="AC703" t="s">
        <v>527</v>
      </c>
      <c r="AD703" t="s">
        <v>528</v>
      </c>
      <c r="AE703" t="s">
        <v>501</v>
      </c>
      <c r="AG703" t="s">
        <v>1691</v>
      </c>
      <c r="AH703">
        <v>0</v>
      </c>
      <c r="AI703">
        <v>0</v>
      </c>
      <c r="AJ703">
        <v>0</v>
      </c>
      <c r="AK703">
        <v>2203</v>
      </c>
      <c r="AL703">
        <v>1.61</v>
      </c>
    </row>
    <row r="704" spans="1:38" x14ac:dyDescent="0.3">
      <c r="A704" t="s">
        <v>1652</v>
      </c>
      <c r="B704">
        <v>119323</v>
      </c>
      <c r="C704">
        <v>3</v>
      </c>
      <c r="D704" t="s">
        <v>1687</v>
      </c>
      <c r="E704" t="s">
        <v>1688</v>
      </c>
      <c r="F704">
        <v>1370</v>
      </c>
      <c r="G704">
        <v>33.770000000000003</v>
      </c>
      <c r="H704">
        <v>111.66</v>
      </c>
      <c r="I704">
        <v>25.7</v>
      </c>
      <c r="J704">
        <v>84.97</v>
      </c>
      <c r="K704">
        <v>168</v>
      </c>
      <c r="T704">
        <v>4</v>
      </c>
      <c r="U704">
        <v>2</v>
      </c>
      <c r="V704" t="s">
        <v>541</v>
      </c>
      <c r="W704" t="s">
        <v>221</v>
      </c>
      <c r="X704">
        <v>25</v>
      </c>
      <c r="Y704">
        <v>20</v>
      </c>
      <c r="Z704" t="s">
        <v>1689</v>
      </c>
      <c r="AA704" t="s">
        <v>1690</v>
      </c>
      <c r="AB704" t="s">
        <v>526</v>
      </c>
      <c r="AC704" t="s">
        <v>527</v>
      </c>
      <c r="AD704" t="s">
        <v>528</v>
      </c>
      <c r="AE704" t="s">
        <v>501</v>
      </c>
      <c r="AG704" t="s">
        <v>1691</v>
      </c>
      <c r="AH704">
        <v>0</v>
      </c>
      <c r="AI704">
        <v>0</v>
      </c>
      <c r="AJ704">
        <v>0</v>
      </c>
      <c r="AK704">
        <v>2203</v>
      </c>
      <c r="AL704">
        <v>1.61</v>
      </c>
    </row>
    <row r="705" spans="1:38" x14ac:dyDescent="0.3">
      <c r="A705" t="s">
        <v>1652</v>
      </c>
      <c r="B705">
        <v>119323</v>
      </c>
      <c r="C705">
        <v>4</v>
      </c>
      <c r="D705" t="s">
        <v>1687</v>
      </c>
      <c r="E705" t="s">
        <v>1688</v>
      </c>
      <c r="F705">
        <v>1370</v>
      </c>
      <c r="G705">
        <v>40.270000000000003</v>
      </c>
      <c r="H705">
        <v>133.13999999999999</v>
      </c>
      <c r="I705">
        <v>32.65</v>
      </c>
      <c r="J705">
        <v>107.95</v>
      </c>
      <c r="K705">
        <v>200</v>
      </c>
      <c r="T705">
        <v>4</v>
      </c>
      <c r="U705">
        <v>2</v>
      </c>
      <c r="V705" t="s">
        <v>541</v>
      </c>
      <c r="W705" t="s">
        <v>429</v>
      </c>
      <c r="X705">
        <v>25</v>
      </c>
      <c r="Y705">
        <v>20</v>
      </c>
      <c r="Z705" t="s">
        <v>1689</v>
      </c>
      <c r="AA705" t="s">
        <v>1690</v>
      </c>
      <c r="AB705" t="s">
        <v>526</v>
      </c>
      <c r="AC705" t="s">
        <v>527</v>
      </c>
      <c r="AD705" t="s">
        <v>528</v>
      </c>
      <c r="AE705" t="s">
        <v>501</v>
      </c>
      <c r="AG705" t="s">
        <v>1691</v>
      </c>
      <c r="AH705">
        <v>0</v>
      </c>
      <c r="AI705">
        <v>0</v>
      </c>
      <c r="AJ705">
        <v>0</v>
      </c>
      <c r="AK705">
        <v>2203</v>
      </c>
      <c r="AL705">
        <v>1.61</v>
      </c>
    </row>
    <row r="706" spans="1:38" x14ac:dyDescent="0.3">
      <c r="A706" t="s">
        <v>1652</v>
      </c>
      <c r="B706">
        <v>119323</v>
      </c>
      <c r="C706">
        <v>5</v>
      </c>
      <c r="D706" t="s">
        <v>1687</v>
      </c>
      <c r="E706" t="s">
        <v>1688</v>
      </c>
      <c r="F706">
        <v>1370</v>
      </c>
      <c r="G706">
        <v>40.35</v>
      </c>
      <c r="H706">
        <v>133.4</v>
      </c>
      <c r="I706">
        <v>32.56</v>
      </c>
      <c r="J706">
        <v>107.64</v>
      </c>
      <c r="K706">
        <v>190</v>
      </c>
      <c r="T706">
        <v>4</v>
      </c>
      <c r="U706">
        <v>2</v>
      </c>
      <c r="V706" t="s">
        <v>541</v>
      </c>
      <c r="W706" t="s">
        <v>431</v>
      </c>
      <c r="X706">
        <v>25</v>
      </c>
      <c r="Y706">
        <v>20</v>
      </c>
      <c r="Z706" t="s">
        <v>1689</v>
      </c>
      <c r="AA706" t="s">
        <v>1690</v>
      </c>
      <c r="AB706" t="s">
        <v>526</v>
      </c>
      <c r="AC706" t="s">
        <v>527</v>
      </c>
      <c r="AD706" t="s">
        <v>528</v>
      </c>
      <c r="AE706" t="s">
        <v>501</v>
      </c>
      <c r="AG706" t="s">
        <v>1691</v>
      </c>
      <c r="AH706">
        <v>0</v>
      </c>
      <c r="AI706">
        <v>0</v>
      </c>
      <c r="AJ706">
        <v>0</v>
      </c>
      <c r="AK706">
        <v>2203</v>
      </c>
      <c r="AL706">
        <v>1.61</v>
      </c>
    </row>
    <row r="707" spans="1:38" x14ac:dyDescent="0.3">
      <c r="A707" t="s">
        <v>1652</v>
      </c>
      <c r="B707">
        <v>119323</v>
      </c>
      <c r="C707">
        <v>6</v>
      </c>
      <c r="D707" t="s">
        <v>1687</v>
      </c>
      <c r="E707" t="s">
        <v>1688</v>
      </c>
      <c r="F707">
        <v>1370</v>
      </c>
      <c r="G707">
        <v>43.3</v>
      </c>
      <c r="H707">
        <v>143.16</v>
      </c>
      <c r="I707">
        <v>35.5</v>
      </c>
      <c r="J707">
        <v>117.36</v>
      </c>
      <c r="K707">
        <v>150</v>
      </c>
      <c r="T707">
        <v>4</v>
      </c>
      <c r="U707">
        <v>2</v>
      </c>
      <c r="V707" t="s">
        <v>541</v>
      </c>
      <c r="W707" t="s">
        <v>432</v>
      </c>
      <c r="X707">
        <v>25</v>
      </c>
      <c r="Y707">
        <v>20</v>
      </c>
      <c r="Z707" t="s">
        <v>1689</v>
      </c>
      <c r="AA707" t="s">
        <v>1690</v>
      </c>
      <c r="AB707" t="s">
        <v>526</v>
      </c>
      <c r="AC707" t="s">
        <v>527</v>
      </c>
      <c r="AD707" t="s">
        <v>528</v>
      </c>
      <c r="AE707" t="s">
        <v>501</v>
      </c>
      <c r="AG707" t="s">
        <v>1691</v>
      </c>
      <c r="AH707">
        <v>0</v>
      </c>
      <c r="AI707">
        <v>0</v>
      </c>
      <c r="AJ707">
        <v>0</v>
      </c>
      <c r="AK707">
        <v>2203</v>
      </c>
      <c r="AL707">
        <v>1.61</v>
      </c>
    </row>
    <row r="708" spans="1:38" x14ac:dyDescent="0.3">
      <c r="A708" t="s">
        <v>1652</v>
      </c>
      <c r="B708">
        <v>119323</v>
      </c>
      <c r="C708">
        <v>7</v>
      </c>
      <c r="D708" t="s">
        <v>1687</v>
      </c>
      <c r="E708" t="s">
        <v>1688</v>
      </c>
      <c r="F708">
        <v>1370</v>
      </c>
      <c r="G708">
        <v>43.41</v>
      </c>
      <c r="H708">
        <v>143.53</v>
      </c>
      <c r="I708">
        <v>35.49</v>
      </c>
      <c r="J708">
        <v>117.34</v>
      </c>
      <c r="K708">
        <v>140</v>
      </c>
      <c r="T708">
        <v>5</v>
      </c>
      <c r="U708">
        <v>2</v>
      </c>
      <c r="V708" t="s">
        <v>541</v>
      </c>
      <c r="W708" t="s">
        <v>433</v>
      </c>
      <c r="X708">
        <v>25</v>
      </c>
      <c r="Y708">
        <v>20</v>
      </c>
      <c r="Z708" t="s">
        <v>1689</v>
      </c>
      <c r="AA708" t="s">
        <v>1690</v>
      </c>
      <c r="AB708" t="s">
        <v>526</v>
      </c>
      <c r="AC708" t="s">
        <v>527</v>
      </c>
      <c r="AD708" t="s">
        <v>528</v>
      </c>
      <c r="AE708" t="s">
        <v>501</v>
      </c>
      <c r="AG708" t="s">
        <v>1691</v>
      </c>
      <c r="AH708">
        <v>0</v>
      </c>
      <c r="AI708">
        <v>0</v>
      </c>
      <c r="AJ708">
        <v>0</v>
      </c>
      <c r="AK708">
        <v>2203</v>
      </c>
      <c r="AL708">
        <v>1.61</v>
      </c>
    </row>
    <row r="709" spans="1:38" x14ac:dyDescent="0.3">
      <c r="A709" t="s">
        <v>1652</v>
      </c>
      <c r="B709">
        <v>27664</v>
      </c>
      <c r="C709">
        <v>1</v>
      </c>
      <c r="D709" t="s">
        <v>1692</v>
      </c>
      <c r="E709" t="s">
        <v>1693</v>
      </c>
      <c r="F709">
        <v>340</v>
      </c>
      <c r="G709">
        <v>45.11</v>
      </c>
      <c r="H709">
        <v>149.13999999999999</v>
      </c>
      <c r="I709">
        <v>36.29</v>
      </c>
      <c r="J709">
        <v>119.98</v>
      </c>
      <c r="K709">
        <v>158</v>
      </c>
      <c r="T709">
        <v>4</v>
      </c>
      <c r="U709">
        <v>2</v>
      </c>
      <c r="V709" t="s">
        <v>541</v>
      </c>
      <c r="W709">
        <v>149</v>
      </c>
      <c r="X709">
        <v>20</v>
      </c>
      <c r="Y709">
        <v>15</v>
      </c>
      <c r="Z709" t="s">
        <v>1694</v>
      </c>
      <c r="AA709" t="s">
        <v>1695</v>
      </c>
      <c r="AB709" t="s">
        <v>526</v>
      </c>
      <c r="AC709" t="s">
        <v>527</v>
      </c>
      <c r="AD709" t="s">
        <v>528</v>
      </c>
      <c r="AE709" t="s">
        <v>501</v>
      </c>
      <c r="AG709" t="s">
        <v>1696</v>
      </c>
      <c r="AH709">
        <v>0</v>
      </c>
      <c r="AI709">
        <v>186</v>
      </c>
      <c r="AJ709">
        <v>18</v>
      </c>
      <c r="AK709">
        <v>603</v>
      </c>
      <c r="AL709">
        <v>1.77</v>
      </c>
    </row>
    <row r="710" spans="1:38" x14ac:dyDescent="0.3">
      <c r="A710" t="s">
        <v>1652</v>
      </c>
      <c r="B710">
        <v>27664</v>
      </c>
      <c r="C710">
        <v>2</v>
      </c>
      <c r="D710" t="s">
        <v>1692</v>
      </c>
      <c r="E710" t="s">
        <v>1693</v>
      </c>
      <c r="F710">
        <v>340</v>
      </c>
      <c r="G710">
        <v>50.7</v>
      </c>
      <c r="H710">
        <v>167.62</v>
      </c>
      <c r="I710">
        <v>40.79</v>
      </c>
      <c r="J710">
        <v>134.86000000000001</v>
      </c>
      <c r="K710">
        <v>114</v>
      </c>
      <c r="T710">
        <v>4</v>
      </c>
      <c r="U710">
        <v>2</v>
      </c>
      <c r="V710" t="s">
        <v>541</v>
      </c>
      <c r="W710" t="s">
        <v>436</v>
      </c>
      <c r="X710">
        <v>20</v>
      </c>
      <c r="Y710">
        <v>15</v>
      </c>
      <c r="Z710" t="s">
        <v>1694</v>
      </c>
      <c r="AA710" t="s">
        <v>1695</v>
      </c>
      <c r="AB710" t="s">
        <v>526</v>
      </c>
      <c r="AC710" t="s">
        <v>527</v>
      </c>
      <c r="AD710" t="s">
        <v>528</v>
      </c>
      <c r="AE710" t="s">
        <v>501</v>
      </c>
      <c r="AG710" t="s">
        <v>1696</v>
      </c>
      <c r="AH710">
        <v>0</v>
      </c>
      <c r="AI710">
        <v>186</v>
      </c>
      <c r="AJ710">
        <v>18</v>
      </c>
      <c r="AK710">
        <v>603</v>
      </c>
      <c r="AL710">
        <v>1.77</v>
      </c>
    </row>
    <row r="711" spans="1:38" x14ac:dyDescent="0.3">
      <c r="A711" t="s">
        <v>1652</v>
      </c>
      <c r="B711">
        <v>27664</v>
      </c>
      <c r="C711">
        <v>3</v>
      </c>
      <c r="D711" t="s">
        <v>1692</v>
      </c>
      <c r="E711" t="s">
        <v>1693</v>
      </c>
      <c r="F711">
        <v>340</v>
      </c>
      <c r="G711">
        <v>50.75</v>
      </c>
      <c r="H711">
        <v>167.77</v>
      </c>
      <c r="I711">
        <v>40.83</v>
      </c>
      <c r="J711">
        <v>134.97999999999999</v>
      </c>
      <c r="K711">
        <v>1</v>
      </c>
      <c r="T711">
        <v>4</v>
      </c>
      <c r="U711">
        <v>2</v>
      </c>
      <c r="V711" t="s">
        <v>541</v>
      </c>
      <c r="W711" t="s">
        <v>437</v>
      </c>
      <c r="X711">
        <v>20</v>
      </c>
      <c r="Y711">
        <v>15</v>
      </c>
      <c r="Z711" t="s">
        <v>1694</v>
      </c>
      <c r="AA711" t="s">
        <v>1695</v>
      </c>
      <c r="AB711" t="s">
        <v>526</v>
      </c>
      <c r="AC711" t="s">
        <v>527</v>
      </c>
      <c r="AD711" t="s">
        <v>528</v>
      </c>
      <c r="AE711" t="s">
        <v>501</v>
      </c>
      <c r="AG711" t="s">
        <v>1696</v>
      </c>
      <c r="AH711">
        <v>0</v>
      </c>
      <c r="AI711">
        <v>186</v>
      </c>
      <c r="AJ711">
        <v>18</v>
      </c>
      <c r="AK711">
        <v>603</v>
      </c>
      <c r="AL711">
        <v>1.77</v>
      </c>
    </row>
    <row r="712" spans="1:38" x14ac:dyDescent="0.3">
      <c r="A712" t="s">
        <v>1652</v>
      </c>
      <c r="B712">
        <v>27664</v>
      </c>
      <c r="C712">
        <v>4</v>
      </c>
      <c r="D712" t="s">
        <v>1692</v>
      </c>
      <c r="E712" t="s">
        <v>1693</v>
      </c>
      <c r="F712">
        <v>340</v>
      </c>
      <c r="G712">
        <v>56.32</v>
      </c>
      <c r="H712">
        <v>186.21</v>
      </c>
      <c r="I712">
        <v>45.32</v>
      </c>
      <c r="J712">
        <v>149.82</v>
      </c>
      <c r="K712">
        <v>64</v>
      </c>
      <c r="T712">
        <v>4</v>
      </c>
      <c r="U712">
        <v>2</v>
      </c>
      <c r="V712" t="s">
        <v>541</v>
      </c>
      <c r="W712" t="s">
        <v>438</v>
      </c>
      <c r="X712">
        <v>20</v>
      </c>
      <c r="Y712">
        <v>15</v>
      </c>
      <c r="Z712" t="s">
        <v>1694</v>
      </c>
      <c r="AA712" t="s">
        <v>1695</v>
      </c>
      <c r="AB712" t="s">
        <v>526</v>
      </c>
      <c r="AC712" t="s">
        <v>527</v>
      </c>
      <c r="AD712" t="s">
        <v>528</v>
      </c>
      <c r="AE712" t="s">
        <v>501</v>
      </c>
      <c r="AG712" t="s">
        <v>1696</v>
      </c>
      <c r="AH712">
        <v>0</v>
      </c>
      <c r="AI712">
        <v>186</v>
      </c>
      <c r="AJ712">
        <v>18</v>
      </c>
      <c r="AK712">
        <v>603</v>
      </c>
      <c r="AL712">
        <v>1.77</v>
      </c>
    </row>
    <row r="713" spans="1:38" x14ac:dyDescent="0.3">
      <c r="A713" t="s">
        <v>1652</v>
      </c>
      <c r="B713">
        <v>27664</v>
      </c>
      <c r="C713">
        <v>5</v>
      </c>
      <c r="D713" t="s">
        <v>1692</v>
      </c>
      <c r="E713" t="s">
        <v>1693</v>
      </c>
      <c r="F713">
        <v>340</v>
      </c>
      <c r="G713">
        <v>56.39</v>
      </c>
      <c r="H713">
        <v>186.43</v>
      </c>
      <c r="I713">
        <v>45.37</v>
      </c>
      <c r="J713">
        <v>149.99</v>
      </c>
      <c r="K713">
        <v>3</v>
      </c>
      <c r="T713">
        <v>4</v>
      </c>
      <c r="U713">
        <v>2</v>
      </c>
      <c r="V713" t="s">
        <v>541</v>
      </c>
      <c r="W713" t="s">
        <v>439</v>
      </c>
      <c r="X713">
        <v>20</v>
      </c>
      <c r="Y713">
        <v>15</v>
      </c>
      <c r="Z713" t="s">
        <v>1694</v>
      </c>
      <c r="AA713" t="s">
        <v>1695</v>
      </c>
      <c r="AB713" t="s">
        <v>526</v>
      </c>
      <c r="AC713" t="s">
        <v>527</v>
      </c>
      <c r="AD713" t="s">
        <v>528</v>
      </c>
      <c r="AE713" t="s">
        <v>501</v>
      </c>
      <c r="AG713" t="s">
        <v>1696</v>
      </c>
      <c r="AH713">
        <v>0</v>
      </c>
      <c r="AI713">
        <v>186</v>
      </c>
      <c r="AJ713">
        <v>18</v>
      </c>
      <c r="AK713">
        <v>603</v>
      </c>
      <c r="AL713">
        <v>1.77</v>
      </c>
    </row>
    <row r="714" spans="1:38" x14ac:dyDescent="0.3">
      <c r="A714" t="s">
        <v>1652</v>
      </c>
      <c r="B714">
        <v>101416</v>
      </c>
      <c r="C714">
        <v>1</v>
      </c>
      <c r="D714" t="s">
        <v>1697</v>
      </c>
      <c r="E714" t="s">
        <v>1698</v>
      </c>
      <c r="F714">
        <v>604</v>
      </c>
      <c r="G714">
        <v>31.12</v>
      </c>
      <c r="H714">
        <v>102.88</v>
      </c>
      <c r="I714">
        <v>22.6</v>
      </c>
      <c r="J714">
        <v>74.739999999999995</v>
      </c>
      <c r="K714">
        <v>38</v>
      </c>
      <c r="T714">
        <v>3</v>
      </c>
      <c r="U714">
        <v>2</v>
      </c>
      <c r="V714" t="s">
        <v>541</v>
      </c>
      <c r="W714" t="s">
        <v>400</v>
      </c>
      <c r="X714">
        <v>20</v>
      </c>
      <c r="Y714">
        <v>14</v>
      </c>
      <c r="Z714" t="s">
        <v>1699</v>
      </c>
      <c r="AA714" t="s">
        <v>1700</v>
      </c>
      <c r="AB714" t="s">
        <v>526</v>
      </c>
      <c r="AC714" t="s">
        <v>527</v>
      </c>
      <c r="AD714" t="s">
        <v>528</v>
      </c>
      <c r="AE714" t="s">
        <v>501</v>
      </c>
      <c r="AG714" t="s">
        <v>1701</v>
      </c>
      <c r="AH714">
        <v>0</v>
      </c>
      <c r="AI714">
        <v>166</v>
      </c>
      <c r="AJ714">
        <v>17</v>
      </c>
      <c r="AK714">
        <v>736</v>
      </c>
      <c r="AL714">
        <v>1.22</v>
      </c>
    </row>
    <row r="715" spans="1:38" x14ac:dyDescent="0.3">
      <c r="A715" t="s">
        <v>1652</v>
      </c>
      <c r="B715">
        <v>101416</v>
      </c>
      <c r="C715">
        <v>2</v>
      </c>
      <c r="D715" t="s">
        <v>1697</v>
      </c>
      <c r="E715" t="s">
        <v>1698</v>
      </c>
      <c r="F715">
        <v>604</v>
      </c>
      <c r="G715">
        <v>31.19</v>
      </c>
      <c r="H715">
        <v>103.13</v>
      </c>
      <c r="I715">
        <v>22.66</v>
      </c>
      <c r="J715">
        <v>74.92</v>
      </c>
      <c r="K715">
        <v>40</v>
      </c>
      <c r="T715">
        <v>3</v>
      </c>
      <c r="U715">
        <v>2</v>
      </c>
      <c r="V715" t="s">
        <v>541</v>
      </c>
      <c r="W715" t="s">
        <v>226</v>
      </c>
      <c r="X715">
        <v>20</v>
      </c>
      <c r="Y715">
        <v>14</v>
      </c>
      <c r="Z715" t="s">
        <v>1699</v>
      </c>
      <c r="AA715" t="s">
        <v>1700</v>
      </c>
      <c r="AB715" t="s">
        <v>526</v>
      </c>
      <c r="AC715" t="s">
        <v>527</v>
      </c>
      <c r="AD715" t="s">
        <v>528</v>
      </c>
      <c r="AE715" t="s">
        <v>501</v>
      </c>
      <c r="AG715" t="s">
        <v>1701</v>
      </c>
      <c r="AH715">
        <v>0</v>
      </c>
      <c r="AI715">
        <v>166</v>
      </c>
      <c r="AJ715">
        <v>17</v>
      </c>
      <c r="AK715">
        <v>736</v>
      </c>
      <c r="AL715">
        <v>1.22</v>
      </c>
    </row>
    <row r="716" spans="1:38" x14ac:dyDescent="0.3">
      <c r="A716" t="s">
        <v>1652</v>
      </c>
      <c r="B716">
        <v>101416</v>
      </c>
      <c r="C716">
        <v>3</v>
      </c>
      <c r="D716" t="s">
        <v>1697</v>
      </c>
      <c r="E716" t="s">
        <v>1698</v>
      </c>
      <c r="F716">
        <v>604</v>
      </c>
      <c r="G716">
        <v>35.25</v>
      </c>
      <c r="H716">
        <v>116.56</v>
      </c>
      <c r="I716">
        <v>25.61</v>
      </c>
      <c r="J716">
        <v>84.68</v>
      </c>
      <c r="K716">
        <v>220</v>
      </c>
      <c r="T716">
        <v>3</v>
      </c>
      <c r="U716">
        <v>2</v>
      </c>
      <c r="V716" t="s">
        <v>541</v>
      </c>
      <c r="W716" t="s">
        <v>442</v>
      </c>
      <c r="X716">
        <v>20</v>
      </c>
      <c r="Y716">
        <v>14</v>
      </c>
      <c r="Z716" t="s">
        <v>1699</v>
      </c>
      <c r="AA716" t="s">
        <v>1700</v>
      </c>
      <c r="AB716" t="s">
        <v>526</v>
      </c>
      <c r="AC716" t="s">
        <v>527</v>
      </c>
      <c r="AD716" t="s">
        <v>528</v>
      </c>
      <c r="AE716" t="s">
        <v>501</v>
      </c>
      <c r="AG716" t="s">
        <v>1701</v>
      </c>
      <c r="AH716">
        <v>0</v>
      </c>
      <c r="AI716">
        <v>166</v>
      </c>
      <c r="AJ716">
        <v>17</v>
      </c>
      <c r="AK716">
        <v>736</v>
      </c>
      <c r="AL716">
        <v>1.22</v>
      </c>
    </row>
    <row r="717" spans="1:38" x14ac:dyDescent="0.3">
      <c r="A717" t="s">
        <v>1652</v>
      </c>
      <c r="B717">
        <v>101416</v>
      </c>
      <c r="C717">
        <v>4</v>
      </c>
      <c r="D717" t="s">
        <v>1697</v>
      </c>
      <c r="E717" t="s">
        <v>1698</v>
      </c>
      <c r="F717">
        <v>604</v>
      </c>
      <c r="G717">
        <v>35.380000000000003</v>
      </c>
      <c r="H717">
        <v>116.96</v>
      </c>
      <c r="I717">
        <v>25.7</v>
      </c>
      <c r="J717">
        <v>84.97</v>
      </c>
      <c r="K717">
        <v>220</v>
      </c>
      <c r="T717">
        <v>3</v>
      </c>
      <c r="U717">
        <v>2</v>
      </c>
      <c r="V717" t="s">
        <v>541</v>
      </c>
      <c r="W717" t="s">
        <v>443</v>
      </c>
      <c r="X717">
        <v>20</v>
      </c>
      <c r="Y717">
        <v>14</v>
      </c>
      <c r="Z717" t="s">
        <v>1699</v>
      </c>
      <c r="AA717" t="s">
        <v>1700</v>
      </c>
      <c r="AB717" t="s">
        <v>526</v>
      </c>
      <c r="AC717" t="s">
        <v>527</v>
      </c>
      <c r="AD717" t="s">
        <v>528</v>
      </c>
      <c r="AE717" t="s">
        <v>501</v>
      </c>
      <c r="AG717" t="s">
        <v>1701</v>
      </c>
      <c r="AH717">
        <v>0</v>
      </c>
      <c r="AI717">
        <v>166</v>
      </c>
      <c r="AJ717">
        <v>17</v>
      </c>
      <c r="AK717">
        <v>736</v>
      </c>
      <c r="AL717">
        <v>1.22</v>
      </c>
    </row>
    <row r="718" spans="1:38" x14ac:dyDescent="0.3">
      <c r="A718" t="s">
        <v>1652</v>
      </c>
      <c r="B718">
        <v>101416</v>
      </c>
      <c r="C718">
        <v>5</v>
      </c>
      <c r="D718" t="s">
        <v>1697</v>
      </c>
      <c r="E718" t="s">
        <v>1698</v>
      </c>
      <c r="F718">
        <v>604</v>
      </c>
      <c r="G718">
        <v>35.380000000000003</v>
      </c>
      <c r="H718">
        <v>116.97</v>
      </c>
      <c r="I718">
        <v>25.7</v>
      </c>
      <c r="J718">
        <v>84.98</v>
      </c>
      <c r="K718">
        <v>44</v>
      </c>
      <c r="T718">
        <v>3</v>
      </c>
      <c r="U718">
        <v>2</v>
      </c>
      <c r="V718" t="s">
        <v>541</v>
      </c>
      <c r="W718" t="s">
        <v>444</v>
      </c>
      <c r="X718">
        <v>20</v>
      </c>
      <c r="Y718">
        <v>14</v>
      </c>
      <c r="Z718" t="s">
        <v>1699</v>
      </c>
      <c r="AA718" t="s">
        <v>1700</v>
      </c>
      <c r="AB718" t="s">
        <v>526</v>
      </c>
      <c r="AC718" t="s">
        <v>527</v>
      </c>
      <c r="AD718" t="s">
        <v>528</v>
      </c>
      <c r="AE718" t="s">
        <v>501</v>
      </c>
      <c r="AG718" t="s">
        <v>1701</v>
      </c>
      <c r="AH718">
        <v>0</v>
      </c>
      <c r="AI718">
        <v>166</v>
      </c>
      <c r="AJ718">
        <v>17</v>
      </c>
      <c r="AK718">
        <v>736</v>
      </c>
      <c r="AL718">
        <v>1.22</v>
      </c>
    </row>
    <row r="719" spans="1:38" x14ac:dyDescent="0.3">
      <c r="A719" t="s">
        <v>1652</v>
      </c>
      <c r="B719">
        <v>101416</v>
      </c>
      <c r="C719">
        <v>6</v>
      </c>
      <c r="D719" t="s">
        <v>1697</v>
      </c>
      <c r="E719" t="s">
        <v>1698</v>
      </c>
      <c r="F719">
        <v>604</v>
      </c>
      <c r="G719">
        <v>35.380000000000003</v>
      </c>
      <c r="H719">
        <v>116.96</v>
      </c>
      <c r="I719">
        <v>25.7</v>
      </c>
      <c r="J719">
        <v>84.97</v>
      </c>
      <c r="K719">
        <v>42</v>
      </c>
      <c r="T719">
        <v>3</v>
      </c>
      <c r="U719">
        <v>2</v>
      </c>
      <c r="V719" t="s">
        <v>541</v>
      </c>
      <c r="W719" t="s">
        <v>445</v>
      </c>
      <c r="X719">
        <v>20</v>
      </c>
      <c r="Y719">
        <v>14</v>
      </c>
      <c r="Z719" t="s">
        <v>1699</v>
      </c>
      <c r="AA719" t="s">
        <v>1700</v>
      </c>
      <c r="AB719" t="s">
        <v>526</v>
      </c>
      <c r="AC719" t="s">
        <v>527</v>
      </c>
      <c r="AD719" t="s">
        <v>528</v>
      </c>
      <c r="AE719" t="s">
        <v>501</v>
      </c>
      <c r="AG719" t="s">
        <v>1701</v>
      </c>
      <c r="AH719">
        <v>0</v>
      </c>
      <c r="AI719">
        <v>166</v>
      </c>
      <c r="AJ719">
        <v>17</v>
      </c>
      <c r="AK719">
        <v>736</v>
      </c>
      <c r="AL719">
        <v>1.22</v>
      </c>
    </row>
    <row r="720" spans="1:38" x14ac:dyDescent="0.3">
      <c r="A720" t="s">
        <v>1652</v>
      </c>
      <c r="B720">
        <v>104988</v>
      </c>
      <c r="C720">
        <v>1</v>
      </c>
      <c r="D720" t="s">
        <v>1702</v>
      </c>
      <c r="E720" t="s">
        <v>930</v>
      </c>
      <c r="F720">
        <v>560</v>
      </c>
      <c r="G720">
        <v>33.25</v>
      </c>
      <c r="H720">
        <v>109.92</v>
      </c>
      <c r="I720">
        <v>25.63</v>
      </c>
      <c r="J720">
        <v>84.73</v>
      </c>
      <c r="K720">
        <v>379</v>
      </c>
      <c r="T720">
        <v>3</v>
      </c>
      <c r="U720">
        <v>2</v>
      </c>
      <c r="V720" t="s">
        <v>541</v>
      </c>
      <c r="W720" t="s">
        <v>124</v>
      </c>
      <c r="X720">
        <v>20</v>
      </c>
      <c r="Y720">
        <v>15</v>
      </c>
      <c r="Z720" t="s">
        <v>1703</v>
      </c>
      <c r="AA720" t="s">
        <v>1704</v>
      </c>
      <c r="AB720" t="s">
        <v>526</v>
      </c>
      <c r="AC720" t="s">
        <v>527</v>
      </c>
      <c r="AD720" t="s">
        <v>528</v>
      </c>
      <c r="AE720" t="s">
        <v>501</v>
      </c>
      <c r="AG720" t="s">
        <v>1705</v>
      </c>
      <c r="AH720">
        <v>0</v>
      </c>
      <c r="AI720">
        <v>166</v>
      </c>
      <c r="AJ720">
        <v>15</v>
      </c>
      <c r="AK720">
        <v>697</v>
      </c>
      <c r="AL720">
        <v>1.24</v>
      </c>
    </row>
    <row r="721" spans="1:38" x14ac:dyDescent="0.3">
      <c r="A721" t="s">
        <v>1652</v>
      </c>
      <c r="B721">
        <v>104988</v>
      </c>
      <c r="C721">
        <v>2</v>
      </c>
      <c r="D721" t="s">
        <v>1702</v>
      </c>
      <c r="E721" t="s">
        <v>930</v>
      </c>
      <c r="F721">
        <v>560</v>
      </c>
      <c r="G721">
        <v>33.32</v>
      </c>
      <c r="H721">
        <v>110.17</v>
      </c>
      <c r="I721">
        <v>25.68</v>
      </c>
      <c r="J721">
        <v>84.92</v>
      </c>
      <c r="K721">
        <v>105</v>
      </c>
      <c r="T721">
        <v>3</v>
      </c>
      <c r="U721">
        <v>2</v>
      </c>
      <c r="V721" t="s">
        <v>541</v>
      </c>
      <c r="W721" t="s">
        <v>125</v>
      </c>
      <c r="X721">
        <v>20</v>
      </c>
      <c r="Y721">
        <v>15</v>
      </c>
      <c r="Z721" t="s">
        <v>1703</v>
      </c>
      <c r="AA721" t="s">
        <v>1704</v>
      </c>
      <c r="AB721" t="s">
        <v>526</v>
      </c>
      <c r="AC721" t="s">
        <v>527</v>
      </c>
      <c r="AD721" t="s">
        <v>528</v>
      </c>
      <c r="AE721" t="s">
        <v>501</v>
      </c>
      <c r="AG721" t="s">
        <v>1705</v>
      </c>
      <c r="AH721">
        <v>0</v>
      </c>
      <c r="AI721">
        <v>166</v>
      </c>
      <c r="AJ721">
        <v>15</v>
      </c>
      <c r="AK721">
        <v>697</v>
      </c>
      <c r="AL721">
        <v>1.24</v>
      </c>
    </row>
    <row r="722" spans="1:38" x14ac:dyDescent="0.3">
      <c r="A722" t="s">
        <v>1652</v>
      </c>
      <c r="B722">
        <v>104988</v>
      </c>
      <c r="C722">
        <v>3</v>
      </c>
      <c r="D722" t="s">
        <v>1702</v>
      </c>
      <c r="E722" t="s">
        <v>930</v>
      </c>
      <c r="F722">
        <v>560</v>
      </c>
      <c r="G722">
        <v>33.35</v>
      </c>
      <c r="H722">
        <v>110.26</v>
      </c>
      <c r="I722">
        <v>25.7</v>
      </c>
      <c r="J722">
        <v>84.99</v>
      </c>
      <c r="K722">
        <v>40</v>
      </c>
      <c r="T722">
        <v>3</v>
      </c>
      <c r="U722">
        <v>2</v>
      </c>
      <c r="V722" t="s">
        <v>541</v>
      </c>
      <c r="W722" t="s">
        <v>447</v>
      </c>
      <c r="X722">
        <v>20</v>
      </c>
      <c r="Y722">
        <v>15</v>
      </c>
      <c r="Z722" t="s">
        <v>1703</v>
      </c>
      <c r="AA722" t="s">
        <v>1704</v>
      </c>
      <c r="AB722" t="s">
        <v>526</v>
      </c>
      <c r="AC722" t="s">
        <v>527</v>
      </c>
      <c r="AD722" t="s">
        <v>528</v>
      </c>
      <c r="AE722" t="s">
        <v>501</v>
      </c>
      <c r="AG722" t="s">
        <v>1705</v>
      </c>
      <c r="AH722">
        <v>0</v>
      </c>
      <c r="AI722">
        <v>166</v>
      </c>
      <c r="AJ722">
        <v>15</v>
      </c>
      <c r="AK722">
        <v>697</v>
      </c>
      <c r="AL722">
        <v>1.24</v>
      </c>
    </row>
    <row r="723" spans="1:38" x14ac:dyDescent="0.3">
      <c r="A723" t="s">
        <v>1652</v>
      </c>
      <c r="B723">
        <v>104988</v>
      </c>
      <c r="C723">
        <v>4</v>
      </c>
      <c r="D723" t="s">
        <v>1702</v>
      </c>
      <c r="E723" t="s">
        <v>930</v>
      </c>
      <c r="F723">
        <v>560</v>
      </c>
      <c r="G723">
        <v>33.340000000000003</v>
      </c>
      <c r="H723">
        <v>110.22</v>
      </c>
      <c r="I723">
        <v>25.7</v>
      </c>
      <c r="J723">
        <v>84.96</v>
      </c>
      <c r="K723">
        <v>36</v>
      </c>
      <c r="T723">
        <v>3</v>
      </c>
      <c r="U723">
        <v>2</v>
      </c>
      <c r="V723" t="s">
        <v>541</v>
      </c>
      <c r="W723" t="s">
        <v>293</v>
      </c>
      <c r="X723">
        <v>20</v>
      </c>
      <c r="Y723">
        <v>15</v>
      </c>
      <c r="Z723" t="s">
        <v>1703</v>
      </c>
      <c r="AA723" t="s">
        <v>1704</v>
      </c>
      <c r="AB723" t="s">
        <v>526</v>
      </c>
      <c r="AC723" t="s">
        <v>527</v>
      </c>
      <c r="AD723" t="s">
        <v>528</v>
      </c>
      <c r="AE723" t="s">
        <v>501</v>
      </c>
      <c r="AG723" t="s">
        <v>1705</v>
      </c>
      <c r="AH723">
        <v>0</v>
      </c>
      <c r="AI723">
        <v>166</v>
      </c>
      <c r="AJ723">
        <v>15</v>
      </c>
      <c r="AK723">
        <v>697</v>
      </c>
      <c r="AL723">
        <v>1.24</v>
      </c>
    </row>
    <row r="724" spans="1:38" x14ac:dyDescent="0.3">
      <c r="A724" t="s">
        <v>1652</v>
      </c>
      <c r="B724">
        <v>120953</v>
      </c>
      <c r="C724">
        <v>1</v>
      </c>
      <c r="D724" t="s">
        <v>1706</v>
      </c>
      <c r="E724" t="s">
        <v>1190</v>
      </c>
      <c r="F724">
        <v>16</v>
      </c>
      <c r="G724">
        <v>21.33</v>
      </c>
      <c r="H724">
        <v>70.52</v>
      </c>
      <c r="I724">
        <v>17.420000000000002</v>
      </c>
      <c r="J724">
        <v>57.59</v>
      </c>
      <c r="K724">
        <v>1</v>
      </c>
      <c r="T724">
        <v>3</v>
      </c>
      <c r="U724">
        <v>2</v>
      </c>
      <c r="V724" t="s">
        <v>541</v>
      </c>
      <c r="W724" t="s">
        <v>832</v>
      </c>
      <c r="X724">
        <v>8</v>
      </c>
      <c r="Y724">
        <v>5</v>
      </c>
      <c r="Z724" t="s">
        <v>1707</v>
      </c>
      <c r="AA724" t="s">
        <v>1708</v>
      </c>
      <c r="AB724" t="s">
        <v>526</v>
      </c>
      <c r="AC724" t="s">
        <v>527</v>
      </c>
      <c r="AD724" t="s">
        <v>528</v>
      </c>
      <c r="AE724" t="s">
        <v>501</v>
      </c>
      <c r="AG724" t="s">
        <v>1709</v>
      </c>
      <c r="AH724">
        <v>0</v>
      </c>
      <c r="AI724">
        <v>202</v>
      </c>
      <c r="AJ724">
        <v>45</v>
      </c>
      <c r="AK724">
        <v>17</v>
      </c>
      <c r="AL724">
        <v>1.06</v>
      </c>
    </row>
    <row r="725" spans="1:38" x14ac:dyDescent="0.3">
      <c r="A725" t="s">
        <v>1652</v>
      </c>
      <c r="B725">
        <v>120953</v>
      </c>
      <c r="C725">
        <v>2</v>
      </c>
      <c r="D725" t="s">
        <v>1706</v>
      </c>
      <c r="E725" t="s">
        <v>1190</v>
      </c>
      <c r="F725">
        <v>16</v>
      </c>
      <c r="G725">
        <v>21.37</v>
      </c>
      <c r="H725">
        <v>70.650000000000006</v>
      </c>
      <c r="I725">
        <v>17.45</v>
      </c>
      <c r="J725">
        <v>57.7</v>
      </c>
      <c r="K725">
        <v>1</v>
      </c>
      <c r="T725">
        <v>3</v>
      </c>
      <c r="U725">
        <v>2</v>
      </c>
      <c r="V725" t="s">
        <v>541</v>
      </c>
      <c r="W725" t="s">
        <v>787</v>
      </c>
      <c r="X725">
        <v>8</v>
      </c>
      <c r="Y725">
        <v>5</v>
      </c>
      <c r="Z725" t="s">
        <v>1707</v>
      </c>
      <c r="AA725" t="s">
        <v>1708</v>
      </c>
      <c r="AB725" t="s">
        <v>526</v>
      </c>
      <c r="AC725" t="s">
        <v>527</v>
      </c>
      <c r="AD725" t="s">
        <v>528</v>
      </c>
      <c r="AE725" t="s">
        <v>501</v>
      </c>
      <c r="AG725" t="s">
        <v>1709</v>
      </c>
      <c r="AH725">
        <v>0</v>
      </c>
      <c r="AI725">
        <v>202</v>
      </c>
      <c r="AJ725">
        <v>45</v>
      </c>
      <c r="AK725">
        <v>17</v>
      </c>
      <c r="AL725">
        <v>1.06</v>
      </c>
    </row>
    <row r="726" spans="1:38" x14ac:dyDescent="0.3">
      <c r="A726" t="s">
        <v>1652</v>
      </c>
      <c r="B726">
        <v>120953</v>
      </c>
      <c r="C726">
        <v>3</v>
      </c>
      <c r="D726" t="s">
        <v>1706</v>
      </c>
      <c r="E726" t="s">
        <v>1190</v>
      </c>
      <c r="F726">
        <v>16</v>
      </c>
      <c r="G726">
        <v>21.88</v>
      </c>
      <c r="H726">
        <v>72.34</v>
      </c>
      <c r="I726">
        <v>17.87</v>
      </c>
      <c r="J726">
        <v>59.08</v>
      </c>
      <c r="K726">
        <v>1</v>
      </c>
      <c r="T726">
        <v>3</v>
      </c>
      <c r="U726">
        <v>2</v>
      </c>
      <c r="V726" t="s">
        <v>541</v>
      </c>
      <c r="W726">
        <v>72</v>
      </c>
      <c r="X726">
        <v>8</v>
      </c>
      <c r="Y726">
        <v>5</v>
      </c>
      <c r="Z726" t="s">
        <v>1707</v>
      </c>
      <c r="AA726" t="s">
        <v>1708</v>
      </c>
      <c r="AB726" t="s">
        <v>526</v>
      </c>
      <c r="AC726" t="s">
        <v>527</v>
      </c>
      <c r="AD726" t="s">
        <v>528</v>
      </c>
      <c r="AE726" t="s">
        <v>501</v>
      </c>
      <c r="AG726" t="s">
        <v>1709</v>
      </c>
      <c r="AH726">
        <v>0</v>
      </c>
      <c r="AI726">
        <v>202</v>
      </c>
      <c r="AJ726">
        <v>45</v>
      </c>
      <c r="AK726">
        <v>17</v>
      </c>
      <c r="AL726">
        <v>1.06</v>
      </c>
    </row>
    <row r="727" spans="1:38" x14ac:dyDescent="0.3">
      <c r="A727" t="s">
        <v>1652</v>
      </c>
      <c r="B727">
        <v>120953</v>
      </c>
      <c r="C727">
        <v>4</v>
      </c>
      <c r="D727" t="s">
        <v>1706</v>
      </c>
      <c r="E727" t="s">
        <v>1190</v>
      </c>
      <c r="F727">
        <v>16</v>
      </c>
      <c r="G727">
        <v>24.24</v>
      </c>
      <c r="H727">
        <v>80.16</v>
      </c>
      <c r="I727">
        <v>19.8</v>
      </c>
      <c r="J727">
        <v>65.459999999999994</v>
      </c>
      <c r="K727">
        <v>1</v>
      </c>
      <c r="T727">
        <v>3</v>
      </c>
      <c r="U727">
        <v>2</v>
      </c>
      <c r="V727" t="s">
        <v>541</v>
      </c>
      <c r="W727">
        <v>80</v>
      </c>
      <c r="X727">
        <v>8</v>
      </c>
      <c r="Y727">
        <v>5</v>
      </c>
      <c r="Z727" t="s">
        <v>1707</v>
      </c>
      <c r="AA727" t="s">
        <v>1708</v>
      </c>
      <c r="AB727" t="s">
        <v>526</v>
      </c>
      <c r="AC727" t="s">
        <v>527</v>
      </c>
      <c r="AD727" t="s">
        <v>528</v>
      </c>
      <c r="AE727" t="s">
        <v>501</v>
      </c>
      <c r="AG727" t="s">
        <v>1709</v>
      </c>
      <c r="AH727">
        <v>0</v>
      </c>
      <c r="AI727">
        <v>202</v>
      </c>
      <c r="AJ727">
        <v>45</v>
      </c>
      <c r="AK727">
        <v>17</v>
      </c>
      <c r="AL727">
        <v>1.06</v>
      </c>
    </row>
    <row r="728" spans="1:38" x14ac:dyDescent="0.3">
      <c r="A728" t="s">
        <v>1652</v>
      </c>
      <c r="B728">
        <v>120953</v>
      </c>
      <c r="C728">
        <v>5</v>
      </c>
      <c r="D728" t="s">
        <v>1706</v>
      </c>
      <c r="E728" t="s">
        <v>1190</v>
      </c>
      <c r="F728">
        <v>16</v>
      </c>
      <c r="G728">
        <v>26.1</v>
      </c>
      <c r="H728">
        <v>86.29</v>
      </c>
      <c r="I728">
        <v>21.31</v>
      </c>
      <c r="J728">
        <v>70.47</v>
      </c>
      <c r="K728">
        <v>3</v>
      </c>
      <c r="T728">
        <v>3</v>
      </c>
      <c r="U728">
        <v>2</v>
      </c>
      <c r="V728" t="s">
        <v>541</v>
      </c>
      <c r="W728" t="s">
        <v>383</v>
      </c>
      <c r="X728">
        <v>8</v>
      </c>
      <c r="Y728">
        <v>5</v>
      </c>
      <c r="Z728" t="s">
        <v>1707</v>
      </c>
      <c r="AA728" t="s">
        <v>1708</v>
      </c>
      <c r="AB728" t="s">
        <v>526</v>
      </c>
      <c r="AC728" t="s">
        <v>527</v>
      </c>
      <c r="AD728" t="s">
        <v>528</v>
      </c>
      <c r="AE728" t="s">
        <v>501</v>
      </c>
      <c r="AG728" t="s">
        <v>1709</v>
      </c>
      <c r="AH728">
        <v>0</v>
      </c>
      <c r="AI728">
        <v>202</v>
      </c>
      <c r="AJ728">
        <v>45</v>
      </c>
      <c r="AK728">
        <v>17</v>
      </c>
      <c r="AL728">
        <v>1.06</v>
      </c>
    </row>
    <row r="729" spans="1:38" x14ac:dyDescent="0.3">
      <c r="A729" t="s">
        <v>1652</v>
      </c>
      <c r="B729">
        <v>120953</v>
      </c>
      <c r="C729">
        <v>6</v>
      </c>
      <c r="D729" t="s">
        <v>1706</v>
      </c>
      <c r="E729" t="s">
        <v>1190</v>
      </c>
      <c r="F729">
        <v>16</v>
      </c>
      <c r="G729">
        <v>26.29</v>
      </c>
      <c r="H729">
        <v>86.94</v>
      </c>
      <c r="I729">
        <v>21.47</v>
      </c>
      <c r="J729">
        <v>71</v>
      </c>
      <c r="K729">
        <v>1</v>
      </c>
      <c r="T729">
        <v>3</v>
      </c>
      <c r="U729">
        <v>2</v>
      </c>
      <c r="V729" t="s">
        <v>541</v>
      </c>
      <c r="W729" t="s">
        <v>1710</v>
      </c>
      <c r="X729">
        <v>8</v>
      </c>
      <c r="Y729">
        <v>5</v>
      </c>
      <c r="Z729" t="s">
        <v>1707</v>
      </c>
      <c r="AA729" t="s">
        <v>1708</v>
      </c>
      <c r="AB729" t="s">
        <v>526</v>
      </c>
      <c r="AC729" t="s">
        <v>527</v>
      </c>
      <c r="AD729" t="s">
        <v>528</v>
      </c>
      <c r="AE729" t="s">
        <v>501</v>
      </c>
      <c r="AG729" t="s">
        <v>1709</v>
      </c>
      <c r="AH729">
        <v>0</v>
      </c>
      <c r="AI729">
        <v>202</v>
      </c>
      <c r="AJ729">
        <v>45</v>
      </c>
      <c r="AK729">
        <v>17</v>
      </c>
      <c r="AL729">
        <v>1.06</v>
      </c>
    </row>
    <row r="730" spans="1:38" x14ac:dyDescent="0.3">
      <c r="A730" t="s">
        <v>1652</v>
      </c>
      <c r="B730">
        <v>120953</v>
      </c>
      <c r="C730">
        <v>7</v>
      </c>
      <c r="D730" t="s">
        <v>1706</v>
      </c>
      <c r="E730" t="s">
        <v>1190</v>
      </c>
      <c r="F730">
        <v>16</v>
      </c>
      <c r="G730">
        <v>26.68</v>
      </c>
      <c r="H730">
        <v>88.2</v>
      </c>
      <c r="I730">
        <v>21.78</v>
      </c>
      <c r="J730">
        <v>72.03</v>
      </c>
      <c r="K730">
        <v>1</v>
      </c>
      <c r="T730">
        <v>3</v>
      </c>
      <c r="U730">
        <v>2</v>
      </c>
      <c r="V730" t="s">
        <v>541</v>
      </c>
      <c r="W730">
        <v>88</v>
      </c>
      <c r="X730">
        <v>8</v>
      </c>
      <c r="Y730">
        <v>5</v>
      </c>
      <c r="Z730" t="s">
        <v>1707</v>
      </c>
      <c r="AA730" t="s">
        <v>1708</v>
      </c>
      <c r="AB730" t="s">
        <v>526</v>
      </c>
      <c r="AC730" t="s">
        <v>527</v>
      </c>
      <c r="AD730" t="s">
        <v>528</v>
      </c>
      <c r="AE730" t="s">
        <v>501</v>
      </c>
      <c r="AG730" t="s">
        <v>1709</v>
      </c>
      <c r="AH730">
        <v>0</v>
      </c>
      <c r="AI730">
        <v>202</v>
      </c>
      <c r="AJ730">
        <v>45</v>
      </c>
      <c r="AK730">
        <v>17</v>
      </c>
      <c r="AL730">
        <v>1.06</v>
      </c>
    </row>
    <row r="731" spans="1:38" x14ac:dyDescent="0.3">
      <c r="A731" t="s">
        <v>1652</v>
      </c>
      <c r="B731">
        <v>120953</v>
      </c>
      <c r="C731">
        <v>8</v>
      </c>
      <c r="D731" t="s">
        <v>1706</v>
      </c>
      <c r="E731" t="s">
        <v>1190</v>
      </c>
      <c r="F731">
        <v>16</v>
      </c>
      <c r="G731">
        <v>30.73</v>
      </c>
      <c r="H731">
        <v>101.6</v>
      </c>
      <c r="I731">
        <v>25.09</v>
      </c>
      <c r="J731">
        <v>82.97</v>
      </c>
      <c r="K731">
        <v>3</v>
      </c>
      <c r="T731">
        <v>3</v>
      </c>
      <c r="U731">
        <v>2</v>
      </c>
      <c r="V731" t="s">
        <v>541</v>
      </c>
      <c r="W731" t="s">
        <v>959</v>
      </c>
      <c r="X731">
        <v>8</v>
      </c>
      <c r="Y731">
        <v>5</v>
      </c>
      <c r="Z731" t="s">
        <v>1707</v>
      </c>
      <c r="AA731" t="s">
        <v>1708</v>
      </c>
      <c r="AB731" t="s">
        <v>526</v>
      </c>
      <c r="AC731" t="s">
        <v>527</v>
      </c>
      <c r="AD731" t="s">
        <v>528</v>
      </c>
      <c r="AE731" t="s">
        <v>501</v>
      </c>
      <c r="AG731" t="s">
        <v>1709</v>
      </c>
      <c r="AH731">
        <v>0</v>
      </c>
      <c r="AI731">
        <v>202</v>
      </c>
      <c r="AJ731">
        <v>45</v>
      </c>
      <c r="AK731">
        <v>17</v>
      </c>
      <c r="AL731">
        <v>1.06</v>
      </c>
    </row>
    <row r="732" spans="1:38" x14ac:dyDescent="0.3">
      <c r="A732" t="s">
        <v>1652</v>
      </c>
      <c r="B732">
        <v>120953</v>
      </c>
      <c r="C732">
        <v>9</v>
      </c>
      <c r="D732" t="s">
        <v>1706</v>
      </c>
      <c r="E732" t="s">
        <v>1190</v>
      </c>
      <c r="F732">
        <v>16</v>
      </c>
      <c r="G732">
        <v>31.12</v>
      </c>
      <c r="H732">
        <v>102.9</v>
      </c>
      <c r="I732">
        <v>25.41</v>
      </c>
      <c r="J732">
        <v>84.03</v>
      </c>
      <c r="K732">
        <v>3</v>
      </c>
      <c r="T732">
        <v>3</v>
      </c>
      <c r="U732">
        <v>2</v>
      </c>
      <c r="V732" t="s">
        <v>541</v>
      </c>
      <c r="W732" t="s">
        <v>400</v>
      </c>
      <c r="X732">
        <v>8</v>
      </c>
      <c r="Y732">
        <v>5</v>
      </c>
      <c r="Z732" t="s">
        <v>1707</v>
      </c>
      <c r="AA732" t="s">
        <v>1708</v>
      </c>
      <c r="AB732" t="s">
        <v>526</v>
      </c>
      <c r="AC732" t="s">
        <v>527</v>
      </c>
      <c r="AD732" t="s">
        <v>528</v>
      </c>
      <c r="AE732" t="s">
        <v>501</v>
      </c>
      <c r="AG732" t="s">
        <v>1709</v>
      </c>
      <c r="AH732">
        <v>0</v>
      </c>
      <c r="AI732">
        <v>202</v>
      </c>
      <c r="AJ732">
        <v>45</v>
      </c>
      <c r="AK732">
        <v>17</v>
      </c>
      <c r="AL732">
        <v>1.06</v>
      </c>
    </row>
    <row r="733" spans="1:38" x14ac:dyDescent="0.3">
      <c r="A733" t="s">
        <v>1652</v>
      </c>
      <c r="B733">
        <v>120953</v>
      </c>
      <c r="C733">
        <v>10</v>
      </c>
      <c r="D733" t="s">
        <v>1706</v>
      </c>
      <c r="E733" t="s">
        <v>1190</v>
      </c>
      <c r="F733">
        <v>16</v>
      </c>
      <c r="G733">
        <v>31.42</v>
      </c>
      <c r="H733">
        <v>103.88</v>
      </c>
      <c r="I733">
        <v>25.66</v>
      </c>
      <c r="J733">
        <v>84.83</v>
      </c>
      <c r="K733">
        <v>1</v>
      </c>
      <c r="T733">
        <v>3</v>
      </c>
      <c r="U733">
        <v>2</v>
      </c>
      <c r="V733" t="s">
        <v>541</v>
      </c>
      <c r="W733" t="s">
        <v>1711</v>
      </c>
      <c r="X733">
        <v>8</v>
      </c>
      <c r="Y733">
        <v>5</v>
      </c>
      <c r="Z733" t="s">
        <v>1707</v>
      </c>
      <c r="AA733" t="s">
        <v>1708</v>
      </c>
      <c r="AB733" t="s">
        <v>526</v>
      </c>
      <c r="AC733" t="s">
        <v>527</v>
      </c>
      <c r="AD733" t="s">
        <v>528</v>
      </c>
      <c r="AE733" t="s">
        <v>501</v>
      </c>
      <c r="AG733" t="s">
        <v>1709</v>
      </c>
      <c r="AH733">
        <v>0</v>
      </c>
      <c r="AI733">
        <v>202</v>
      </c>
      <c r="AJ733">
        <v>45</v>
      </c>
      <c r="AK733">
        <v>17</v>
      </c>
      <c r="AL733">
        <v>1.06</v>
      </c>
    </row>
    <row r="734" spans="1:38" x14ac:dyDescent="0.3">
      <c r="A734" t="s">
        <v>1652</v>
      </c>
      <c r="B734">
        <v>14410</v>
      </c>
      <c r="C734">
        <v>1</v>
      </c>
      <c r="D734" t="s">
        <v>1712</v>
      </c>
      <c r="E734" t="s">
        <v>1713</v>
      </c>
      <c r="F734">
        <v>888</v>
      </c>
      <c r="G734">
        <v>38.93</v>
      </c>
      <c r="H734">
        <v>128.72</v>
      </c>
      <c r="I734">
        <v>30.83</v>
      </c>
      <c r="J734">
        <v>101.94</v>
      </c>
      <c r="K734">
        <v>156</v>
      </c>
      <c r="T734">
        <v>3</v>
      </c>
      <c r="U734">
        <v>2</v>
      </c>
      <c r="V734" t="s">
        <v>541</v>
      </c>
      <c r="W734">
        <v>128</v>
      </c>
      <c r="X734">
        <v>20</v>
      </c>
      <c r="Y734">
        <v>16</v>
      </c>
      <c r="Z734" t="s">
        <v>1714</v>
      </c>
      <c r="AA734" t="s">
        <v>1715</v>
      </c>
      <c r="AB734" t="s">
        <v>526</v>
      </c>
      <c r="AC734" t="s">
        <v>527</v>
      </c>
      <c r="AD734" t="s">
        <v>528</v>
      </c>
      <c r="AE734" t="s">
        <v>501</v>
      </c>
      <c r="AG734" t="s">
        <v>1716</v>
      </c>
      <c r="AH734">
        <v>0</v>
      </c>
      <c r="AI734">
        <v>249</v>
      </c>
      <c r="AJ734">
        <v>17</v>
      </c>
      <c r="AK734">
        <v>1630</v>
      </c>
      <c r="AL734">
        <v>1.84</v>
      </c>
    </row>
    <row r="735" spans="1:38" x14ac:dyDescent="0.3">
      <c r="A735" t="s">
        <v>1652</v>
      </c>
      <c r="B735">
        <v>14410</v>
      </c>
      <c r="C735">
        <v>2</v>
      </c>
      <c r="D735" t="s">
        <v>1712</v>
      </c>
      <c r="E735" t="s">
        <v>1713</v>
      </c>
      <c r="F735">
        <v>888</v>
      </c>
      <c r="G735">
        <v>47.41</v>
      </c>
      <c r="H735">
        <v>156.76</v>
      </c>
      <c r="I735">
        <v>38.090000000000003</v>
      </c>
      <c r="J735">
        <v>125.94</v>
      </c>
      <c r="K735">
        <v>473</v>
      </c>
      <c r="T735">
        <v>4</v>
      </c>
      <c r="U735">
        <v>2</v>
      </c>
      <c r="V735" t="s">
        <v>541</v>
      </c>
      <c r="W735">
        <v>156</v>
      </c>
      <c r="X735">
        <v>20</v>
      </c>
      <c r="Y735">
        <v>16</v>
      </c>
      <c r="Z735" t="s">
        <v>1714</v>
      </c>
      <c r="AA735" t="s">
        <v>1715</v>
      </c>
      <c r="AB735" t="s">
        <v>526</v>
      </c>
      <c r="AC735" t="s">
        <v>527</v>
      </c>
      <c r="AD735" t="s">
        <v>528</v>
      </c>
      <c r="AE735" t="s">
        <v>501</v>
      </c>
      <c r="AG735" t="s">
        <v>1716</v>
      </c>
      <c r="AH735">
        <v>0</v>
      </c>
      <c r="AI735">
        <v>249</v>
      </c>
      <c r="AJ735">
        <v>17</v>
      </c>
      <c r="AK735">
        <v>1630</v>
      </c>
      <c r="AL735">
        <v>1.84</v>
      </c>
    </row>
    <row r="736" spans="1:38" x14ac:dyDescent="0.3">
      <c r="A736" t="s">
        <v>1652</v>
      </c>
      <c r="B736">
        <v>14410</v>
      </c>
      <c r="C736">
        <v>3</v>
      </c>
      <c r="D736" t="s">
        <v>1712</v>
      </c>
      <c r="E736" t="s">
        <v>1713</v>
      </c>
      <c r="F736">
        <v>888</v>
      </c>
      <c r="G736">
        <v>54.98</v>
      </c>
      <c r="H736">
        <v>181.78</v>
      </c>
      <c r="I736">
        <v>44.88</v>
      </c>
      <c r="J736">
        <v>148.38999999999999</v>
      </c>
      <c r="K736">
        <v>165</v>
      </c>
      <c r="T736">
        <v>4</v>
      </c>
      <c r="U736">
        <v>2</v>
      </c>
      <c r="V736" t="s">
        <v>541</v>
      </c>
      <c r="W736" t="s">
        <v>450</v>
      </c>
      <c r="X736">
        <v>20</v>
      </c>
      <c r="Y736">
        <v>16</v>
      </c>
      <c r="Z736" t="s">
        <v>1714</v>
      </c>
      <c r="AA736" t="s">
        <v>1715</v>
      </c>
      <c r="AB736" t="s">
        <v>526</v>
      </c>
      <c r="AC736" t="s">
        <v>527</v>
      </c>
      <c r="AD736" t="s">
        <v>528</v>
      </c>
      <c r="AE736" t="s">
        <v>501</v>
      </c>
      <c r="AG736" t="s">
        <v>1716</v>
      </c>
      <c r="AH736">
        <v>0</v>
      </c>
      <c r="AI736">
        <v>249</v>
      </c>
      <c r="AJ736">
        <v>17</v>
      </c>
      <c r="AK736">
        <v>1630</v>
      </c>
      <c r="AL736">
        <v>1.84</v>
      </c>
    </row>
    <row r="737" spans="1:38" x14ac:dyDescent="0.3">
      <c r="A737" t="s">
        <v>1652</v>
      </c>
      <c r="B737">
        <v>14410</v>
      </c>
      <c r="C737">
        <v>4</v>
      </c>
      <c r="D737" t="s">
        <v>1712</v>
      </c>
      <c r="E737" t="s">
        <v>1713</v>
      </c>
      <c r="F737">
        <v>888</v>
      </c>
      <c r="G737">
        <v>54.98</v>
      </c>
      <c r="H737">
        <v>181.78</v>
      </c>
      <c r="I737">
        <v>44.88</v>
      </c>
      <c r="J737">
        <v>148.38999999999999</v>
      </c>
      <c r="K737">
        <v>20</v>
      </c>
      <c r="T737">
        <v>4</v>
      </c>
      <c r="U737">
        <v>2</v>
      </c>
      <c r="V737" t="s">
        <v>541</v>
      </c>
      <c r="W737" t="s">
        <v>451</v>
      </c>
      <c r="X737">
        <v>20</v>
      </c>
      <c r="Y737">
        <v>16</v>
      </c>
      <c r="Z737" t="s">
        <v>1714</v>
      </c>
      <c r="AA737" t="s">
        <v>1715</v>
      </c>
      <c r="AB737" t="s">
        <v>526</v>
      </c>
      <c r="AC737" t="s">
        <v>527</v>
      </c>
      <c r="AD737" t="s">
        <v>528</v>
      </c>
      <c r="AE737" t="s">
        <v>501</v>
      </c>
      <c r="AG737" t="s">
        <v>1716</v>
      </c>
      <c r="AH737">
        <v>0</v>
      </c>
      <c r="AI737">
        <v>249</v>
      </c>
      <c r="AJ737">
        <v>17</v>
      </c>
      <c r="AK737">
        <v>1630</v>
      </c>
      <c r="AL737">
        <v>1.84</v>
      </c>
    </row>
    <row r="738" spans="1:38" x14ac:dyDescent="0.3">
      <c r="A738" t="s">
        <v>1652</v>
      </c>
      <c r="B738">
        <v>14410</v>
      </c>
      <c r="C738">
        <v>5</v>
      </c>
      <c r="D738" t="s">
        <v>1712</v>
      </c>
      <c r="E738" t="s">
        <v>1713</v>
      </c>
      <c r="F738">
        <v>888</v>
      </c>
      <c r="G738">
        <v>64.88</v>
      </c>
      <c r="H738">
        <v>214.51</v>
      </c>
      <c r="I738">
        <v>54.16</v>
      </c>
      <c r="J738">
        <v>179.07</v>
      </c>
      <c r="K738">
        <v>57</v>
      </c>
      <c r="T738">
        <v>4</v>
      </c>
      <c r="U738">
        <v>3</v>
      </c>
      <c r="V738" t="s">
        <v>541</v>
      </c>
      <c r="W738" t="s">
        <v>452</v>
      </c>
      <c r="X738">
        <v>20</v>
      </c>
      <c r="Y738">
        <v>16</v>
      </c>
      <c r="Z738" t="s">
        <v>1714</v>
      </c>
      <c r="AA738" t="s">
        <v>1715</v>
      </c>
      <c r="AB738" t="s">
        <v>526</v>
      </c>
      <c r="AC738" t="s">
        <v>527</v>
      </c>
      <c r="AD738" t="s">
        <v>528</v>
      </c>
      <c r="AE738" t="s">
        <v>501</v>
      </c>
      <c r="AG738" t="s">
        <v>1716</v>
      </c>
      <c r="AH738">
        <v>0</v>
      </c>
      <c r="AI738">
        <v>249</v>
      </c>
      <c r="AJ738">
        <v>17</v>
      </c>
      <c r="AK738">
        <v>1630</v>
      </c>
      <c r="AL738">
        <v>1.84</v>
      </c>
    </row>
    <row r="739" spans="1:38" x14ac:dyDescent="0.3">
      <c r="A739" t="s">
        <v>1652</v>
      </c>
      <c r="B739">
        <v>14410</v>
      </c>
      <c r="C739">
        <v>6</v>
      </c>
      <c r="D739" t="s">
        <v>1712</v>
      </c>
      <c r="E739" t="s">
        <v>1713</v>
      </c>
      <c r="F739">
        <v>888</v>
      </c>
      <c r="G739">
        <v>64.88</v>
      </c>
      <c r="H739">
        <v>214.51</v>
      </c>
      <c r="I739">
        <v>54.16</v>
      </c>
      <c r="J739">
        <v>179.07</v>
      </c>
      <c r="K739">
        <v>17</v>
      </c>
      <c r="T739">
        <v>4</v>
      </c>
      <c r="U739">
        <v>3</v>
      </c>
      <c r="V739" t="s">
        <v>541</v>
      </c>
      <c r="W739" t="s">
        <v>453</v>
      </c>
      <c r="X739">
        <v>20</v>
      </c>
      <c r="Y739">
        <v>16</v>
      </c>
      <c r="Z739" t="s">
        <v>1714</v>
      </c>
      <c r="AA739" t="s">
        <v>1715</v>
      </c>
      <c r="AB739" t="s">
        <v>526</v>
      </c>
      <c r="AC739" t="s">
        <v>527</v>
      </c>
      <c r="AD739" t="s">
        <v>528</v>
      </c>
      <c r="AE739" t="s">
        <v>501</v>
      </c>
      <c r="AG739" t="s">
        <v>1716</v>
      </c>
      <c r="AH739">
        <v>0</v>
      </c>
      <c r="AI739">
        <v>249</v>
      </c>
      <c r="AJ739">
        <v>17</v>
      </c>
      <c r="AK739">
        <v>1630</v>
      </c>
      <c r="AL739">
        <v>1.84</v>
      </c>
    </row>
    <row r="740" spans="1:38" x14ac:dyDescent="0.3">
      <c r="A740" t="s">
        <v>1652</v>
      </c>
      <c r="B740">
        <v>106219</v>
      </c>
      <c r="C740">
        <v>1</v>
      </c>
      <c r="D740" t="s">
        <v>1717</v>
      </c>
      <c r="E740" t="s">
        <v>1718</v>
      </c>
      <c r="F740">
        <v>74</v>
      </c>
      <c r="G740">
        <v>33.15</v>
      </c>
      <c r="H740">
        <v>109.61</v>
      </c>
      <c r="I740">
        <v>25.64</v>
      </c>
      <c r="J740">
        <v>84.79</v>
      </c>
      <c r="K740">
        <v>58</v>
      </c>
      <c r="T740">
        <v>3</v>
      </c>
      <c r="U740">
        <v>2</v>
      </c>
      <c r="V740" t="s">
        <v>541</v>
      </c>
      <c r="W740" t="s">
        <v>192</v>
      </c>
      <c r="X740">
        <v>19</v>
      </c>
      <c r="Y740">
        <v>18</v>
      </c>
      <c r="Z740" t="s">
        <v>1719</v>
      </c>
      <c r="AA740" t="s">
        <v>1720</v>
      </c>
      <c r="AB740" t="s">
        <v>526</v>
      </c>
      <c r="AC740" t="s">
        <v>527</v>
      </c>
      <c r="AD740" t="s">
        <v>528</v>
      </c>
      <c r="AE740" t="s">
        <v>501</v>
      </c>
      <c r="AG740" t="s">
        <v>1721</v>
      </c>
      <c r="AH740">
        <v>0</v>
      </c>
      <c r="AI740">
        <v>228</v>
      </c>
      <c r="AJ740">
        <v>16</v>
      </c>
      <c r="AK740">
        <v>93</v>
      </c>
      <c r="AL740">
        <v>1.26</v>
      </c>
    </row>
    <row r="741" spans="1:38" x14ac:dyDescent="0.3">
      <c r="A741" t="s">
        <v>1652</v>
      </c>
      <c r="B741">
        <v>106219</v>
      </c>
      <c r="C741">
        <v>2</v>
      </c>
      <c r="D741" t="s">
        <v>1717</v>
      </c>
      <c r="E741" t="s">
        <v>1718</v>
      </c>
      <c r="F741">
        <v>74</v>
      </c>
      <c r="G741">
        <v>33.15</v>
      </c>
      <c r="H741">
        <v>109.61</v>
      </c>
      <c r="I741">
        <v>25.64</v>
      </c>
      <c r="J741">
        <v>84.79</v>
      </c>
      <c r="K741">
        <v>12</v>
      </c>
      <c r="T741">
        <v>3</v>
      </c>
      <c r="U741">
        <v>2</v>
      </c>
      <c r="V741" t="s">
        <v>541</v>
      </c>
      <c r="W741" t="s">
        <v>124</v>
      </c>
      <c r="X741">
        <v>19</v>
      </c>
      <c r="Y741">
        <v>18</v>
      </c>
      <c r="Z741" t="s">
        <v>1719</v>
      </c>
      <c r="AA741" t="s">
        <v>1720</v>
      </c>
      <c r="AB741" t="s">
        <v>526</v>
      </c>
      <c r="AC741" t="s">
        <v>527</v>
      </c>
      <c r="AD741" t="s">
        <v>528</v>
      </c>
      <c r="AE741" t="s">
        <v>501</v>
      </c>
      <c r="AG741" t="s">
        <v>1721</v>
      </c>
      <c r="AH741">
        <v>0</v>
      </c>
      <c r="AI741">
        <v>228</v>
      </c>
      <c r="AJ741">
        <v>16</v>
      </c>
      <c r="AK741">
        <v>93</v>
      </c>
      <c r="AL741">
        <v>1.26</v>
      </c>
    </row>
    <row r="742" spans="1:38" x14ac:dyDescent="0.3">
      <c r="A742" t="s">
        <v>1652</v>
      </c>
      <c r="B742">
        <v>106219</v>
      </c>
      <c r="C742">
        <v>3</v>
      </c>
      <c r="D742" t="s">
        <v>1717</v>
      </c>
      <c r="E742" t="s">
        <v>1718</v>
      </c>
      <c r="F742">
        <v>74</v>
      </c>
      <c r="G742">
        <v>50.38</v>
      </c>
      <c r="H742">
        <v>166.56</v>
      </c>
      <c r="I742">
        <v>38.43</v>
      </c>
      <c r="J742">
        <v>127.06</v>
      </c>
      <c r="K742">
        <v>4</v>
      </c>
      <c r="T742">
        <v>3</v>
      </c>
      <c r="U742">
        <v>3</v>
      </c>
      <c r="V742" t="s">
        <v>541</v>
      </c>
      <c r="W742">
        <v>166</v>
      </c>
      <c r="X742">
        <v>19</v>
      </c>
      <c r="Y742">
        <v>18</v>
      </c>
      <c r="Z742" t="s">
        <v>1719</v>
      </c>
      <c r="AA742" t="s">
        <v>1720</v>
      </c>
      <c r="AB742" t="s">
        <v>526</v>
      </c>
      <c r="AC742" t="s">
        <v>527</v>
      </c>
      <c r="AD742" t="s">
        <v>528</v>
      </c>
      <c r="AE742" t="s">
        <v>501</v>
      </c>
      <c r="AG742" t="s">
        <v>1721</v>
      </c>
      <c r="AH742">
        <v>0</v>
      </c>
      <c r="AI742">
        <v>228</v>
      </c>
      <c r="AJ742">
        <v>16</v>
      </c>
      <c r="AK742">
        <v>93</v>
      </c>
      <c r="AL742">
        <v>1.26</v>
      </c>
    </row>
    <row r="743" spans="1:38" x14ac:dyDescent="0.3">
      <c r="A743" t="s">
        <v>1652</v>
      </c>
      <c r="B743">
        <v>109059</v>
      </c>
      <c r="C743">
        <v>1</v>
      </c>
      <c r="D743" t="s">
        <v>1722</v>
      </c>
      <c r="E743" t="s">
        <v>1723</v>
      </c>
      <c r="F743">
        <v>392</v>
      </c>
      <c r="G743">
        <v>35.340000000000003</v>
      </c>
      <c r="H743">
        <v>116.83</v>
      </c>
      <c r="I743">
        <v>25.68</v>
      </c>
      <c r="J743">
        <v>84.91</v>
      </c>
      <c r="K743">
        <v>125</v>
      </c>
      <c r="T743">
        <v>3</v>
      </c>
      <c r="U743">
        <v>2</v>
      </c>
      <c r="V743" t="s">
        <v>541</v>
      </c>
      <c r="W743" t="s">
        <v>442</v>
      </c>
      <c r="X743">
        <v>32</v>
      </c>
      <c r="Y743">
        <v>21</v>
      </c>
      <c r="Z743" t="s">
        <v>1724</v>
      </c>
      <c r="AA743" t="s">
        <v>1725</v>
      </c>
      <c r="AB743" t="s">
        <v>526</v>
      </c>
      <c r="AC743" t="s">
        <v>527</v>
      </c>
      <c r="AD743" t="s">
        <v>528</v>
      </c>
      <c r="AE743" t="s">
        <v>501</v>
      </c>
      <c r="AG743" t="s">
        <v>1726</v>
      </c>
      <c r="AH743">
        <v>0</v>
      </c>
      <c r="AI743">
        <v>517</v>
      </c>
      <c r="AJ743">
        <v>69</v>
      </c>
      <c r="AK743">
        <v>577</v>
      </c>
      <c r="AL743">
        <v>1.47</v>
      </c>
    </row>
    <row r="744" spans="1:38" x14ac:dyDescent="0.3">
      <c r="A744" t="s">
        <v>1652</v>
      </c>
      <c r="B744">
        <v>109059</v>
      </c>
      <c r="C744">
        <v>2</v>
      </c>
      <c r="D744" t="s">
        <v>1722</v>
      </c>
      <c r="E744" t="s">
        <v>1723</v>
      </c>
      <c r="F744">
        <v>392</v>
      </c>
      <c r="G744">
        <v>35.25</v>
      </c>
      <c r="H744">
        <v>116.53</v>
      </c>
      <c r="I744">
        <v>25.7</v>
      </c>
      <c r="J744">
        <v>84.97</v>
      </c>
      <c r="K744">
        <v>116</v>
      </c>
      <c r="T744">
        <v>3</v>
      </c>
      <c r="U744">
        <v>2</v>
      </c>
      <c r="V744" t="s">
        <v>541</v>
      </c>
      <c r="W744" t="s">
        <v>444</v>
      </c>
      <c r="X744">
        <v>32</v>
      </c>
      <c r="Y744">
        <v>21</v>
      </c>
      <c r="Z744" t="s">
        <v>1724</v>
      </c>
      <c r="AA744" t="s">
        <v>1725</v>
      </c>
      <c r="AB744" t="s">
        <v>526</v>
      </c>
      <c r="AC744" t="s">
        <v>527</v>
      </c>
      <c r="AD744" t="s">
        <v>528</v>
      </c>
      <c r="AE744" t="s">
        <v>501</v>
      </c>
      <c r="AG744" t="s">
        <v>1726</v>
      </c>
      <c r="AH744">
        <v>0</v>
      </c>
      <c r="AI744">
        <v>517</v>
      </c>
      <c r="AJ744">
        <v>69</v>
      </c>
      <c r="AK744">
        <v>577</v>
      </c>
      <c r="AL744">
        <v>1.47</v>
      </c>
    </row>
    <row r="745" spans="1:38" x14ac:dyDescent="0.3">
      <c r="A745" t="s">
        <v>1652</v>
      </c>
      <c r="B745">
        <v>109059</v>
      </c>
      <c r="C745">
        <v>3</v>
      </c>
      <c r="D745" t="s">
        <v>1722</v>
      </c>
      <c r="E745" t="s">
        <v>1723</v>
      </c>
      <c r="F745">
        <v>392</v>
      </c>
      <c r="G745">
        <v>35.22</v>
      </c>
      <c r="H745">
        <v>116.46</v>
      </c>
      <c r="I745">
        <v>25.7</v>
      </c>
      <c r="J745">
        <v>84.98</v>
      </c>
      <c r="K745">
        <v>95</v>
      </c>
      <c r="T745">
        <v>3</v>
      </c>
      <c r="U745">
        <v>2</v>
      </c>
      <c r="V745" t="s">
        <v>541</v>
      </c>
      <c r="W745" t="s">
        <v>445</v>
      </c>
      <c r="X745">
        <v>32</v>
      </c>
      <c r="Y745">
        <v>21</v>
      </c>
      <c r="Z745" t="s">
        <v>1724</v>
      </c>
      <c r="AA745" t="s">
        <v>1725</v>
      </c>
      <c r="AB745" t="s">
        <v>526</v>
      </c>
      <c r="AC745" t="s">
        <v>527</v>
      </c>
      <c r="AD745" t="s">
        <v>528</v>
      </c>
      <c r="AE745" t="s">
        <v>501</v>
      </c>
      <c r="AG745" t="s">
        <v>1726</v>
      </c>
      <c r="AH745">
        <v>0</v>
      </c>
      <c r="AI745">
        <v>517</v>
      </c>
      <c r="AJ745">
        <v>69</v>
      </c>
      <c r="AK745">
        <v>577</v>
      </c>
      <c r="AL745">
        <v>1.47</v>
      </c>
    </row>
    <row r="746" spans="1:38" x14ac:dyDescent="0.3">
      <c r="A746" t="s">
        <v>1652</v>
      </c>
      <c r="B746">
        <v>109059</v>
      </c>
      <c r="C746">
        <v>4</v>
      </c>
      <c r="D746" t="s">
        <v>1722</v>
      </c>
      <c r="E746" t="s">
        <v>1723</v>
      </c>
      <c r="F746">
        <v>392</v>
      </c>
      <c r="G746">
        <v>35.93</v>
      </c>
      <c r="H746">
        <v>118.78</v>
      </c>
      <c r="I746">
        <v>25.69</v>
      </c>
      <c r="J746">
        <v>84.94</v>
      </c>
      <c r="K746">
        <v>47</v>
      </c>
      <c r="T746">
        <v>3</v>
      </c>
      <c r="U746">
        <v>2</v>
      </c>
      <c r="V746" t="s">
        <v>541</v>
      </c>
      <c r="W746" t="s">
        <v>456</v>
      </c>
      <c r="X746">
        <v>32</v>
      </c>
      <c r="Y746">
        <v>21</v>
      </c>
      <c r="Z746" t="s">
        <v>1724</v>
      </c>
      <c r="AA746" t="s">
        <v>1725</v>
      </c>
      <c r="AB746" t="s">
        <v>526</v>
      </c>
      <c r="AC746" t="s">
        <v>527</v>
      </c>
      <c r="AD746" t="s">
        <v>528</v>
      </c>
      <c r="AE746" t="s">
        <v>501</v>
      </c>
      <c r="AG746" t="s">
        <v>1726</v>
      </c>
      <c r="AH746">
        <v>0</v>
      </c>
      <c r="AI746">
        <v>517</v>
      </c>
      <c r="AJ746">
        <v>69</v>
      </c>
      <c r="AK746">
        <v>577</v>
      </c>
      <c r="AL746">
        <v>1.47</v>
      </c>
    </row>
    <row r="747" spans="1:38" x14ac:dyDescent="0.3">
      <c r="A747" t="s">
        <v>1652</v>
      </c>
      <c r="B747">
        <v>109059</v>
      </c>
      <c r="C747">
        <v>5</v>
      </c>
      <c r="D747" t="s">
        <v>1722</v>
      </c>
      <c r="E747" t="s">
        <v>1723</v>
      </c>
      <c r="F747">
        <v>392</v>
      </c>
      <c r="G747">
        <v>36.07</v>
      </c>
      <c r="H747">
        <v>119.26</v>
      </c>
      <c r="I747">
        <v>25.69</v>
      </c>
      <c r="J747">
        <v>84.94</v>
      </c>
      <c r="K747">
        <v>4</v>
      </c>
      <c r="T747">
        <v>3</v>
      </c>
      <c r="U747">
        <v>2</v>
      </c>
      <c r="V747" t="s">
        <v>541</v>
      </c>
      <c r="W747" t="s">
        <v>457</v>
      </c>
      <c r="X747">
        <v>32</v>
      </c>
      <c r="Y747">
        <v>21</v>
      </c>
      <c r="Z747" t="s">
        <v>1724</v>
      </c>
      <c r="AA747" t="s">
        <v>1725</v>
      </c>
      <c r="AB747" t="s">
        <v>526</v>
      </c>
      <c r="AC747" t="s">
        <v>527</v>
      </c>
      <c r="AD747" t="s">
        <v>528</v>
      </c>
      <c r="AE747" t="s">
        <v>501</v>
      </c>
      <c r="AG747" t="s">
        <v>1726</v>
      </c>
      <c r="AH747">
        <v>0</v>
      </c>
      <c r="AI747">
        <v>517</v>
      </c>
      <c r="AJ747">
        <v>69</v>
      </c>
      <c r="AK747">
        <v>577</v>
      </c>
      <c r="AL747">
        <v>1.47</v>
      </c>
    </row>
    <row r="748" spans="1:38" x14ac:dyDescent="0.3">
      <c r="A748" t="s">
        <v>1652</v>
      </c>
      <c r="B748">
        <v>109059</v>
      </c>
      <c r="C748">
        <v>6</v>
      </c>
      <c r="D748" t="s">
        <v>1722</v>
      </c>
      <c r="E748" t="s">
        <v>1723</v>
      </c>
      <c r="F748">
        <v>392</v>
      </c>
      <c r="G748">
        <v>36.78</v>
      </c>
      <c r="H748">
        <v>121.6</v>
      </c>
      <c r="I748">
        <v>25.68</v>
      </c>
      <c r="J748">
        <v>84.92</v>
      </c>
      <c r="K748">
        <v>5</v>
      </c>
      <c r="T748">
        <v>3</v>
      </c>
      <c r="U748">
        <v>2</v>
      </c>
      <c r="V748" t="s">
        <v>541</v>
      </c>
      <c r="W748" t="s">
        <v>458</v>
      </c>
      <c r="X748">
        <v>32</v>
      </c>
      <c r="Y748">
        <v>21</v>
      </c>
      <c r="Z748" t="s">
        <v>1724</v>
      </c>
      <c r="AA748" t="s">
        <v>1725</v>
      </c>
      <c r="AB748" t="s">
        <v>526</v>
      </c>
      <c r="AC748" t="s">
        <v>527</v>
      </c>
      <c r="AD748" t="s">
        <v>528</v>
      </c>
      <c r="AE748" t="s">
        <v>501</v>
      </c>
      <c r="AG748" t="s">
        <v>1726</v>
      </c>
      <c r="AH748">
        <v>0</v>
      </c>
      <c r="AI748">
        <v>517</v>
      </c>
      <c r="AJ748">
        <v>69</v>
      </c>
      <c r="AK748">
        <v>577</v>
      </c>
      <c r="AL748">
        <v>1.47</v>
      </c>
    </row>
    <row r="749" spans="1:38" x14ac:dyDescent="0.3">
      <c r="A749" t="s">
        <v>1652</v>
      </c>
      <c r="B749">
        <v>14773</v>
      </c>
      <c r="C749">
        <v>1</v>
      </c>
      <c r="D749" t="s">
        <v>1727</v>
      </c>
      <c r="E749" t="s">
        <v>1133</v>
      </c>
      <c r="F749">
        <v>419</v>
      </c>
      <c r="G749">
        <v>30.38</v>
      </c>
      <c r="H749">
        <v>100.46</v>
      </c>
      <c r="I749">
        <v>25.66</v>
      </c>
      <c r="J749">
        <v>84.83</v>
      </c>
      <c r="K749">
        <v>269</v>
      </c>
      <c r="T749">
        <v>3</v>
      </c>
      <c r="U749">
        <v>2</v>
      </c>
      <c r="V749" t="s">
        <v>541</v>
      </c>
      <c r="W749" t="s">
        <v>460</v>
      </c>
      <c r="X749">
        <v>20</v>
      </c>
      <c r="Y749">
        <v>13</v>
      </c>
      <c r="Z749" t="s">
        <v>1728</v>
      </c>
      <c r="AA749" t="s">
        <v>1729</v>
      </c>
      <c r="AB749" t="s">
        <v>526</v>
      </c>
      <c r="AC749" t="s">
        <v>527</v>
      </c>
      <c r="AD749" t="s">
        <v>528</v>
      </c>
      <c r="AE749" t="s">
        <v>501</v>
      </c>
      <c r="AG749" t="s">
        <v>1730</v>
      </c>
      <c r="AH749">
        <v>0</v>
      </c>
      <c r="AI749">
        <v>244</v>
      </c>
      <c r="AJ749">
        <v>20</v>
      </c>
      <c r="AK749">
        <v>451</v>
      </c>
      <c r="AL749">
        <v>1.08</v>
      </c>
    </row>
    <row r="750" spans="1:38" x14ac:dyDescent="0.3">
      <c r="A750" t="s">
        <v>1652</v>
      </c>
      <c r="B750">
        <v>14773</v>
      </c>
      <c r="C750">
        <v>2</v>
      </c>
      <c r="D750" t="s">
        <v>1727</v>
      </c>
      <c r="E750" t="s">
        <v>1133</v>
      </c>
      <c r="F750">
        <v>419</v>
      </c>
      <c r="G750">
        <v>30.39</v>
      </c>
      <c r="H750">
        <v>100.49</v>
      </c>
      <c r="I750">
        <v>25.7</v>
      </c>
      <c r="J750">
        <v>84.98</v>
      </c>
      <c r="K750">
        <v>150</v>
      </c>
      <c r="T750">
        <v>3</v>
      </c>
      <c r="U750">
        <v>2</v>
      </c>
      <c r="V750" t="s">
        <v>541</v>
      </c>
      <c r="W750" t="s">
        <v>461</v>
      </c>
      <c r="X750">
        <v>20</v>
      </c>
      <c r="Y750">
        <v>13</v>
      </c>
      <c r="Z750" t="s">
        <v>1728</v>
      </c>
      <c r="AA750" t="s">
        <v>1729</v>
      </c>
      <c r="AB750" t="s">
        <v>526</v>
      </c>
      <c r="AC750" t="s">
        <v>527</v>
      </c>
      <c r="AD750" t="s">
        <v>528</v>
      </c>
      <c r="AE750" t="s">
        <v>501</v>
      </c>
      <c r="AG750" t="s">
        <v>1730</v>
      </c>
      <c r="AH750">
        <v>0</v>
      </c>
      <c r="AI750">
        <v>244</v>
      </c>
      <c r="AJ750">
        <v>20</v>
      </c>
      <c r="AK750">
        <v>451</v>
      </c>
      <c r="AL750">
        <v>1.08</v>
      </c>
    </row>
    <row r="751" spans="1:38" x14ac:dyDescent="0.3">
      <c r="A751" t="s">
        <v>1652</v>
      </c>
      <c r="B751">
        <v>137670</v>
      </c>
      <c r="C751">
        <v>1</v>
      </c>
      <c r="D751" t="s">
        <v>1731</v>
      </c>
      <c r="F751">
        <v>50</v>
      </c>
      <c r="G751">
        <v>19.27</v>
      </c>
      <c r="H751">
        <v>63.72</v>
      </c>
      <c r="I751">
        <v>17.64</v>
      </c>
      <c r="J751">
        <v>58.32</v>
      </c>
      <c r="K751">
        <v>39</v>
      </c>
      <c r="T751">
        <v>2</v>
      </c>
      <c r="U751">
        <v>1</v>
      </c>
      <c r="V751" t="s">
        <v>541</v>
      </c>
      <c r="W751">
        <v>63</v>
      </c>
      <c r="X751">
        <v>5</v>
      </c>
      <c r="Y751">
        <v>5</v>
      </c>
      <c r="Z751" t="s">
        <v>1732</v>
      </c>
      <c r="AA751" t="s">
        <v>1733</v>
      </c>
      <c r="AB751" t="s">
        <v>526</v>
      </c>
      <c r="AC751" t="s">
        <v>527</v>
      </c>
      <c r="AD751" t="s">
        <v>528</v>
      </c>
      <c r="AE751" t="s">
        <v>501</v>
      </c>
      <c r="AG751" t="s">
        <v>1734</v>
      </c>
      <c r="AH751">
        <v>0</v>
      </c>
      <c r="AI751">
        <v>0</v>
      </c>
      <c r="AJ751">
        <v>0</v>
      </c>
      <c r="AK751">
        <v>0</v>
      </c>
      <c r="AL751">
        <v>0</v>
      </c>
    </row>
    <row r="752" spans="1:38" x14ac:dyDescent="0.3">
      <c r="A752" t="s">
        <v>1652</v>
      </c>
      <c r="B752">
        <v>137670</v>
      </c>
      <c r="C752">
        <v>2</v>
      </c>
      <c r="D752" t="s">
        <v>1731</v>
      </c>
      <c r="F752">
        <v>50</v>
      </c>
      <c r="G752">
        <v>20.9</v>
      </c>
      <c r="H752">
        <v>69.12</v>
      </c>
      <c r="I752">
        <v>17.64</v>
      </c>
      <c r="J752">
        <v>58.32</v>
      </c>
      <c r="K752">
        <v>11</v>
      </c>
      <c r="T752">
        <v>3</v>
      </c>
      <c r="U752">
        <v>1</v>
      </c>
      <c r="V752" t="s">
        <v>541</v>
      </c>
      <c r="W752">
        <v>69</v>
      </c>
      <c r="X752">
        <v>5</v>
      </c>
      <c r="Y752">
        <v>5</v>
      </c>
      <c r="Z752" t="s">
        <v>1732</v>
      </c>
      <c r="AA752" t="s">
        <v>1733</v>
      </c>
      <c r="AB752" t="s">
        <v>526</v>
      </c>
      <c r="AC752" t="s">
        <v>527</v>
      </c>
      <c r="AD752" t="s">
        <v>528</v>
      </c>
      <c r="AE752" t="s">
        <v>501</v>
      </c>
      <c r="AG752" t="s">
        <v>1734</v>
      </c>
      <c r="AH752">
        <v>0</v>
      </c>
      <c r="AI752">
        <v>0</v>
      </c>
      <c r="AJ752">
        <v>0</v>
      </c>
      <c r="AK752">
        <v>0</v>
      </c>
      <c r="AL752">
        <v>0</v>
      </c>
    </row>
    <row r="753" spans="1:38" x14ac:dyDescent="0.3">
      <c r="A753" t="s">
        <v>1652</v>
      </c>
      <c r="B753">
        <v>23838</v>
      </c>
      <c r="C753">
        <v>1</v>
      </c>
      <c r="D753" t="s">
        <v>1735</v>
      </c>
      <c r="E753" t="s">
        <v>1736</v>
      </c>
      <c r="F753">
        <v>202</v>
      </c>
      <c r="G753">
        <v>39.89</v>
      </c>
      <c r="H753">
        <v>131.87</v>
      </c>
      <c r="I753">
        <v>30.17</v>
      </c>
      <c r="J753">
        <v>99.75</v>
      </c>
      <c r="K753">
        <v>126</v>
      </c>
      <c r="T753">
        <v>3</v>
      </c>
      <c r="U753">
        <v>2</v>
      </c>
      <c r="V753" t="s">
        <v>541</v>
      </c>
      <c r="W753">
        <v>131</v>
      </c>
      <c r="X753">
        <v>15</v>
      </c>
      <c r="Y753">
        <v>11</v>
      </c>
      <c r="Z753" t="s">
        <v>1737</v>
      </c>
      <c r="AA753" t="s">
        <v>1738</v>
      </c>
      <c r="AB753" t="s">
        <v>526</v>
      </c>
      <c r="AC753" t="s">
        <v>527</v>
      </c>
      <c r="AD753" t="s">
        <v>528</v>
      </c>
      <c r="AE753" t="s">
        <v>501</v>
      </c>
      <c r="AG753" t="s">
        <v>1739</v>
      </c>
      <c r="AH753">
        <v>0</v>
      </c>
      <c r="AI753">
        <v>229</v>
      </c>
      <c r="AJ753">
        <v>22</v>
      </c>
      <c r="AK753">
        <v>293</v>
      </c>
      <c r="AL753">
        <v>1.45</v>
      </c>
    </row>
    <row r="754" spans="1:38" x14ac:dyDescent="0.3">
      <c r="A754" t="s">
        <v>1652</v>
      </c>
      <c r="B754">
        <v>23838</v>
      </c>
      <c r="C754">
        <v>2</v>
      </c>
      <c r="D754" t="s">
        <v>1735</v>
      </c>
      <c r="E754" t="s">
        <v>1736</v>
      </c>
      <c r="F754">
        <v>202</v>
      </c>
      <c r="G754">
        <v>48.64</v>
      </c>
      <c r="H754">
        <v>160.82</v>
      </c>
      <c r="I754">
        <v>36.799999999999997</v>
      </c>
      <c r="J754">
        <v>121.66</v>
      </c>
      <c r="K754">
        <v>76</v>
      </c>
      <c r="T754">
        <v>4</v>
      </c>
      <c r="U754">
        <v>2</v>
      </c>
      <c r="V754" t="s">
        <v>541</v>
      </c>
      <c r="W754">
        <v>160</v>
      </c>
      <c r="X754">
        <v>15</v>
      </c>
      <c r="Y754">
        <v>11</v>
      </c>
      <c r="Z754" t="s">
        <v>1737</v>
      </c>
      <c r="AA754" t="s">
        <v>1738</v>
      </c>
      <c r="AB754" t="s">
        <v>526</v>
      </c>
      <c r="AC754" t="s">
        <v>527</v>
      </c>
      <c r="AD754" t="s">
        <v>528</v>
      </c>
      <c r="AE754" t="s">
        <v>501</v>
      </c>
      <c r="AG754" t="s">
        <v>1739</v>
      </c>
      <c r="AH754">
        <v>0</v>
      </c>
      <c r="AI754">
        <v>229</v>
      </c>
      <c r="AJ754">
        <v>22</v>
      </c>
      <c r="AK754">
        <v>293</v>
      </c>
      <c r="AL754">
        <v>1.45</v>
      </c>
    </row>
    <row r="755" spans="1:38" x14ac:dyDescent="0.3">
      <c r="A755" t="s">
        <v>1652</v>
      </c>
      <c r="B755">
        <v>26363</v>
      </c>
      <c r="C755">
        <v>1</v>
      </c>
      <c r="D755" t="s">
        <v>1740</v>
      </c>
      <c r="E755" t="s">
        <v>1741</v>
      </c>
      <c r="F755">
        <v>140</v>
      </c>
      <c r="G755">
        <v>43.62</v>
      </c>
      <c r="H755">
        <v>144.22999999999999</v>
      </c>
      <c r="I755">
        <v>36.71</v>
      </c>
      <c r="J755">
        <v>121.37</v>
      </c>
      <c r="K755">
        <v>84</v>
      </c>
      <c r="T755">
        <v>3</v>
      </c>
      <c r="U755">
        <v>2</v>
      </c>
      <c r="V755" t="s">
        <v>541</v>
      </c>
      <c r="W755">
        <v>144</v>
      </c>
      <c r="X755">
        <v>15</v>
      </c>
      <c r="Y755">
        <v>15</v>
      </c>
      <c r="Z755" t="s">
        <v>1742</v>
      </c>
      <c r="AA755" t="s">
        <v>1743</v>
      </c>
      <c r="AB755" t="s">
        <v>526</v>
      </c>
      <c r="AC755" t="s">
        <v>527</v>
      </c>
      <c r="AD755" t="s">
        <v>528</v>
      </c>
      <c r="AE755" t="s">
        <v>501</v>
      </c>
      <c r="AG755" t="s">
        <v>1744</v>
      </c>
      <c r="AH755">
        <v>0</v>
      </c>
      <c r="AI755">
        <v>226</v>
      </c>
      <c r="AJ755">
        <v>21</v>
      </c>
      <c r="AK755">
        <v>264</v>
      </c>
      <c r="AL755">
        <v>1.89</v>
      </c>
    </row>
    <row r="756" spans="1:38" x14ac:dyDescent="0.3">
      <c r="A756" t="s">
        <v>1652</v>
      </c>
      <c r="B756">
        <v>26363</v>
      </c>
      <c r="C756">
        <v>2</v>
      </c>
      <c r="D756" t="s">
        <v>1740</v>
      </c>
      <c r="E756" t="s">
        <v>1741</v>
      </c>
      <c r="F756">
        <v>140</v>
      </c>
      <c r="G756">
        <v>53.51</v>
      </c>
      <c r="H756">
        <v>176.91</v>
      </c>
      <c r="I756">
        <v>46.3</v>
      </c>
      <c r="J756">
        <v>153.06</v>
      </c>
      <c r="K756">
        <v>56</v>
      </c>
      <c r="T756">
        <v>4</v>
      </c>
      <c r="U756">
        <v>2</v>
      </c>
      <c r="V756" t="s">
        <v>541</v>
      </c>
      <c r="W756">
        <v>176</v>
      </c>
      <c r="X756">
        <v>15</v>
      </c>
      <c r="Y756">
        <v>15</v>
      </c>
      <c r="Z756" t="s">
        <v>1742</v>
      </c>
      <c r="AA756" t="s">
        <v>1743</v>
      </c>
      <c r="AB756" t="s">
        <v>526</v>
      </c>
      <c r="AC756" t="s">
        <v>527</v>
      </c>
      <c r="AD756" t="s">
        <v>528</v>
      </c>
      <c r="AE756" t="s">
        <v>501</v>
      </c>
      <c r="AG756" t="s">
        <v>1744</v>
      </c>
      <c r="AH756">
        <v>0</v>
      </c>
      <c r="AI756">
        <v>226</v>
      </c>
      <c r="AJ756">
        <v>21</v>
      </c>
      <c r="AK756">
        <v>264</v>
      </c>
      <c r="AL756">
        <v>1.89</v>
      </c>
    </row>
    <row r="757" spans="1:38" x14ac:dyDescent="0.3">
      <c r="A757" t="s">
        <v>1745</v>
      </c>
      <c r="B757">
        <v>5746</v>
      </c>
      <c r="C757">
        <v>1</v>
      </c>
      <c r="D757" t="s">
        <v>1746</v>
      </c>
      <c r="E757" t="s">
        <v>1747</v>
      </c>
      <c r="F757">
        <v>535</v>
      </c>
      <c r="G757">
        <v>32.229999999999997</v>
      </c>
      <c r="H757">
        <v>106.56</v>
      </c>
      <c r="I757">
        <v>25.68</v>
      </c>
      <c r="J757">
        <v>84.9</v>
      </c>
      <c r="K757">
        <v>460</v>
      </c>
      <c r="T757">
        <v>3</v>
      </c>
      <c r="U757">
        <v>2</v>
      </c>
      <c r="V757" t="s">
        <v>541</v>
      </c>
      <c r="W757" t="s">
        <v>466</v>
      </c>
      <c r="X757">
        <v>19</v>
      </c>
      <c r="Y757">
        <v>13</v>
      </c>
      <c r="Z757" t="s">
        <v>1748</v>
      </c>
      <c r="AA757" t="s">
        <v>1749</v>
      </c>
      <c r="AB757" t="s">
        <v>526</v>
      </c>
      <c r="AC757" t="s">
        <v>527</v>
      </c>
      <c r="AD757" t="s">
        <v>528</v>
      </c>
      <c r="AE757" t="s">
        <v>1750</v>
      </c>
      <c r="AG757" t="s">
        <v>1751</v>
      </c>
      <c r="AH757">
        <v>0</v>
      </c>
      <c r="AI757">
        <v>212</v>
      </c>
      <c r="AJ757">
        <v>15</v>
      </c>
      <c r="AK757">
        <v>551</v>
      </c>
      <c r="AL757">
        <v>1.03</v>
      </c>
    </row>
    <row r="758" spans="1:38" x14ac:dyDescent="0.3">
      <c r="A758" t="s">
        <v>1745</v>
      </c>
      <c r="B758">
        <v>5746</v>
      </c>
      <c r="C758">
        <v>2</v>
      </c>
      <c r="D758" t="s">
        <v>1746</v>
      </c>
      <c r="E758" t="s">
        <v>1747</v>
      </c>
      <c r="F758">
        <v>535</v>
      </c>
      <c r="G758">
        <v>32.08</v>
      </c>
      <c r="H758">
        <v>106.08</v>
      </c>
      <c r="I758">
        <v>25.65</v>
      </c>
      <c r="J758">
        <v>84.82</v>
      </c>
      <c r="K758">
        <v>75</v>
      </c>
      <c r="T758">
        <v>3</v>
      </c>
      <c r="U758">
        <v>2</v>
      </c>
      <c r="V758" t="s">
        <v>541</v>
      </c>
      <c r="W758" t="s">
        <v>467</v>
      </c>
      <c r="X758">
        <v>19</v>
      </c>
      <c r="Y758">
        <v>13</v>
      </c>
      <c r="Z758" t="s">
        <v>1748</v>
      </c>
      <c r="AA758" t="s">
        <v>1749</v>
      </c>
      <c r="AB758" t="s">
        <v>526</v>
      </c>
      <c r="AC758" t="s">
        <v>527</v>
      </c>
      <c r="AD758" t="s">
        <v>528</v>
      </c>
      <c r="AE758" t="s">
        <v>1750</v>
      </c>
      <c r="AG758" t="s">
        <v>1751</v>
      </c>
      <c r="AH758">
        <v>0</v>
      </c>
      <c r="AI758">
        <v>212</v>
      </c>
      <c r="AJ758">
        <v>15</v>
      </c>
      <c r="AK758">
        <v>551</v>
      </c>
      <c r="AL758">
        <v>1.03</v>
      </c>
    </row>
    <row r="759" spans="1:38" x14ac:dyDescent="0.3">
      <c r="A759" t="s">
        <v>1745</v>
      </c>
      <c r="B759">
        <v>107335</v>
      </c>
      <c r="C759">
        <v>1</v>
      </c>
      <c r="D759" t="s">
        <v>1752</v>
      </c>
      <c r="E759" t="s">
        <v>1753</v>
      </c>
      <c r="F759">
        <v>513</v>
      </c>
      <c r="G759">
        <v>34.83</v>
      </c>
      <c r="H759">
        <v>115.17</v>
      </c>
      <c r="I759">
        <v>25.46</v>
      </c>
      <c r="J759">
        <v>84.18</v>
      </c>
      <c r="K759">
        <v>378</v>
      </c>
      <c r="T759">
        <v>3</v>
      </c>
      <c r="U759">
        <v>2</v>
      </c>
      <c r="V759" t="s">
        <v>541</v>
      </c>
      <c r="W759" t="s">
        <v>342</v>
      </c>
      <c r="X759">
        <v>42</v>
      </c>
      <c r="Y759">
        <v>29</v>
      </c>
      <c r="Z759" t="s">
        <v>1754</v>
      </c>
      <c r="AA759" t="s">
        <v>1755</v>
      </c>
      <c r="AB759" t="s">
        <v>526</v>
      </c>
      <c r="AC759" t="s">
        <v>527</v>
      </c>
      <c r="AD759" t="s">
        <v>528</v>
      </c>
      <c r="AE759" t="s">
        <v>1750</v>
      </c>
      <c r="AG759" t="s">
        <v>1756</v>
      </c>
      <c r="AH759">
        <v>0</v>
      </c>
      <c r="AI759">
        <v>697</v>
      </c>
      <c r="AJ759">
        <v>66</v>
      </c>
      <c r="AK759">
        <v>700</v>
      </c>
      <c r="AL759">
        <v>1.36</v>
      </c>
    </row>
    <row r="760" spans="1:38" x14ac:dyDescent="0.3">
      <c r="A760" t="s">
        <v>1745</v>
      </c>
      <c r="B760">
        <v>107335</v>
      </c>
      <c r="C760">
        <v>2</v>
      </c>
      <c r="D760" t="s">
        <v>1752</v>
      </c>
      <c r="E760" t="s">
        <v>1753</v>
      </c>
      <c r="F760">
        <v>513</v>
      </c>
      <c r="G760">
        <v>34.86</v>
      </c>
      <c r="H760">
        <v>115.27</v>
      </c>
      <c r="I760">
        <v>25.45</v>
      </c>
      <c r="J760">
        <v>84.14</v>
      </c>
      <c r="K760">
        <v>70</v>
      </c>
      <c r="T760">
        <v>3</v>
      </c>
      <c r="U760">
        <v>2</v>
      </c>
      <c r="V760" t="s">
        <v>541</v>
      </c>
      <c r="W760" t="s">
        <v>343</v>
      </c>
      <c r="X760">
        <v>42</v>
      </c>
      <c r="Y760">
        <v>29</v>
      </c>
      <c r="Z760" t="s">
        <v>1754</v>
      </c>
      <c r="AA760" t="s">
        <v>1755</v>
      </c>
      <c r="AB760" t="s">
        <v>526</v>
      </c>
      <c r="AC760" t="s">
        <v>527</v>
      </c>
      <c r="AD760" t="s">
        <v>528</v>
      </c>
      <c r="AE760" t="s">
        <v>1750</v>
      </c>
      <c r="AG760" t="s">
        <v>1756</v>
      </c>
      <c r="AH760">
        <v>0</v>
      </c>
      <c r="AI760">
        <v>697</v>
      </c>
      <c r="AJ760">
        <v>66</v>
      </c>
      <c r="AK760">
        <v>700</v>
      </c>
      <c r="AL760">
        <v>1.36</v>
      </c>
    </row>
    <row r="761" spans="1:38" x14ac:dyDescent="0.3">
      <c r="A761" t="s">
        <v>1745</v>
      </c>
      <c r="B761">
        <v>107335</v>
      </c>
      <c r="C761">
        <v>3</v>
      </c>
      <c r="D761" t="s">
        <v>1752</v>
      </c>
      <c r="E761" t="s">
        <v>1753</v>
      </c>
      <c r="F761">
        <v>513</v>
      </c>
      <c r="G761">
        <v>35.049999999999997</v>
      </c>
      <c r="H761">
        <v>115.89</v>
      </c>
      <c r="I761">
        <v>25.66</v>
      </c>
      <c r="J761">
        <v>84.84</v>
      </c>
      <c r="K761">
        <v>60</v>
      </c>
      <c r="T761">
        <v>3</v>
      </c>
      <c r="U761">
        <v>2</v>
      </c>
      <c r="V761" t="s">
        <v>541</v>
      </c>
      <c r="W761" t="s">
        <v>416</v>
      </c>
      <c r="X761">
        <v>42</v>
      </c>
      <c r="Y761">
        <v>29</v>
      </c>
      <c r="Z761" t="s">
        <v>1754</v>
      </c>
      <c r="AA761" t="s">
        <v>1755</v>
      </c>
      <c r="AB761" t="s">
        <v>526</v>
      </c>
      <c r="AC761" t="s">
        <v>527</v>
      </c>
      <c r="AD761" t="s">
        <v>528</v>
      </c>
      <c r="AE761" t="s">
        <v>1750</v>
      </c>
      <c r="AG761" t="s">
        <v>1756</v>
      </c>
      <c r="AH761">
        <v>0</v>
      </c>
      <c r="AI761">
        <v>697</v>
      </c>
      <c r="AJ761">
        <v>66</v>
      </c>
      <c r="AK761">
        <v>700</v>
      </c>
      <c r="AL761">
        <v>1.36</v>
      </c>
    </row>
    <row r="762" spans="1:38" x14ac:dyDescent="0.3">
      <c r="A762" t="s">
        <v>1745</v>
      </c>
      <c r="B762">
        <v>107335</v>
      </c>
      <c r="C762">
        <v>4</v>
      </c>
      <c r="D762" t="s">
        <v>1752</v>
      </c>
      <c r="E762" t="s">
        <v>1753</v>
      </c>
      <c r="F762">
        <v>513</v>
      </c>
      <c r="G762">
        <v>52.13</v>
      </c>
      <c r="H762">
        <v>172.34</v>
      </c>
      <c r="I762">
        <v>37.9</v>
      </c>
      <c r="J762">
        <v>125.31</v>
      </c>
      <c r="K762">
        <v>5</v>
      </c>
      <c r="T762">
        <v>4</v>
      </c>
      <c r="U762">
        <v>2</v>
      </c>
      <c r="V762" t="s">
        <v>541</v>
      </c>
      <c r="W762">
        <v>172</v>
      </c>
      <c r="X762">
        <v>42</v>
      </c>
      <c r="Y762">
        <v>29</v>
      </c>
      <c r="Z762" t="s">
        <v>1754</v>
      </c>
      <c r="AA762" t="s">
        <v>1755</v>
      </c>
      <c r="AB762" t="s">
        <v>526</v>
      </c>
      <c r="AC762" t="s">
        <v>527</v>
      </c>
      <c r="AD762" t="s">
        <v>528</v>
      </c>
      <c r="AE762" t="s">
        <v>1750</v>
      </c>
      <c r="AG762" t="s">
        <v>1756</v>
      </c>
      <c r="AH762">
        <v>0</v>
      </c>
      <c r="AI762">
        <v>697</v>
      </c>
      <c r="AJ762">
        <v>66</v>
      </c>
      <c r="AK762">
        <v>700</v>
      </c>
      <c r="AL762">
        <v>1.36</v>
      </c>
    </row>
    <row r="763" spans="1:38" x14ac:dyDescent="0.3">
      <c r="A763" t="s">
        <v>1745</v>
      </c>
      <c r="B763">
        <v>117124</v>
      </c>
      <c r="C763">
        <v>1</v>
      </c>
      <c r="D763" t="s">
        <v>1757</v>
      </c>
      <c r="E763" t="s">
        <v>1093</v>
      </c>
      <c r="F763">
        <v>97</v>
      </c>
      <c r="G763">
        <v>17.88</v>
      </c>
      <c r="H763">
        <v>59.12</v>
      </c>
      <c r="I763">
        <v>12.6</v>
      </c>
      <c r="J763">
        <v>41.68</v>
      </c>
      <c r="K763">
        <v>10</v>
      </c>
      <c r="T763">
        <v>1</v>
      </c>
      <c r="U763">
        <v>1</v>
      </c>
      <c r="V763" t="s">
        <v>523</v>
      </c>
      <c r="W763">
        <v>59</v>
      </c>
      <c r="X763">
        <v>14</v>
      </c>
      <c r="Y763">
        <v>13</v>
      </c>
      <c r="Z763" t="s">
        <v>1758</v>
      </c>
      <c r="AA763" t="s">
        <v>1759</v>
      </c>
      <c r="AB763" t="s">
        <v>526</v>
      </c>
      <c r="AC763" t="s">
        <v>527</v>
      </c>
      <c r="AD763" t="s">
        <v>528</v>
      </c>
      <c r="AE763" t="s">
        <v>1750</v>
      </c>
      <c r="AG763" t="s">
        <v>1760</v>
      </c>
      <c r="AH763">
        <v>0</v>
      </c>
      <c r="AI763">
        <v>687</v>
      </c>
      <c r="AJ763">
        <v>69</v>
      </c>
      <c r="AK763">
        <v>76</v>
      </c>
      <c r="AL763">
        <v>0.78</v>
      </c>
    </row>
    <row r="764" spans="1:38" x14ac:dyDescent="0.3">
      <c r="A764" t="s">
        <v>1745</v>
      </c>
      <c r="B764">
        <v>117124</v>
      </c>
      <c r="C764">
        <v>2</v>
      </c>
      <c r="D764" t="s">
        <v>1757</v>
      </c>
      <c r="E764" t="s">
        <v>1093</v>
      </c>
      <c r="F764">
        <v>97</v>
      </c>
      <c r="G764">
        <v>20.350000000000001</v>
      </c>
      <c r="H764">
        <v>67.3</v>
      </c>
      <c r="I764">
        <v>14.35</v>
      </c>
      <c r="J764">
        <v>47.45</v>
      </c>
      <c r="K764">
        <v>1</v>
      </c>
      <c r="T764">
        <v>1</v>
      </c>
      <c r="U764">
        <v>1</v>
      </c>
      <c r="V764" t="s">
        <v>523</v>
      </c>
      <c r="W764">
        <v>67</v>
      </c>
      <c r="X764">
        <v>14</v>
      </c>
      <c r="Y764">
        <v>13</v>
      </c>
      <c r="Z764" t="s">
        <v>1758</v>
      </c>
      <c r="AA764" t="s">
        <v>1759</v>
      </c>
      <c r="AB764" t="s">
        <v>526</v>
      </c>
      <c r="AC764" t="s">
        <v>527</v>
      </c>
      <c r="AD764" t="s">
        <v>528</v>
      </c>
      <c r="AE764" t="s">
        <v>1750</v>
      </c>
      <c r="AG764" t="s">
        <v>1760</v>
      </c>
      <c r="AH764">
        <v>0</v>
      </c>
      <c r="AI764">
        <v>687</v>
      </c>
      <c r="AJ764">
        <v>69</v>
      </c>
      <c r="AK764">
        <v>76</v>
      </c>
      <c r="AL764">
        <v>0.78</v>
      </c>
    </row>
    <row r="765" spans="1:38" x14ac:dyDescent="0.3">
      <c r="A765" t="s">
        <v>1745</v>
      </c>
      <c r="B765">
        <v>117124</v>
      </c>
      <c r="C765">
        <v>3</v>
      </c>
      <c r="D765" t="s">
        <v>1757</v>
      </c>
      <c r="E765" t="s">
        <v>1093</v>
      </c>
      <c r="F765">
        <v>97</v>
      </c>
      <c r="G765">
        <v>21.04</v>
      </c>
      <c r="H765">
        <v>69.56</v>
      </c>
      <c r="I765">
        <v>14.83</v>
      </c>
      <c r="J765">
        <v>49.05</v>
      </c>
      <c r="K765">
        <v>11</v>
      </c>
      <c r="T765">
        <v>1</v>
      </c>
      <c r="U765">
        <v>1</v>
      </c>
      <c r="V765" t="s">
        <v>523</v>
      </c>
      <c r="W765" t="s">
        <v>781</v>
      </c>
      <c r="X765">
        <v>14</v>
      </c>
      <c r="Y765">
        <v>13</v>
      </c>
      <c r="Z765" t="s">
        <v>1758</v>
      </c>
      <c r="AA765" t="s">
        <v>1759</v>
      </c>
      <c r="AB765" t="s">
        <v>526</v>
      </c>
      <c r="AC765" t="s">
        <v>527</v>
      </c>
      <c r="AD765" t="s">
        <v>528</v>
      </c>
      <c r="AE765" t="s">
        <v>1750</v>
      </c>
      <c r="AG765" t="s">
        <v>1760</v>
      </c>
      <c r="AH765">
        <v>0</v>
      </c>
      <c r="AI765">
        <v>687</v>
      </c>
      <c r="AJ765">
        <v>69</v>
      </c>
      <c r="AK765">
        <v>76</v>
      </c>
      <c r="AL765">
        <v>0.78</v>
      </c>
    </row>
    <row r="766" spans="1:38" x14ac:dyDescent="0.3">
      <c r="A766" t="s">
        <v>1745</v>
      </c>
      <c r="B766">
        <v>117124</v>
      </c>
      <c r="C766">
        <v>4</v>
      </c>
      <c r="D766" t="s">
        <v>1757</v>
      </c>
      <c r="E766" t="s">
        <v>1093</v>
      </c>
      <c r="F766">
        <v>97</v>
      </c>
      <c r="G766">
        <v>21.08</v>
      </c>
      <c r="H766">
        <v>69.69</v>
      </c>
      <c r="I766">
        <v>14.86</v>
      </c>
      <c r="J766">
        <v>49.13</v>
      </c>
      <c r="K766">
        <v>9</v>
      </c>
      <c r="T766">
        <v>1</v>
      </c>
      <c r="U766">
        <v>1</v>
      </c>
      <c r="V766" t="s">
        <v>523</v>
      </c>
      <c r="W766" t="s">
        <v>780</v>
      </c>
      <c r="X766">
        <v>14</v>
      </c>
      <c r="Y766">
        <v>13</v>
      </c>
      <c r="Z766" t="s">
        <v>1758</v>
      </c>
      <c r="AA766" t="s">
        <v>1759</v>
      </c>
      <c r="AB766" t="s">
        <v>526</v>
      </c>
      <c r="AC766" t="s">
        <v>527</v>
      </c>
      <c r="AD766" t="s">
        <v>528</v>
      </c>
      <c r="AE766" t="s">
        <v>1750</v>
      </c>
      <c r="AG766" t="s">
        <v>1760</v>
      </c>
      <c r="AH766">
        <v>0</v>
      </c>
      <c r="AI766">
        <v>687</v>
      </c>
      <c r="AJ766">
        <v>69</v>
      </c>
      <c r="AK766">
        <v>76</v>
      </c>
      <c r="AL766">
        <v>0.78</v>
      </c>
    </row>
    <row r="767" spans="1:38" x14ac:dyDescent="0.3">
      <c r="A767" t="s">
        <v>1745</v>
      </c>
      <c r="B767">
        <v>117124</v>
      </c>
      <c r="C767">
        <v>5</v>
      </c>
      <c r="D767" t="s">
        <v>1757</v>
      </c>
      <c r="E767" t="s">
        <v>1093</v>
      </c>
      <c r="F767">
        <v>97</v>
      </c>
      <c r="G767">
        <v>21.45</v>
      </c>
      <c r="H767">
        <v>70.91</v>
      </c>
      <c r="I767">
        <v>15.12</v>
      </c>
      <c r="J767">
        <v>49.99</v>
      </c>
      <c r="K767">
        <v>44</v>
      </c>
      <c r="T767">
        <v>1</v>
      </c>
      <c r="U767">
        <v>1</v>
      </c>
      <c r="V767" t="s">
        <v>523</v>
      </c>
      <c r="W767" t="s">
        <v>1761</v>
      </c>
      <c r="X767">
        <v>14</v>
      </c>
      <c r="Y767">
        <v>13</v>
      </c>
      <c r="Z767" t="s">
        <v>1758</v>
      </c>
      <c r="AA767" t="s">
        <v>1759</v>
      </c>
      <c r="AB767" t="s">
        <v>526</v>
      </c>
      <c r="AC767" t="s">
        <v>527</v>
      </c>
      <c r="AD767" t="s">
        <v>528</v>
      </c>
      <c r="AE767" t="s">
        <v>1750</v>
      </c>
      <c r="AG767" t="s">
        <v>1760</v>
      </c>
      <c r="AH767">
        <v>0</v>
      </c>
      <c r="AI767">
        <v>687</v>
      </c>
      <c r="AJ767">
        <v>69</v>
      </c>
      <c r="AK767">
        <v>76</v>
      </c>
      <c r="AL767">
        <v>0.78</v>
      </c>
    </row>
    <row r="768" spans="1:38" x14ac:dyDescent="0.3">
      <c r="A768" t="s">
        <v>1745</v>
      </c>
      <c r="B768">
        <v>117124</v>
      </c>
      <c r="C768">
        <v>6</v>
      </c>
      <c r="D768" t="s">
        <v>1757</v>
      </c>
      <c r="E768" t="s">
        <v>1093</v>
      </c>
      <c r="F768">
        <v>97</v>
      </c>
      <c r="G768">
        <v>21.35</v>
      </c>
      <c r="H768">
        <v>70.599999999999994</v>
      </c>
      <c r="I768">
        <v>15.05</v>
      </c>
      <c r="J768">
        <v>49.78</v>
      </c>
      <c r="K768">
        <v>11</v>
      </c>
      <c r="T768">
        <v>1</v>
      </c>
      <c r="U768">
        <v>1</v>
      </c>
      <c r="V768" t="s">
        <v>523</v>
      </c>
      <c r="W768" t="s">
        <v>836</v>
      </c>
      <c r="X768">
        <v>14</v>
      </c>
      <c r="Y768">
        <v>13</v>
      </c>
      <c r="Z768" t="s">
        <v>1758</v>
      </c>
      <c r="AA768" t="s">
        <v>1759</v>
      </c>
      <c r="AB768" t="s">
        <v>526</v>
      </c>
      <c r="AC768" t="s">
        <v>527</v>
      </c>
      <c r="AD768" t="s">
        <v>528</v>
      </c>
      <c r="AE768" t="s">
        <v>1750</v>
      </c>
      <c r="AG768" t="s">
        <v>1760</v>
      </c>
      <c r="AH768">
        <v>0</v>
      </c>
      <c r="AI768">
        <v>687</v>
      </c>
      <c r="AJ768">
        <v>69</v>
      </c>
      <c r="AK768">
        <v>76</v>
      </c>
      <c r="AL768">
        <v>0.78</v>
      </c>
    </row>
    <row r="769" spans="1:38" x14ac:dyDescent="0.3">
      <c r="A769" t="s">
        <v>1745</v>
      </c>
      <c r="B769">
        <v>117124</v>
      </c>
      <c r="C769">
        <v>7</v>
      </c>
      <c r="D769" t="s">
        <v>1757</v>
      </c>
      <c r="E769" t="s">
        <v>1093</v>
      </c>
      <c r="F769">
        <v>97</v>
      </c>
      <c r="G769">
        <v>21.38</v>
      </c>
      <c r="H769">
        <v>70.709999999999994</v>
      </c>
      <c r="I769">
        <v>15.07</v>
      </c>
      <c r="J769">
        <v>49.85</v>
      </c>
      <c r="K769">
        <v>11</v>
      </c>
      <c r="T769">
        <v>1</v>
      </c>
      <c r="U769">
        <v>1</v>
      </c>
      <c r="V769" t="s">
        <v>523</v>
      </c>
      <c r="W769" t="s">
        <v>1762</v>
      </c>
      <c r="X769">
        <v>14</v>
      </c>
      <c r="Y769">
        <v>13</v>
      </c>
      <c r="Z769" t="s">
        <v>1758</v>
      </c>
      <c r="AA769" t="s">
        <v>1759</v>
      </c>
      <c r="AB769" t="s">
        <v>526</v>
      </c>
      <c r="AC769" t="s">
        <v>527</v>
      </c>
      <c r="AD769" t="s">
        <v>528</v>
      </c>
      <c r="AE769" t="s">
        <v>1750</v>
      </c>
      <c r="AG769" t="s">
        <v>1760</v>
      </c>
      <c r="AH769">
        <v>0</v>
      </c>
      <c r="AI769">
        <v>687</v>
      </c>
      <c r="AJ769">
        <v>69</v>
      </c>
      <c r="AK769">
        <v>76</v>
      </c>
      <c r="AL769">
        <v>0.78</v>
      </c>
    </row>
    <row r="770" spans="1:38" x14ac:dyDescent="0.3">
      <c r="A770" t="s">
        <v>1745</v>
      </c>
      <c r="B770">
        <v>115346</v>
      </c>
      <c r="C770">
        <v>1</v>
      </c>
      <c r="D770" t="s">
        <v>1763</v>
      </c>
      <c r="E770" t="s">
        <v>1764</v>
      </c>
      <c r="F770">
        <v>212</v>
      </c>
      <c r="G770">
        <v>26.16</v>
      </c>
      <c r="H770">
        <v>86.48</v>
      </c>
      <c r="I770">
        <v>18.09</v>
      </c>
      <c r="J770">
        <v>59.83</v>
      </c>
      <c r="K770">
        <v>68</v>
      </c>
      <c r="T770">
        <v>3</v>
      </c>
      <c r="U770">
        <v>2</v>
      </c>
      <c r="V770" t="s">
        <v>541</v>
      </c>
      <c r="W770">
        <v>86</v>
      </c>
      <c r="X770">
        <v>39</v>
      </c>
      <c r="Y770">
        <v>37</v>
      </c>
      <c r="Z770" t="s">
        <v>1765</v>
      </c>
      <c r="AA770" t="s">
        <v>1766</v>
      </c>
      <c r="AB770" t="s">
        <v>526</v>
      </c>
      <c r="AC770" t="s">
        <v>527</v>
      </c>
      <c r="AD770" t="s">
        <v>528</v>
      </c>
      <c r="AE770" t="s">
        <v>1750</v>
      </c>
      <c r="AG770" t="s">
        <v>1767</v>
      </c>
      <c r="AH770">
        <v>0</v>
      </c>
      <c r="AI770">
        <v>697</v>
      </c>
      <c r="AJ770">
        <v>65</v>
      </c>
      <c r="AK770">
        <v>260</v>
      </c>
      <c r="AL770">
        <v>1.23</v>
      </c>
    </row>
    <row r="771" spans="1:38" x14ac:dyDescent="0.3">
      <c r="A771" t="s">
        <v>1745</v>
      </c>
      <c r="B771">
        <v>115346</v>
      </c>
      <c r="C771">
        <v>2</v>
      </c>
      <c r="D771" t="s">
        <v>1763</v>
      </c>
      <c r="E771" t="s">
        <v>1764</v>
      </c>
      <c r="F771">
        <v>212</v>
      </c>
      <c r="G771">
        <v>30.02</v>
      </c>
      <c r="H771">
        <v>99.26</v>
      </c>
      <c r="I771">
        <v>20.96</v>
      </c>
      <c r="J771">
        <v>69.290000000000006</v>
      </c>
      <c r="K771">
        <v>72</v>
      </c>
      <c r="T771">
        <v>3</v>
      </c>
      <c r="U771">
        <v>2</v>
      </c>
      <c r="V771" t="s">
        <v>541</v>
      </c>
      <c r="W771" t="s">
        <v>278</v>
      </c>
      <c r="X771">
        <v>39</v>
      </c>
      <c r="Y771">
        <v>37</v>
      </c>
      <c r="Z771" t="s">
        <v>1765</v>
      </c>
      <c r="AA771" t="s">
        <v>1766</v>
      </c>
      <c r="AB771" t="s">
        <v>526</v>
      </c>
      <c r="AC771" t="s">
        <v>527</v>
      </c>
      <c r="AD771" t="s">
        <v>528</v>
      </c>
      <c r="AE771" t="s">
        <v>1750</v>
      </c>
      <c r="AG771" t="s">
        <v>1767</v>
      </c>
      <c r="AH771">
        <v>0</v>
      </c>
      <c r="AI771">
        <v>697</v>
      </c>
      <c r="AJ771">
        <v>65</v>
      </c>
      <c r="AK771">
        <v>260</v>
      </c>
      <c r="AL771">
        <v>1.23</v>
      </c>
    </row>
    <row r="772" spans="1:38" x14ac:dyDescent="0.3">
      <c r="A772" t="s">
        <v>1745</v>
      </c>
      <c r="B772">
        <v>115346</v>
      </c>
      <c r="C772">
        <v>3</v>
      </c>
      <c r="D772" t="s">
        <v>1763</v>
      </c>
      <c r="E772" t="s">
        <v>1764</v>
      </c>
      <c r="F772">
        <v>212</v>
      </c>
      <c r="G772">
        <v>30.49</v>
      </c>
      <c r="H772">
        <v>100.8</v>
      </c>
      <c r="I772">
        <v>21.12</v>
      </c>
      <c r="J772">
        <v>69.83</v>
      </c>
      <c r="K772">
        <v>72</v>
      </c>
      <c r="T772">
        <v>3</v>
      </c>
      <c r="U772">
        <v>2</v>
      </c>
      <c r="V772" t="s">
        <v>541</v>
      </c>
      <c r="W772" t="s">
        <v>460</v>
      </c>
      <c r="X772">
        <v>39</v>
      </c>
      <c r="Y772">
        <v>37</v>
      </c>
      <c r="Z772" t="s">
        <v>1765</v>
      </c>
      <c r="AA772" t="s">
        <v>1766</v>
      </c>
      <c r="AB772" t="s">
        <v>526</v>
      </c>
      <c r="AC772" t="s">
        <v>527</v>
      </c>
      <c r="AD772" t="s">
        <v>528</v>
      </c>
      <c r="AE772" t="s">
        <v>1750</v>
      </c>
      <c r="AG772" t="s">
        <v>1767</v>
      </c>
      <c r="AH772">
        <v>0</v>
      </c>
      <c r="AI772">
        <v>697</v>
      </c>
      <c r="AJ772">
        <v>65</v>
      </c>
      <c r="AK772">
        <v>260</v>
      </c>
      <c r="AL772">
        <v>1.23</v>
      </c>
    </row>
    <row r="773" spans="1:38" x14ac:dyDescent="0.3">
      <c r="A773" t="s">
        <v>1745</v>
      </c>
      <c r="B773">
        <v>26968</v>
      </c>
      <c r="C773">
        <v>1</v>
      </c>
      <c r="D773" t="s">
        <v>1768</v>
      </c>
      <c r="E773" t="s">
        <v>1769</v>
      </c>
      <c r="F773">
        <v>593</v>
      </c>
      <c r="G773">
        <v>20.49</v>
      </c>
      <c r="H773">
        <v>67.739999999999995</v>
      </c>
      <c r="I773">
        <v>16.57</v>
      </c>
      <c r="J773">
        <v>54.78</v>
      </c>
      <c r="K773">
        <v>593</v>
      </c>
      <c r="T773">
        <v>2</v>
      </c>
      <c r="U773">
        <v>1</v>
      </c>
      <c r="V773" t="s">
        <v>523</v>
      </c>
      <c r="W773">
        <v>67</v>
      </c>
      <c r="X773">
        <v>15</v>
      </c>
      <c r="Y773">
        <v>14</v>
      </c>
      <c r="Z773" t="s">
        <v>1770</v>
      </c>
      <c r="AA773" t="s">
        <v>1771</v>
      </c>
      <c r="AB773" t="s">
        <v>526</v>
      </c>
      <c r="AC773" t="s">
        <v>527</v>
      </c>
      <c r="AD773" t="s">
        <v>528</v>
      </c>
      <c r="AE773" t="s">
        <v>1750</v>
      </c>
      <c r="AG773" t="s">
        <v>1772</v>
      </c>
      <c r="AH773">
        <v>0</v>
      </c>
      <c r="AI773">
        <v>226</v>
      </c>
      <c r="AJ773">
        <v>21</v>
      </c>
      <c r="AK773">
        <v>494</v>
      </c>
      <c r="AL773">
        <v>0.83</v>
      </c>
    </row>
    <row r="774" spans="1:38" x14ac:dyDescent="0.3">
      <c r="A774" t="s">
        <v>1745</v>
      </c>
      <c r="B774">
        <v>115598</v>
      </c>
      <c r="C774">
        <v>1</v>
      </c>
      <c r="D774" t="s">
        <v>1773</v>
      </c>
      <c r="E774" t="s">
        <v>1774</v>
      </c>
      <c r="F774">
        <v>302</v>
      </c>
      <c r="G774">
        <v>17.86</v>
      </c>
      <c r="H774">
        <v>59.07</v>
      </c>
      <c r="I774">
        <v>13.27</v>
      </c>
      <c r="J774">
        <v>43.89</v>
      </c>
      <c r="K774">
        <v>75</v>
      </c>
      <c r="T774">
        <v>2</v>
      </c>
      <c r="U774">
        <v>1</v>
      </c>
      <c r="V774" t="s">
        <v>541</v>
      </c>
      <c r="W774">
        <v>59</v>
      </c>
      <c r="X774">
        <v>42</v>
      </c>
      <c r="Y774">
        <v>41</v>
      </c>
      <c r="Z774" t="s">
        <v>1775</v>
      </c>
      <c r="AA774" t="s">
        <v>1776</v>
      </c>
      <c r="AB774" t="s">
        <v>526</v>
      </c>
      <c r="AC774" t="s">
        <v>527</v>
      </c>
      <c r="AD774" t="s">
        <v>528</v>
      </c>
      <c r="AE774" t="s">
        <v>1750</v>
      </c>
      <c r="AG774" t="s">
        <v>1777</v>
      </c>
      <c r="AH774">
        <v>0</v>
      </c>
      <c r="AI774">
        <v>699</v>
      </c>
      <c r="AJ774">
        <v>59</v>
      </c>
      <c r="AK774">
        <v>372</v>
      </c>
      <c r="AL774">
        <v>1.23</v>
      </c>
    </row>
    <row r="775" spans="1:38" x14ac:dyDescent="0.3">
      <c r="A775" t="s">
        <v>1745</v>
      </c>
      <c r="B775">
        <v>115598</v>
      </c>
      <c r="C775">
        <v>2</v>
      </c>
      <c r="D775" t="s">
        <v>1773</v>
      </c>
      <c r="E775" t="s">
        <v>1774</v>
      </c>
      <c r="F775">
        <v>302</v>
      </c>
      <c r="G775">
        <v>33.42</v>
      </c>
      <c r="H775">
        <v>110.48</v>
      </c>
      <c r="I775">
        <v>25.42</v>
      </c>
      <c r="J775">
        <v>84.04</v>
      </c>
      <c r="K775">
        <v>75</v>
      </c>
      <c r="T775">
        <v>3</v>
      </c>
      <c r="U775">
        <v>2</v>
      </c>
      <c r="V775" t="s">
        <v>541</v>
      </c>
      <c r="W775" t="s">
        <v>125</v>
      </c>
      <c r="X775">
        <v>42</v>
      </c>
      <c r="Y775">
        <v>41</v>
      </c>
      <c r="Z775" t="s">
        <v>1775</v>
      </c>
      <c r="AA775" t="s">
        <v>1776</v>
      </c>
      <c r="AB775" t="s">
        <v>526</v>
      </c>
      <c r="AC775" t="s">
        <v>527</v>
      </c>
      <c r="AD775" t="s">
        <v>528</v>
      </c>
      <c r="AE775" t="s">
        <v>1750</v>
      </c>
      <c r="AG775" t="s">
        <v>1777</v>
      </c>
      <c r="AH775">
        <v>0</v>
      </c>
      <c r="AI775">
        <v>699</v>
      </c>
      <c r="AJ775">
        <v>59</v>
      </c>
      <c r="AK775">
        <v>372</v>
      </c>
      <c r="AL775">
        <v>1.23</v>
      </c>
    </row>
    <row r="776" spans="1:38" x14ac:dyDescent="0.3">
      <c r="A776" t="s">
        <v>1745</v>
      </c>
      <c r="B776">
        <v>115598</v>
      </c>
      <c r="C776">
        <v>3</v>
      </c>
      <c r="D776" t="s">
        <v>1773</v>
      </c>
      <c r="E776" t="s">
        <v>1774</v>
      </c>
      <c r="F776">
        <v>302</v>
      </c>
      <c r="G776">
        <v>33.58</v>
      </c>
      <c r="H776">
        <v>111.01</v>
      </c>
      <c r="I776">
        <v>25.41</v>
      </c>
      <c r="J776">
        <v>84.01</v>
      </c>
      <c r="K776">
        <v>152</v>
      </c>
      <c r="T776">
        <v>3</v>
      </c>
      <c r="U776">
        <v>2</v>
      </c>
      <c r="V776" t="s">
        <v>541</v>
      </c>
      <c r="W776" t="s">
        <v>220</v>
      </c>
      <c r="X776">
        <v>42</v>
      </c>
      <c r="Y776">
        <v>41</v>
      </c>
      <c r="Z776" t="s">
        <v>1775</v>
      </c>
      <c r="AA776" t="s">
        <v>1776</v>
      </c>
      <c r="AB776" t="s">
        <v>526</v>
      </c>
      <c r="AC776" t="s">
        <v>527</v>
      </c>
      <c r="AD776" t="s">
        <v>528</v>
      </c>
      <c r="AE776" t="s">
        <v>1750</v>
      </c>
      <c r="AG776" t="s">
        <v>1777</v>
      </c>
      <c r="AH776">
        <v>0</v>
      </c>
      <c r="AI776">
        <v>699</v>
      </c>
      <c r="AJ776">
        <v>59</v>
      </c>
      <c r="AK776">
        <v>372</v>
      </c>
      <c r="AL776">
        <v>1.23</v>
      </c>
    </row>
    <row r="777" spans="1:38" x14ac:dyDescent="0.3">
      <c r="A777" t="s">
        <v>1745</v>
      </c>
      <c r="B777">
        <v>23721</v>
      </c>
      <c r="C777">
        <v>1</v>
      </c>
      <c r="D777" t="s">
        <v>1778</v>
      </c>
      <c r="E777" t="s">
        <v>1779</v>
      </c>
      <c r="F777">
        <v>836</v>
      </c>
      <c r="G777">
        <v>34.11</v>
      </c>
      <c r="H777">
        <v>112.79</v>
      </c>
      <c r="I777">
        <v>25.68</v>
      </c>
      <c r="J777">
        <v>84.91</v>
      </c>
      <c r="K777">
        <v>276</v>
      </c>
      <c r="T777">
        <v>3</v>
      </c>
      <c r="U777">
        <v>2</v>
      </c>
      <c r="V777" t="s">
        <v>541</v>
      </c>
      <c r="W777" t="s">
        <v>319</v>
      </c>
      <c r="X777">
        <v>17</v>
      </c>
      <c r="Y777">
        <v>15</v>
      </c>
      <c r="Z777" t="s">
        <v>1780</v>
      </c>
      <c r="AA777" t="s">
        <v>1781</v>
      </c>
      <c r="AB777" t="s">
        <v>526</v>
      </c>
      <c r="AC777" t="s">
        <v>527</v>
      </c>
      <c r="AD777" t="s">
        <v>528</v>
      </c>
      <c r="AE777" t="s">
        <v>1750</v>
      </c>
      <c r="AG777" t="s">
        <v>1782</v>
      </c>
      <c r="AH777">
        <v>0</v>
      </c>
      <c r="AI777">
        <v>229</v>
      </c>
      <c r="AJ777">
        <v>20</v>
      </c>
      <c r="AK777">
        <v>1011</v>
      </c>
      <c r="AL777">
        <v>1.21</v>
      </c>
    </row>
    <row r="778" spans="1:38" x14ac:dyDescent="0.3">
      <c r="A778" t="s">
        <v>1745</v>
      </c>
      <c r="B778">
        <v>23721</v>
      </c>
      <c r="C778">
        <v>2</v>
      </c>
      <c r="D778" t="s">
        <v>1778</v>
      </c>
      <c r="E778" t="s">
        <v>1779</v>
      </c>
      <c r="F778">
        <v>836</v>
      </c>
      <c r="G778">
        <v>34.21</v>
      </c>
      <c r="H778">
        <v>113.12</v>
      </c>
      <c r="I778">
        <v>25.64</v>
      </c>
      <c r="J778">
        <v>84.79</v>
      </c>
      <c r="K778">
        <v>290</v>
      </c>
      <c r="T778">
        <v>3</v>
      </c>
      <c r="U778">
        <v>2</v>
      </c>
      <c r="V778" t="s">
        <v>541</v>
      </c>
      <c r="W778" t="s">
        <v>478</v>
      </c>
      <c r="X778">
        <v>17</v>
      </c>
      <c r="Y778">
        <v>15</v>
      </c>
      <c r="Z778" t="s">
        <v>1780</v>
      </c>
      <c r="AA778" t="s">
        <v>1781</v>
      </c>
      <c r="AB778" t="s">
        <v>526</v>
      </c>
      <c r="AC778" t="s">
        <v>527</v>
      </c>
      <c r="AD778" t="s">
        <v>528</v>
      </c>
      <c r="AE778" t="s">
        <v>1750</v>
      </c>
      <c r="AG778" t="s">
        <v>1782</v>
      </c>
      <c r="AH778">
        <v>0</v>
      </c>
      <c r="AI778">
        <v>229</v>
      </c>
      <c r="AJ778">
        <v>20</v>
      </c>
      <c r="AK778">
        <v>1011</v>
      </c>
      <c r="AL778">
        <v>1.21</v>
      </c>
    </row>
    <row r="779" spans="1:38" x14ac:dyDescent="0.3">
      <c r="A779" t="s">
        <v>1745</v>
      </c>
      <c r="B779">
        <v>23721</v>
      </c>
      <c r="C779">
        <v>3</v>
      </c>
      <c r="D779" t="s">
        <v>1778</v>
      </c>
      <c r="E779" t="s">
        <v>1779</v>
      </c>
      <c r="F779">
        <v>836</v>
      </c>
      <c r="G779">
        <v>34.6</v>
      </c>
      <c r="H779">
        <v>114.41</v>
      </c>
      <c r="I779">
        <v>25.7</v>
      </c>
      <c r="J779">
        <v>84.96</v>
      </c>
      <c r="K779">
        <v>270</v>
      </c>
      <c r="T779">
        <v>3</v>
      </c>
      <c r="U779">
        <v>2</v>
      </c>
      <c r="V779" t="s">
        <v>541</v>
      </c>
      <c r="W779" t="s">
        <v>479</v>
      </c>
      <c r="X779">
        <v>17</v>
      </c>
      <c r="Y779">
        <v>15</v>
      </c>
      <c r="Z779" t="s">
        <v>1780</v>
      </c>
      <c r="AA779" t="s">
        <v>1781</v>
      </c>
      <c r="AB779" t="s">
        <v>526</v>
      </c>
      <c r="AC779" t="s">
        <v>527</v>
      </c>
      <c r="AD779" t="s">
        <v>528</v>
      </c>
      <c r="AE779" t="s">
        <v>1750</v>
      </c>
      <c r="AG779" t="s">
        <v>1782</v>
      </c>
      <c r="AH779">
        <v>0</v>
      </c>
      <c r="AI779">
        <v>229</v>
      </c>
      <c r="AJ779">
        <v>20</v>
      </c>
      <c r="AK779">
        <v>1011</v>
      </c>
      <c r="AL779">
        <v>1.21</v>
      </c>
    </row>
    <row r="780" spans="1:38" x14ac:dyDescent="0.3">
      <c r="A780" t="s">
        <v>1745</v>
      </c>
      <c r="B780">
        <v>108029</v>
      </c>
      <c r="C780">
        <v>1</v>
      </c>
      <c r="D780" t="s">
        <v>1783</v>
      </c>
      <c r="E780" t="s">
        <v>1784</v>
      </c>
      <c r="F780">
        <v>176</v>
      </c>
      <c r="G780">
        <v>33.17</v>
      </c>
      <c r="H780">
        <v>109.68</v>
      </c>
      <c r="I780">
        <v>25.47</v>
      </c>
      <c r="J780">
        <v>84.23</v>
      </c>
      <c r="K780">
        <v>116</v>
      </c>
      <c r="T780">
        <v>3</v>
      </c>
      <c r="U780">
        <v>2</v>
      </c>
      <c r="V780" t="s">
        <v>541</v>
      </c>
      <c r="W780" t="s">
        <v>124</v>
      </c>
      <c r="X780">
        <v>33</v>
      </c>
      <c r="Y780">
        <v>32</v>
      </c>
      <c r="Z780" t="s">
        <v>1785</v>
      </c>
      <c r="AA780" t="s">
        <v>1786</v>
      </c>
      <c r="AB780" t="s">
        <v>526</v>
      </c>
      <c r="AC780" t="s">
        <v>527</v>
      </c>
      <c r="AD780" t="s">
        <v>528</v>
      </c>
      <c r="AE780" t="s">
        <v>1750</v>
      </c>
      <c r="AG780" t="s">
        <v>1787</v>
      </c>
      <c r="AH780">
        <v>0</v>
      </c>
      <c r="AI780">
        <v>699</v>
      </c>
      <c r="AJ780">
        <v>59</v>
      </c>
      <c r="AK780">
        <v>218</v>
      </c>
      <c r="AL780">
        <v>1.24</v>
      </c>
    </row>
    <row r="781" spans="1:38" x14ac:dyDescent="0.3">
      <c r="A781" t="s">
        <v>1745</v>
      </c>
      <c r="B781">
        <v>108029</v>
      </c>
      <c r="C781">
        <v>2</v>
      </c>
      <c r="D781" t="s">
        <v>1783</v>
      </c>
      <c r="E781" t="s">
        <v>1784</v>
      </c>
      <c r="F781">
        <v>176</v>
      </c>
      <c r="G781">
        <v>33.299999999999997</v>
      </c>
      <c r="H781">
        <v>110.11</v>
      </c>
      <c r="I781">
        <v>25.46</v>
      </c>
      <c r="J781">
        <v>84.18</v>
      </c>
      <c r="K781">
        <v>58</v>
      </c>
      <c r="T781">
        <v>3</v>
      </c>
      <c r="U781">
        <v>2</v>
      </c>
      <c r="V781" t="s">
        <v>541</v>
      </c>
      <c r="W781" t="s">
        <v>125</v>
      </c>
      <c r="X781">
        <v>33</v>
      </c>
      <c r="Y781">
        <v>32</v>
      </c>
      <c r="Z781" t="s">
        <v>1785</v>
      </c>
      <c r="AA781" t="s">
        <v>1786</v>
      </c>
      <c r="AB781" t="s">
        <v>526</v>
      </c>
      <c r="AC781" t="s">
        <v>527</v>
      </c>
      <c r="AD781" t="s">
        <v>528</v>
      </c>
      <c r="AE781" t="s">
        <v>1750</v>
      </c>
      <c r="AG781" t="s">
        <v>1787</v>
      </c>
      <c r="AH781">
        <v>0</v>
      </c>
      <c r="AI781">
        <v>699</v>
      </c>
      <c r="AJ781">
        <v>59</v>
      </c>
      <c r="AK781">
        <v>218</v>
      </c>
      <c r="AL781">
        <v>1.24</v>
      </c>
    </row>
    <row r="782" spans="1:38" x14ac:dyDescent="0.3">
      <c r="A782" t="s">
        <v>1745</v>
      </c>
      <c r="B782">
        <v>108029</v>
      </c>
      <c r="C782">
        <v>3</v>
      </c>
      <c r="D782" t="s">
        <v>1783</v>
      </c>
      <c r="E782" t="s">
        <v>1784</v>
      </c>
      <c r="F782">
        <v>176</v>
      </c>
      <c r="G782">
        <v>41.48</v>
      </c>
      <c r="H782">
        <v>137.13999999999999</v>
      </c>
      <c r="I782">
        <v>32.14</v>
      </c>
      <c r="J782">
        <v>106.26</v>
      </c>
      <c r="K782">
        <v>1</v>
      </c>
      <c r="T782">
        <v>4</v>
      </c>
      <c r="U782">
        <v>2</v>
      </c>
      <c r="V782" t="s">
        <v>541</v>
      </c>
      <c r="W782" t="s">
        <v>1788</v>
      </c>
      <c r="X782">
        <v>33</v>
      </c>
      <c r="Y782">
        <v>32</v>
      </c>
      <c r="Z782" t="s">
        <v>1785</v>
      </c>
      <c r="AA782" t="s">
        <v>1786</v>
      </c>
      <c r="AB782" t="s">
        <v>526</v>
      </c>
      <c r="AC782" t="s">
        <v>527</v>
      </c>
      <c r="AD782" t="s">
        <v>528</v>
      </c>
      <c r="AE782" t="s">
        <v>1750</v>
      </c>
      <c r="AG782" t="s">
        <v>1787</v>
      </c>
      <c r="AH782">
        <v>0</v>
      </c>
      <c r="AI782">
        <v>699</v>
      </c>
      <c r="AJ782">
        <v>59</v>
      </c>
      <c r="AK782">
        <v>218</v>
      </c>
      <c r="AL782">
        <v>1.24</v>
      </c>
    </row>
    <row r="783" spans="1:38" x14ac:dyDescent="0.3">
      <c r="A783" t="s">
        <v>1745</v>
      </c>
      <c r="B783">
        <v>108029</v>
      </c>
      <c r="C783">
        <v>4</v>
      </c>
      <c r="D783" t="s">
        <v>1783</v>
      </c>
      <c r="E783" t="s">
        <v>1784</v>
      </c>
      <c r="F783">
        <v>176</v>
      </c>
      <c r="G783">
        <v>42.17</v>
      </c>
      <c r="H783">
        <v>139.41999999999999</v>
      </c>
      <c r="I783">
        <v>32.15</v>
      </c>
      <c r="J783">
        <v>106.31</v>
      </c>
      <c r="K783">
        <v>1</v>
      </c>
      <c r="T783">
        <v>4</v>
      </c>
      <c r="U783">
        <v>2</v>
      </c>
      <c r="V783" t="s">
        <v>541</v>
      </c>
      <c r="W783" t="s">
        <v>1789</v>
      </c>
      <c r="X783">
        <v>33</v>
      </c>
      <c r="Y783">
        <v>32</v>
      </c>
      <c r="Z783" t="s">
        <v>1785</v>
      </c>
      <c r="AA783" t="s">
        <v>1786</v>
      </c>
      <c r="AB783" t="s">
        <v>526</v>
      </c>
      <c r="AC783" t="s">
        <v>527</v>
      </c>
      <c r="AD783" t="s">
        <v>528</v>
      </c>
      <c r="AE783" t="s">
        <v>1750</v>
      </c>
      <c r="AG783" t="s">
        <v>1787</v>
      </c>
      <c r="AH783">
        <v>0</v>
      </c>
      <c r="AI783">
        <v>699</v>
      </c>
      <c r="AJ783">
        <v>59</v>
      </c>
      <c r="AK783">
        <v>218</v>
      </c>
      <c r="AL783">
        <v>1.24</v>
      </c>
    </row>
    <row r="784" spans="1:38" x14ac:dyDescent="0.3">
      <c r="A784" t="s">
        <v>1745</v>
      </c>
      <c r="B784">
        <v>106715</v>
      </c>
      <c r="C784">
        <v>1</v>
      </c>
      <c r="D784" t="s">
        <v>1790</v>
      </c>
      <c r="E784" t="s">
        <v>930</v>
      </c>
      <c r="F784">
        <v>224</v>
      </c>
      <c r="G784">
        <v>14.23</v>
      </c>
      <c r="H784">
        <v>47.06</v>
      </c>
      <c r="I784">
        <v>10.56</v>
      </c>
      <c r="J784">
        <v>34.93</v>
      </c>
      <c r="K784">
        <v>64</v>
      </c>
      <c r="T784">
        <v>1</v>
      </c>
      <c r="U784">
        <v>1</v>
      </c>
      <c r="V784" t="s">
        <v>541</v>
      </c>
      <c r="W784">
        <v>47</v>
      </c>
      <c r="X784">
        <v>18</v>
      </c>
      <c r="Y784">
        <v>18</v>
      </c>
      <c r="Z784" t="s">
        <v>1791</v>
      </c>
      <c r="AA784" t="s">
        <v>1792</v>
      </c>
      <c r="AB784" t="s">
        <v>526</v>
      </c>
      <c r="AC784" t="s">
        <v>527</v>
      </c>
      <c r="AD784" t="s">
        <v>528</v>
      </c>
      <c r="AE784" t="s">
        <v>1750</v>
      </c>
      <c r="AG784" t="s">
        <v>1793</v>
      </c>
      <c r="AH784">
        <v>0</v>
      </c>
      <c r="AI784">
        <v>699</v>
      </c>
      <c r="AJ784">
        <v>68</v>
      </c>
      <c r="AK784">
        <v>165</v>
      </c>
      <c r="AL784">
        <v>0.74</v>
      </c>
    </row>
    <row r="785" spans="1:38" x14ac:dyDescent="0.3">
      <c r="A785" t="s">
        <v>1745</v>
      </c>
      <c r="B785">
        <v>106715</v>
      </c>
      <c r="C785">
        <v>2</v>
      </c>
      <c r="D785" t="s">
        <v>1790</v>
      </c>
      <c r="E785" t="s">
        <v>930</v>
      </c>
      <c r="F785">
        <v>224</v>
      </c>
      <c r="G785">
        <v>20.36</v>
      </c>
      <c r="H785">
        <v>67.33</v>
      </c>
      <c r="I785">
        <v>15.11</v>
      </c>
      <c r="J785">
        <v>49.97</v>
      </c>
      <c r="K785">
        <v>160</v>
      </c>
      <c r="T785">
        <v>2</v>
      </c>
      <c r="U785">
        <v>1</v>
      </c>
      <c r="V785" t="s">
        <v>541</v>
      </c>
      <c r="W785">
        <v>67</v>
      </c>
      <c r="X785">
        <v>18</v>
      </c>
      <c r="Y785">
        <v>18</v>
      </c>
      <c r="Z785" t="s">
        <v>1791</v>
      </c>
      <c r="AA785" t="s">
        <v>1792</v>
      </c>
      <c r="AB785" t="s">
        <v>526</v>
      </c>
      <c r="AC785" t="s">
        <v>527</v>
      </c>
      <c r="AD785" t="s">
        <v>528</v>
      </c>
      <c r="AE785" t="s">
        <v>1750</v>
      </c>
      <c r="AG785" t="s">
        <v>1793</v>
      </c>
      <c r="AH785">
        <v>0</v>
      </c>
      <c r="AI785">
        <v>699</v>
      </c>
      <c r="AJ785">
        <v>68</v>
      </c>
      <c r="AK785">
        <v>165</v>
      </c>
      <c r="AL785">
        <v>0.74</v>
      </c>
    </row>
    <row r="786" spans="1:38" x14ac:dyDescent="0.3">
      <c r="A786" t="s">
        <v>1745</v>
      </c>
      <c r="B786">
        <v>5732</v>
      </c>
      <c r="C786">
        <v>1</v>
      </c>
      <c r="D786" t="s">
        <v>1794</v>
      </c>
      <c r="E786" t="s">
        <v>1795</v>
      </c>
      <c r="F786">
        <v>328</v>
      </c>
      <c r="G786">
        <v>38</v>
      </c>
      <c r="H786">
        <v>125.65</v>
      </c>
      <c r="I786">
        <v>30.39</v>
      </c>
      <c r="J786">
        <v>100.49</v>
      </c>
      <c r="K786">
        <v>178</v>
      </c>
      <c r="T786">
        <v>3</v>
      </c>
      <c r="U786">
        <v>2</v>
      </c>
      <c r="V786" t="s">
        <v>541</v>
      </c>
      <c r="W786">
        <v>125</v>
      </c>
      <c r="X786">
        <v>15</v>
      </c>
      <c r="Y786">
        <v>15</v>
      </c>
      <c r="Z786" t="s">
        <v>1796</v>
      </c>
      <c r="AA786" t="s">
        <v>1797</v>
      </c>
      <c r="AB786" t="s">
        <v>526</v>
      </c>
      <c r="AC786" t="s">
        <v>527</v>
      </c>
      <c r="AD786" t="s">
        <v>528</v>
      </c>
      <c r="AE786" t="s">
        <v>1750</v>
      </c>
      <c r="AG786" t="s">
        <v>1798</v>
      </c>
      <c r="AH786">
        <v>0</v>
      </c>
      <c r="AI786">
        <v>231</v>
      </c>
      <c r="AJ786">
        <v>21</v>
      </c>
      <c r="AK786">
        <v>514</v>
      </c>
      <c r="AL786">
        <v>1.57</v>
      </c>
    </row>
    <row r="787" spans="1:38" x14ac:dyDescent="0.3">
      <c r="A787" t="s">
        <v>1745</v>
      </c>
      <c r="B787">
        <v>5732</v>
      </c>
      <c r="C787">
        <v>2</v>
      </c>
      <c r="D787" t="s">
        <v>1794</v>
      </c>
      <c r="E787" t="s">
        <v>1795</v>
      </c>
      <c r="F787">
        <v>328</v>
      </c>
      <c r="G787">
        <v>47.55</v>
      </c>
      <c r="H787">
        <v>157.22</v>
      </c>
      <c r="I787">
        <v>40.64</v>
      </c>
      <c r="J787">
        <v>134.38</v>
      </c>
      <c r="K787">
        <v>150</v>
      </c>
      <c r="T787">
        <v>4</v>
      </c>
      <c r="U787">
        <v>2</v>
      </c>
      <c r="V787" t="s">
        <v>541</v>
      </c>
      <c r="W787">
        <v>157</v>
      </c>
      <c r="X787">
        <v>15</v>
      </c>
      <c r="Y787">
        <v>15</v>
      </c>
      <c r="Z787" t="s">
        <v>1796</v>
      </c>
      <c r="AA787" t="s">
        <v>1797</v>
      </c>
      <c r="AB787" t="s">
        <v>526</v>
      </c>
      <c r="AC787" t="s">
        <v>527</v>
      </c>
      <c r="AD787" t="s">
        <v>528</v>
      </c>
      <c r="AE787" t="s">
        <v>1750</v>
      </c>
      <c r="AG787" t="s">
        <v>1798</v>
      </c>
      <c r="AH787">
        <v>0</v>
      </c>
      <c r="AI787">
        <v>231</v>
      </c>
      <c r="AJ787">
        <v>21</v>
      </c>
      <c r="AK787">
        <v>514</v>
      </c>
      <c r="AL787">
        <v>1.57</v>
      </c>
    </row>
    <row r="788" spans="1:38" x14ac:dyDescent="0.3">
      <c r="A788" t="s">
        <v>1745</v>
      </c>
      <c r="B788">
        <v>5734</v>
      </c>
      <c r="C788">
        <v>1</v>
      </c>
      <c r="D788" t="s">
        <v>1799</v>
      </c>
      <c r="E788" t="s">
        <v>939</v>
      </c>
      <c r="F788">
        <v>438</v>
      </c>
      <c r="G788">
        <v>23.57</v>
      </c>
      <c r="H788">
        <v>77.92</v>
      </c>
      <c r="I788">
        <v>18.12</v>
      </c>
      <c r="J788">
        <v>59.93</v>
      </c>
      <c r="K788">
        <v>324</v>
      </c>
      <c r="T788">
        <v>3</v>
      </c>
      <c r="U788">
        <v>2</v>
      </c>
      <c r="V788" t="s">
        <v>541</v>
      </c>
      <c r="W788">
        <v>77</v>
      </c>
      <c r="X788">
        <v>19</v>
      </c>
      <c r="Y788">
        <v>15</v>
      </c>
      <c r="Z788" t="s">
        <v>1800</v>
      </c>
      <c r="AA788" t="s">
        <v>1801</v>
      </c>
      <c r="AB788" t="s">
        <v>526</v>
      </c>
      <c r="AC788" t="s">
        <v>527</v>
      </c>
      <c r="AD788" t="s">
        <v>528</v>
      </c>
      <c r="AE788" t="s">
        <v>1750</v>
      </c>
      <c r="AG788" t="s">
        <v>1802</v>
      </c>
      <c r="AH788">
        <v>0</v>
      </c>
      <c r="AI788">
        <v>225</v>
      </c>
      <c r="AJ788">
        <v>19</v>
      </c>
      <c r="AK788">
        <v>0</v>
      </c>
      <c r="AL788">
        <v>0</v>
      </c>
    </row>
    <row r="789" spans="1:38" x14ac:dyDescent="0.3">
      <c r="A789" t="s">
        <v>1745</v>
      </c>
      <c r="B789">
        <v>5734</v>
      </c>
      <c r="C789">
        <v>2</v>
      </c>
      <c r="D789" t="s">
        <v>1799</v>
      </c>
      <c r="E789" t="s">
        <v>939</v>
      </c>
      <c r="F789">
        <v>438</v>
      </c>
      <c r="G789">
        <v>24</v>
      </c>
      <c r="H789">
        <v>79.37</v>
      </c>
      <c r="I789">
        <v>18.13</v>
      </c>
      <c r="J789">
        <v>59.94</v>
      </c>
      <c r="K789">
        <v>114</v>
      </c>
      <c r="T789">
        <v>2</v>
      </c>
      <c r="U789">
        <v>1</v>
      </c>
      <c r="V789" t="s">
        <v>541</v>
      </c>
      <c r="W789">
        <v>79</v>
      </c>
      <c r="X789">
        <v>19</v>
      </c>
      <c r="Y789">
        <v>15</v>
      </c>
      <c r="Z789" t="s">
        <v>1800</v>
      </c>
      <c r="AA789" t="s">
        <v>1801</v>
      </c>
      <c r="AB789" t="s">
        <v>526</v>
      </c>
      <c r="AC789" t="s">
        <v>527</v>
      </c>
      <c r="AD789" t="s">
        <v>528</v>
      </c>
      <c r="AE789" t="s">
        <v>1750</v>
      </c>
      <c r="AG789" t="s">
        <v>1802</v>
      </c>
      <c r="AH789">
        <v>0</v>
      </c>
      <c r="AI789">
        <v>225</v>
      </c>
      <c r="AJ789">
        <v>19</v>
      </c>
      <c r="AK789">
        <v>0</v>
      </c>
      <c r="AL789">
        <v>0</v>
      </c>
    </row>
    <row r="790" spans="1:38" x14ac:dyDescent="0.3">
      <c r="A790" t="s">
        <v>1745</v>
      </c>
      <c r="B790">
        <v>25217</v>
      </c>
      <c r="C790">
        <v>1</v>
      </c>
      <c r="D790" t="s">
        <v>1803</v>
      </c>
      <c r="E790" t="s">
        <v>1779</v>
      </c>
      <c r="F790">
        <v>369</v>
      </c>
      <c r="G790">
        <v>34.17</v>
      </c>
      <c r="H790">
        <v>112.96</v>
      </c>
      <c r="I790">
        <v>25.68</v>
      </c>
      <c r="J790">
        <v>84.92</v>
      </c>
      <c r="K790">
        <v>64</v>
      </c>
      <c r="T790">
        <v>3</v>
      </c>
      <c r="U790">
        <v>2</v>
      </c>
      <c r="V790" t="s">
        <v>541</v>
      </c>
      <c r="W790" t="s">
        <v>249</v>
      </c>
      <c r="X790">
        <v>20</v>
      </c>
      <c r="Y790">
        <v>15</v>
      </c>
      <c r="Z790" t="s">
        <v>1804</v>
      </c>
      <c r="AA790" t="s">
        <v>1805</v>
      </c>
      <c r="AB790" t="s">
        <v>526</v>
      </c>
      <c r="AC790" t="s">
        <v>527</v>
      </c>
      <c r="AD790" t="s">
        <v>528</v>
      </c>
      <c r="AE790" t="s">
        <v>1750</v>
      </c>
      <c r="AG790" t="s">
        <v>1806</v>
      </c>
      <c r="AH790">
        <v>0</v>
      </c>
      <c r="AI790">
        <v>221</v>
      </c>
      <c r="AJ790">
        <v>19</v>
      </c>
      <c r="AK790">
        <v>439</v>
      </c>
      <c r="AL790">
        <v>1.19</v>
      </c>
    </row>
    <row r="791" spans="1:38" x14ac:dyDescent="0.3">
      <c r="A791" t="s">
        <v>1745</v>
      </c>
      <c r="B791">
        <v>25217</v>
      </c>
      <c r="C791">
        <v>2</v>
      </c>
      <c r="D791" t="s">
        <v>1803</v>
      </c>
      <c r="E791" t="s">
        <v>1779</v>
      </c>
      <c r="F791">
        <v>369</v>
      </c>
      <c r="G791">
        <v>34.479999999999997</v>
      </c>
      <c r="H791">
        <v>113.99</v>
      </c>
      <c r="I791">
        <v>25.66</v>
      </c>
      <c r="J791">
        <v>84.85</v>
      </c>
      <c r="K791">
        <v>305</v>
      </c>
      <c r="T791">
        <v>3</v>
      </c>
      <c r="U791">
        <v>2</v>
      </c>
      <c r="V791" t="s">
        <v>541</v>
      </c>
      <c r="W791" t="s">
        <v>484</v>
      </c>
      <c r="X791">
        <v>20</v>
      </c>
      <c r="Y791">
        <v>15</v>
      </c>
      <c r="Z791" t="s">
        <v>1804</v>
      </c>
      <c r="AA791" t="s">
        <v>1805</v>
      </c>
      <c r="AB791" t="s">
        <v>526</v>
      </c>
      <c r="AC791" t="s">
        <v>527</v>
      </c>
      <c r="AD791" t="s">
        <v>528</v>
      </c>
      <c r="AE791" t="s">
        <v>1750</v>
      </c>
      <c r="AG791" t="s">
        <v>1806</v>
      </c>
      <c r="AH791">
        <v>0</v>
      </c>
      <c r="AI791">
        <v>221</v>
      </c>
      <c r="AJ791">
        <v>19</v>
      </c>
      <c r="AK791">
        <v>439</v>
      </c>
      <c r="AL791">
        <v>1.19</v>
      </c>
    </row>
    <row r="792" spans="1:38" x14ac:dyDescent="0.3">
      <c r="A792" t="s">
        <v>1745</v>
      </c>
      <c r="B792">
        <v>17107</v>
      </c>
      <c r="C792">
        <v>1</v>
      </c>
      <c r="D792" t="s">
        <v>1807</v>
      </c>
      <c r="E792" t="s">
        <v>601</v>
      </c>
      <c r="F792">
        <v>766</v>
      </c>
      <c r="G792">
        <v>24.32</v>
      </c>
      <c r="H792">
        <v>80.41</v>
      </c>
      <c r="I792">
        <v>18.11</v>
      </c>
      <c r="J792">
        <v>59.89</v>
      </c>
      <c r="K792">
        <v>691</v>
      </c>
      <c r="T792">
        <v>3</v>
      </c>
      <c r="U792">
        <v>1</v>
      </c>
      <c r="V792" t="s">
        <v>541</v>
      </c>
      <c r="W792" t="s">
        <v>132</v>
      </c>
      <c r="X792">
        <v>18</v>
      </c>
      <c r="Y792">
        <v>13</v>
      </c>
      <c r="Z792" t="s">
        <v>1808</v>
      </c>
      <c r="AA792" t="s">
        <v>1809</v>
      </c>
      <c r="AB792" t="s">
        <v>526</v>
      </c>
      <c r="AC792" t="s">
        <v>527</v>
      </c>
      <c r="AD792" t="s">
        <v>528</v>
      </c>
      <c r="AE792" t="s">
        <v>1750</v>
      </c>
      <c r="AG792" t="s">
        <v>1810</v>
      </c>
      <c r="AH792">
        <v>0</v>
      </c>
      <c r="AI792">
        <v>180</v>
      </c>
      <c r="AJ792">
        <v>15</v>
      </c>
      <c r="AK792">
        <v>644</v>
      </c>
      <c r="AL792">
        <v>0.84</v>
      </c>
    </row>
    <row r="793" spans="1:38" x14ac:dyDescent="0.3">
      <c r="A793" t="s">
        <v>1745</v>
      </c>
      <c r="B793">
        <v>17107</v>
      </c>
      <c r="C793">
        <v>2</v>
      </c>
      <c r="D793" t="s">
        <v>1807</v>
      </c>
      <c r="E793" t="s">
        <v>601</v>
      </c>
      <c r="F793">
        <v>766</v>
      </c>
      <c r="G793">
        <v>24.3</v>
      </c>
      <c r="H793">
        <v>80.36</v>
      </c>
      <c r="I793">
        <v>18.100000000000001</v>
      </c>
      <c r="J793">
        <v>59.85</v>
      </c>
      <c r="K793">
        <v>75</v>
      </c>
      <c r="T793">
        <v>3</v>
      </c>
      <c r="U793">
        <v>1</v>
      </c>
      <c r="V793" t="s">
        <v>541</v>
      </c>
      <c r="W793" t="s">
        <v>133</v>
      </c>
      <c r="X793">
        <v>18</v>
      </c>
      <c r="Y793">
        <v>13</v>
      </c>
      <c r="Z793" t="s">
        <v>1808</v>
      </c>
      <c r="AA793" t="s">
        <v>1809</v>
      </c>
      <c r="AB793" t="s">
        <v>526</v>
      </c>
      <c r="AC793" t="s">
        <v>527</v>
      </c>
      <c r="AD793" t="s">
        <v>528</v>
      </c>
      <c r="AE793" t="s">
        <v>1750</v>
      </c>
      <c r="AG793" t="s">
        <v>1810</v>
      </c>
      <c r="AH793">
        <v>0</v>
      </c>
      <c r="AI793">
        <v>180</v>
      </c>
      <c r="AJ793">
        <v>15</v>
      </c>
      <c r="AK793">
        <v>644</v>
      </c>
      <c r="AL793">
        <v>0.84</v>
      </c>
    </row>
    <row r="794" spans="1:38" x14ac:dyDescent="0.3">
      <c r="A794" t="s">
        <v>1745</v>
      </c>
      <c r="B794">
        <v>5748</v>
      </c>
      <c r="C794">
        <v>1</v>
      </c>
      <c r="D794" t="s">
        <v>1811</v>
      </c>
      <c r="E794" t="s">
        <v>1812</v>
      </c>
      <c r="F794">
        <v>323</v>
      </c>
      <c r="G794">
        <v>34.11</v>
      </c>
      <c r="H794">
        <v>112.79</v>
      </c>
      <c r="I794">
        <v>30.24</v>
      </c>
      <c r="J794">
        <v>99.98</v>
      </c>
      <c r="K794">
        <v>167</v>
      </c>
      <c r="T794">
        <v>3</v>
      </c>
      <c r="U794">
        <v>2</v>
      </c>
      <c r="V794" t="s">
        <v>541</v>
      </c>
      <c r="W794">
        <v>112</v>
      </c>
      <c r="X794">
        <v>18</v>
      </c>
      <c r="Y794">
        <v>12</v>
      </c>
      <c r="Z794" t="s">
        <v>1813</v>
      </c>
      <c r="AA794" t="s">
        <v>1814</v>
      </c>
      <c r="AB794" t="s">
        <v>526</v>
      </c>
      <c r="AC794" t="s">
        <v>527</v>
      </c>
      <c r="AD794" t="s">
        <v>528</v>
      </c>
      <c r="AE794" t="s">
        <v>1750</v>
      </c>
      <c r="AG794" t="s">
        <v>1815</v>
      </c>
      <c r="AH794">
        <v>0</v>
      </c>
      <c r="AI794">
        <v>229</v>
      </c>
      <c r="AJ794">
        <v>20</v>
      </c>
      <c r="AK794">
        <v>509</v>
      </c>
      <c r="AL794">
        <v>1.58</v>
      </c>
    </row>
    <row r="795" spans="1:38" x14ac:dyDescent="0.3">
      <c r="A795" t="s">
        <v>1745</v>
      </c>
      <c r="B795">
        <v>5748</v>
      </c>
      <c r="C795">
        <v>2</v>
      </c>
      <c r="D795" t="s">
        <v>1811</v>
      </c>
      <c r="E795" t="s">
        <v>1812</v>
      </c>
      <c r="F795">
        <v>323</v>
      </c>
      <c r="G795">
        <v>45.99</v>
      </c>
      <c r="H795">
        <v>152.06</v>
      </c>
      <c r="I795">
        <v>40.770000000000003</v>
      </c>
      <c r="J795">
        <v>134.79</v>
      </c>
      <c r="K795">
        <v>156</v>
      </c>
      <c r="T795">
        <v>4</v>
      </c>
      <c r="U795">
        <v>2</v>
      </c>
      <c r="V795" t="s">
        <v>541</v>
      </c>
      <c r="W795">
        <v>152</v>
      </c>
      <c r="X795">
        <v>18</v>
      </c>
      <c r="Y795">
        <v>12</v>
      </c>
      <c r="Z795" t="s">
        <v>1813</v>
      </c>
      <c r="AA795" t="s">
        <v>1814</v>
      </c>
      <c r="AB795" t="s">
        <v>526</v>
      </c>
      <c r="AC795" t="s">
        <v>527</v>
      </c>
      <c r="AD795" t="s">
        <v>528</v>
      </c>
      <c r="AE795" t="s">
        <v>1750</v>
      </c>
      <c r="AG795" t="s">
        <v>1815</v>
      </c>
      <c r="AH795">
        <v>0</v>
      </c>
      <c r="AI795">
        <v>229</v>
      </c>
      <c r="AJ795">
        <v>20</v>
      </c>
      <c r="AK795">
        <v>509</v>
      </c>
      <c r="AL795">
        <v>1.58</v>
      </c>
    </row>
    <row r="796" spans="1:38" x14ac:dyDescent="0.3">
      <c r="A796" t="s">
        <v>1745</v>
      </c>
      <c r="B796">
        <v>23720</v>
      </c>
      <c r="C796">
        <v>1</v>
      </c>
      <c r="D796" t="s">
        <v>1816</v>
      </c>
      <c r="E796" t="s">
        <v>1779</v>
      </c>
      <c r="F796">
        <v>622</v>
      </c>
      <c r="G796">
        <v>40.01</v>
      </c>
      <c r="H796">
        <v>132.29</v>
      </c>
      <c r="I796">
        <v>30.8</v>
      </c>
      <c r="J796">
        <v>101.85</v>
      </c>
      <c r="K796">
        <v>326</v>
      </c>
      <c r="T796">
        <v>3</v>
      </c>
      <c r="U796">
        <v>2</v>
      </c>
      <c r="V796" t="s">
        <v>541</v>
      </c>
      <c r="W796">
        <v>132</v>
      </c>
      <c r="X796">
        <v>20</v>
      </c>
      <c r="Y796">
        <v>15</v>
      </c>
      <c r="Z796" t="s">
        <v>1817</v>
      </c>
      <c r="AA796" t="s">
        <v>1818</v>
      </c>
      <c r="AB796" t="s">
        <v>526</v>
      </c>
      <c r="AC796" t="s">
        <v>527</v>
      </c>
      <c r="AD796" t="s">
        <v>528</v>
      </c>
      <c r="AE796" t="s">
        <v>1750</v>
      </c>
      <c r="AG796" t="s">
        <v>1819</v>
      </c>
      <c r="AH796">
        <v>0</v>
      </c>
      <c r="AI796">
        <v>229</v>
      </c>
      <c r="AJ796">
        <v>16</v>
      </c>
      <c r="AK796">
        <v>976</v>
      </c>
      <c r="AL796">
        <v>1.57</v>
      </c>
    </row>
    <row r="797" spans="1:38" x14ac:dyDescent="0.3">
      <c r="A797" t="s">
        <v>1745</v>
      </c>
      <c r="B797">
        <v>23720</v>
      </c>
      <c r="C797">
        <v>2</v>
      </c>
      <c r="D797" t="s">
        <v>1816</v>
      </c>
      <c r="E797" t="s">
        <v>1779</v>
      </c>
      <c r="F797">
        <v>622</v>
      </c>
      <c r="G797">
        <v>47.18</v>
      </c>
      <c r="H797">
        <v>155.99</v>
      </c>
      <c r="I797">
        <v>36.619999999999997</v>
      </c>
      <c r="J797">
        <v>121.06</v>
      </c>
      <c r="K797">
        <v>127</v>
      </c>
      <c r="T797">
        <v>4</v>
      </c>
      <c r="U797">
        <v>2</v>
      </c>
      <c r="V797" t="s">
        <v>541</v>
      </c>
      <c r="W797" t="s">
        <v>489</v>
      </c>
      <c r="X797">
        <v>20</v>
      </c>
      <c r="Y797">
        <v>15</v>
      </c>
      <c r="Z797" t="s">
        <v>1817</v>
      </c>
      <c r="AA797" t="s">
        <v>1818</v>
      </c>
      <c r="AB797" t="s">
        <v>526</v>
      </c>
      <c r="AC797" t="s">
        <v>527</v>
      </c>
      <c r="AD797" t="s">
        <v>528</v>
      </c>
      <c r="AE797" t="s">
        <v>1750</v>
      </c>
      <c r="AG797" t="s">
        <v>1819</v>
      </c>
      <c r="AH797">
        <v>0</v>
      </c>
      <c r="AI797">
        <v>229</v>
      </c>
      <c r="AJ797">
        <v>16</v>
      </c>
      <c r="AK797">
        <v>976</v>
      </c>
      <c r="AL797">
        <v>1.57</v>
      </c>
    </row>
    <row r="798" spans="1:38" x14ac:dyDescent="0.3">
      <c r="A798" t="s">
        <v>1745</v>
      </c>
      <c r="B798">
        <v>23720</v>
      </c>
      <c r="C798">
        <v>3</v>
      </c>
      <c r="D798" t="s">
        <v>1816</v>
      </c>
      <c r="E798" t="s">
        <v>1779</v>
      </c>
      <c r="F798">
        <v>622</v>
      </c>
      <c r="G798">
        <v>47.18</v>
      </c>
      <c r="H798">
        <v>155.99</v>
      </c>
      <c r="I798">
        <v>36.619999999999997</v>
      </c>
      <c r="J798">
        <v>121.06</v>
      </c>
      <c r="K798">
        <v>19</v>
      </c>
      <c r="T798">
        <v>4</v>
      </c>
      <c r="U798">
        <v>2</v>
      </c>
      <c r="V798" t="s">
        <v>541</v>
      </c>
      <c r="W798" t="s">
        <v>255</v>
      </c>
      <c r="X798">
        <v>20</v>
      </c>
      <c r="Y798">
        <v>15</v>
      </c>
      <c r="Z798" t="s">
        <v>1817</v>
      </c>
      <c r="AA798" t="s">
        <v>1818</v>
      </c>
      <c r="AB798" t="s">
        <v>526</v>
      </c>
      <c r="AC798" t="s">
        <v>527</v>
      </c>
      <c r="AD798" t="s">
        <v>528</v>
      </c>
      <c r="AE798" t="s">
        <v>1750</v>
      </c>
      <c r="AG798" t="s">
        <v>1819</v>
      </c>
      <c r="AH798">
        <v>0</v>
      </c>
      <c r="AI798">
        <v>229</v>
      </c>
      <c r="AJ798">
        <v>16</v>
      </c>
      <c r="AK798">
        <v>976</v>
      </c>
      <c r="AL798">
        <v>1.57</v>
      </c>
    </row>
    <row r="799" spans="1:38" x14ac:dyDescent="0.3">
      <c r="A799" t="s">
        <v>1745</v>
      </c>
      <c r="B799">
        <v>23720</v>
      </c>
      <c r="C799">
        <v>4</v>
      </c>
      <c r="D799" t="s">
        <v>1816</v>
      </c>
      <c r="E799" t="s">
        <v>1779</v>
      </c>
      <c r="F799">
        <v>622</v>
      </c>
      <c r="G799">
        <v>51.23</v>
      </c>
      <c r="H799">
        <v>169.38</v>
      </c>
      <c r="I799">
        <v>40.82</v>
      </c>
      <c r="J799">
        <v>134.96</v>
      </c>
      <c r="K799">
        <v>106</v>
      </c>
      <c r="T799">
        <v>4</v>
      </c>
      <c r="U799">
        <v>2</v>
      </c>
      <c r="V799" t="s">
        <v>541</v>
      </c>
      <c r="W799">
        <v>169</v>
      </c>
      <c r="X799">
        <v>20</v>
      </c>
      <c r="Y799">
        <v>15</v>
      </c>
      <c r="Z799" t="s">
        <v>1817</v>
      </c>
      <c r="AA799" t="s">
        <v>1818</v>
      </c>
      <c r="AB799" t="s">
        <v>526</v>
      </c>
      <c r="AC799" t="s">
        <v>527</v>
      </c>
      <c r="AD799" t="s">
        <v>528</v>
      </c>
      <c r="AE799" t="s">
        <v>1750</v>
      </c>
      <c r="AG799" t="s">
        <v>1819</v>
      </c>
      <c r="AH799">
        <v>0</v>
      </c>
      <c r="AI799">
        <v>229</v>
      </c>
      <c r="AJ799">
        <v>16</v>
      </c>
      <c r="AK799">
        <v>976</v>
      </c>
      <c r="AL799">
        <v>1.57</v>
      </c>
    </row>
    <row r="800" spans="1:38" x14ac:dyDescent="0.3">
      <c r="A800" t="s">
        <v>1745</v>
      </c>
      <c r="B800">
        <v>23720</v>
      </c>
      <c r="C800">
        <v>5</v>
      </c>
      <c r="D800" t="s">
        <v>1816</v>
      </c>
      <c r="E800" t="s">
        <v>1779</v>
      </c>
      <c r="F800">
        <v>622</v>
      </c>
      <c r="G800">
        <v>56.61</v>
      </c>
      <c r="H800">
        <v>187.16</v>
      </c>
      <c r="I800">
        <v>43.04</v>
      </c>
      <c r="J800">
        <v>142.31</v>
      </c>
      <c r="K800">
        <v>36</v>
      </c>
      <c r="T800">
        <v>4</v>
      </c>
      <c r="U800">
        <v>2</v>
      </c>
      <c r="V800" t="s">
        <v>541</v>
      </c>
      <c r="W800">
        <v>187</v>
      </c>
      <c r="X800">
        <v>20</v>
      </c>
      <c r="Y800">
        <v>15</v>
      </c>
      <c r="Z800" t="s">
        <v>1817</v>
      </c>
      <c r="AA800" t="s">
        <v>1818</v>
      </c>
      <c r="AB800" t="s">
        <v>526</v>
      </c>
      <c r="AC800" t="s">
        <v>527</v>
      </c>
      <c r="AD800" t="s">
        <v>528</v>
      </c>
      <c r="AE800" t="s">
        <v>1750</v>
      </c>
      <c r="AG800" t="s">
        <v>1819</v>
      </c>
      <c r="AH800">
        <v>0</v>
      </c>
      <c r="AI800">
        <v>229</v>
      </c>
      <c r="AJ800">
        <v>16</v>
      </c>
      <c r="AK800">
        <v>976</v>
      </c>
      <c r="AL800">
        <v>1.57</v>
      </c>
    </row>
    <row r="801" spans="1:38" x14ac:dyDescent="0.3">
      <c r="A801" t="s">
        <v>1745</v>
      </c>
      <c r="B801">
        <v>23720</v>
      </c>
      <c r="C801">
        <v>6</v>
      </c>
      <c r="D801" t="s">
        <v>1816</v>
      </c>
      <c r="E801" t="s">
        <v>1779</v>
      </c>
      <c r="F801">
        <v>622</v>
      </c>
      <c r="G801">
        <v>82.09</v>
      </c>
      <c r="H801">
        <v>271.39999999999998</v>
      </c>
      <c r="I801">
        <v>65.47</v>
      </c>
      <c r="J801">
        <v>216.43</v>
      </c>
      <c r="K801">
        <v>6</v>
      </c>
      <c r="T801">
        <v>4</v>
      </c>
      <c r="U801">
        <v>3</v>
      </c>
      <c r="V801" t="s">
        <v>541</v>
      </c>
      <c r="W801" t="s">
        <v>490</v>
      </c>
      <c r="X801">
        <v>20</v>
      </c>
      <c r="Y801">
        <v>15</v>
      </c>
      <c r="Z801" t="s">
        <v>1817</v>
      </c>
      <c r="AA801" t="s">
        <v>1818</v>
      </c>
      <c r="AB801" t="s">
        <v>526</v>
      </c>
      <c r="AC801" t="s">
        <v>527</v>
      </c>
      <c r="AD801" t="s">
        <v>528</v>
      </c>
      <c r="AE801" t="s">
        <v>1750</v>
      </c>
      <c r="AG801" t="s">
        <v>1819</v>
      </c>
      <c r="AH801">
        <v>0</v>
      </c>
      <c r="AI801">
        <v>229</v>
      </c>
      <c r="AJ801">
        <v>16</v>
      </c>
      <c r="AK801">
        <v>976</v>
      </c>
      <c r="AL801">
        <v>1.57</v>
      </c>
    </row>
    <row r="802" spans="1:38" x14ac:dyDescent="0.3">
      <c r="A802" t="s">
        <v>1745</v>
      </c>
      <c r="B802">
        <v>23720</v>
      </c>
      <c r="C802">
        <v>7</v>
      </c>
      <c r="D802" t="s">
        <v>1816</v>
      </c>
      <c r="E802" t="s">
        <v>1779</v>
      </c>
      <c r="F802">
        <v>622</v>
      </c>
      <c r="G802">
        <v>82.86</v>
      </c>
      <c r="H802">
        <v>273.94</v>
      </c>
      <c r="I802">
        <v>65.2</v>
      </c>
      <c r="J802">
        <v>215.57</v>
      </c>
      <c r="K802">
        <v>2</v>
      </c>
      <c r="T802">
        <v>5</v>
      </c>
      <c r="U802">
        <v>3</v>
      </c>
      <c r="V802" t="s">
        <v>541</v>
      </c>
      <c r="W802" t="s">
        <v>491</v>
      </c>
      <c r="X802">
        <v>20</v>
      </c>
      <c r="Y802">
        <v>15</v>
      </c>
      <c r="Z802" t="s">
        <v>1817</v>
      </c>
      <c r="AA802" t="s">
        <v>1818</v>
      </c>
      <c r="AB802" t="s">
        <v>526</v>
      </c>
      <c r="AC802" t="s">
        <v>527</v>
      </c>
      <c r="AD802" t="s">
        <v>528</v>
      </c>
      <c r="AE802" t="s">
        <v>1750</v>
      </c>
      <c r="AG802" t="s">
        <v>1819</v>
      </c>
      <c r="AH802">
        <v>0</v>
      </c>
      <c r="AI802">
        <v>229</v>
      </c>
      <c r="AJ802">
        <v>16</v>
      </c>
      <c r="AK802">
        <v>976</v>
      </c>
      <c r="AL802">
        <v>1.57</v>
      </c>
    </row>
    <row r="803" spans="1:38" x14ac:dyDescent="0.3">
      <c r="A803" t="s">
        <v>1745</v>
      </c>
      <c r="B803">
        <v>115386</v>
      </c>
      <c r="C803">
        <v>1</v>
      </c>
      <c r="D803" t="s">
        <v>1820</v>
      </c>
      <c r="E803" t="s">
        <v>1821</v>
      </c>
      <c r="F803">
        <v>144</v>
      </c>
      <c r="G803">
        <v>20.49</v>
      </c>
      <c r="H803">
        <v>67.760000000000005</v>
      </c>
      <c r="I803">
        <v>14.4</v>
      </c>
      <c r="J803">
        <v>47.62</v>
      </c>
      <c r="K803">
        <v>96</v>
      </c>
      <c r="T803">
        <v>2</v>
      </c>
      <c r="U803">
        <v>1</v>
      </c>
      <c r="V803" t="s">
        <v>541</v>
      </c>
      <c r="W803" t="s">
        <v>1822</v>
      </c>
      <c r="X803">
        <v>18</v>
      </c>
      <c r="Y803">
        <v>18</v>
      </c>
      <c r="Z803" t="s">
        <v>1823</v>
      </c>
      <c r="AA803" t="s">
        <v>1824</v>
      </c>
      <c r="AB803" t="s">
        <v>526</v>
      </c>
      <c r="AC803" t="s">
        <v>527</v>
      </c>
      <c r="AD803" t="s">
        <v>528</v>
      </c>
      <c r="AE803" t="s">
        <v>1750</v>
      </c>
      <c r="AG803" t="s">
        <v>1825</v>
      </c>
      <c r="AH803">
        <v>0</v>
      </c>
      <c r="AI803">
        <v>696</v>
      </c>
      <c r="AJ803">
        <v>63</v>
      </c>
      <c r="AK803">
        <v>114</v>
      </c>
      <c r="AL803">
        <v>0.79</v>
      </c>
    </row>
    <row r="804" spans="1:38" x14ac:dyDescent="0.3">
      <c r="A804" t="s">
        <v>1745</v>
      </c>
      <c r="B804">
        <v>115386</v>
      </c>
      <c r="C804">
        <v>2</v>
      </c>
      <c r="D804" t="s">
        <v>1820</v>
      </c>
      <c r="E804" t="s">
        <v>1821</v>
      </c>
      <c r="F804">
        <v>144</v>
      </c>
      <c r="G804">
        <v>20.53</v>
      </c>
      <c r="H804">
        <v>67.88</v>
      </c>
      <c r="I804">
        <v>14.45</v>
      </c>
      <c r="J804">
        <v>47.78</v>
      </c>
      <c r="K804">
        <v>32</v>
      </c>
      <c r="T804">
        <v>2</v>
      </c>
      <c r="U804">
        <v>1</v>
      </c>
      <c r="V804" t="s">
        <v>541</v>
      </c>
      <c r="W804" t="s">
        <v>1826</v>
      </c>
      <c r="X804">
        <v>18</v>
      </c>
      <c r="Y804">
        <v>18</v>
      </c>
      <c r="Z804" t="s">
        <v>1823</v>
      </c>
      <c r="AA804" t="s">
        <v>1824</v>
      </c>
      <c r="AB804" t="s">
        <v>526</v>
      </c>
      <c r="AC804" t="s">
        <v>527</v>
      </c>
      <c r="AD804" t="s">
        <v>528</v>
      </c>
      <c r="AE804" t="s">
        <v>1750</v>
      </c>
      <c r="AG804" t="s">
        <v>1825</v>
      </c>
      <c r="AH804">
        <v>0</v>
      </c>
      <c r="AI804">
        <v>696</v>
      </c>
      <c r="AJ804">
        <v>63</v>
      </c>
      <c r="AK804">
        <v>114</v>
      </c>
      <c r="AL804">
        <v>0.79</v>
      </c>
    </row>
    <row r="805" spans="1:38" x14ac:dyDescent="0.3">
      <c r="A805" t="s">
        <v>1745</v>
      </c>
      <c r="B805">
        <v>115386</v>
      </c>
      <c r="C805">
        <v>3</v>
      </c>
      <c r="D805" t="s">
        <v>1820</v>
      </c>
      <c r="E805" t="s">
        <v>1821</v>
      </c>
      <c r="F805">
        <v>144</v>
      </c>
      <c r="G805">
        <v>22.72</v>
      </c>
      <c r="H805">
        <v>75.11</v>
      </c>
      <c r="I805">
        <v>15.93</v>
      </c>
      <c r="J805">
        <v>52.67</v>
      </c>
      <c r="K805">
        <v>16</v>
      </c>
      <c r="T805">
        <v>2</v>
      </c>
      <c r="U805">
        <v>1</v>
      </c>
      <c r="V805" t="s">
        <v>541</v>
      </c>
      <c r="W805">
        <v>75</v>
      </c>
      <c r="X805">
        <v>18</v>
      </c>
      <c r="Y805">
        <v>18</v>
      </c>
      <c r="Z805" t="s">
        <v>1823</v>
      </c>
      <c r="AA805" t="s">
        <v>1824</v>
      </c>
      <c r="AB805" t="s">
        <v>526</v>
      </c>
      <c r="AC805" t="s">
        <v>527</v>
      </c>
      <c r="AD805" t="s">
        <v>528</v>
      </c>
      <c r="AE805" t="s">
        <v>1750</v>
      </c>
      <c r="AG805" t="s">
        <v>1825</v>
      </c>
      <c r="AH805">
        <v>0</v>
      </c>
      <c r="AI805">
        <v>696</v>
      </c>
      <c r="AJ805">
        <v>63</v>
      </c>
      <c r="AK805">
        <v>114</v>
      </c>
      <c r="AL805">
        <v>0.79</v>
      </c>
    </row>
  </sheetData>
  <phoneticPr fontId="2" type="noConversion"/>
  <pageMargins left="0.7" right="0.7" top="0.75" bottom="0.75" header="0.3" footer="0.3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5329" r:id="rId3" name="Button 1">
              <controlPr defaultSize="0" print="0" autoFill="0" autoPict="0" macro="[0]!Spacedatainsert">
                <anchor moveWithCells="1" sizeWithCells="1">
                  <from>
                    <xdr:col>12</xdr:col>
                    <xdr:colOff>361950</xdr:colOff>
                    <xdr:row>0</xdr:row>
                    <xdr:rowOff>47625</xdr:rowOff>
                  </from>
                  <to>
                    <xdr:col>14</xdr:col>
                    <xdr:colOff>152400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5330" r:id="rId4" name="Button 2">
              <controlPr defaultSize="0" print="0" autoFill="0" autoPict="0" macro="[0]!Spacedatainsert_건파님연동">
                <anchor moveWithCells="1" sizeWithCells="1">
                  <from>
                    <xdr:col>12</xdr:col>
                    <xdr:colOff>371475</xdr:colOff>
                    <xdr:row>0</xdr:row>
                    <xdr:rowOff>47625</xdr:rowOff>
                  </from>
                  <to>
                    <xdr:col>14</xdr:col>
                    <xdr:colOff>152400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pageSetUpPr fitToPage="1"/>
  </sheetPr>
  <dimension ref="A1:AV1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6" sqref="A16:XFD16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5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0" width="9" style="37" customWidth="1"/>
    <col min="51" max="16384" width="9" style="37"/>
  </cols>
  <sheetData>
    <row r="1" spans="1:48" ht="17.25" customHeight="1" x14ac:dyDescent="0.3">
      <c r="A1" s="7" t="str">
        <f>단지추출!A1</f>
        <v>인천광역시 연수구</v>
      </c>
      <c r="I1" s="42" t="s">
        <v>1827</v>
      </c>
      <c r="X1" s="37" t="s">
        <v>5</v>
      </c>
      <c r="Y1" s="37"/>
      <c r="AA1" s="39">
        <f>단지추출!AA1</f>
        <v>70000</v>
      </c>
      <c r="AH1" s="7" t="str">
        <f>A1</f>
        <v>인천광역시 연수구</v>
      </c>
      <c r="AJ1" s="117" t="str">
        <f>A1&amp;" 전체 등급"</f>
        <v>인천광역시 연수구 전체 등급</v>
      </c>
      <c r="AK1" s="118"/>
      <c r="AL1" s="118"/>
      <c r="AM1" s="118"/>
      <c r="AN1" s="119"/>
      <c r="AO1" s="22">
        <f>단지추출!AO1</f>
        <v>80</v>
      </c>
      <c r="AP1" s="22">
        <f>단지추출!AP1</f>
        <v>50000</v>
      </c>
      <c r="AQ1" s="22">
        <f>단지추출!AQ1</f>
        <v>15000</v>
      </c>
      <c r="AR1" s="22">
        <f>단지추출!AR1</f>
        <v>5000</v>
      </c>
      <c r="AS1" s="2"/>
      <c r="AT1" s="2"/>
      <c r="AU1" s="22">
        <f>단지추출!AU1</f>
        <v>300</v>
      </c>
    </row>
    <row r="2" spans="1:48" x14ac:dyDescent="0.3">
      <c r="A2" s="80">
        <f>단지추출!A2</f>
        <v>44197</v>
      </c>
      <c r="W2" s="38"/>
      <c r="X2" s="38" t="s">
        <v>10</v>
      </c>
      <c r="Y2" s="38"/>
      <c r="AA2" s="39">
        <f>단지추출!AA2</f>
        <v>10000</v>
      </c>
      <c r="AH2" s="18" t="str">
        <f>AH1 &amp;" " &amp;A4</f>
        <v>인천광역시 연수구 동서학동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4" t="s">
        <v>15</v>
      </c>
      <c r="AP2" s="65"/>
      <c r="AQ2" s="66"/>
      <c r="AR2" s="64" t="s">
        <v>16</v>
      </c>
      <c r="AS2" s="66"/>
      <c r="AT2" s="64" t="s">
        <v>17</v>
      </c>
      <c r="AU2" s="66"/>
      <c r="AV2" s="40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1828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106" t="s">
        <v>27</v>
      </c>
      <c r="Z3" s="12" t="s">
        <v>41</v>
      </c>
      <c r="AA3" s="12" t="s">
        <v>42</v>
      </c>
      <c r="AB3" s="12" t="s">
        <v>1828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16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(5억↓)</v>
      </c>
      <c r="AQ3" s="11" t="str">
        <f>"지역평단가
("&amp;AQ1&amp;"↓)"</f>
        <v>지역평단가
(15000↓)</v>
      </c>
      <c r="AR3" s="11" t="str">
        <f>"투자규모★
(갭"&amp;AR1/1000&amp;"천↓)"</f>
        <v>투자규모★
(갭5천↓)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1" t="s">
        <v>18</v>
      </c>
    </row>
    <row r="4" spans="1:48" x14ac:dyDescent="0.3">
      <c r="A4" s="8" t="s">
        <v>567</v>
      </c>
      <c r="B4" s="76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07"/>
      <c r="R4" s="107"/>
      <c r="S4" s="76"/>
      <c r="T4" s="5"/>
      <c r="U4" s="9"/>
      <c r="W4" s="9"/>
      <c r="X4" s="9"/>
      <c r="Y4" s="91"/>
      <c r="Z4" s="9"/>
      <c r="AA4" s="9"/>
      <c r="AB4" s="9"/>
      <c r="AC4" s="9"/>
      <c r="AD4" s="9"/>
      <c r="AE4" s="76"/>
      <c r="AF4" s="5"/>
      <c r="AH4" s="20"/>
      <c r="AI4" s="108" t="str">
        <f t="shared" si="0"/>
        <v/>
      </c>
      <c r="AJ4" s="76"/>
      <c r="AK4" s="76"/>
      <c r="AL4" s="76"/>
      <c r="AM4" s="76"/>
      <c r="AN4" s="76"/>
      <c r="AO4" s="76"/>
      <c r="AP4" s="76"/>
      <c r="AQ4" s="76"/>
      <c r="AR4" s="76"/>
      <c r="AS4" s="76"/>
      <c r="AT4" s="76"/>
      <c r="AU4" s="76"/>
      <c r="AV4" s="76"/>
    </row>
    <row r="5" spans="1:48" x14ac:dyDescent="0.3">
      <c r="A5" s="9"/>
      <c r="B5" s="76"/>
      <c r="C5" s="6"/>
      <c r="D5" s="9"/>
      <c r="E5" s="14"/>
      <c r="F5" s="85"/>
      <c r="G5" s="9"/>
      <c r="H5" s="9"/>
      <c r="I5" s="9"/>
      <c r="J5" s="9"/>
      <c r="K5" s="9"/>
      <c r="L5" s="9"/>
      <c r="M5" s="9"/>
      <c r="N5" s="9"/>
      <c r="O5" s="90"/>
      <c r="P5" s="90"/>
      <c r="Q5" s="86"/>
      <c r="R5" s="86"/>
      <c r="S5" s="9"/>
      <c r="T5" s="47"/>
      <c r="U5" s="9"/>
      <c r="W5" s="67" t="str">
        <f>$A$4&amp;" "&amp;A6&amp;"("&amp;B6&amp;","&amp;C6&amp;"^)"</f>
        <v>동서학동 대산신천지('92.09.,205^)</v>
      </c>
      <c r="X5" s="68"/>
      <c r="Y5" s="68"/>
      <c r="Z5" s="68"/>
      <c r="AA5" s="68"/>
      <c r="AB5" s="68"/>
      <c r="AC5" s="68"/>
      <c r="AD5" s="68"/>
      <c r="AE5" s="68"/>
      <c r="AF5" s="69"/>
      <c r="AH5" s="20" t="str">
        <f t="shared" ref="AH5:AH16" si="1">IF(A5="","",A5)</f>
        <v/>
      </c>
      <c r="AI5" s="108" t="str">
        <f t="shared" si="0"/>
        <v/>
      </c>
      <c r="AJ5" s="76"/>
      <c r="AK5" s="76"/>
      <c r="AL5" s="76"/>
      <c r="AM5" s="76"/>
      <c r="AN5" s="76"/>
      <c r="AO5" s="76"/>
      <c r="AP5" s="76"/>
      <c r="AQ5" s="76"/>
      <c r="AR5" s="76"/>
      <c r="AS5" s="76"/>
      <c r="AT5" s="76"/>
      <c r="AU5" s="76"/>
      <c r="AV5" s="76"/>
    </row>
    <row r="6" spans="1:48" x14ac:dyDescent="0.3">
      <c r="A6" s="9" t="s">
        <v>564</v>
      </c>
      <c r="B6" s="10" t="s">
        <v>1829</v>
      </c>
      <c r="C6" s="87">
        <v>205</v>
      </c>
      <c r="D6" s="85">
        <v>71.400000000000006</v>
      </c>
      <c r="E6" s="86">
        <v>22</v>
      </c>
      <c r="F6" s="85">
        <v>60</v>
      </c>
      <c r="G6" s="17">
        <v>18</v>
      </c>
      <c r="H6" s="87">
        <v>205</v>
      </c>
      <c r="I6" s="88"/>
      <c r="J6" s="88"/>
      <c r="K6" s="88"/>
      <c r="L6" s="88"/>
      <c r="M6" s="89">
        <f>I6-K6</f>
        <v>0</v>
      </c>
      <c r="N6" s="4" t="str">
        <f>IF(ISERROR(K6/I6),"",K6/I6)</f>
        <v/>
      </c>
      <c r="O6" s="90">
        <f>I6/E6</f>
        <v>0</v>
      </c>
      <c r="P6" s="90">
        <f>K6/E6</f>
        <v>0</v>
      </c>
      <c r="Q6" s="76">
        <v>3</v>
      </c>
      <c r="R6" s="76">
        <v>1</v>
      </c>
      <c r="S6" s="76" t="s">
        <v>61</v>
      </c>
      <c r="T6" s="5">
        <v>71</v>
      </c>
      <c r="U6" s="9"/>
      <c r="W6" s="85">
        <f>D6</f>
        <v>71.400000000000006</v>
      </c>
      <c r="X6" s="86">
        <f>E6</f>
        <v>22</v>
      </c>
      <c r="Y6" s="91">
        <f>H6</f>
        <v>205</v>
      </c>
      <c r="Z6" s="89">
        <f>I6</f>
        <v>0</v>
      </c>
      <c r="AA6" s="89">
        <f>K6</f>
        <v>0</v>
      </c>
      <c r="AB6" s="89">
        <f>M6</f>
        <v>0</v>
      </c>
      <c r="AC6" s="4" t="str">
        <f>N6</f>
        <v/>
      </c>
      <c r="AD6" s="90">
        <f>O6</f>
        <v>0</v>
      </c>
      <c r="AE6" s="76" t="str">
        <f>S6</f>
        <v>계</v>
      </c>
      <c r="AF6" s="76" t="str">
        <f>Q6&amp;"/"&amp;R6</f>
        <v>3/1</v>
      </c>
      <c r="AH6" s="20" t="str">
        <f t="shared" si="1"/>
        <v>대산신천지</v>
      </c>
      <c r="AI6" s="86">
        <f t="shared" si="0"/>
        <v>22</v>
      </c>
      <c r="AJ6" s="76" t="str">
        <f>IF(AI6="","",$AJ$2)</f>
        <v>A-</v>
      </c>
      <c r="AK6" s="76" t="s">
        <v>13</v>
      </c>
      <c r="AL6" s="76" t="s">
        <v>62</v>
      </c>
      <c r="AM6" s="76" t="s">
        <v>63</v>
      </c>
      <c r="AN6" s="76" t="str">
        <f>IF(AI6="","",$AN$2)</f>
        <v>C</v>
      </c>
      <c r="AO6" s="76" t="str">
        <f>IF(N6="","",IF(N6&gt;=$AO$1/100,"O","X"))</f>
        <v/>
      </c>
      <c r="AP6" s="76" t="str">
        <f>IF(I6="","",IF(I6&lt;=$AP$1,"O","X"))</f>
        <v/>
      </c>
      <c r="AQ6" s="76" t="str">
        <f>IF(O6="","",IF(O6&lt;=$AQ$1,"O","X"))</f>
        <v>O</v>
      </c>
      <c r="AR6" s="76" t="str">
        <f>IF(M6="","",IF(M6&lt;=$AR$1,"O","X"))</f>
        <v>O</v>
      </c>
      <c r="AS6" s="76" t="s">
        <v>2</v>
      </c>
      <c r="AT6" s="76" t="str">
        <f>IF(OR(F6="",AI6=""),"",IF(AND((F6&lt;=85),(AI6&gt;=15)),"O","X"))</f>
        <v>O</v>
      </c>
      <c r="AU6" s="76" t="str">
        <f>IF(C6="","",IF(C6&gt;=$AU$1,"O","X"))</f>
        <v>X</v>
      </c>
      <c r="AV6" s="76" t="str">
        <f>IF(AO6="","",IF(AND(AO6="O",AP6="O",AR6="O",AT6="O",AU6="O"),"후보","X"))</f>
        <v/>
      </c>
    </row>
    <row r="7" spans="1:48" x14ac:dyDescent="0.3">
      <c r="A7" s="9"/>
      <c r="B7" s="76"/>
      <c r="C7" s="6"/>
      <c r="D7" s="9"/>
      <c r="E7" s="14"/>
      <c r="F7" s="85"/>
      <c r="G7" s="9"/>
      <c r="H7" s="9"/>
      <c r="I7" s="9"/>
      <c r="J7" s="9"/>
      <c r="K7" s="9"/>
      <c r="L7" s="9"/>
      <c r="M7" s="9"/>
      <c r="N7" s="9"/>
      <c r="O7" s="90"/>
      <c r="P7" s="90"/>
      <c r="Q7" s="86"/>
      <c r="R7" s="86"/>
      <c r="S7" s="9"/>
      <c r="T7" s="47"/>
      <c r="U7" s="9"/>
      <c r="W7" s="67" t="str">
        <f>$A$4&amp;" "&amp;A8&amp;"("&amp;B8&amp;","&amp;C8&amp;"^)"</f>
        <v>동서학동 거산황궁맨션('93.06.,433^)</v>
      </c>
      <c r="X7" s="68"/>
      <c r="Y7" s="68"/>
      <c r="Z7" s="68"/>
      <c r="AA7" s="68"/>
      <c r="AB7" s="68"/>
      <c r="AC7" s="68"/>
      <c r="AD7" s="68"/>
      <c r="AE7" s="68"/>
      <c r="AF7" s="69"/>
      <c r="AH7" s="20" t="str">
        <f t="shared" si="1"/>
        <v/>
      </c>
      <c r="AI7" s="108" t="str">
        <f t="shared" si="0"/>
        <v/>
      </c>
      <c r="AJ7" s="76"/>
      <c r="AK7" s="76"/>
      <c r="AL7" s="76"/>
      <c r="AM7" s="76"/>
      <c r="AN7" s="76"/>
      <c r="AO7" s="76"/>
      <c r="AP7" s="76"/>
      <c r="AQ7" s="76"/>
      <c r="AR7" s="76"/>
      <c r="AS7" s="76"/>
      <c r="AT7" s="76"/>
      <c r="AU7" s="76"/>
      <c r="AV7" s="76"/>
    </row>
    <row r="8" spans="1:48" x14ac:dyDescent="0.3">
      <c r="A8" s="9" t="s">
        <v>569</v>
      </c>
      <c r="B8" s="10" t="s">
        <v>1830</v>
      </c>
      <c r="C8" s="87">
        <v>433</v>
      </c>
      <c r="D8" s="85">
        <v>101.4</v>
      </c>
      <c r="E8" s="86">
        <v>31</v>
      </c>
      <c r="F8" s="85">
        <v>84.9</v>
      </c>
      <c r="G8" s="17">
        <v>26</v>
      </c>
      <c r="H8" s="87">
        <v>283</v>
      </c>
      <c r="I8" s="88"/>
      <c r="J8" s="88"/>
      <c r="K8" s="88"/>
      <c r="L8" s="88"/>
      <c r="M8" s="89">
        <f>I8-K8</f>
        <v>0</v>
      </c>
      <c r="N8" s="4" t="str">
        <f>IF(ISERROR(K8/I8),"",K8/I8)</f>
        <v/>
      </c>
      <c r="O8" s="90">
        <f>I8/E8</f>
        <v>0</v>
      </c>
      <c r="P8" s="90">
        <f>K8/E8</f>
        <v>0</v>
      </c>
      <c r="Q8" s="76">
        <v>3</v>
      </c>
      <c r="R8" s="76">
        <v>2</v>
      </c>
      <c r="S8" s="76" t="s">
        <v>61</v>
      </c>
      <c r="T8" s="5">
        <v>101</v>
      </c>
      <c r="U8" s="9"/>
      <c r="W8" s="85">
        <f t="shared" ref="W8:X12" si="2">D8</f>
        <v>101.4</v>
      </c>
      <c r="X8" s="86">
        <f t="shared" si="2"/>
        <v>31</v>
      </c>
      <c r="Y8" s="91">
        <f t="shared" ref="Y8:Z12" si="3">H8</f>
        <v>283</v>
      </c>
      <c r="Z8" s="89">
        <f t="shared" si="3"/>
        <v>0</v>
      </c>
      <c r="AA8" s="89">
        <f>K8</f>
        <v>0</v>
      </c>
      <c r="AB8" s="89">
        <f t="shared" ref="AB8:AD12" si="4">M8</f>
        <v>0</v>
      </c>
      <c r="AC8" s="4" t="str">
        <f t="shared" si="4"/>
        <v/>
      </c>
      <c r="AD8" s="90">
        <f t="shared" si="4"/>
        <v>0</v>
      </c>
      <c r="AE8" s="76" t="str">
        <f>S8</f>
        <v>계</v>
      </c>
      <c r="AF8" s="76" t="str">
        <f>Q8&amp;"/"&amp;R8</f>
        <v>3/2</v>
      </c>
      <c r="AH8" s="20" t="str">
        <f t="shared" si="1"/>
        <v>거산황궁맨션</v>
      </c>
      <c r="AI8" s="86">
        <f t="shared" si="0"/>
        <v>31</v>
      </c>
      <c r="AJ8" s="76" t="str">
        <f>IF(AI8="","",$AJ$2)</f>
        <v>A-</v>
      </c>
      <c r="AK8" s="76" t="s">
        <v>13</v>
      </c>
      <c r="AL8" s="76" t="s">
        <v>62</v>
      </c>
      <c r="AM8" s="76" t="s">
        <v>63</v>
      </c>
      <c r="AN8" s="76" t="str">
        <f>IF(AI8="","",$AN$2)</f>
        <v>C</v>
      </c>
      <c r="AO8" s="76" t="str">
        <f>IF(N8="","",IF(N8&gt;=$AO$1/100,"O","X"))</f>
        <v/>
      </c>
      <c r="AP8" s="76" t="str">
        <f>IF(I8="","",IF(I8&lt;=$AP$1,"O","X"))</f>
        <v/>
      </c>
      <c r="AQ8" s="76" t="str">
        <f>IF(O8="","",IF(O8&lt;=$AQ$1,"O","X"))</f>
        <v>O</v>
      </c>
      <c r="AR8" s="76" t="str">
        <f>IF(M8="","",IF(M8&lt;=$AR$1,"O","X"))</f>
        <v>O</v>
      </c>
      <c r="AS8" s="76" t="s">
        <v>2</v>
      </c>
      <c r="AT8" s="76" t="str">
        <f>IF(OR(F8="",AI8=""),"",IF(AND((F8&lt;=85),(AI8&gt;=15)),"O","X"))</f>
        <v>O</v>
      </c>
      <c r="AU8" s="76" t="str">
        <f>IF(C8="","",IF(C8&gt;=$AU$1,"O","X"))</f>
        <v>O</v>
      </c>
      <c r="AV8" s="76" t="str">
        <f>IF(AO8="","",IF(AND(AO8="O",AP8="O",AR8="O",AT8="O",AU8="O"),"후보","X"))</f>
        <v/>
      </c>
    </row>
    <row r="9" spans="1:48" x14ac:dyDescent="0.3">
      <c r="A9" s="9" t="s">
        <v>569</v>
      </c>
      <c r="B9" s="10" t="s">
        <v>1830</v>
      </c>
      <c r="C9" s="87">
        <v>433</v>
      </c>
      <c r="D9" s="85">
        <v>119.3</v>
      </c>
      <c r="E9" s="86">
        <v>36</v>
      </c>
      <c r="F9" s="85">
        <v>102.1</v>
      </c>
      <c r="G9" s="17">
        <v>31</v>
      </c>
      <c r="H9" s="87">
        <v>30</v>
      </c>
      <c r="I9" s="88"/>
      <c r="J9" s="88"/>
      <c r="K9" s="88"/>
      <c r="L9" s="88"/>
      <c r="M9" s="89">
        <f>I9-K9</f>
        <v>0</v>
      </c>
      <c r="N9" s="4" t="str">
        <f>IF(ISERROR(K9/I9),"",K9/I9)</f>
        <v/>
      </c>
      <c r="O9" s="90">
        <f>I9/E9</f>
        <v>0</v>
      </c>
      <c r="P9" s="90">
        <f>K9/E9</f>
        <v>0</v>
      </c>
      <c r="Q9" s="76">
        <v>4</v>
      </c>
      <c r="R9" s="76">
        <v>2</v>
      </c>
      <c r="S9" s="76" t="s">
        <v>61</v>
      </c>
      <c r="T9" s="5">
        <v>119</v>
      </c>
      <c r="U9" s="9"/>
      <c r="W9" s="85">
        <f t="shared" si="2"/>
        <v>119.3</v>
      </c>
      <c r="X9" s="86">
        <f t="shared" si="2"/>
        <v>36</v>
      </c>
      <c r="Y9" s="91">
        <f t="shared" si="3"/>
        <v>30</v>
      </c>
      <c r="Z9" s="89">
        <f t="shared" si="3"/>
        <v>0</v>
      </c>
      <c r="AA9" s="89">
        <f>K9</f>
        <v>0</v>
      </c>
      <c r="AB9" s="89">
        <f t="shared" si="4"/>
        <v>0</v>
      </c>
      <c r="AC9" s="4" t="str">
        <f t="shared" si="4"/>
        <v/>
      </c>
      <c r="AD9" s="90">
        <f t="shared" si="4"/>
        <v>0</v>
      </c>
      <c r="AE9" s="76" t="str">
        <f>S9</f>
        <v>계</v>
      </c>
      <c r="AF9" s="76" t="str">
        <f>Q9&amp;"/"&amp;R9</f>
        <v>4/2</v>
      </c>
      <c r="AH9" s="20" t="str">
        <f t="shared" si="1"/>
        <v>거산황궁맨션</v>
      </c>
      <c r="AI9" s="86">
        <f t="shared" si="0"/>
        <v>36</v>
      </c>
      <c r="AJ9" s="76" t="str">
        <f>IF(AI9="","",$AJ$2)</f>
        <v>A-</v>
      </c>
      <c r="AK9" s="76" t="s">
        <v>13</v>
      </c>
      <c r="AL9" s="76" t="s">
        <v>62</v>
      </c>
      <c r="AM9" s="76" t="s">
        <v>63</v>
      </c>
      <c r="AN9" s="76" t="str">
        <f>IF(AI9="","",$AN$2)</f>
        <v>C</v>
      </c>
      <c r="AO9" s="76" t="str">
        <f>IF(N9="","",IF(N9&gt;=$AO$1/100,"O","X"))</f>
        <v/>
      </c>
      <c r="AP9" s="76" t="str">
        <f>IF(I9="","",IF(I9&lt;=$AP$1,"O","X"))</f>
        <v/>
      </c>
      <c r="AQ9" s="76" t="str">
        <f>IF(O9="","",IF(O9&lt;=$AQ$1,"O","X"))</f>
        <v>O</v>
      </c>
      <c r="AR9" s="76" t="str">
        <f>IF(M9="","",IF(M9&lt;=$AR$1,"O","X"))</f>
        <v>O</v>
      </c>
      <c r="AS9" s="76" t="s">
        <v>2</v>
      </c>
      <c r="AT9" s="76" t="str">
        <f>IF(OR(F9="",AI9=""),"",IF(AND((F9&lt;=85),(AI9&gt;=15)),"O","X"))</f>
        <v>X</v>
      </c>
      <c r="AU9" s="76" t="str">
        <f>IF(C9="","",IF(C9&gt;=$AU$1,"O","X"))</f>
        <v>O</v>
      </c>
      <c r="AV9" s="76" t="str">
        <f>IF(AO9="","",IF(AND(AO9="O",AP9="O",AR9="O",AT9="O",AU9="O"),"후보","X"))</f>
        <v/>
      </c>
    </row>
    <row r="10" spans="1:48" x14ac:dyDescent="0.3">
      <c r="A10" s="9" t="s">
        <v>569</v>
      </c>
      <c r="B10" s="10" t="s">
        <v>1830</v>
      </c>
      <c r="C10" s="87">
        <v>433</v>
      </c>
      <c r="D10" s="85">
        <v>153.6</v>
      </c>
      <c r="E10" s="86">
        <v>46</v>
      </c>
      <c r="F10" s="85">
        <v>133.1</v>
      </c>
      <c r="G10" s="17">
        <v>40</v>
      </c>
      <c r="H10" s="87">
        <v>60</v>
      </c>
      <c r="I10" s="88"/>
      <c r="J10" s="88"/>
      <c r="K10" s="88"/>
      <c r="L10" s="88"/>
      <c r="M10" s="89">
        <f>I10-K10</f>
        <v>0</v>
      </c>
      <c r="N10" s="4" t="str">
        <f>IF(ISERROR(K10/I10),"",K10/I10)</f>
        <v/>
      </c>
      <c r="O10" s="90">
        <f>I10/E10</f>
        <v>0</v>
      </c>
      <c r="P10" s="90">
        <f>K10/E10</f>
        <v>0</v>
      </c>
      <c r="Q10" s="76">
        <v>4</v>
      </c>
      <c r="R10" s="76">
        <v>2</v>
      </c>
      <c r="S10" s="76" t="s">
        <v>61</v>
      </c>
      <c r="T10" s="5">
        <v>153</v>
      </c>
      <c r="U10" s="9"/>
      <c r="W10" s="85">
        <f t="shared" si="2"/>
        <v>153.6</v>
      </c>
      <c r="X10" s="86">
        <f t="shared" si="2"/>
        <v>46</v>
      </c>
      <c r="Y10" s="91">
        <f t="shared" si="3"/>
        <v>60</v>
      </c>
      <c r="Z10" s="89">
        <f t="shared" si="3"/>
        <v>0</v>
      </c>
      <c r="AA10" s="89">
        <f>K10</f>
        <v>0</v>
      </c>
      <c r="AB10" s="89">
        <f t="shared" si="4"/>
        <v>0</v>
      </c>
      <c r="AC10" s="4" t="str">
        <f t="shared" si="4"/>
        <v/>
      </c>
      <c r="AD10" s="90">
        <f t="shared" si="4"/>
        <v>0</v>
      </c>
      <c r="AE10" s="76" t="str">
        <f>S10</f>
        <v>계</v>
      </c>
      <c r="AF10" s="76" t="str">
        <f>Q10&amp;"/"&amp;R10</f>
        <v>4/2</v>
      </c>
      <c r="AH10" s="20" t="str">
        <f t="shared" si="1"/>
        <v>거산황궁맨션</v>
      </c>
      <c r="AI10" s="86">
        <f t="shared" si="0"/>
        <v>46</v>
      </c>
      <c r="AJ10" s="76" t="str">
        <f>IF(AI10="","",$AJ$2)</f>
        <v>A-</v>
      </c>
      <c r="AK10" s="76" t="s">
        <v>13</v>
      </c>
      <c r="AL10" s="76" t="s">
        <v>62</v>
      </c>
      <c r="AM10" s="76" t="s">
        <v>63</v>
      </c>
      <c r="AN10" s="76" t="str">
        <f>IF(AI10="","",$AN$2)</f>
        <v>C</v>
      </c>
      <c r="AO10" s="76" t="str">
        <f>IF(N10="","",IF(N10&gt;=$AO$1/100,"O","X"))</f>
        <v/>
      </c>
      <c r="AP10" s="76" t="str">
        <f>IF(I10="","",IF(I10&lt;=$AP$1,"O","X"))</f>
        <v/>
      </c>
      <c r="AQ10" s="76" t="str">
        <f>IF(O10="","",IF(O10&lt;=$AQ$1,"O","X"))</f>
        <v>O</v>
      </c>
      <c r="AR10" s="76" t="str">
        <f>IF(M10="","",IF(M10&lt;=$AR$1,"O","X"))</f>
        <v>O</v>
      </c>
      <c r="AS10" s="76" t="s">
        <v>2</v>
      </c>
      <c r="AT10" s="76" t="str">
        <f>IF(OR(F10="",AI10=""),"",IF(AND((F10&lt;=85),(AI10&gt;=15)),"O","X"))</f>
        <v>X</v>
      </c>
      <c r="AU10" s="76" t="str">
        <f>IF(C10="","",IF(C10&gt;=$AU$1,"O","X"))</f>
        <v>O</v>
      </c>
      <c r="AV10" s="76" t="str">
        <f>IF(AO10="","",IF(AND(AO10="O",AP10="O",AR10="O",AT10="O",AU10="O"),"후보","X"))</f>
        <v/>
      </c>
    </row>
    <row r="11" spans="1:48" x14ac:dyDescent="0.3">
      <c r="A11" s="9" t="s">
        <v>569</v>
      </c>
      <c r="B11" s="10" t="s">
        <v>1830</v>
      </c>
      <c r="C11" s="87">
        <v>433</v>
      </c>
      <c r="D11" s="85">
        <v>180.1</v>
      </c>
      <c r="E11" s="86">
        <v>54</v>
      </c>
      <c r="F11" s="85">
        <v>157.30000000000001</v>
      </c>
      <c r="G11" s="17">
        <v>48</v>
      </c>
      <c r="H11" s="87">
        <v>30</v>
      </c>
      <c r="I11" s="88"/>
      <c r="J11" s="88"/>
      <c r="K11" s="88"/>
      <c r="L11" s="88"/>
      <c r="M11" s="89">
        <f>I11-K11</f>
        <v>0</v>
      </c>
      <c r="N11" s="4" t="str">
        <f>IF(ISERROR(K11/I11),"",K11/I11)</f>
        <v/>
      </c>
      <c r="O11" s="90">
        <f>I11/E11</f>
        <v>0</v>
      </c>
      <c r="P11" s="90">
        <f>K11/E11</f>
        <v>0</v>
      </c>
      <c r="Q11" s="76">
        <v>5</v>
      </c>
      <c r="R11" s="76">
        <v>2</v>
      </c>
      <c r="S11" s="76" t="s">
        <v>61</v>
      </c>
      <c r="T11" s="5">
        <v>180</v>
      </c>
      <c r="U11" s="9"/>
      <c r="W11" s="85">
        <f t="shared" si="2"/>
        <v>180.1</v>
      </c>
      <c r="X11" s="86">
        <f t="shared" si="2"/>
        <v>54</v>
      </c>
      <c r="Y11" s="91">
        <f t="shared" si="3"/>
        <v>30</v>
      </c>
      <c r="Z11" s="89">
        <f t="shared" si="3"/>
        <v>0</v>
      </c>
      <c r="AA11" s="89">
        <f>K11</f>
        <v>0</v>
      </c>
      <c r="AB11" s="89">
        <f t="shared" si="4"/>
        <v>0</v>
      </c>
      <c r="AC11" s="4" t="str">
        <f t="shared" si="4"/>
        <v/>
      </c>
      <c r="AD11" s="90">
        <f t="shared" si="4"/>
        <v>0</v>
      </c>
      <c r="AE11" s="76" t="str">
        <f>S11</f>
        <v>계</v>
      </c>
      <c r="AF11" s="76" t="str">
        <f>Q11&amp;"/"&amp;R11</f>
        <v>5/2</v>
      </c>
      <c r="AH11" s="20" t="str">
        <f t="shared" si="1"/>
        <v>거산황궁맨션</v>
      </c>
      <c r="AI11" s="86">
        <f t="shared" si="0"/>
        <v>54</v>
      </c>
      <c r="AJ11" s="76" t="str">
        <f>IF(AI11="","",$AJ$2)</f>
        <v>A-</v>
      </c>
      <c r="AK11" s="76" t="s">
        <v>13</v>
      </c>
      <c r="AL11" s="76" t="s">
        <v>62</v>
      </c>
      <c r="AM11" s="76" t="s">
        <v>63</v>
      </c>
      <c r="AN11" s="76" t="str">
        <f>IF(AI11="","",$AN$2)</f>
        <v>C</v>
      </c>
      <c r="AO11" s="76" t="str">
        <f>IF(N11="","",IF(N11&gt;=$AO$1/100,"O","X"))</f>
        <v/>
      </c>
      <c r="AP11" s="76" t="str">
        <f>IF(I11="","",IF(I11&lt;=$AP$1,"O","X"))</f>
        <v/>
      </c>
      <c r="AQ11" s="76" t="str">
        <f>IF(O11="","",IF(O11&lt;=$AQ$1,"O","X"))</f>
        <v>O</v>
      </c>
      <c r="AR11" s="76" t="str">
        <f>IF(M11="","",IF(M11&lt;=$AR$1,"O","X"))</f>
        <v>O</v>
      </c>
      <c r="AS11" s="76" t="s">
        <v>2</v>
      </c>
      <c r="AT11" s="76" t="str">
        <f>IF(OR(F11="",AI11=""),"",IF(AND((F11&lt;=85),(AI11&gt;=15)),"O","X"))</f>
        <v>X</v>
      </c>
      <c r="AU11" s="76" t="str">
        <f>IF(C11="","",IF(C11&gt;=$AU$1,"O","X"))</f>
        <v>O</v>
      </c>
      <c r="AV11" s="76" t="str">
        <f>IF(AO11="","",IF(AND(AO11="O",AP11="O",AR11="O",AT11="O",AU11="O"),"후보","X"))</f>
        <v/>
      </c>
    </row>
    <row r="12" spans="1:48" x14ac:dyDescent="0.3">
      <c r="A12" s="9" t="s">
        <v>569</v>
      </c>
      <c r="B12" s="10" t="s">
        <v>1830</v>
      </c>
      <c r="C12" s="87">
        <v>433</v>
      </c>
      <c r="D12" s="85">
        <v>218.9</v>
      </c>
      <c r="E12" s="86">
        <v>66</v>
      </c>
      <c r="F12" s="85">
        <v>193</v>
      </c>
      <c r="G12" s="17">
        <v>58</v>
      </c>
      <c r="H12" s="87">
        <v>30</v>
      </c>
      <c r="I12" s="88"/>
      <c r="J12" s="88"/>
      <c r="K12" s="88"/>
      <c r="L12" s="88"/>
      <c r="M12" s="89">
        <f>I12-K12</f>
        <v>0</v>
      </c>
      <c r="N12" s="4" t="str">
        <f>IF(ISERROR(K12/I12),"",K12/I12)</f>
        <v/>
      </c>
      <c r="O12" s="90">
        <f>I12/E12</f>
        <v>0</v>
      </c>
      <c r="P12" s="90">
        <f>K12/E12</f>
        <v>0</v>
      </c>
      <c r="Q12" s="76">
        <v>5</v>
      </c>
      <c r="R12" s="76">
        <v>2</v>
      </c>
      <c r="S12" s="76" t="s">
        <v>61</v>
      </c>
      <c r="T12" s="5">
        <v>218</v>
      </c>
      <c r="U12" s="9"/>
      <c r="W12" s="85">
        <f t="shared" si="2"/>
        <v>218.9</v>
      </c>
      <c r="X12" s="86">
        <f t="shared" si="2"/>
        <v>66</v>
      </c>
      <c r="Y12" s="91">
        <f t="shared" si="3"/>
        <v>30</v>
      </c>
      <c r="Z12" s="89">
        <f t="shared" si="3"/>
        <v>0</v>
      </c>
      <c r="AA12" s="89">
        <f>K12</f>
        <v>0</v>
      </c>
      <c r="AB12" s="89">
        <f t="shared" si="4"/>
        <v>0</v>
      </c>
      <c r="AC12" s="4" t="str">
        <f t="shared" si="4"/>
        <v/>
      </c>
      <c r="AD12" s="90">
        <f t="shared" si="4"/>
        <v>0</v>
      </c>
      <c r="AE12" s="76" t="str">
        <f>S12</f>
        <v>계</v>
      </c>
      <c r="AF12" s="76" t="str">
        <f>Q12&amp;"/"&amp;R12</f>
        <v>5/2</v>
      </c>
      <c r="AH12" s="20" t="str">
        <f t="shared" si="1"/>
        <v>거산황궁맨션</v>
      </c>
      <c r="AI12" s="86">
        <f t="shared" si="0"/>
        <v>66</v>
      </c>
      <c r="AJ12" s="76" t="str">
        <f>IF(AI12="","",$AJ$2)</f>
        <v>A-</v>
      </c>
      <c r="AK12" s="76" t="s">
        <v>13</v>
      </c>
      <c r="AL12" s="76" t="s">
        <v>62</v>
      </c>
      <c r="AM12" s="76" t="s">
        <v>63</v>
      </c>
      <c r="AN12" s="76" t="str">
        <f>IF(AI12="","",$AN$2)</f>
        <v>C</v>
      </c>
      <c r="AO12" s="76" t="str">
        <f>IF(N12="","",IF(N12&gt;=$AO$1/100,"O","X"))</f>
        <v/>
      </c>
      <c r="AP12" s="76" t="str">
        <f>IF(I12="","",IF(I12&lt;=$AP$1,"O","X"))</f>
        <v/>
      </c>
      <c r="AQ12" s="76" t="str">
        <f>IF(O12="","",IF(O12&lt;=$AQ$1,"O","X"))</f>
        <v>O</v>
      </c>
      <c r="AR12" s="76" t="str">
        <f>IF(M12="","",IF(M12&lt;=$AR$1,"O","X"))</f>
        <v>O</v>
      </c>
      <c r="AS12" s="76" t="s">
        <v>2</v>
      </c>
      <c r="AT12" s="76" t="str">
        <f>IF(OR(F12="",AI12=""),"",IF(AND((F12&lt;=85),(AI12&gt;=15)),"O","X"))</f>
        <v>X</v>
      </c>
      <c r="AU12" s="76" t="str">
        <f>IF(C12="","",IF(C12&gt;=$AU$1,"O","X"))</f>
        <v>O</v>
      </c>
      <c r="AV12" s="76" t="str">
        <f>IF(AO12="","",IF(AND(AO12="O",AP12="O",AR12="O",AT12="O",AU12="O"),"후보","X"))</f>
        <v/>
      </c>
    </row>
    <row r="13" spans="1:48" x14ac:dyDescent="0.3">
      <c r="A13" s="9"/>
      <c r="B13" s="76"/>
      <c r="C13" s="6"/>
      <c r="D13" s="9"/>
      <c r="E13" s="14"/>
      <c r="F13" s="85"/>
      <c r="G13" s="9"/>
      <c r="H13" s="9"/>
      <c r="I13" s="9"/>
      <c r="J13" s="9"/>
      <c r="K13" s="9"/>
      <c r="L13" s="9"/>
      <c r="M13" s="9"/>
      <c r="N13" s="9"/>
      <c r="O13" s="90"/>
      <c r="P13" s="90"/>
      <c r="Q13" s="86"/>
      <c r="R13" s="86"/>
      <c r="S13" s="9"/>
      <c r="T13" s="47"/>
      <c r="U13" s="9"/>
      <c r="W13" s="67" t="str">
        <f>$A$4&amp;" "&amp;A14&amp;"("&amp;B14&amp;","&amp;C14&amp;"^)"</f>
        <v>동서학동 진흥하이츠('93.11.,283^)</v>
      </c>
      <c r="X13" s="68"/>
      <c r="Y13" s="68"/>
      <c r="Z13" s="68"/>
      <c r="AA13" s="68"/>
      <c r="AB13" s="68"/>
      <c r="AC13" s="68"/>
      <c r="AD13" s="68"/>
      <c r="AE13" s="68"/>
      <c r="AF13" s="69"/>
      <c r="AH13" s="20" t="str">
        <f t="shared" si="1"/>
        <v/>
      </c>
      <c r="AI13" s="108" t="str">
        <f t="shared" si="0"/>
        <v/>
      </c>
      <c r="AJ13" s="76"/>
      <c r="AK13" s="76"/>
      <c r="AL13" s="76"/>
      <c r="AM13" s="76"/>
      <c r="AN13" s="76"/>
      <c r="AO13" s="76"/>
      <c r="AP13" s="76"/>
      <c r="AQ13" s="76"/>
      <c r="AR13" s="76"/>
      <c r="AS13" s="76"/>
      <c r="AT13" s="76"/>
      <c r="AU13" s="76"/>
      <c r="AV13" s="76"/>
    </row>
    <row r="14" spans="1:48" x14ac:dyDescent="0.3">
      <c r="A14" s="9" t="s">
        <v>578</v>
      </c>
      <c r="B14" s="10" t="s">
        <v>1831</v>
      </c>
      <c r="C14" s="87">
        <v>283</v>
      </c>
      <c r="D14" s="85">
        <v>83.6</v>
      </c>
      <c r="E14" s="86">
        <v>25</v>
      </c>
      <c r="F14" s="85">
        <v>59.4</v>
      </c>
      <c r="G14" s="17">
        <v>18</v>
      </c>
      <c r="H14" s="87">
        <v>172</v>
      </c>
      <c r="I14" s="88"/>
      <c r="J14" s="88"/>
      <c r="K14" s="88"/>
      <c r="L14" s="88"/>
      <c r="M14" s="89">
        <f>I14-K14</f>
        <v>0</v>
      </c>
      <c r="N14" s="4" t="str">
        <f>IF(ISERROR(K14/I14),"",K14/I14)</f>
        <v/>
      </c>
      <c r="O14" s="90">
        <f>I14/E14</f>
        <v>0</v>
      </c>
      <c r="P14" s="90">
        <f>K14/E14</f>
        <v>0</v>
      </c>
      <c r="Q14" s="76">
        <v>3</v>
      </c>
      <c r="R14" s="76">
        <v>1</v>
      </c>
      <c r="S14" s="76" t="s">
        <v>68</v>
      </c>
      <c r="T14" s="5">
        <v>83</v>
      </c>
      <c r="U14" s="9"/>
      <c r="W14" s="85">
        <f t="shared" ref="W14:X16" si="5">D14</f>
        <v>83.6</v>
      </c>
      <c r="X14" s="86">
        <f t="shared" si="5"/>
        <v>25</v>
      </c>
      <c r="Y14" s="91">
        <f t="shared" ref="Y14:Z16" si="6">H14</f>
        <v>172</v>
      </c>
      <c r="Z14" s="89">
        <f t="shared" si="6"/>
        <v>0</v>
      </c>
      <c r="AA14" s="89">
        <f>K14</f>
        <v>0</v>
      </c>
      <c r="AB14" s="89">
        <f t="shared" ref="AB14:AD16" si="7">M14</f>
        <v>0</v>
      </c>
      <c r="AC14" s="4" t="str">
        <f t="shared" si="7"/>
        <v/>
      </c>
      <c r="AD14" s="90">
        <f t="shared" si="7"/>
        <v>0</v>
      </c>
      <c r="AE14" s="76" t="str">
        <f>S14</f>
        <v>복</v>
      </c>
      <c r="AF14" s="76" t="str">
        <f>Q14&amp;"/"&amp;R14</f>
        <v>3/1</v>
      </c>
      <c r="AH14" s="20" t="str">
        <f t="shared" si="1"/>
        <v>진흥하이츠</v>
      </c>
      <c r="AI14" s="86">
        <f t="shared" si="0"/>
        <v>25</v>
      </c>
      <c r="AJ14" s="76" t="str">
        <f>IF(AI14="","",$AJ$2)</f>
        <v>A-</v>
      </c>
      <c r="AK14" s="76" t="s">
        <v>13</v>
      </c>
      <c r="AL14" s="76" t="s">
        <v>62</v>
      </c>
      <c r="AM14" s="76" t="s">
        <v>63</v>
      </c>
      <c r="AN14" s="76" t="str">
        <f>IF(AI14="","",$AN$2)</f>
        <v>C</v>
      </c>
      <c r="AO14" s="76" t="str">
        <f>IF(N14="","",IF(N14&gt;=$AO$1/100,"O","X"))</f>
        <v/>
      </c>
      <c r="AP14" s="76" t="str">
        <f>IF(I14="","",IF(I14&lt;=$AP$1,"O","X"))</f>
        <v/>
      </c>
      <c r="AQ14" s="76" t="str">
        <f>IF(O14="","",IF(O14&lt;=$AQ$1,"O","X"))</f>
        <v>O</v>
      </c>
      <c r="AR14" s="76" t="str">
        <f>IF(M14="","",IF(M14&lt;=$AR$1,"O","X"))</f>
        <v>O</v>
      </c>
      <c r="AS14" s="76" t="s">
        <v>2</v>
      </c>
      <c r="AT14" s="76" t="str">
        <f>IF(OR(F14="",AI14=""),"",IF(AND((F14&lt;=85),(AI14&gt;=15)),"O","X"))</f>
        <v>O</v>
      </c>
      <c r="AU14" s="76" t="str">
        <f>IF(C14="","",IF(C14&gt;=$AU$1,"O","X"))</f>
        <v>X</v>
      </c>
      <c r="AV14" s="76" t="str">
        <f>IF(AO14="","",IF(AND(AO14="O",AP14="O",AR14="O",AT14="O",AU14="O"),"후보","X"))</f>
        <v/>
      </c>
    </row>
    <row r="15" spans="1:48" x14ac:dyDescent="0.3">
      <c r="A15" s="9" t="s">
        <v>578</v>
      </c>
      <c r="B15" s="10" t="s">
        <v>1831</v>
      </c>
      <c r="C15" s="87">
        <v>283</v>
      </c>
      <c r="D15" s="85">
        <v>102.1</v>
      </c>
      <c r="E15" s="86">
        <v>31</v>
      </c>
      <c r="F15" s="85">
        <v>72.900000000000006</v>
      </c>
      <c r="G15" s="17">
        <v>22</v>
      </c>
      <c r="H15" s="87">
        <v>31</v>
      </c>
      <c r="I15" s="88"/>
      <c r="J15" s="88"/>
      <c r="K15" s="88"/>
      <c r="L15" s="88"/>
      <c r="M15" s="89">
        <f>I15-K15</f>
        <v>0</v>
      </c>
      <c r="N15" s="4" t="str">
        <f>IF(ISERROR(K15/I15),"",K15/I15)</f>
        <v/>
      </c>
      <c r="O15" s="90">
        <f>I15/E15</f>
        <v>0</v>
      </c>
      <c r="P15" s="90">
        <f>K15/E15</f>
        <v>0</v>
      </c>
      <c r="Q15" s="76">
        <v>3</v>
      </c>
      <c r="R15" s="76">
        <v>1</v>
      </c>
      <c r="S15" s="76" t="s">
        <v>61</v>
      </c>
      <c r="T15" s="5">
        <v>102</v>
      </c>
      <c r="U15" s="9"/>
      <c r="W15" s="85">
        <f t="shared" si="5"/>
        <v>102.1</v>
      </c>
      <c r="X15" s="86">
        <f t="shared" si="5"/>
        <v>31</v>
      </c>
      <c r="Y15" s="91">
        <f t="shared" si="6"/>
        <v>31</v>
      </c>
      <c r="Z15" s="89">
        <f t="shared" si="6"/>
        <v>0</v>
      </c>
      <c r="AA15" s="89">
        <f>K15</f>
        <v>0</v>
      </c>
      <c r="AB15" s="89">
        <f t="shared" si="7"/>
        <v>0</v>
      </c>
      <c r="AC15" s="4" t="str">
        <f t="shared" si="7"/>
        <v/>
      </c>
      <c r="AD15" s="90">
        <f t="shared" si="7"/>
        <v>0</v>
      </c>
      <c r="AE15" s="76" t="str">
        <f>S15</f>
        <v>계</v>
      </c>
      <c r="AF15" s="76" t="str">
        <f>Q15&amp;"/"&amp;R15</f>
        <v>3/1</v>
      </c>
      <c r="AH15" s="20" t="str">
        <f t="shared" si="1"/>
        <v>진흥하이츠</v>
      </c>
      <c r="AI15" s="86">
        <f t="shared" si="0"/>
        <v>31</v>
      </c>
      <c r="AJ15" s="76" t="str">
        <f>IF(AI15="","",$AJ$2)</f>
        <v>A-</v>
      </c>
      <c r="AK15" s="76" t="s">
        <v>13</v>
      </c>
      <c r="AL15" s="76" t="s">
        <v>62</v>
      </c>
      <c r="AM15" s="76" t="s">
        <v>63</v>
      </c>
      <c r="AN15" s="76" t="str">
        <f>IF(AI15="","",$AN$2)</f>
        <v>C</v>
      </c>
      <c r="AO15" s="76" t="str">
        <f>IF(N15="","",IF(N15&gt;=$AO$1/100,"O","X"))</f>
        <v/>
      </c>
      <c r="AP15" s="76" t="str">
        <f>IF(I15="","",IF(I15&lt;=$AP$1,"O","X"))</f>
        <v/>
      </c>
      <c r="AQ15" s="76" t="str">
        <f>IF(O15="","",IF(O15&lt;=$AQ$1,"O","X"))</f>
        <v>O</v>
      </c>
      <c r="AR15" s="76" t="str">
        <f>IF(M15="","",IF(M15&lt;=$AR$1,"O","X"))</f>
        <v>O</v>
      </c>
      <c r="AS15" s="76" t="s">
        <v>2</v>
      </c>
      <c r="AT15" s="76" t="str">
        <f>IF(OR(F15="",AI15=""),"",IF(AND((F15&lt;=85),(AI15&gt;=15)),"O","X"))</f>
        <v>O</v>
      </c>
      <c r="AU15" s="76" t="str">
        <f>IF(C15="","",IF(C15&gt;=$AU$1,"O","X"))</f>
        <v>X</v>
      </c>
      <c r="AV15" s="76" t="str">
        <f>IF(AO15="","",IF(AND(AO15="O",AP15="O",AR15="O",AT15="O",AU15="O"),"후보","X"))</f>
        <v/>
      </c>
    </row>
    <row r="16" spans="1:48" x14ac:dyDescent="0.3">
      <c r="A16" s="9" t="s">
        <v>578</v>
      </c>
      <c r="B16" s="10" t="s">
        <v>1831</v>
      </c>
      <c r="C16" s="87">
        <v>283</v>
      </c>
      <c r="D16" s="85">
        <v>106.9</v>
      </c>
      <c r="E16" s="86">
        <v>32</v>
      </c>
      <c r="F16" s="85">
        <v>84.4</v>
      </c>
      <c r="G16" s="17">
        <v>26</v>
      </c>
      <c r="H16" s="87">
        <v>80</v>
      </c>
      <c r="I16" s="88"/>
      <c r="J16" s="88"/>
      <c r="K16" s="88"/>
      <c r="L16" s="88"/>
      <c r="M16" s="89">
        <f>I16-K16</f>
        <v>0</v>
      </c>
      <c r="N16" s="4" t="str">
        <f>IF(ISERROR(K16/I16),"",K16/I16)</f>
        <v/>
      </c>
      <c r="O16" s="90">
        <f>I16/E16</f>
        <v>0</v>
      </c>
      <c r="P16" s="90">
        <f>K16/E16</f>
        <v>0</v>
      </c>
      <c r="Q16" s="76">
        <v>3</v>
      </c>
      <c r="R16" s="76">
        <v>2</v>
      </c>
      <c r="S16" s="76" t="s">
        <v>61</v>
      </c>
      <c r="T16" s="5">
        <v>106</v>
      </c>
      <c r="U16" s="9"/>
      <c r="W16" s="85">
        <f t="shared" si="5"/>
        <v>106.9</v>
      </c>
      <c r="X16" s="86">
        <f t="shared" si="5"/>
        <v>32</v>
      </c>
      <c r="Y16" s="91">
        <f t="shared" si="6"/>
        <v>80</v>
      </c>
      <c r="Z16" s="89">
        <f t="shared" si="6"/>
        <v>0</v>
      </c>
      <c r="AA16" s="89">
        <f>K16</f>
        <v>0</v>
      </c>
      <c r="AB16" s="89">
        <f t="shared" si="7"/>
        <v>0</v>
      </c>
      <c r="AC16" s="4" t="str">
        <f t="shared" si="7"/>
        <v/>
      </c>
      <c r="AD16" s="90">
        <f t="shared" si="7"/>
        <v>0</v>
      </c>
      <c r="AE16" s="76" t="str">
        <f>S16</f>
        <v>계</v>
      </c>
      <c r="AF16" s="76" t="str">
        <f>Q16&amp;"/"&amp;R16</f>
        <v>3/2</v>
      </c>
      <c r="AH16" s="20" t="str">
        <f t="shared" si="1"/>
        <v>진흥하이츠</v>
      </c>
      <c r="AI16" s="86">
        <f t="shared" si="0"/>
        <v>32</v>
      </c>
      <c r="AJ16" s="76" t="str">
        <f>IF(AI16="","",$AJ$2)</f>
        <v>A-</v>
      </c>
      <c r="AK16" s="76" t="s">
        <v>13</v>
      </c>
      <c r="AL16" s="76" t="s">
        <v>62</v>
      </c>
      <c r="AM16" s="76" t="s">
        <v>63</v>
      </c>
      <c r="AN16" s="76" t="str">
        <f>IF(AI16="","",$AN$2)</f>
        <v>C</v>
      </c>
      <c r="AO16" s="76" t="str">
        <f>IF(N16="","",IF(N16&gt;=$AO$1/100,"O","X"))</f>
        <v/>
      </c>
      <c r="AP16" s="76" t="str">
        <f>IF(I16="","",IF(I16&lt;=$AP$1,"O","X"))</f>
        <v/>
      </c>
      <c r="AQ16" s="76" t="str">
        <f>IF(O16="","",IF(O16&lt;=$AQ$1,"O","X"))</f>
        <v>O</v>
      </c>
      <c r="AR16" s="76" t="str">
        <f>IF(M16="","",IF(M16&lt;=$AR$1,"O","X"))</f>
        <v>O</v>
      </c>
      <c r="AS16" s="76" t="s">
        <v>2</v>
      </c>
      <c r="AT16" s="76" t="str">
        <f>IF(OR(F16="",AI16=""),"",IF(AND((F16&lt;=85),(AI16&gt;=15)),"O","X"))</f>
        <v>O</v>
      </c>
      <c r="AU16" s="76" t="str">
        <f>IF(C16="","",IF(C16&gt;=$AU$1,"O","X"))</f>
        <v>X</v>
      </c>
      <c r="AV16" s="76" t="str">
        <f>IF(AO16="","",IF(AND(AO16="O",AP16="O",AR16="O",AT16="O",AU16="O"),"후보","X"))</f>
        <v/>
      </c>
    </row>
  </sheetData>
  <mergeCells count="1">
    <mergeCell ref="AJ1:AN1"/>
  </mergeCells>
  <phoneticPr fontId="2" type="noConversion"/>
  <conditionalFormatting sqref="AV4:AV6">
    <cfRule type="expression" dxfId="20445" priority="182">
      <formula>AV4="X"</formula>
    </cfRule>
    <cfRule type="expression" dxfId="20444" priority="183">
      <formula>AV4="후보"</formula>
    </cfRule>
  </conditionalFormatting>
  <conditionalFormatting sqref="AC1:AC2 AC4:AC6 N4:N5">
    <cfRule type="cellIs" dxfId="20443" priority="179" operator="greaterThan">
      <formula>0.9</formula>
    </cfRule>
    <cfRule type="cellIs" dxfId="20442" priority="180" operator="greaterThan">
      <formula>0.85</formula>
    </cfRule>
  </conditionalFormatting>
  <conditionalFormatting sqref="N1:N2">
    <cfRule type="cellIs" dxfId="20441" priority="177" operator="greaterThan">
      <formula>0.9</formula>
    </cfRule>
    <cfRule type="cellIs" dxfId="20440" priority="178" operator="greaterThan">
      <formula>0.85</formula>
    </cfRule>
  </conditionalFormatting>
  <conditionalFormatting sqref="N6">
    <cfRule type="cellIs" dxfId="20439" priority="175" operator="greaterThan">
      <formula>0.9</formula>
    </cfRule>
    <cfRule type="cellIs" dxfId="20438" priority="176" operator="greaterThan">
      <formula>0.85</formula>
    </cfRule>
  </conditionalFormatting>
  <conditionalFormatting sqref="E6">
    <cfRule type="expression" dxfId="20437" priority="171">
      <formula>AND(IF(OR($Q6=1,$Q6=2),1,0),IF($X6&lt;=20,1,0))</formula>
    </cfRule>
    <cfRule type="expression" dxfId="20436" priority="172">
      <formula>AND(IF($Q6=2,1,0),IF($X6&lt;30,1,0))</formula>
    </cfRule>
    <cfRule type="expression" dxfId="20435" priority="173">
      <formula>AND(IF($Q6=3,1,0),IF($X6&lt;30,1,0))</formula>
    </cfRule>
    <cfRule type="expression" dxfId="20434" priority="174">
      <formula>AND(IF($Q6=3,1,IF($Q6=4,1,0)),IF($F6&lt;=85,1,0))</formula>
    </cfRule>
  </conditionalFormatting>
  <conditionalFormatting sqref="X6">
    <cfRule type="expression" dxfId="20433" priority="167">
      <formula>AND(IF(OR($Q6=1,$Q6=2),1,0),IF($X6&lt;=20,1,0))</formula>
    </cfRule>
    <cfRule type="expression" dxfId="20432" priority="168">
      <formula>AND(IF($Q6=2,1,0),IF($X6&lt;30,1,0))</formula>
    </cfRule>
    <cfRule type="expression" dxfId="20431" priority="169">
      <formula>AND(IF($Q6=3,1,0),IF($X6&lt;30,1,0))</formula>
    </cfRule>
    <cfRule type="expression" dxfId="20430" priority="170">
      <formula>AND(IF($Q6=3,1,IF($Q6=4,1,0)),IF($F6&lt;=85,1,0))</formula>
    </cfRule>
  </conditionalFormatting>
  <conditionalFormatting sqref="AI6">
    <cfRule type="expression" dxfId="20429" priority="163">
      <formula>AND(IF(OR($Q6=1,$Q6=2),1,0),IF($X6&lt;=20,1,0))</formula>
    </cfRule>
    <cfRule type="expression" dxfId="20428" priority="164">
      <formula>AND(IF($Q6=2,1,0),IF($X6&lt;30,1,0))</formula>
    </cfRule>
    <cfRule type="expression" dxfId="20427" priority="165">
      <formula>AND(IF($Q6=3,1,0),IF($X6&lt;30,1,0))</formula>
    </cfRule>
    <cfRule type="expression" dxfId="20426" priority="166">
      <formula>AND(IF($Q6=3,1,IF($Q6=4,1,0)),IF($F6&lt;=85,1,0))</formula>
    </cfRule>
  </conditionalFormatting>
  <conditionalFormatting sqref="AV7">
    <cfRule type="expression" dxfId="20425" priority="161">
      <formula>AV7="X"</formula>
    </cfRule>
    <cfRule type="expression" dxfId="20424" priority="162">
      <formula>AV7="후보"</formula>
    </cfRule>
  </conditionalFormatting>
  <conditionalFormatting sqref="AC7 N7">
    <cfRule type="cellIs" dxfId="20423" priority="158" operator="greaterThan">
      <formula>0.9</formula>
    </cfRule>
    <cfRule type="cellIs" dxfId="20422" priority="159" operator="greaterThan">
      <formula>0.85</formula>
    </cfRule>
  </conditionalFormatting>
  <conditionalFormatting sqref="AV8">
    <cfRule type="expression" dxfId="20421" priority="156">
      <formula>AV8="X"</formula>
    </cfRule>
    <cfRule type="expression" dxfId="20420" priority="157">
      <formula>AV8="후보"</formula>
    </cfRule>
  </conditionalFormatting>
  <conditionalFormatting sqref="AC8">
    <cfRule type="cellIs" dxfId="20419" priority="153" operator="greaterThan">
      <formula>0.9</formula>
    </cfRule>
    <cfRule type="cellIs" dxfId="20418" priority="154" operator="greaterThan">
      <formula>0.85</formula>
    </cfRule>
  </conditionalFormatting>
  <conditionalFormatting sqref="N8">
    <cfRule type="cellIs" dxfId="20417" priority="151" operator="greaterThan">
      <formula>0.9</formula>
    </cfRule>
    <cfRule type="cellIs" dxfId="20416" priority="152" operator="greaterThan">
      <formula>0.85</formula>
    </cfRule>
  </conditionalFormatting>
  <conditionalFormatting sqref="E8">
    <cfRule type="expression" dxfId="20415" priority="147">
      <formula>AND(IF(OR($Q8=1,$Q8=2),1,0),IF($X8&lt;=20,1,0))</formula>
    </cfRule>
    <cfRule type="expression" dxfId="20414" priority="148">
      <formula>AND(IF($Q8=2,1,0),IF($X8&lt;30,1,0))</formula>
    </cfRule>
    <cfRule type="expression" dxfId="20413" priority="149">
      <formula>AND(IF($Q8=3,1,0),IF($X8&lt;30,1,0))</formula>
    </cfRule>
    <cfRule type="expression" dxfId="20412" priority="150">
      <formula>AND(IF($Q8=3,1,IF($Q8=4,1,0)),IF($F8&lt;=85,1,0))</formula>
    </cfRule>
  </conditionalFormatting>
  <conditionalFormatting sqref="X8">
    <cfRule type="expression" dxfId="20411" priority="143">
      <formula>AND(IF(OR($Q8=1,$Q8=2),1,0),IF($X8&lt;=20,1,0))</formula>
    </cfRule>
    <cfRule type="expression" dxfId="20410" priority="144">
      <formula>AND(IF($Q8=2,1,0),IF($X8&lt;30,1,0))</formula>
    </cfRule>
    <cfRule type="expression" dxfId="20409" priority="145">
      <formula>AND(IF($Q8=3,1,0),IF($X8&lt;30,1,0))</formula>
    </cfRule>
    <cfRule type="expression" dxfId="20408" priority="146">
      <formula>AND(IF($Q8=3,1,IF($Q8=4,1,0)),IF($F8&lt;=85,1,0))</formula>
    </cfRule>
  </conditionalFormatting>
  <conditionalFormatting sqref="AI8">
    <cfRule type="expression" dxfId="20407" priority="139">
      <formula>AND(IF(OR($Q8=1,$Q8=2),1,0),IF($X8&lt;=20,1,0))</formula>
    </cfRule>
    <cfRule type="expression" dxfId="20406" priority="140">
      <formula>AND(IF($Q8=2,1,0),IF($X8&lt;30,1,0))</formula>
    </cfRule>
    <cfRule type="expression" dxfId="20405" priority="141">
      <formula>AND(IF($Q8=3,1,0),IF($X8&lt;30,1,0))</formula>
    </cfRule>
    <cfRule type="expression" dxfId="20404" priority="142">
      <formula>AND(IF($Q8=3,1,IF($Q8=4,1,0)),IF($F8&lt;=85,1,0))</formula>
    </cfRule>
  </conditionalFormatting>
  <conditionalFormatting sqref="AV9">
    <cfRule type="expression" dxfId="20403" priority="137">
      <formula>AV9="X"</formula>
    </cfRule>
    <cfRule type="expression" dxfId="20402" priority="138">
      <formula>AV9="후보"</formula>
    </cfRule>
  </conditionalFormatting>
  <conditionalFormatting sqref="AC9">
    <cfRule type="cellIs" dxfId="20401" priority="134" operator="greaterThan">
      <formula>0.9</formula>
    </cfRule>
    <cfRule type="cellIs" dxfId="20400" priority="135" operator="greaterThan">
      <formula>0.85</formula>
    </cfRule>
  </conditionalFormatting>
  <conditionalFormatting sqref="N9">
    <cfRule type="cellIs" dxfId="20399" priority="132" operator="greaterThan">
      <formula>0.9</formula>
    </cfRule>
    <cfRule type="cellIs" dxfId="20398" priority="133" operator="greaterThan">
      <formula>0.85</formula>
    </cfRule>
  </conditionalFormatting>
  <conditionalFormatting sqref="E9">
    <cfRule type="expression" dxfId="20397" priority="128">
      <formula>AND(IF(OR($Q9=1,$Q9=2),1,0),IF($X9&lt;=20,1,0))</formula>
    </cfRule>
    <cfRule type="expression" dxfId="20396" priority="129">
      <formula>AND(IF($Q9=2,1,0),IF($X9&lt;30,1,0))</formula>
    </cfRule>
    <cfRule type="expression" dxfId="20395" priority="130">
      <formula>AND(IF($Q9=3,1,0),IF($X9&lt;30,1,0))</formula>
    </cfRule>
    <cfRule type="expression" dxfId="20394" priority="131">
      <formula>AND(IF($Q9=3,1,IF($Q9=4,1,0)),IF($F9&lt;=85,1,0))</formula>
    </cfRule>
  </conditionalFormatting>
  <conditionalFormatting sqref="X9">
    <cfRule type="expression" dxfId="20393" priority="124">
      <formula>AND(IF(OR($Q9=1,$Q9=2),1,0),IF($X9&lt;=20,1,0))</formula>
    </cfRule>
    <cfRule type="expression" dxfId="20392" priority="125">
      <formula>AND(IF($Q9=2,1,0),IF($X9&lt;30,1,0))</formula>
    </cfRule>
    <cfRule type="expression" dxfId="20391" priority="126">
      <formula>AND(IF($Q9=3,1,0),IF($X9&lt;30,1,0))</formula>
    </cfRule>
    <cfRule type="expression" dxfId="20390" priority="127">
      <formula>AND(IF($Q9=3,1,IF($Q9=4,1,0)),IF($F9&lt;=85,1,0))</formula>
    </cfRule>
  </conditionalFormatting>
  <conditionalFormatting sqref="AI9">
    <cfRule type="expression" dxfId="20389" priority="120">
      <formula>AND(IF(OR($Q9=1,$Q9=2),1,0),IF($X9&lt;=20,1,0))</formula>
    </cfRule>
    <cfRule type="expression" dxfId="20388" priority="121">
      <formula>AND(IF($Q9=2,1,0),IF($X9&lt;30,1,0))</formula>
    </cfRule>
    <cfRule type="expression" dxfId="20387" priority="122">
      <formula>AND(IF($Q9=3,1,0),IF($X9&lt;30,1,0))</formula>
    </cfRule>
    <cfRule type="expression" dxfId="20386" priority="123">
      <formula>AND(IF($Q9=3,1,IF($Q9=4,1,0)),IF($F9&lt;=85,1,0))</formula>
    </cfRule>
  </conditionalFormatting>
  <conditionalFormatting sqref="AV10">
    <cfRule type="expression" dxfId="20385" priority="118">
      <formula>AV10="X"</formula>
    </cfRule>
    <cfRule type="expression" dxfId="20384" priority="119">
      <formula>AV10="후보"</formula>
    </cfRule>
  </conditionalFormatting>
  <conditionalFormatting sqref="AC10">
    <cfRule type="cellIs" dxfId="20383" priority="115" operator="greaterThan">
      <formula>0.9</formula>
    </cfRule>
    <cfRule type="cellIs" dxfId="20382" priority="116" operator="greaterThan">
      <formula>0.85</formula>
    </cfRule>
  </conditionalFormatting>
  <conditionalFormatting sqref="N10">
    <cfRule type="cellIs" dxfId="20381" priority="113" operator="greaterThan">
      <formula>0.9</formula>
    </cfRule>
    <cfRule type="cellIs" dxfId="20380" priority="114" operator="greaterThan">
      <formula>0.85</formula>
    </cfRule>
  </conditionalFormatting>
  <conditionalFormatting sqref="E10">
    <cfRule type="expression" dxfId="20379" priority="109">
      <formula>AND(IF(OR($Q10=1,$Q10=2),1,0),IF($X10&lt;=20,1,0))</formula>
    </cfRule>
    <cfRule type="expression" dxfId="20378" priority="110">
      <formula>AND(IF($Q10=2,1,0),IF($X10&lt;30,1,0))</formula>
    </cfRule>
    <cfRule type="expression" dxfId="20377" priority="111">
      <formula>AND(IF($Q10=3,1,0),IF($X10&lt;30,1,0))</formula>
    </cfRule>
    <cfRule type="expression" dxfId="20376" priority="112">
      <formula>AND(IF($Q10=3,1,IF($Q10=4,1,0)),IF($F10&lt;=85,1,0))</formula>
    </cfRule>
  </conditionalFormatting>
  <conditionalFormatting sqref="X10">
    <cfRule type="expression" dxfId="20375" priority="105">
      <formula>AND(IF(OR($Q10=1,$Q10=2),1,0),IF($X10&lt;=20,1,0))</formula>
    </cfRule>
    <cfRule type="expression" dxfId="20374" priority="106">
      <formula>AND(IF($Q10=2,1,0),IF($X10&lt;30,1,0))</formula>
    </cfRule>
    <cfRule type="expression" dxfId="20373" priority="107">
      <formula>AND(IF($Q10=3,1,0),IF($X10&lt;30,1,0))</formula>
    </cfRule>
    <cfRule type="expression" dxfId="20372" priority="108">
      <formula>AND(IF($Q10=3,1,IF($Q10=4,1,0)),IF($F10&lt;=85,1,0))</formula>
    </cfRule>
  </conditionalFormatting>
  <conditionalFormatting sqref="AI10">
    <cfRule type="expression" dxfId="20371" priority="101">
      <formula>AND(IF(OR($Q10=1,$Q10=2),1,0),IF($X10&lt;=20,1,0))</formula>
    </cfRule>
    <cfRule type="expression" dxfId="20370" priority="102">
      <formula>AND(IF($Q10=2,1,0),IF($X10&lt;30,1,0))</formula>
    </cfRule>
    <cfRule type="expression" dxfId="20369" priority="103">
      <formula>AND(IF($Q10=3,1,0),IF($X10&lt;30,1,0))</formula>
    </cfRule>
    <cfRule type="expression" dxfId="20368" priority="104">
      <formula>AND(IF($Q10=3,1,IF($Q10=4,1,0)),IF($F10&lt;=85,1,0))</formula>
    </cfRule>
  </conditionalFormatting>
  <conditionalFormatting sqref="AV11">
    <cfRule type="expression" dxfId="20367" priority="99">
      <formula>AV11="X"</formula>
    </cfRule>
    <cfRule type="expression" dxfId="20366" priority="100">
      <formula>AV11="후보"</formula>
    </cfRule>
  </conditionalFormatting>
  <conditionalFormatting sqref="AC11">
    <cfRule type="cellIs" dxfId="20365" priority="96" operator="greaterThan">
      <formula>0.9</formula>
    </cfRule>
    <cfRule type="cellIs" dxfId="20364" priority="97" operator="greaterThan">
      <formula>0.85</formula>
    </cfRule>
  </conditionalFormatting>
  <conditionalFormatting sqref="N11">
    <cfRule type="cellIs" dxfId="20363" priority="94" operator="greaterThan">
      <formula>0.9</formula>
    </cfRule>
    <cfRule type="cellIs" dxfId="20362" priority="95" operator="greaterThan">
      <formula>0.85</formula>
    </cfRule>
  </conditionalFormatting>
  <conditionalFormatting sqref="E11">
    <cfRule type="expression" dxfId="20361" priority="90">
      <formula>AND(IF(OR($Q11=1,$Q11=2),1,0),IF($X11&lt;=20,1,0))</formula>
    </cfRule>
    <cfRule type="expression" dxfId="20360" priority="91">
      <formula>AND(IF($Q11=2,1,0),IF($X11&lt;30,1,0))</formula>
    </cfRule>
    <cfRule type="expression" dxfId="20359" priority="92">
      <formula>AND(IF($Q11=3,1,0),IF($X11&lt;30,1,0))</formula>
    </cfRule>
    <cfRule type="expression" dxfId="20358" priority="93">
      <formula>AND(IF($Q11=3,1,IF($Q11=4,1,0)),IF($F11&lt;=85,1,0))</formula>
    </cfRule>
  </conditionalFormatting>
  <conditionalFormatting sqref="X11">
    <cfRule type="expression" dxfId="20357" priority="86">
      <formula>AND(IF(OR($Q11=1,$Q11=2),1,0),IF($X11&lt;=20,1,0))</formula>
    </cfRule>
    <cfRule type="expression" dxfId="20356" priority="87">
      <formula>AND(IF($Q11=2,1,0),IF($X11&lt;30,1,0))</formula>
    </cfRule>
    <cfRule type="expression" dxfId="20355" priority="88">
      <formula>AND(IF($Q11=3,1,0),IF($X11&lt;30,1,0))</formula>
    </cfRule>
    <cfRule type="expression" dxfId="20354" priority="89">
      <formula>AND(IF($Q11=3,1,IF($Q11=4,1,0)),IF($F11&lt;=85,1,0))</formula>
    </cfRule>
  </conditionalFormatting>
  <conditionalFormatting sqref="AI11">
    <cfRule type="expression" dxfId="20353" priority="82">
      <formula>AND(IF(OR($Q11=1,$Q11=2),1,0),IF($X11&lt;=20,1,0))</formula>
    </cfRule>
    <cfRule type="expression" dxfId="20352" priority="83">
      <formula>AND(IF($Q11=2,1,0),IF($X11&lt;30,1,0))</formula>
    </cfRule>
    <cfRule type="expression" dxfId="20351" priority="84">
      <formula>AND(IF($Q11=3,1,0),IF($X11&lt;30,1,0))</formula>
    </cfRule>
    <cfRule type="expression" dxfId="20350" priority="85">
      <formula>AND(IF($Q11=3,1,IF($Q11=4,1,0)),IF($F11&lt;=85,1,0))</formula>
    </cfRule>
  </conditionalFormatting>
  <conditionalFormatting sqref="AV12">
    <cfRule type="expression" dxfId="20349" priority="80">
      <formula>AV12="X"</formula>
    </cfRule>
    <cfRule type="expression" dxfId="20348" priority="81">
      <formula>AV12="후보"</formula>
    </cfRule>
  </conditionalFormatting>
  <conditionalFormatting sqref="AC12">
    <cfRule type="cellIs" dxfId="20347" priority="77" operator="greaterThan">
      <formula>0.9</formula>
    </cfRule>
    <cfRule type="cellIs" dxfId="20346" priority="78" operator="greaterThan">
      <formula>0.85</formula>
    </cfRule>
  </conditionalFormatting>
  <conditionalFormatting sqref="N12">
    <cfRule type="cellIs" dxfId="20345" priority="75" operator="greaterThan">
      <formula>0.9</formula>
    </cfRule>
    <cfRule type="cellIs" dxfId="20344" priority="76" operator="greaterThan">
      <formula>0.85</formula>
    </cfRule>
  </conditionalFormatting>
  <conditionalFormatting sqref="E12">
    <cfRule type="expression" dxfId="20343" priority="71">
      <formula>AND(IF(OR($Q12=1,$Q12=2),1,0),IF($X12&lt;=20,1,0))</formula>
    </cfRule>
    <cfRule type="expression" dxfId="20342" priority="72">
      <formula>AND(IF($Q12=2,1,0),IF($X12&lt;30,1,0))</formula>
    </cfRule>
    <cfRule type="expression" dxfId="20341" priority="73">
      <formula>AND(IF($Q12=3,1,0),IF($X12&lt;30,1,0))</formula>
    </cfRule>
    <cfRule type="expression" dxfId="20340" priority="74">
      <formula>AND(IF($Q12=3,1,IF($Q12=4,1,0)),IF($F12&lt;=85,1,0))</formula>
    </cfRule>
  </conditionalFormatting>
  <conditionalFormatting sqref="X12">
    <cfRule type="expression" dxfId="20339" priority="67">
      <formula>AND(IF(OR($Q12=1,$Q12=2),1,0),IF($X12&lt;=20,1,0))</formula>
    </cfRule>
    <cfRule type="expression" dxfId="20338" priority="68">
      <formula>AND(IF($Q12=2,1,0),IF($X12&lt;30,1,0))</formula>
    </cfRule>
    <cfRule type="expression" dxfId="20337" priority="69">
      <formula>AND(IF($Q12=3,1,0),IF($X12&lt;30,1,0))</formula>
    </cfRule>
    <cfRule type="expression" dxfId="20336" priority="70">
      <formula>AND(IF($Q12=3,1,IF($Q12=4,1,0)),IF($F12&lt;=85,1,0))</formula>
    </cfRule>
  </conditionalFormatting>
  <conditionalFormatting sqref="AI12">
    <cfRule type="expression" dxfId="20335" priority="63">
      <formula>AND(IF(OR($Q12=1,$Q12=2),1,0),IF($X12&lt;=20,1,0))</formula>
    </cfRule>
    <cfRule type="expression" dxfId="20334" priority="64">
      <formula>AND(IF($Q12=2,1,0),IF($X12&lt;30,1,0))</formula>
    </cfRule>
    <cfRule type="expression" dxfId="20333" priority="65">
      <formula>AND(IF($Q12=3,1,0),IF($X12&lt;30,1,0))</formula>
    </cfRule>
    <cfRule type="expression" dxfId="20332" priority="66">
      <formula>AND(IF($Q12=3,1,IF($Q12=4,1,0)),IF($F12&lt;=85,1,0))</formula>
    </cfRule>
  </conditionalFormatting>
  <conditionalFormatting sqref="AV13">
    <cfRule type="expression" dxfId="20331" priority="61">
      <formula>AV13="X"</formula>
    </cfRule>
    <cfRule type="expression" dxfId="20330" priority="62">
      <formula>AV13="후보"</formula>
    </cfRule>
  </conditionalFormatting>
  <conditionalFormatting sqref="AC13 N13">
    <cfRule type="cellIs" dxfId="20329" priority="58" operator="greaterThan">
      <formula>0.9</formula>
    </cfRule>
    <cfRule type="cellIs" dxfId="20328" priority="59" operator="greaterThan">
      <formula>0.85</formula>
    </cfRule>
  </conditionalFormatting>
  <conditionalFormatting sqref="AV14">
    <cfRule type="expression" dxfId="20327" priority="56">
      <formula>AV14="X"</formula>
    </cfRule>
    <cfRule type="expression" dxfId="20326" priority="57">
      <formula>AV14="후보"</formula>
    </cfRule>
  </conditionalFormatting>
  <conditionalFormatting sqref="AC14">
    <cfRule type="cellIs" dxfId="20325" priority="53" operator="greaterThan">
      <formula>0.9</formula>
    </cfRule>
    <cfRule type="cellIs" dxfId="20324" priority="54" operator="greaterThan">
      <formula>0.85</formula>
    </cfRule>
  </conditionalFormatting>
  <conditionalFormatting sqref="N14">
    <cfRule type="cellIs" dxfId="20323" priority="51" operator="greaterThan">
      <formula>0.9</formula>
    </cfRule>
    <cfRule type="cellIs" dxfId="20322" priority="52" operator="greaterThan">
      <formula>0.85</formula>
    </cfRule>
  </conditionalFormatting>
  <conditionalFormatting sqref="E14">
    <cfRule type="expression" dxfId="20321" priority="47">
      <formula>AND(IF(OR($Q14=1,$Q14=2),1,0),IF($X14&lt;=20,1,0))</formula>
    </cfRule>
    <cfRule type="expression" dxfId="20320" priority="48">
      <formula>AND(IF($Q14=2,1,0),IF($X14&lt;30,1,0))</formula>
    </cfRule>
    <cfRule type="expression" dxfId="20319" priority="49">
      <formula>AND(IF($Q14=3,1,0),IF($X14&lt;30,1,0))</formula>
    </cfRule>
    <cfRule type="expression" dxfId="20318" priority="50">
      <formula>AND(IF($Q14=3,1,IF($Q14=4,1,0)),IF($F14&lt;=85,1,0))</formula>
    </cfRule>
  </conditionalFormatting>
  <conditionalFormatting sqref="X14">
    <cfRule type="expression" dxfId="20317" priority="43">
      <formula>AND(IF(OR($Q14=1,$Q14=2),1,0),IF($X14&lt;=20,1,0))</formula>
    </cfRule>
    <cfRule type="expression" dxfId="20316" priority="44">
      <formula>AND(IF($Q14=2,1,0),IF($X14&lt;30,1,0))</formula>
    </cfRule>
    <cfRule type="expression" dxfId="20315" priority="45">
      <formula>AND(IF($Q14=3,1,0),IF($X14&lt;30,1,0))</formula>
    </cfRule>
    <cfRule type="expression" dxfId="20314" priority="46">
      <formula>AND(IF($Q14=3,1,IF($Q14=4,1,0)),IF($F14&lt;=85,1,0))</formula>
    </cfRule>
  </conditionalFormatting>
  <conditionalFormatting sqref="AI14">
    <cfRule type="expression" dxfId="20313" priority="39">
      <formula>AND(IF(OR($Q14=1,$Q14=2),1,0),IF($X14&lt;=20,1,0))</formula>
    </cfRule>
    <cfRule type="expression" dxfId="20312" priority="40">
      <formula>AND(IF($Q14=2,1,0),IF($X14&lt;30,1,0))</formula>
    </cfRule>
    <cfRule type="expression" dxfId="20311" priority="41">
      <formula>AND(IF($Q14=3,1,0),IF($X14&lt;30,1,0))</formula>
    </cfRule>
    <cfRule type="expression" dxfId="20310" priority="42">
      <formula>AND(IF($Q14=3,1,IF($Q14=4,1,0)),IF($F14&lt;=85,1,0))</formula>
    </cfRule>
  </conditionalFormatting>
  <conditionalFormatting sqref="AV15">
    <cfRule type="expression" dxfId="20309" priority="37">
      <formula>AV15="X"</formula>
    </cfRule>
    <cfRule type="expression" dxfId="20308" priority="38">
      <formula>AV15="후보"</formula>
    </cfRule>
  </conditionalFormatting>
  <conditionalFormatting sqref="AC15">
    <cfRule type="cellIs" dxfId="20307" priority="34" operator="greaterThan">
      <formula>0.9</formula>
    </cfRule>
    <cfRule type="cellIs" dxfId="20306" priority="35" operator="greaterThan">
      <formula>0.85</formula>
    </cfRule>
  </conditionalFormatting>
  <conditionalFormatting sqref="N15">
    <cfRule type="cellIs" dxfId="20305" priority="32" operator="greaterThan">
      <formula>0.9</formula>
    </cfRule>
    <cfRule type="cellIs" dxfId="20304" priority="33" operator="greaterThan">
      <formula>0.85</formula>
    </cfRule>
  </conditionalFormatting>
  <conditionalFormatting sqref="E15">
    <cfRule type="expression" dxfId="20303" priority="28">
      <formula>AND(IF(OR($Q15=1,$Q15=2),1,0),IF($X15&lt;=20,1,0))</formula>
    </cfRule>
    <cfRule type="expression" dxfId="20302" priority="29">
      <formula>AND(IF($Q15=2,1,0),IF($X15&lt;30,1,0))</formula>
    </cfRule>
    <cfRule type="expression" dxfId="20301" priority="30">
      <formula>AND(IF($Q15=3,1,0),IF($X15&lt;30,1,0))</formula>
    </cfRule>
    <cfRule type="expression" dxfId="20300" priority="31">
      <formula>AND(IF($Q15=3,1,IF($Q15=4,1,0)),IF($F15&lt;=85,1,0))</formula>
    </cfRule>
  </conditionalFormatting>
  <conditionalFormatting sqref="X15">
    <cfRule type="expression" dxfId="20299" priority="24">
      <formula>AND(IF(OR($Q15=1,$Q15=2),1,0),IF($X15&lt;=20,1,0))</formula>
    </cfRule>
    <cfRule type="expression" dxfId="20298" priority="25">
      <formula>AND(IF($Q15=2,1,0),IF($X15&lt;30,1,0))</formula>
    </cfRule>
    <cfRule type="expression" dxfId="20297" priority="26">
      <formula>AND(IF($Q15=3,1,0),IF($X15&lt;30,1,0))</formula>
    </cfRule>
    <cfRule type="expression" dxfId="20296" priority="27">
      <formula>AND(IF($Q15=3,1,IF($Q15=4,1,0)),IF($F15&lt;=85,1,0))</formula>
    </cfRule>
  </conditionalFormatting>
  <conditionalFormatting sqref="AI15">
    <cfRule type="expression" dxfId="20295" priority="20">
      <formula>AND(IF(OR($Q15=1,$Q15=2),1,0),IF($X15&lt;=20,1,0))</formula>
    </cfRule>
    <cfRule type="expression" dxfId="20294" priority="21">
      <formula>AND(IF($Q15=2,1,0),IF($X15&lt;30,1,0))</formula>
    </cfRule>
    <cfRule type="expression" dxfId="20293" priority="22">
      <formula>AND(IF($Q15=3,1,0),IF($X15&lt;30,1,0))</formula>
    </cfRule>
    <cfRule type="expression" dxfId="20292" priority="23">
      <formula>AND(IF($Q15=3,1,IF($Q15=4,1,0)),IF($F15&lt;=85,1,0))</formula>
    </cfRule>
  </conditionalFormatting>
  <conditionalFormatting sqref="AV16">
    <cfRule type="expression" dxfId="20291" priority="18">
      <formula>AV16="X"</formula>
    </cfRule>
    <cfRule type="expression" dxfId="20290" priority="19">
      <formula>AV16="후보"</formula>
    </cfRule>
  </conditionalFormatting>
  <conditionalFormatting sqref="AC16">
    <cfRule type="cellIs" dxfId="20289" priority="15" operator="greaterThan">
      <formula>0.9</formula>
    </cfRule>
    <cfRule type="cellIs" dxfId="20288" priority="16" operator="greaterThan">
      <formula>0.85</formula>
    </cfRule>
  </conditionalFormatting>
  <conditionalFormatting sqref="N16">
    <cfRule type="cellIs" dxfId="20287" priority="13" operator="greaterThan">
      <formula>0.9</formula>
    </cfRule>
    <cfRule type="cellIs" dxfId="20286" priority="14" operator="greaterThan">
      <formula>0.85</formula>
    </cfRule>
  </conditionalFormatting>
  <conditionalFormatting sqref="E16">
    <cfRule type="expression" dxfId="20285" priority="9">
      <formula>AND(IF(OR($Q16=1,$Q16=2),1,0),IF($X16&lt;=20,1,0))</formula>
    </cfRule>
    <cfRule type="expression" dxfId="20284" priority="10">
      <formula>AND(IF($Q16=2,1,0),IF($X16&lt;30,1,0))</formula>
    </cfRule>
    <cfRule type="expression" dxfId="20283" priority="11">
      <formula>AND(IF($Q16=3,1,0),IF($X16&lt;30,1,0))</formula>
    </cfRule>
    <cfRule type="expression" dxfId="20282" priority="12">
      <formula>AND(IF($Q16=3,1,IF($Q16=4,1,0)),IF($F16&lt;=85,1,0))</formula>
    </cfRule>
  </conditionalFormatting>
  <conditionalFormatting sqref="X16">
    <cfRule type="expression" dxfId="20281" priority="5">
      <formula>AND(IF(OR($Q16=1,$Q16=2),1,0),IF($X16&lt;=20,1,0))</formula>
    </cfRule>
    <cfRule type="expression" dxfId="20280" priority="6">
      <formula>AND(IF($Q16=2,1,0),IF($X16&lt;30,1,0))</formula>
    </cfRule>
    <cfRule type="expression" dxfId="20279" priority="7">
      <formula>AND(IF($Q16=3,1,0),IF($X16&lt;30,1,0))</formula>
    </cfRule>
    <cfRule type="expression" dxfId="20278" priority="8">
      <formula>AND(IF($Q16=3,1,IF($Q16=4,1,0)),IF($F16&lt;=85,1,0))</formula>
    </cfRule>
  </conditionalFormatting>
  <conditionalFormatting sqref="AI16">
    <cfRule type="expression" dxfId="20277" priority="1">
      <formula>AND(IF(OR($Q16=1,$Q16=2),1,0),IF($X16&lt;=20,1,0))</formula>
    </cfRule>
    <cfRule type="expression" dxfId="20276" priority="2">
      <formula>AND(IF($Q16=2,1,0),IF($X16&lt;30,1,0))</formula>
    </cfRule>
    <cfRule type="expression" dxfId="20275" priority="3">
      <formula>AND(IF($Q16=3,1,0),IF($X16&lt;30,1,0))</formula>
    </cfRule>
    <cfRule type="expression" dxfId="20274" priority="4">
      <formula>AND(IF($Q16=3,1,IF($Q16=4,1,0)),IF($F16&lt;=85,1,0))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pageSetUpPr fitToPage="1"/>
  </sheetPr>
  <dimension ref="A1:AV9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96" sqref="A96:XFD96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5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0" width="9" style="37" customWidth="1"/>
    <col min="51" max="16384" width="9" style="37"/>
  </cols>
  <sheetData>
    <row r="1" spans="1:48" ht="17.25" customHeight="1" x14ac:dyDescent="0.3">
      <c r="A1" s="7" t="str">
        <f>단지추출!A1</f>
        <v>인천광역시 연수구</v>
      </c>
      <c r="I1" s="42" t="s">
        <v>1827</v>
      </c>
      <c r="X1" s="37" t="s">
        <v>5</v>
      </c>
      <c r="Y1" s="37"/>
      <c r="AA1" s="39">
        <f>단지추출!AA1</f>
        <v>70000</v>
      </c>
      <c r="AH1" s="7" t="str">
        <f>A1</f>
        <v>인천광역시 연수구</v>
      </c>
      <c r="AJ1" s="117" t="str">
        <f>A1&amp;" 전체 등급"</f>
        <v>인천광역시 연수구 전체 등급</v>
      </c>
      <c r="AK1" s="118"/>
      <c r="AL1" s="118"/>
      <c r="AM1" s="118"/>
      <c r="AN1" s="119"/>
      <c r="AO1" s="22">
        <f>단지추출!AO1</f>
        <v>80</v>
      </c>
      <c r="AP1" s="22">
        <f>단지추출!AP1</f>
        <v>50000</v>
      </c>
      <c r="AQ1" s="22">
        <f>단지추출!AQ1</f>
        <v>15000</v>
      </c>
      <c r="AR1" s="22">
        <f>단지추출!AR1</f>
        <v>5000</v>
      </c>
      <c r="AS1" s="2"/>
      <c r="AT1" s="2"/>
      <c r="AU1" s="22">
        <f>단지추출!AU1</f>
        <v>300</v>
      </c>
    </row>
    <row r="2" spans="1:48" x14ac:dyDescent="0.3">
      <c r="A2" s="80">
        <f>단지추출!A2</f>
        <v>44197</v>
      </c>
      <c r="W2" s="38"/>
      <c r="X2" s="38" t="s">
        <v>10</v>
      </c>
      <c r="Y2" s="38"/>
      <c r="AA2" s="39">
        <f>단지추출!AA2</f>
        <v>10000</v>
      </c>
      <c r="AH2" s="18" t="str">
        <f>AH1 &amp;" " &amp;A4</f>
        <v>인천광역시 연수구 삼천동1가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4" t="s">
        <v>15</v>
      </c>
      <c r="AP2" s="65"/>
      <c r="AQ2" s="66"/>
      <c r="AR2" s="64" t="s">
        <v>16</v>
      </c>
      <c r="AS2" s="66"/>
      <c r="AT2" s="64" t="s">
        <v>17</v>
      </c>
      <c r="AU2" s="66"/>
      <c r="AV2" s="40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1828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106" t="s">
        <v>27</v>
      </c>
      <c r="Z3" s="12" t="s">
        <v>41</v>
      </c>
      <c r="AA3" s="12" t="s">
        <v>42</v>
      </c>
      <c r="AB3" s="12" t="s">
        <v>1828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34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(5억↓)</v>
      </c>
      <c r="AQ3" s="11" t="str">
        <f>"지역평단가
("&amp;AQ1&amp;"↓)"</f>
        <v>지역평단가
(15000↓)</v>
      </c>
      <c r="AR3" s="11" t="str">
        <f>"투자규모★
(갭"&amp;AR1/1000&amp;"천↓)"</f>
        <v>투자규모★
(갭5천↓)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1" t="s">
        <v>18</v>
      </c>
    </row>
    <row r="4" spans="1:48" x14ac:dyDescent="0.3">
      <c r="A4" s="8" t="s">
        <v>588</v>
      </c>
      <c r="B4" s="76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07"/>
      <c r="R4" s="107"/>
      <c r="S4" s="76"/>
      <c r="T4" s="5"/>
      <c r="U4" s="9"/>
      <c r="W4" s="9"/>
      <c r="X4" s="9"/>
      <c r="Y4" s="91"/>
      <c r="Z4" s="9"/>
      <c r="AA4" s="9"/>
      <c r="AB4" s="9"/>
      <c r="AC4" s="9"/>
      <c r="AD4" s="9"/>
      <c r="AE4" s="76"/>
      <c r="AF4" s="5"/>
      <c r="AH4" s="20"/>
      <c r="AI4" s="108" t="str">
        <f t="shared" si="0"/>
        <v/>
      </c>
      <c r="AJ4" s="76"/>
      <c r="AK4" s="76"/>
      <c r="AL4" s="76"/>
      <c r="AM4" s="76"/>
      <c r="AN4" s="76"/>
      <c r="AO4" s="76"/>
      <c r="AP4" s="76"/>
      <c r="AQ4" s="76"/>
      <c r="AR4" s="76"/>
      <c r="AS4" s="76"/>
      <c r="AT4" s="76"/>
      <c r="AU4" s="76"/>
      <c r="AV4" s="76"/>
    </row>
    <row r="5" spans="1:48" x14ac:dyDescent="0.3">
      <c r="A5" s="9"/>
      <c r="B5" s="76"/>
      <c r="C5" s="6"/>
      <c r="D5" s="9"/>
      <c r="E5" s="14"/>
      <c r="F5" s="85"/>
      <c r="G5" s="9"/>
      <c r="H5" s="9"/>
      <c r="I5" s="9"/>
      <c r="J5" s="9"/>
      <c r="K5" s="9"/>
      <c r="L5" s="9"/>
      <c r="M5" s="9"/>
      <c r="N5" s="9"/>
      <c r="O5" s="90"/>
      <c r="P5" s="90"/>
      <c r="Q5" s="86"/>
      <c r="R5" s="86"/>
      <c r="S5" s="9"/>
      <c r="T5" s="47"/>
      <c r="U5" s="9"/>
      <c r="W5" s="67" t="str">
        <f>$A$4&amp;" "&amp;A6&amp;"("&amp;B6&amp;","&amp;C6&amp;"^)"</f>
        <v>삼천동1가 대왕장미타운('97.05.,340^)</v>
      </c>
      <c r="X5" s="68"/>
      <c r="Y5" s="68"/>
      <c r="Z5" s="68"/>
      <c r="AA5" s="68"/>
      <c r="AB5" s="68"/>
      <c r="AC5" s="68"/>
      <c r="AD5" s="68"/>
      <c r="AE5" s="68"/>
      <c r="AF5" s="69"/>
      <c r="AH5" s="20" t="str">
        <f t="shared" ref="AH5:AH36" si="1">IF(A5="","",A5)</f>
        <v/>
      </c>
      <c r="AI5" s="108" t="str">
        <f t="shared" si="0"/>
        <v/>
      </c>
      <c r="AJ5" s="76"/>
      <c r="AK5" s="76"/>
      <c r="AL5" s="76"/>
      <c r="AM5" s="76"/>
      <c r="AN5" s="76"/>
      <c r="AO5" s="76"/>
      <c r="AP5" s="76"/>
      <c r="AQ5" s="76"/>
      <c r="AR5" s="76"/>
      <c r="AS5" s="76"/>
      <c r="AT5" s="76"/>
      <c r="AU5" s="76"/>
      <c r="AV5" s="76"/>
    </row>
    <row r="6" spans="1:48" x14ac:dyDescent="0.3">
      <c r="A6" s="9" t="s">
        <v>584</v>
      </c>
      <c r="B6" s="10" t="s">
        <v>1832</v>
      </c>
      <c r="C6" s="87">
        <v>340</v>
      </c>
      <c r="D6" s="85">
        <v>78.8</v>
      </c>
      <c r="E6" s="86">
        <v>24</v>
      </c>
      <c r="F6" s="85">
        <v>59.9</v>
      </c>
      <c r="G6" s="17">
        <v>18</v>
      </c>
      <c r="H6" s="87">
        <v>176</v>
      </c>
      <c r="I6" s="88">
        <v>12500</v>
      </c>
      <c r="J6" s="88" t="s">
        <v>71</v>
      </c>
      <c r="K6" s="88">
        <v>13000</v>
      </c>
      <c r="L6" s="88" t="s">
        <v>71</v>
      </c>
      <c r="M6" s="89">
        <f>I6-K6</f>
        <v>-500</v>
      </c>
      <c r="N6" s="4">
        <f>IF(ISERROR(K6/I6),"",K6/I6)</f>
        <v>1.04</v>
      </c>
      <c r="O6" s="90">
        <f>I6/E6</f>
        <v>520.83333333333337</v>
      </c>
      <c r="P6" s="90">
        <f>K6/E6</f>
        <v>541.66666666666663</v>
      </c>
      <c r="Q6" s="76">
        <v>3</v>
      </c>
      <c r="R6" s="76">
        <v>1</v>
      </c>
      <c r="S6" s="76" t="s">
        <v>61</v>
      </c>
      <c r="T6" s="5">
        <v>78</v>
      </c>
      <c r="U6" s="9"/>
      <c r="W6" s="85">
        <f>D6</f>
        <v>78.8</v>
      </c>
      <c r="X6" s="86">
        <f>E6</f>
        <v>24</v>
      </c>
      <c r="Y6" s="91">
        <f>H6</f>
        <v>176</v>
      </c>
      <c r="Z6" s="89">
        <f>I6</f>
        <v>12500</v>
      </c>
      <c r="AA6" s="89">
        <f>K6</f>
        <v>13000</v>
      </c>
      <c r="AB6" s="89">
        <f t="shared" ref="AB6:AD7" si="2">M6</f>
        <v>-500</v>
      </c>
      <c r="AC6" s="4">
        <f t="shared" si="2"/>
        <v>1.04</v>
      </c>
      <c r="AD6" s="90">
        <f t="shared" si="2"/>
        <v>520.83333333333337</v>
      </c>
      <c r="AE6" s="76" t="str">
        <f>S6</f>
        <v>계</v>
      </c>
      <c r="AF6" s="76" t="str">
        <f>Q6&amp;"/"&amp;R6</f>
        <v>3/1</v>
      </c>
      <c r="AH6" s="20" t="str">
        <f t="shared" si="1"/>
        <v>대왕장미타운</v>
      </c>
      <c r="AI6" s="86">
        <f t="shared" si="0"/>
        <v>24</v>
      </c>
      <c r="AJ6" s="76" t="str">
        <f>IF(AI6="","",$AJ$2)</f>
        <v>A-</v>
      </c>
      <c r="AK6" s="76" t="s">
        <v>13</v>
      </c>
      <c r="AL6" s="76" t="s">
        <v>62</v>
      </c>
      <c r="AM6" s="76" t="s">
        <v>63</v>
      </c>
      <c r="AN6" s="76" t="str">
        <f>IF(AI6="","",$AN$2)</f>
        <v>C</v>
      </c>
      <c r="AO6" s="76" t="str">
        <f>IF(N6="","",IF(N6&gt;=$AO$1/100,"O","X"))</f>
        <v>O</v>
      </c>
      <c r="AP6" s="76" t="str">
        <f>IF(I6="","",IF(I6&lt;=$AP$1,"O","X"))</f>
        <v>O</v>
      </c>
      <c r="AQ6" s="76" t="str">
        <f>IF(O6="","",IF(O6&lt;=$AQ$1,"O","X"))</f>
        <v>O</v>
      </c>
      <c r="AR6" s="76" t="str">
        <f>IF(M6="","",IF(M6&lt;=$AR$1,"O","X"))</f>
        <v>O</v>
      </c>
      <c r="AS6" s="76" t="s">
        <v>2</v>
      </c>
      <c r="AT6" s="76" t="str">
        <f>IF(OR(F6="",AI6=""),"",IF(AND((F6&lt;=85),(AI6&gt;=15)),"O","X"))</f>
        <v>O</v>
      </c>
      <c r="AU6" s="76" t="str">
        <f>IF(C6="","",IF(C6&gt;=$AU$1,"O","X"))</f>
        <v>O</v>
      </c>
      <c r="AV6" s="76" t="str">
        <f>IF(AO6="","",IF(AND(AO6="O",AP6="O",AR6="O",AT6="O",AU6="O"),"후보","X"))</f>
        <v>후보</v>
      </c>
    </row>
    <row r="7" spans="1:48" x14ac:dyDescent="0.3">
      <c r="A7" s="9" t="s">
        <v>584</v>
      </c>
      <c r="B7" s="10" t="s">
        <v>1832</v>
      </c>
      <c r="C7" s="87">
        <v>340</v>
      </c>
      <c r="D7" s="85">
        <v>105.9</v>
      </c>
      <c r="E7" s="86">
        <v>32</v>
      </c>
      <c r="F7" s="85">
        <v>85</v>
      </c>
      <c r="G7" s="17">
        <v>26</v>
      </c>
      <c r="H7" s="87">
        <v>164</v>
      </c>
      <c r="I7" s="88">
        <v>18000</v>
      </c>
      <c r="J7" s="88" t="s">
        <v>72</v>
      </c>
      <c r="K7" s="88"/>
      <c r="L7" s="88"/>
      <c r="M7" s="89">
        <f>I7-K7</f>
        <v>18000</v>
      </c>
      <c r="N7" s="4">
        <f>IF(ISERROR(K7/I7),"",K7/I7)</f>
        <v>0</v>
      </c>
      <c r="O7" s="90">
        <f>I7/E7</f>
        <v>562.5</v>
      </c>
      <c r="P7" s="90">
        <f>K7/E7</f>
        <v>0</v>
      </c>
      <c r="Q7" s="76">
        <v>3</v>
      </c>
      <c r="R7" s="76">
        <v>2</v>
      </c>
      <c r="S7" s="76" t="s">
        <v>61</v>
      </c>
      <c r="T7" s="5">
        <v>105</v>
      </c>
      <c r="U7" s="9"/>
      <c r="W7" s="85">
        <f>D7</f>
        <v>105.9</v>
      </c>
      <c r="X7" s="86">
        <f>E7</f>
        <v>32</v>
      </c>
      <c r="Y7" s="91">
        <f>H7</f>
        <v>164</v>
      </c>
      <c r="Z7" s="89">
        <f>I7</f>
        <v>18000</v>
      </c>
      <c r="AA7" s="89">
        <f>K7</f>
        <v>0</v>
      </c>
      <c r="AB7" s="89">
        <f t="shared" si="2"/>
        <v>18000</v>
      </c>
      <c r="AC7" s="4">
        <f t="shared" si="2"/>
        <v>0</v>
      </c>
      <c r="AD7" s="90">
        <f t="shared" si="2"/>
        <v>562.5</v>
      </c>
      <c r="AE7" s="76" t="str">
        <f>S7</f>
        <v>계</v>
      </c>
      <c r="AF7" s="76" t="str">
        <f>Q7&amp;"/"&amp;R7</f>
        <v>3/2</v>
      </c>
      <c r="AH7" s="20" t="str">
        <f t="shared" si="1"/>
        <v>대왕장미타운</v>
      </c>
      <c r="AI7" s="86">
        <f t="shared" si="0"/>
        <v>32</v>
      </c>
      <c r="AJ7" s="76" t="str">
        <f>IF(AI7="","",$AJ$2)</f>
        <v>A-</v>
      </c>
      <c r="AK7" s="76" t="s">
        <v>13</v>
      </c>
      <c r="AL7" s="76" t="s">
        <v>62</v>
      </c>
      <c r="AM7" s="76" t="s">
        <v>63</v>
      </c>
      <c r="AN7" s="76" t="str">
        <f>IF(AI7="","",$AN$2)</f>
        <v>C</v>
      </c>
      <c r="AO7" s="76" t="str">
        <f>IF(N7="","",IF(N7&gt;=$AO$1/100,"O","X"))</f>
        <v>X</v>
      </c>
      <c r="AP7" s="76" t="str">
        <f>IF(I7="","",IF(I7&lt;=$AP$1,"O","X"))</f>
        <v>O</v>
      </c>
      <c r="AQ7" s="76" t="str">
        <f>IF(O7="","",IF(O7&lt;=$AQ$1,"O","X"))</f>
        <v>O</v>
      </c>
      <c r="AR7" s="76" t="str">
        <f>IF(M7="","",IF(M7&lt;=$AR$1,"O","X"))</f>
        <v>X</v>
      </c>
      <c r="AS7" s="76" t="s">
        <v>2</v>
      </c>
      <c r="AT7" s="76" t="str">
        <f>IF(OR(F7="",AI7=""),"",IF(AND((F7&lt;=85),(AI7&gt;=15)),"O","X"))</f>
        <v>O</v>
      </c>
      <c r="AU7" s="76" t="str">
        <f>IF(C7="","",IF(C7&gt;=$AU$1,"O","X"))</f>
        <v>O</v>
      </c>
      <c r="AV7" s="76" t="str">
        <f>IF(AO7="","",IF(AND(AO7="O",AP7="O",AR7="O",AT7="O",AU7="O"),"후보","X"))</f>
        <v>X</v>
      </c>
    </row>
    <row r="8" spans="1:48" x14ac:dyDescent="0.3">
      <c r="A8" s="9"/>
      <c r="B8" s="76"/>
      <c r="C8" s="6"/>
      <c r="D8" s="9"/>
      <c r="E8" s="14"/>
      <c r="F8" s="85"/>
      <c r="G8" s="9"/>
      <c r="H8" s="9"/>
      <c r="I8" s="9"/>
      <c r="J8" s="9"/>
      <c r="K8" s="9"/>
      <c r="L8" s="9"/>
      <c r="M8" s="9"/>
      <c r="N8" s="9"/>
      <c r="O8" s="90"/>
      <c r="P8" s="90"/>
      <c r="Q8" s="86"/>
      <c r="R8" s="86"/>
      <c r="S8" s="9"/>
      <c r="T8" s="47"/>
      <c r="U8" s="9"/>
      <c r="W8" s="67" t="str">
        <f>$A$4&amp;" "&amp;A9&amp;"("&amp;B9&amp;","&amp;C9&amp;"^)"</f>
        <v>삼천동1가 신일('91.08.,410^)</v>
      </c>
      <c r="X8" s="68"/>
      <c r="Y8" s="68"/>
      <c r="Z8" s="68"/>
      <c r="AA8" s="68"/>
      <c r="AB8" s="68"/>
      <c r="AC8" s="68"/>
      <c r="AD8" s="68"/>
      <c r="AE8" s="68"/>
      <c r="AF8" s="69"/>
      <c r="AH8" s="20" t="str">
        <f t="shared" si="1"/>
        <v/>
      </c>
      <c r="AI8" s="108" t="str">
        <f t="shared" si="0"/>
        <v/>
      </c>
      <c r="AJ8" s="76"/>
      <c r="AK8" s="76"/>
      <c r="AL8" s="76"/>
      <c r="AM8" s="76"/>
      <c r="AN8" s="76"/>
      <c r="AO8" s="76"/>
      <c r="AP8" s="76"/>
      <c r="AQ8" s="76"/>
      <c r="AR8" s="76"/>
      <c r="AS8" s="76"/>
      <c r="AT8" s="76"/>
      <c r="AU8" s="76"/>
      <c r="AV8" s="76"/>
    </row>
    <row r="9" spans="1:48" x14ac:dyDescent="0.3">
      <c r="A9" s="9" t="s">
        <v>590</v>
      </c>
      <c r="B9" s="10" t="s">
        <v>1833</v>
      </c>
      <c r="C9" s="87">
        <v>410</v>
      </c>
      <c r="D9" s="85">
        <v>71.8</v>
      </c>
      <c r="E9" s="86">
        <v>22</v>
      </c>
      <c r="F9" s="85">
        <v>60</v>
      </c>
      <c r="G9" s="17">
        <v>18</v>
      </c>
      <c r="H9" s="87">
        <v>410</v>
      </c>
      <c r="I9" s="88">
        <v>13200</v>
      </c>
      <c r="J9" s="88" t="s">
        <v>75</v>
      </c>
      <c r="K9" s="88"/>
      <c r="L9" s="88"/>
      <c r="M9" s="89">
        <f>I9-K9</f>
        <v>13200</v>
      </c>
      <c r="N9" s="4">
        <f>IF(ISERROR(K9/I9),"",K9/I9)</f>
        <v>0</v>
      </c>
      <c r="O9" s="90">
        <f>I9/E9</f>
        <v>600</v>
      </c>
      <c r="P9" s="90">
        <f>K9/E9</f>
        <v>0</v>
      </c>
      <c r="Q9" s="76">
        <v>3</v>
      </c>
      <c r="R9" s="76">
        <v>1</v>
      </c>
      <c r="S9" s="76" t="s">
        <v>61</v>
      </c>
      <c r="T9" s="5">
        <v>71</v>
      </c>
      <c r="U9" s="9"/>
      <c r="W9" s="85">
        <f>D9</f>
        <v>71.8</v>
      </c>
      <c r="X9" s="86">
        <f>E9</f>
        <v>22</v>
      </c>
      <c r="Y9" s="91">
        <f>H9</f>
        <v>410</v>
      </c>
      <c r="Z9" s="89">
        <f>I9</f>
        <v>13200</v>
      </c>
      <c r="AA9" s="89">
        <f>K9</f>
        <v>0</v>
      </c>
      <c r="AB9" s="89">
        <f>M9</f>
        <v>13200</v>
      </c>
      <c r="AC9" s="4">
        <f>N9</f>
        <v>0</v>
      </c>
      <c r="AD9" s="90">
        <f>O9</f>
        <v>600</v>
      </c>
      <c r="AE9" s="76" t="str">
        <f>S9</f>
        <v>계</v>
      </c>
      <c r="AF9" s="76" t="str">
        <f>Q9&amp;"/"&amp;R9</f>
        <v>3/1</v>
      </c>
      <c r="AH9" s="20" t="str">
        <f t="shared" si="1"/>
        <v>신일</v>
      </c>
      <c r="AI9" s="86">
        <f t="shared" si="0"/>
        <v>22</v>
      </c>
      <c r="AJ9" s="76" t="str">
        <f>IF(AI9="","",$AJ$2)</f>
        <v>A-</v>
      </c>
      <c r="AK9" s="76" t="s">
        <v>13</v>
      </c>
      <c r="AL9" s="76" t="s">
        <v>62</v>
      </c>
      <c r="AM9" s="76" t="s">
        <v>63</v>
      </c>
      <c r="AN9" s="76" t="str">
        <f>IF(AI9="","",$AN$2)</f>
        <v>C</v>
      </c>
      <c r="AO9" s="76" t="str">
        <f>IF(N9="","",IF(N9&gt;=$AO$1/100,"O","X"))</f>
        <v>X</v>
      </c>
      <c r="AP9" s="76" t="str">
        <f>IF(I9="","",IF(I9&lt;=$AP$1,"O","X"))</f>
        <v>O</v>
      </c>
      <c r="AQ9" s="76" t="str">
        <f>IF(O9="","",IF(O9&lt;=$AQ$1,"O","X"))</f>
        <v>O</v>
      </c>
      <c r="AR9" s="76" t="str">
        <f>IF(M9="","",IF(M9&lt;=$AR$1,"O","X"))</f>
        <v>X</v>
      </c>
      <c r="AS9" s="76" t="s">
        <v>2</v>
      </c>
      <c r="AT9" s="76" t="str">
        <f>IF(OR(F9="",AI9=""),"",IF(AND((F9&lt;=85),(AI9&gt;=15)),"O","X"))</f>
        <v>O</v>
      </c>
      <c r="AU9" s="76" t="str">
        <f>IF(C9="","",IF(C9&gt;=$AU$1,"O","X"))</f>
        <v>O</v>
      </c>
      <c r="AV9" s="76" t="str">
        <f>IF(AO9="","",IF(AND(AO9="O",AP9="O",AR9="O",AT9="O",AU9="O"),"후보","X"))</f>
        <v>X</v>
      </c>
    </row>
    <row r="10" spans="1:48" x14ac:dyDescent="0.3">
      <c r="A10" s="9"/>
      <c r="B10" s="76"/>
      <c r="C10" s="6"/>
      <c r="D10" s="9"/>
      <c r="E10" s="14"/>
      <c r="F10" s="85"/>
      <c r="G10" s="9"/>
      <c r="H10" s="9"/>
      <c r="I10" s="9"/>
      <c r="J10" s="9"/>
      <c r="K10" s="9"/>
      <c r="L10" s="9"/>
      <c r="M10" s="9"/>
      <c r="N10" s="9"/>
      <c r="O10" s="90"/>
      <c r="P10" s="90"/>
      <c r="Q10" s="86"/>
      <c r="R10" s="86"/>
      <c r="S10" s="9"/>
      <c r="T10" s="47"/>
      <c r="U10" s="9"/>
      <c r="W10" s="67" t="str">
        <f>$A$4&amp;" "&amp;A11&amp;"("&amp;B11&amp;","&amp;C11&amp;"^)"</f>
        <v>삼천동1가 광진공작('86.04.,270^)</v>
      </c>
      <c r="X10" s="68"/>
      <c r="Y10" s="68"/>
      <c r="Z10" s="68"/>
      <c r="AA10" s="68"/>
      <c r="AB10" s="68"/>
      <c r="AC10" s="68"/>
      <c r="AD10" s="68"/>
      <c r="AE10" s="68"/>
      <c r="AF10" s="69"/>
      <c r="AH10" s="20" t="str">
        <f t="shared" si="1"/>
        <v/>
      </c>
      <c r="AI10" s="108" t="str">
        <f t="shared" si="0"/>
        <v/>
      </c>
      <c r="AJ10" s="76"/>
      <c r="AK10" s="76"/>
      <c r="AL10" s="76"/>
      <c r="AM10" s="76"/>
      <c r="AN10" s="76"/>
      <c r="AO10" s="76"/>
      <c r="AP10" s="76"/>
      <c r="AQ10" s="76"/>
      <c r="AR10" s="76"/>
      <c r="AS10" s="76"/>
      <c r="AT10" s="76"/>
      <c r="AU10" s="76"/>
      <c r="AV10" s="76"/>
    </row>
    <row r="11" spans="1:48" x14ac:dyDescent="0.3">
      <c r="A11" s="9" t="s">
        <v>595</v>
      </c>
      <c r="B11" s="10" t="s">
        <v>1834</v>
      </c>
      <c r="C11" s="87">
        <v>270</v>
      </c>
      <c r="D11" s="85">
        <v>65.5</v>
      </c>
      <c r="E11" s="86">
        <v>20</v>
      </c>
      <c r="F11" s="85">
        <v>59.2</v>
      </c>
      <c r="G11" s="17">
        <v>18</v>
      </c>
      <c r="H11" s="87">
        <v>270</v>
      </c>
      <c r="I11" s="88"/>
      <c r="J11" s="88"/>
      <c r="K11" s="88"/>
      <c r="L11" s="88"/>
      <c r="M11" s="89">
        <f>I11-K11</f>
        <v>0</v>
      </c>
      <c r="N11" s="4" t="str">
        <f>IF(ISERROR(K11/I11),"",K11/I11)</f>
        <v/>
      </c>
      <c r="O11" s="90">
        <f>I11/E11</f>
        <v>0</v>
      </c>
      <c r="P11" s="90">
        <f>K11/E11</f>
        <v>0</v>
      </c>
      <c r="Q11" s="76">
        <v>2</v>
      </c>
      <c r="R11" s="76">
        <v>1</v>
      </c>
      <c r="S11" s="76" t="s">
        <v>61</v>
      </c>
      <c r="T11" s="5">
        <v>65</v>
      </c>
      <c r="U11" s="9"/>
      <c r="W11" s="85">
        <f>D11</f>
        <v>65.5</v>
      </c>
      <c r="X11" s="86">
        <f>E11</f>
        <v>20</v>
      </c>
      <c r="Y11" s="91">
        <f>H11</f>
        <v>270</v>
      </c>
      <c r="Z11" s="89">
        <f>I11</f>
        <v>0</v>
      </c>
      <c r="AA11" s="89">
        <f>K11</f>
        <v>0</v>
      </c>
      <c r="AB11" s="89">
        <f>M11</f>
        <v>0</v>
      </c>
      <c r="AC11" s="4" t="str">
        <f>N11</f>
        <v/>
      </c>
      <c r="AD11" s="90">
        <f>O11</f>
        <v>0</v>
      </c>
      <c r="AE11" s="76" t="str">
        <f>S11</f>
        <v>계</v>
      </c>
      <c r="AF11" s="76" t="str">
        <f>Q11&amp;"/"&amp;R11</f>
        <v>2/1</v>
      </c>
      <c r="AH11" s="20" t="str">
        <f t="shared" si="1"/>
        <v>광진공작</v>
      </c>
      <c r="AI11" s="86">
        <f t="shared" si="0"/>
        <v>20</v>
      </c>
      <c r="AJ11" s="76" t="str">
        <f>IF(AI11="","",$AJ$2)</f>
        <v>A-</v>
      </c>
      <c r="AK11" s="76" t="s">
        <v>13</v>
      </c>
      <c r="AL11" s="76" t="s">
        <v>62</v>
      </c>
      <c r="AM11" s="76" t="s">
        <v>63</v>
      </c>
      <c r="AN11" s="76" t="str">
        <f>IF(AI11="","",$AN$2)</f>
        <v>C</v>
      </c>
      <c r="AO11" s="76" t="str">
        <f>IF(N11="","",IF(N11&gt;=$AO$1/100,"O","X"))</f>
        <v/>
      </c>
      <c r="AP11" s="76" t="str">
        <f>IF(I11="","",IF(I11&lt;=$AP$1,"O","X"))</f>
        <v/>
      </c>
      <c r="AQ11" s="76" t="str">
        <f>IF(O11="","",IF(O11&lt;=$AQ$1,"O","X"))</f>
        <v>O</v>
      </c>
      <c r="AR11" s="76" t="str">
        <f>IF(M11="","",IF(M11&lt;=$AR$1,"O","X"))</f>
        <v>O</v>
      </c>
      <c r="AS11" s="76" t="s">
        <v>2</v>
      </c>
      <c r="AT11" s="76" t="str">
        <f>IF(OR(F11="",AI11=""),"",IF(AND((F11&lt;=85),(AI11&gt;=15)),"O","X"))</f>
        <v>O</v>
      </c>
      <c r="AU11" s="76" t="str">
        <f>IF(C11="","",IF(C11&gt;=$AU$1,"O","X"))</f>
        <v>X</v>
      </c>
      <c r="AV11" s="76" t="str">
        <f>IF(AO11="","",IF(AND(AO11="O",AP11="O",AR11="O",AT11="O",AU11="O"),"후보","X"))</f>
        <v/>
      </c>
    </row>
    <row r="12" spans="1:48" x14ac:dyDescent="0.3">
      <c r="A12" s="9"/>
      <c r="B12" s="76"/>
      <c r="C12" s="6"/>
      <c r="D12" s="9"/>
      <c r="E12" s="14"/>
      <c r="F12" s="85"/>
      <c r="G12" s="9"/>
      <c r="H12" s="9"/>
      <c r="I12" s="9"/>
      <c r="J12" s="9"/>
      <c r="K12" s="9"/>
      <c r="L12" s="9"/>
      <c r="M12" s="9"/>
      <c r="N12" s="9"/>
      <c r="O12" s="90"/>
      <c r="P12" s="90"/>
      <c r="Q12" s="86"/>
      <c r="R12" s="86"/>
      <c r="S12" s="9"/>
      <c r="T12" s="47"/>
      <c r="U12" s="9"/>
      <c r="W12" s="67" t="str">
        <f>$A$4&amp;" "&amp;A13&amp;"("&amp;B13&amp;","&amp;C13&amp;"^)"</f>
        <v>삼천동1가 삼천흥건2차('00.03.,508^)</v>
      </c>
      <c r="X12" s="68"/>
      <c r="Y12" s="68"/>
      <c r="Z12" s="68"/>
      <c r="AA12" s="68"/>
      <c r="AB12" s="68"/>
      <c r="AC12" s="68"/>
      <c r="AD12" s="68"/>
      <c r="AE12" s="68"/>
      <c r="AF12" s="69"/>
      <c r="AH12" s="20" t="str">
        <f t="shared" si="1"/>
        <v/>
      </c>
      <c r="AI12" s="108" t="str">
        <f t="shared" si="0"/>
        <v/>
      </c>
      <c r="AJ12" s="76"/>
      <c r="AK12" s="76"/>
      <c r="AL12" s="76"/>
      <c r="AM12" s="76"/>
      <c r="AN12" s="76"/>
      <c r="AO12" s="76"/>
      <c r="AP12" s="76"/>
      <c r="AQ12" s="76"/>
      <c r="AR12" s="76"/>
      <c r="AS12" s="76"/>
      <c r="AT12" s="76"/>
      <c r="AU12" s="76"/>
      <c r="AV12" s="76"/>
    </row>
    <row r="13" spans="1:48" x14ac:dyDescent="0.3">
      <c r="A13" s="9" t="s">
        <v>600</v>
      </c>
      <c r="B13" s="10" t="s">
        <v>1835</v>
      </c>
      <c r="C13" s="87">
        <v>508</v>
      </c>
      <c r="D13" s="85">
        <v>107.4</v>
      </c>
      <c r="E13" s="86">
        <v>32</v>
      </c>
      <c r="F13" s="85">
        <v>84.9</v>
      </c>
      <c r="G13" s="17">
        <v>26</v>
      </c>
      <c r="H13" s="87">
        <v>336</v>
      </c>
      <c r="I13" s="88">
        <v>28000</v>
      </c>
      <c r="J13" s="88" t="s">
        <v>72</v>
      </c>
      <c r="K13" s="88">
        <v>25000</v>
      </c>
      <c r="L13" s="88" t="s">
        <v>89</v>
      </c>
      <c r="M13" s="89">
        <f>I13-K13</f>
        <v>3000</v>
      </c>
      <c r="N13" s="4">
        <f>IF(ISERROR(K13/I13),"",K13/I13)</f>
        <v>0.8928571428571429</v>
      </c>
      <c r="O13" s="90">
        <f>I13/E13</f>
        <v>875</v>
      </c>
      <c r="P13" s="90">
        <f>K13/E13</f>
        <v>781.25</v>
      </c>
      <c r="Q13" s="76">
        <v>3</v>
      </c>
      <c r="R13" s="76">
        <v>2</v>
      </c>
      <c r="S13" s="76" t="s">
        <v>61</v>
      </c>
      <c r="T13" s="5">
        <v>107</v>
      </c>
      <c r="U13" s="9"/>
      <c r="W13" s="85">
        <f t="shared" ref="W13:X15" si="3">D13</f>
        <v>107.4</v>
      </c>
      <c r="X13" s="86">
        <f t="shared" si="3"/>
        <v>32</v>
      </c>
      <c r="Y13" s="91">
        <f t="shared" ref="Y13:Z15" si="4">H13</f>
        <v>336</v>
      </c>
      <c r="Z13" s="89">
        <f t="shared" si="4"/>
        <v>28000</v>
      </c>
      <c r="AA13" s="89">
        <f>K13</f>
        <v>25000</v>
      </c>
      <c r="AB13" s="89">
        <f t="shared" ref="AB13:AD15" si="5">M13</f>
        <v>3000</v>
      </c>
      <c r="AC13" s="4">
        <f t="shared" si="5"/>
        <v>0.8928571428571429</v>
      </c>
      <c r="AD13" s="90">
        <f t="shared" si="5"/>
        <v>875</v>
      </c>
      <c r="AE13" s="76" t="str">
        <f>S13</f>
        <v>계</v>
      </c>
      <c r="AF13" s="76" t="str">
        <f>Q13&amp;"/"&amp;R13</f>
        <v>3/2</v>
      </c>
      <c r="AH13" s="20" t="str">
        <f t="shared" si="1"/>
        <v>삼천흥건2차</v>
      </c>
      <c r="AI13" s="86">
        <f t="shared" si="0"/>
        <v>32</v>
      </c>
      <c r="AJ13" s="76" t="str">
        <f>IF(AI13="","",$AJ$2)</f>
        <v>A-</v>
      </c>
      <c r="AK13" s="76" t="s">
        <v>13</v>
      </c>
      <c r="AL13" s="76" t="s">
        <v>62</v>
      </c>
      <c r="AM13" s="76" t="s">
        <v>63</v>
      </c>
      <c r="AN13" s="76" t="str">
        <f>IF(AI13="","",$AN$2)</f>
        <v>C</v>
      </c>
      <c r="AO13" s="76" t="str">
        <f>IF(N13="","",IF(N13&gt;=$AO$1/100,"O","X"))</f>
        <v>O</v>
      </c>
      <c r="AP13" s="76" t="str">
        <f>IF(I13="","",IF(I13&lt;=$AP$1,"O","X"))</f>
        <v>O</v>
      </c>
      <c r="AQ13" s="76" t="str">
        <f>IF(O13="","",IF(O13&lt;=$AQ$1,"O","X"))</f>
        <v>O</v>
      </c>
      <c r="AR13" s="76" t="str">
        <f>IF(M13="","",IF(M13&lt;=$AR$1,"O","X"))</f>
        <v>O</v>
      </c>
      <c r="AS13" s="76" t="s">
        <v>2</v>
      </c>
      <c r="AT13" s="76" t="str">
        <f>IF(OR(F13="",AI13=""),"",IF(AND((F13&lt;=85),(AI13&gt;=15)),"O","X"))</f>
        <v>O</v>
      </c>
      <c r="AU13" s="76" t="str">
        <f>IF(C13="","",IF(C13&gt;=$AU$1,"O","X"))</f>
        <v>O</v>
      </c>
      <c r="AV13" s="76" t="str">
        <f>IF(AO13="","",IF(AND(AO13="O",AP13="O",AR13="O",AT13="O",AU13="O"),"후보","X"))</f>
        <v>후보</v>
      </c>
    </row>
    <row r="14" spans="1:48" x14ac:dyDescent="0.3">
      <c r="A14" s="9" t="s">
        <v>600</v>
      </c>
      <c r="B14" s="10" t="s">
        <v>1835</v>
      </c>
      <c r="C14" s="87">
        <v>508</v>
      </c>
      <c r="D14" s="85">
        <v>123.5</v>
      </c>
      <c r="E14" s="86">
        <v>37</v>
      </c>
      <c r="F14" s="85">
        <v>99.6</v>
      </c>
      <c r="G14" s="17">
        <v>30</v>
      </c>
      <c r="H14" s="87">
        <v>96</v>
      </c>
      <c r="I14" s="88">
        <v>30000</v>
      </c>
      <c r="J14" s="88" t="s">
        <v>80</v>
      </c>
      <c r="K14" s="88"/>
      <c r="L14" s="88"/>
      <c r="M14" s="89">
        <f>I14-K14</f>
        <v>30000</v>
      </c>
      <c r="N14" s="4">
        <f>IF(ISERROR(K14/I14),"",K14/I14)</f>
        <v>0</v>
      </c>
      <c r="O14" s="90">
        <f>I14/E14</f>
        <v>810.81081081081084</v>
      </c>
      <c r="P14" s="90">
        <f>K14/E14</f>
        <v>0</v>
      </c>
      <c r="Q14" s="76">
        <v>4</v>
      </c>
      <c r="R14" s="76">
        <v>2</v>
      </c>
      <c r="S14" s="76" t="s">
        <v>61</v>
      </c>
      <c r="T14" s="5">
        <v>123</v>
      </c>
      <c r="U14" s="9"/>
      <c r="W14" s="85">
        <f t="shared" si="3"/>
        <v>123.5</v>
      </c>
      <c r="X14" s="86">
        <f t="shared" si="3"/>
        <v>37</v>
      </c>
      <c r="Y14" s="91">
        <f t="shared" si="4"/>
        <v>96</v>
      </c>
      <c r="Z14" s="89">
        <f t="shared" si="4"/>
        <v>30000</v>
      </c>
      <c r="AA14" s="89">
        <f>K14</f>
        <v>0</v>
      </c>
      <c r="AB14" s="89">
        <f t="shared" si="5"/>
        <v>30000</v>
      </c>
      <c r="AC14" s="4">
        <f t="shared" si="5"/>
        <v>0</v>
      </c>
      <c r="AD14" s="90">
        <f t="shared" si="5"/>
        <v>810.81081081081084</v>
      </c>
      <c r="AE14" s="76" t="str">
        <f>S14</f>
        <v>계</v>
      </c>
      <c r="AF14" s="76" t="str">
        <f>Q14&amp;"/"&amp;R14</f>
        <v>4/2</v>
      </c>
      <c r="AH14" s="20" t="str">
        <f t="shared" si="1"/>
        <v>삼천흥건2차</v>
      </c>
      <c r="AI14" s="86">
        <f t="shared" si="0"/>
        <v>37</v>
      </c>
      <c r="AJ14" s="76" t="str">
        <f>IF(AI14="","",$AJ$2)</f>
        <v>A-</v>
      </c>
      <c r="AK14" s="76" t="s">
        <v>13</v>
      </c>
      <c r="AL14" s="76" t="s">
        <v>62</v>
      </c>
      <c r="AM14" s="76" t="s">
        <v>63</v>
      </c>
      <c r="AN14" s="76" t="str">
        <f>IF(AI14="","",$AN$2)</f>
        <v>C</v>
      </c>
      <c r="AO14" s="76" t="str">
        <f>IF(N14="","",IF(N14&gt;=$AO$1/100,"O","X"))</f>
        <v>X</v>
      </c>
      <c r="AP14" s="76" t="str">
        <f>IF(I14="","",IF(I14&lt;=$AP$1,"O","X"))</f>
        <v>O</v>
      </c>
      <c r="AQ14" s="76" t="str">
        <f>IF(O14="","",IF(O14&lt;=$AQ$1,"O","X"))</f>
        <v>O</v>
      </c>
      <c r="AR14" s="76" t="str">
        <f>IF(M14="","",IF(M14&lt;=$AR$1,"O","X"))</f>
        <v>X</v>
      </c>
      <c r="AS14" s="76" t="s">
        <v>2</v>
      </c>
      <c r="AT14" s="76" t="str">
        <f>IF(OR(F14="",AI14=""),"",IF(AND((F14&lt;=85),(AI14&gt;=15)),"O","X"))</f>
        <v>X</v>
      </c>
      <c r="AU14" s="76" t="str">
        <f>IF(C14="","",IF(C14&gt;=$AU$1,"O","X"))</f>
        <v>O</v>
      </c>
      <c r="AV14" s="76" t="str">
        <f>IF(AO14="","",IF(AND(AO14="O",AP14="O",AR14="O",AT14="O",AU14="O"),"후보","X"))</f>
        <v>X</v>
      </c>
    </row>
    <row r="15" spans="1:48" x14ac:dyDescent="0.3">
      <c r="A15" s="9" t="s">
        <v>600</v>
      </c>
      <c r="B15" s="10" t="s">
        <v>1835</v>
      </c>
      <c r="C15" s="87">
        <v>508</v>
      </c>
      <c r="D15" s="85">
        <v>161.19999999999999</v>
      </c>
      <c r="E15" s="86">
        <v>49</v>
      </c>
      <c r="F15" s="85">
        <v>134.5</v>
      </c>
      <c r="G15" s="17">
        <v>41</v>
      </c>
      <c r="H15" s="87">
        <v>76</v>
      </c>
      <c r="I15" s="88"/>
      <c r="J15" s="88"/>
      <c r="K15" s="88"/>
      <c r="L15" s="88"/>
      <c r="M15" s="89">
        <f>I15-K15</f>
        <v>0</v>
      </c>
      <c r="N15" s="4" t="str">
        <f>IF(ISERROR(K15/I15),"",K15/I15)</f>
        <v/>
      </c>
      <c r="O15" s="90">
        <f>I15/E15</f>
        <v>0</v>
      </c>
      <c r="P15" s="90">
        <f>K15/E15</f>
        <v>0</v>
      </c>
      <c r="Q15" s="76">
        <v>4</v>
      </c>
      <c r="R15" s="76">
        <v>2</v>
      </c>
      <c r="S15" s="76" t="s">
        <v>61</v>
      </c>
      <c r="T15" s="5">
        <v>161</v>
      </c>
      <c r="U15" s="9"/>
      <c r="W15" s="85">
        <f t="shared" si="3"/>
        <v>161.19999999999999</v>
      </c>
      <c r="X15" s="86">
        <f t="shared" si="3"/>
        <v>49</v>
      </c>
      <c r="Y15" s="91">
        <f t="shared" si="4"/>
        <v>76</v>
      </c>
      <c r="Z15" s="89">
        <f t="shared" si="4"/>
        <v>0</v>
      </c>
      <c r="AA15" s="89">
        <f>K15</f>
        <v>0</v>
      </c>
      <c r="AB15" s="89">
        <f t="shared" si="5"/>
        <v>0</v>
      </c>
      <c r="AC15" s="4" t="str">
        <f t="shared" si="5"/>
        <v/>
      </c>
      <c r="AD15" s="90">
        <f t="shared" si="5"/>
        <v>0</v>
      </c>
      <c r="AE15" s="76" t="str">
        <f>S15</f>
        <v>계</v>
      </c>
      <c r="AF15" s="76" t="str">
        <f>Q15&amp;"/"&amp;R15</f>
        <v>4/2</v>
      </c>
      <c r="AH15" s="20" t="str">
        <f t="shared" si="1"/>
        <v>삼천흥건2차</v>
      </c>
      <c r="AI15" s="86">
        <f t="shared" si="0"/>
        <v>49</v>
      </c>
      <c r="AJ15" s="76" t="str">
        <f>IF(AI15="","",$AJ$2)</f>
        <v>A-</v>
      </c>
      <c r="AK15" s="76" t="s">
        <v>13</v>
      </c>
      <c r="AL15" s="76" t="s">
        <v>62</v>
      </c>
      <c r="AM15" s="76" t="s">
        <v>63</v>
      </c>
      <c r="AN15" s="76" t="str">
        <f>IF(AI15="","",$AN$2)</f>
        <v>C</v>
      </c>
      <c r="AO15" s="76" t="str">
        <f>IF(N15="","",IF(N15&gt;=$AO$1/100,"O","X"))</f>
        <v/>
      </c>
      <c r="AP15" s="76" t="str">
        <f>IF(I15="","",IF(I15&lt;=$AP$1,"O","X"))</f>
        <v/>
      </c>
      <c r="AQ15" s="76" t="str">
        <f>IF(O15="","",IF(O15&lt;=$AQ$1,"O","X"))</f>
        <v>O</v>
      </c>
      <c r="AR15" s="76" t="str">
        <f>IF(M15="","",IF(M15&lt;=$AR$1,"O","X"))</f>
        <v>O</v>
      </c>
      <c r="AS15" s="76" t="s">
        <v>2</v>
      </c>
      <c r="AT15" s="76" t="str">
        <f>IF(OR(F15="",AI15=""),"",IF(AND((F15&lt;=85),(AI15&gt;=15)),"O","X"))</f>
        <v>X</v>
      </c>
      <c r="AU15" s="76" t="str">
        <f>IF(C15="","",IF(C15&gt;=$AU$1,"O","X"))</f>
        <v>O</v>
      </c>
      <c r="AV15" s="76" t="str">
        <f>IF(AO15="","",IF(AND(AO15="O",AP15="O",AR15="O",AT15="O",AU15="O"),"후보","X"))</f>
        <v/>
      </c>
    </row>
    <row r="16" spans="1:48" x14ac:dyDescent="0.3">
      <c r="A16" s="9"/>
      <c r="B16" s="76"/>
      <c r="C16" s="6"/>
      <c r="D16" s="9"/>
      <c r="E16" s="14"/>
      <c r="F16" s="85"/>
      <c r="G16" s="9"/>
      <c r="H16" s="9"/>
      <c r="I16" s="9"/>
      <c r="J16" s="9"/>
      <c r="K16" s="9"/>
      <c r="L16" s="9"/>
      <c r="M16" s="9"/>
      <c r="N16" s="9"/>
      <c r="O16" s="90"/>
      <c r="P16" s="90"/>
      <c r="Q16" s="86"/>
      <c r="R16" s="86"/>
      <c r="S16" s="9"/>
      <c r="T16" s="47"/>
      <c r="U16" s="9"/>
      <c r="W16" s="67" t="str">
        <f>$A$4&amp;" "&amp;A17&amp;"("&amp;B17&amp;","&amp;C17&amp;"^)"</f>
        <v>삼천동1가 세창짜임('06.07.,674^)</v>
      </c>
      <c r="X16" s="68"/>
      <c r="Y16" s="68"/>
      <c r="Z16" s="68"/>
      <c r="AA16" s="68"/>
      <c r="AB16" s="68"/>
      <c r="AC16" s="68"/>
      <c r="AD16" s="68"/>
      <c r="AE16" s="68"/>
      <c r="AF16" s="69"/>
      <c r="AH16" s="20" t="str">
        <f t="shared" si="1"/>
        <v/>
      </c>
      <c r="AI16" s="108" t="str">
        <f t="shared" si="0"/>
        <v/>
      </c>
      <c r="AJ16" s="76"/>
      <c r="AK16" s="76"/>
      <c r="AL16" s="76"/>
      <c r="AM16" s="76"/>
      <c r="AN16" s="76"/>
      <c r="AO16" s="76"/>
      <c r="AP16" s="76"/>
      <c r="AQ16" s="76"/>
      <c r="AR16" s="76"/>
      <c r="AS16" s="76"/>
      <c r="AT16" s="76"/>
      <c r="AU16" s="76"/>
      <c r="AV16" s="76"/>
    </row>
    <row r="17" spans="1:48" x14ac:dyDescent="0.3">
      <c r="A17" s="9" t="s">
        <v>605</v>
      </c>
      <c r="B17" s="10" t="s">
        <v>1836</v>
      </c>
      <c r="C17" s="87">
        <v>674</v>
      </c>
      <c r="D17" s="85">
        <v>82.1</v>
      </c>
      <c r="E17" s="86">
        <v>25</v>
      </c>
      <c r="F17" s="85">
        <v>60</v>
      </c>
      <c r="G17" s="17">
        <v>18</v>
      </c>
      <c r="H17" s="87">
        <v>107</v>
      </c>
      <c r="I17" s="88">
        <v>22000</v>
      </c>
      <c r="J17" s="88" t="s">
        <v>83</v>
      </c>
      <c r="K17" s="88"/>
      <c r="L17" s="88"/>
      <c r="M17" s="89">
        <f>I17-K17</f>
        <v>22000</v>
      </c>
      <c r="N17" s="4">
        <f>IF(ISERROR(K17/I17),"",K17/I17)</f>
        <v>0</v>
      </c>
      <c r="O17" s="90">
        <f>I17/E17</f>
        <v>880</v>
      </c>
      <c r="P17" s="90">
        <f>K17/E17</f>
        <v>0</v>
      </c>
      <c r="Q17" s="76">
        <v>3</v>
      </c>
      <c r="R17" s="76">
        <v>2</v>
      </c>
      <c r="S17" s="76" t="s">
        <v>61</v>
      </c>
      <c r="T17" s="5">
        <v>82</v>
      </c>
      <c r="U17" s="9"/>
      <c r="W17" s="85">
        <f t="shared" ref="W17:X20" si="6">D17</f>
        <v>82.1</v>
      </c>
      <c r="X17" s="86">
        <f t="shared" si="6"/>
        <v>25</v>
      </c>
      <c r="Y17" s="91">
        <f t="shared" ref="Y17:Z20" si="7">H17</f>
        <v>107</v>
      </c>
      <c r="Z17" s="89">
        <f t="shared" si="7"/>
        <v>22000</v>
      </c>
      <c r="AA17" s="89">
        <f>K17</f>
        <v>0</v>
      </c>
      <c r="AB17" s="89">
        <f t="shared" ref="AB17:AD20" si="8">M17</f>
        <v>22000</v>
      </c>
      <c r="AC17" s="4">
        <f t="shared" si="8"/>
        <v>0</v>
      </c>
      <c r="AD17" s="90">
        <f t="shared" si="8"/>
        <v>880</v>
      </c>
      <c r="AE17" s="76" t="str">
        <f>S17</f>
        <v>계</v>
      </c>
      <c r="AF17" s="76" t="str">
        <f>Q17&amp;"/"&amp;R17</f>
        <v>3/2</v>
      </c>
      <c r="AH17" s="20" t="str">
        <f t="shared" si="1"/>
        <v>세창짜임</v>
      </c>
      <c r="AI17" s="86">
        <f t="shared" si="0"/>
        <v>25</v>
      </c>
      <c r="AJ17" s="76" t="str">
        <f>IF(AI17="","",$AJ$2)</f>
        <v>A-</v>
      </c>
      <c r="AK17" s="76" t="s">
        <v>13</v>
      </c>
      <c r="AL17" s="76" t="s">
        <v>62</v>
      </c>
      <c r="AM17" s="76" t="s">
        <v>63</v>
      </c>
      <c r="AN17" s="76" t="str">
        <f>IF(AI17="","",$AN$2)</f>
        <v>C</v>
      </c>
      <c r="AO17" s="76" t="str">
        <f>IF(N17="","",IF(N17&gt;=$AO$1/100,"O","X"))</f>
        <v>X</v>
      </c>
      <c r="AP17" s="76" t="str">
        <f>IF(I17="","",IF(I17&lt;=$AP$1,"O","X"))</f>
        <v>O</v>
      </c>
      <c r="AQ17" s="76" t="str">
        <f>IF(O17="","",IF(O17&lt;=$AQ$1,"O","X"))</f>
        <v>O</v>
      </c>
      <c r="AR17" s="76" t="str">
        <f>IF(M17="","",IF(M17&lt;=$AR$1,"O","X"))</f>
        <v>X</v>
      </c>
      <c r="AS17" s="76" t="s">
        <v>2</v>
      </c>
      <c r="AT17" s="76" t="str">
        <f>IF(OR(F17="",AI17=""),"",IF(AND((F17&lt;=85),(AI17&gt;=15)),"O","X"))</f>
        <v>O</v>
      </c>
      <c r="AU17" s="76" t="str">
        <f>IF(C17="","",IF(C17&gt;=$AU$1,"O","X"))</f>
        <v>O</v>
      </c>
      <c r="AV17" s="76" t="str">
        <f>IF(AO17="","",IF(AND(AO17="O",AP17="O",AR17="O",AT17="O",AU17="O"),"후보","X"))</f>
        <v>X</v>
      </c>
    </row>
    <row r="18" spans="1:48" x14ac:dyDescent="0.3">
      <c r="A18" s="9" t="s">
        <v>605</v>
      </c>
      <c r="B18" s="10" t="s">
        <v>1836</v>
      </c>
      <c r="C18" s="87">
        <v>674</v>
      </c>
      <c r="D18" s="85">
        <v>108.3</v>
      </c>
      <c r="E18" s="86">
        <v>33</v>
      </c>
      <c r="F18" s="85">
        <v>85</v>
      </c>
      <c r="G18" s="17">
        <v>26</v>
      </c>
      <c r="H18" s="87">
        <v>295</v>
      </c>
      <c r="I18" s="88">
        <v>26000</v>
      </c>
      <c r="J18" s="88" t="s">
        <v>71</v>
      </c>
      <c r="K18" s="88"/>
      <c r="L18" s="88"/>
      <c r="M18" s="89">
        <f>I18-K18</f>
        <v>26000</v>
      </c>
      <c r="N18" s="4">
        <f>IF(ISERROR(K18/I18),"",K18/I18)</f>
        <v>0</v>
      </c>
      <c r="O18" s="90">
        <f>I18/E18</f>
        <v>787.87878787878788</v>
      </c>
      <c r="P18" s="90">
        <f>K18/E18</f>
        <v>0</v>
      </c>
      <c r="Q18" s="76">
        <v>3</v>
      </c>
      <c r="R18" s="76">
        <v>2</v>
      </c>
      <c r="S18" s="76" t="s">
        <v>61</v>
      </c>
      <c r="T18" s="5">
        <v>108</v>
      </c>
      <c r="U18" s="9"/>
      <c r="W18" s="85">
        <f t="shared" si="6"/>
        <v>108.3</v>
      </c>
      <c r="X18" s="86">
        <f t="shared" si="6"/>
        <v>33</v>
      </c>
      <c r="Y18" s="91">
        <f t="shared" si="7"/>
        <v>295</v>
      </c>
      <c r="Z18" s="89">
        <f t="shared" si="7"/>
        <v>26000</v>
      </c>
      <c r="AA18" s="89">
        <f>K18</f>
        <v>0</v>
      </c>
      <c r="AB18" s="89">
        <f t="shared" si="8"/>
        <v>26000</v>
      </c>
      <c r="AC18" s="4">
        <f t="shared" si="8"/>
        <v>0</v>
      </c>
      <c r="AD18" s="90">
        <f t="shared" si="8"/>
        <v>787.87878787878788</v>
      </c>
      <c r="AE18" s="76" t="str">
        <f>S18</f>
        <v>계</v>
      </c>
      <c r="AF18" s="76" t="str">
        <f>Q18&amp;"/"&amp;R18</f>
        <v>3/2</v>
      </c>
      <c r="AH18" s="20" t="str">
        <f t="shared" si="1"/>
        <v>세창짜임</v>
      </c>
      <c r="AI18" s="86">
        <f t="shared" si="0"/>
        <v>33</v>
      </c>
      <c r="AJ18" s="76" t="str">
        <f>IF(AI18="","",$AJ$2)</f>
        <v>A-</v>
      </c>
      <c r="AK18" s="76" t="s">
        <v>13</v>
      </c>
      <c r="AL18" s="76" t="s">
        <v>62</v>
      </c>
      <c r="AM18" s="76" t="s">
        <v>63</v>
      </c>
      <c r="AN18" s="76" t="str">
        <f>IF(AI18="","",$AN$2)</f>
        <v>C</v>
      </c>
      <c r="AO18" s="76" t="str">
        <f>IF(N18="","",IF(N18&gt;=$AO$1/100,"O","X"))</f>
        <v>X</v>
      </c>
      <c r="AP18" s="76" t="str">
        <f>IF(I18="","",IF(I18&lt;=$AP$1,"O","X"))</f>
        <v>O</v>
      </c>
      <c r="AQ18" s="76" t="str">
        <f>IF(O18="","",IF(O18&lt;=$AQ$1,"O","X"))</f>
        <v>O</v>
      </c>
      <c r="AR18" s="76" t="str">
        <f>IF(M18="","",IF(M18&lt;=$AR$1,"O","X"))</f>
        <v>X</v>
      </c>
      <c r="AS18" s="76" t="s">
        <v>2</v>
      </c>
      <c r="AT18" s="76" t="str">
        <f>IF(OR(F18="",AI18=""),"",IF(AND((F18&lt;=85),(AI18&gt;=15)),"O","X"))</f>
        <v>O</v>
      </c>
      <c r="AU18" s="76" t="str">
        <f>IF(C18="","",IF(C18&gt;=$AU$1,"O","X"))</f>
        <v>O</v>
      </c>
      <c r="AV18" s="76" t="str">
        <f>IF(AO18="","",IF(AND(AO18="O",AP18="O",AR18="O",AT18="O",AU18="O"),"후보","X"))</f>
        <v>X</v>
      </c>
    </row>
    <row r="19" spans="1:48" x14ac:dyDescent="0.3">
      <c r="A19" s="9" t="s">
        <v>605</v>
      </c>
      <c r="B19" s="10" t="s">
        <v>1836</v>
      </c>
      <c r="C19" s="87">
        <v>674</v>
      </c>
      <c r="D19" s="85">
        <v>127.8</v>
      </c>
      <c r="E19" s="86">
        <v>39</v>
      </c>
      <c r="F19" s="85">
        <v>103.8</v>
      </c>
      <c r="G19" s="17">
        <v>31</v>
      </c>
      <c r="H19" s="87">
        <v>154</v>
      </c>
      <c r="I19" s="88">
        <v>31000</v>
      </c>
      <c r="J19" s="88" t="s">
        <v>85</v>
      </c>
      <c r="K19" s="88">
        <v>27500</v>
      </c>
      <c r="L19" s="88" t="s">
        <v>71</v>
      </c>
      <c r="M19" s="89">
        <f>I19-K19</f>
        <v>3500</v>
      </c>
      <c r="N19" s="4">
        <f>IF(ISERROR(K19/I19),"",K19/I19)</f>
        <v>0.88709677419354838</v>
      </c>
      <c r="O19" s="90">
        <f>I19/E19</f>
        <v>794.87179487179492</v>
      </c>
      <c r="P19" s="90">
        <f>K19/E19</f>
        <v>705.12820512820508</v>
      </c>
      <c r="Q19" s="76">
        <v>3</v>
      </c>
      <c r="R19" s="76">
        <v>2</v>
      </c>
      <c r="S19" s="76" t="s">
        <v>61</v>
      </c>
      <c r="T19" s="5">
        <v>127</v>
      </c>
      <c r="U19" s="9"/>
      <c r="W19" s="85">
        <f t="shared" si="6"/>
        <v>127.8</v>
      </c>
      <c r="X19" s="86">
        <f t="shared" si="6"/>
        <v>39</v>
      </c>
      <c r="Y19" s="91">
        <f t="shared" si="7"/>
        <v>154</v>
      </c>
      <c r="Z19" s="89">
        <f t="shared" si="7"/>
        <v>31000</v>
      </c>
      <c r="AA19" s="89">
        <f>K19</f>
        <v>27500</v>
      </c>
      <c r="AB19" s="89">
        <f t="shared" si="8"/>
        <v>3500</v>
      </c>
      <c r="AC19" s="4">
        <f t="shared" si="8"/>
        <v>0.88709677419354838</v>
      </c>
      <c r="AD19" s="90">
        <f t="shared" si="8"/>
        <v>794.87179487179492</v>
      </c>
      <c r="AE19" s="76" t="str">
        <f>S19</f>
        <v>계</v>
      </c>
      <c r="AF19" s="76" t="str">
        <f>Q19&amp;"/"&amp;R19</f>
        <v>3/2</v>
      </c>
      <c r="AH19" s="20" t="str">
        <f t="shared" si="1"/>
        <v>세창짜임</v>
      </c>
      <c r="AI19" s="86">
        <f t="shared" si="0"/>
        <v>39</v>
      </c>
      <c r="AJ19" s="76" t="str">
        <f>IF(AI19="","",$AJ$2)</f>
        <v>A-</v>
      </c>
      <c r="AK19" s="76" t="s">
        <v>13</v>
      </c>
      <c r="AL19" s="76" t="s">
        <v>62</v>
      </c>
      <c r="AM19" s="76" t="s">
        <v>63</v>
      </c>
      <c r="AN19" s="76" t="str">
        <f>IF(AI19="","",$AN$2)</f>
        <v>C</v>
      </c>
      <c r="AO19" s="76" t="str">
        <f>IF(N19="","",IF(N19&gt;=$AO$1/100,"O","X"))</f>
        <v>O</v>
      </c>
      <c r="AP19" s="76" t="str">
        <f>IF(I19="","",IF(I19&lt;=$AP$1,"O","X"))</f>
        <v>O</v>
      </c>
      <c r="AQ19" s="76" t="str">
        <f>IF(O19="","",IF(O19&lt;=$AQ$1,"O","X"))</f>
        <v>O</v>
      </c>
      <c r="AR19" s="76" t="str">
        <f>IF(M19="","",IF(M19&lt;=$AR$1,"O","X"))</f>
        <v>O</v>
      </c>
      <c r="AS19" s="76" t="s">
        <v>2</v>
      </c>
      <c r="AT19" s="76" t="str">
        <f>IF(OR(F19="",AI19=""),"",IF(AND((F19&lt;=85),(AI19&gt;=15)),"O","X"))</f>
        <v>X</v>
      </c>
      <c r="AU19" s="76" t="str">
        <f>IF(C19="","",IF(C19&gt;=$AU$1,"O","X"))</f>
        <v>O</v>
      </c>
      <c r="AV19" s="76" t="str">
        <f>IF(AO19="","",IF(AND(AO19="O",AP19="O",AR19="O",AT19="O",AU19="O"),"후보","X"))</f>
        <v>X</v>
      </c>
    </row>
    <row r="20" spans="1:48" x14ac:dyDescent="0.3">
      <c r="A20" s="9" t="s">
        <v>605</v>
      </c>
      <c r="B20" s="10" t="s">
        <v>1836</v>
      </c>
      <c r="C20" s="87">
        <v>674</v>
      </c>
      <c r="D20" s="85">
        <v>143.4</v>
      </c>
      <c r="E20" s="86">
        <v>43</v>
      </c>
      <c r="F20" s="85">
        <v>114.8</v>
      </c>
      <c r="G20" s="17">
        <v>35</v>
      </c>
      <c r="H20" s="87">
        <v>118</v>
      </c>
      <c r="I20" s="88">
        <v>42000</v>
      </c>
      <c r="J20" s="88" t="s">
        <v>85</v>
      </c>
      <c r="K20" s="88"/>
      <c r="L20" s="88"/>
      <c r="M20" s="89">
        <f>I20-K20</f>
        <v>42000</v>
      </c>
      <c r="N20" s="4">
        <f>IF(ISERROR(K20/I20),"",K20/I20)</f>
        <v>0</v>
      </c>
      <c r="O20" s="90">
        <f>I20/E20</f>
        <v>976.74418604651157</v>
      </c>
      <c r="P20" s="90">
        <f>K20/E20</f>
        <v>0</v>
      </c>
      <c r="Q20" s="76">
        <v>4</v>
      </c>
      <c r="R20" s="76">
        <v>2</v>
      </c>
      <c r="S20" s="76" t="s">
        <v>61</v>
      </c>
      <c r="T20" s="5">
        <v>143</v>
      </c>
      <c r="U20" s="9"/>
      <c r="W20" s="85">
        <f t="shared" si="6"/>
        <v>143.4</v>
      </c>
      <c r="X20" s="86">
        <f t="shared" si="6"/>
        <v>43</v>
      </c>
      <c r="Y20" s="91">
        <f t="shared" si="7"/>
        <v>118</v>
      </c>
      <c r="Z20" s="89">
        <f t="shared" si="7"/>
        <v>42000</v>
      </c>
      <c r="AA20" s="89">
        <f>K20</f>
        <v>0</v>
      </c>
      <c r="AB20" s="89">
        <f t="shared" si="8"/>
        <v>42000</v>
      </c>
      <c r="AC20" s="4">
        <f t="shared" si="8"/>
        <v>0</v>
      </c>
      <c r="AD20" s="90">
        <f t="shared" si="8"/>
        <v>976.74418604651157</v>
      </c>
      <c r="AE20" s="76" t="str">
        <f>S20</f>
        <v>계</v>
      </c>
      <c r="AF20" s="76" t="str">
        <f>Q20&amp;"/"&amp;R20</f>
        <v>4/2</v>
      </c>
      <c r="AH20" s="20" t="str">
        <f t="shared" si="1"/>
        <v>세창짜임</v>
      </c>
      <c r="AI20" s="86">
        <f t="shared" si="0"/>
        <v>43</v>
      </c>
      <c r="AJ20" s="76" t="str">
        <f>IF(AI20="","",$AJ$2)</f>
        <v>A-</v>
      </c>
      <c r="AK20" s="76" t="s">
        <v>13</v>
      </c>
      <c r="AL20" s="76" t="s">
        <v>62</v>
      </c>
      <c r="AM20" s="76" t="s">
        <v>63</v>
      </c>
      <c r="AN20" s="76" t="str">
        <f>IF(AI20="","",$AN$2)</f>
        <v>C</v>
      </c>
      <c r="AO20" s="76" t="str">
        <f>IF(N20="","",IF(N20&gt;=$AO$1/100,"O","X"))</f>
        <v>X</v>
      </c>
      <c r="AP20" s="76" t="str">
        <f>IF(I20="","",IF(I20&lt;=$AP$1,"O","X"))</f>
        <v>O</v>
      </c>
      <c r="AQ20" s="76" t="str">
        <f>IF(O20="","",IF(O20&lt;=$AQ$1,"O","X"))</f>
        <v>O</v>
      </c>
      <c r="AR20" s="76" t="str">
        <f>IF(M20="","",IF(M20&lt;=$AR$1,"O","X"))</f>
        <v>X</v>
      </c>
      <c r="AS20" s="76" t="s">
        <v>2</v>
      </c>
      <c r="AT20" s="76" t="str">
        <f>IF(OR(F20="",AI20=""),"",IF(AND((F20&lt;=85),(AI20&gt;=15)),"O","X"))</f>
        <v>X</v>
      </c>
      <c r="AU20" s="76" t="str">
        <f>IF(C20="","",IF(C20&gt;=$AU$1,"O","X"))</f>
        <v>O</v>
      </c>
      <c r="AV20" s="76" t="str">
        <f>IF(AO20="","",IF(AND(AO20="O",AP20="O",AR20="O",AT20="O",AU20="O"),"후보","X"))</f>
        <v>X</v>
      </c>
    </row>
    <row r="21" spans="1:48" x14ac:dyDescent="0.3">
      <c r="A21" s="9"/>
      <c r="B21" s="76"/>
      <c r="C21" s="6"/>
      <c r="D21" s="9"/>
      <c r="E21" s="14"/>
      <c r="F21" s="85"/>
      <c r="G21" s="9"/>
      <c r="H21" s="9"/>
      <c r="I21" s="9"/>
      <c r="J21" s="9"/>
      <c r="K21" s="9"/>
      <c r="L21" s="9"/>
      <c r="M21" s="9"/>
      <c r="N21" s="9"/>
      <c r="O21" s="90"/>
      <c r="P21" s="90"/>
      <c r="Q21" s="86"/>
      <c r="R21" s="86"/>
      <c r="S21" s="9"/>
      <c r="T21" s="47"/>
      <c r="U21" s="9"/>
      <c r="W21" s="67" t="str">
        <f>$A$4&amp;" "&amp;A22&amp;"("&amp;B22&amp;","&amp;C22&amp;"^)"</f>
        <v>삼천동1가 개나리('91.04.,300^)</v>
      </c>
      <c r="X21" s="68"/>
      <c r="Y21" s="68"/>
      <c r="Z21" s="68"/>
      <c r="AA21" s="68"/>
      <c r="AB21" s="68"/>
      <c r="AC21" s="68"/>
      <c r="AD21" s="68"/>
      <c r="AE21" s="68"/>
      <c r="AF21" s="69"/>
      <c r="AH21" s="20" t="str">
        <f t="shared" si="1"/>
        <v/>
      </c>
      <c r="AI21" s="108" t="str">
        <f t="shared" si="0"/>
        <v/>
      </c>
      <c r="AJ21" s="76"/>
      <c r="AK21" s="76"/>
      <c r="AL21" s="76"/>
      <c r="AM21" s="76"/>
      <c r="AN21" s="76"/>
      <c r="AO21" s="76"/>
      <c r="AP21" s="76"/>
      <c r="AQ21" s="76"/>
      <c r="AR21" s="76"/>
      <c r="AS21" s="76"/>
      <c r="AT21" s="76"/>
      <c r="AU21" s="76"/>
      <c r="AV21" s="76"/>
    </row>
    <row r="22" spans="1:48" x14ac:dyDescent="0.3">
      <c r="A22" s="9" t="s">
        <v>610</v>
      </c>
      <c r="B22" s="10" t="s">
        <v>1837</v>
      </c>
      <c r="C22" s="87">
        <v>300</v>
      </c>
      <c r="D22" s="85">
        <v>70.8</v>
      </c>
      <c r="E22" s="86">
        <v>21</v>
      </c>
      <c r="F22" s="85">
        <v>59</v>
      </c>
      <c r="G22" s="17">
        <v>18</v>
      </c>
      <c r="H22" s="87">
        <v>300</v>
      </c>
      <c r="I22" s="88"/>
      <c r="J22" s="88"/>
      <c r="K22" s="88"/>
      <c r="L22" s="88"/>
      <c r="M22" s="89">
        <f>I22-K22</f>
        <v>0</v>
      </c>
      <c r="N22" s="4" t="str">
        <f>IF(ISERROR(K22/I22),"",K22/I22)</f>
        <v/>
      </c>
      <c r="O22" s="90">
        <f>I22/E22</f>
        <v>0</v>
      </c>
      <c r="P22" s="90">
        <f>K22/E22</f>
        <v>0</v>
      </c>
      <c r="Q22" s="76">
        <v>3</v>
      </c>
      <c r="R22" s="76">
        <v>1</v>
      </c>
      <c r="S22" s="76" t="s">
        <v>61</v>
      </c>
      <c r="T22" s="5">
        <v>70</v>
      </c>
      <c r="U22" s="9"/>
      <c r="W22" s="85">
        <f>D22</f>
        <v>70.8</v>
      </c>
      <c r="X22" s="86">
        <f>E22</f>
        <v>21</v>
      </c>
      <c r="Y22" s="91">
        <f>H22</f>
        <v>300</v>
      </c>
      <c r="Z22" s="89">
        <f>I22</f>
        <v>0</v>
      </c>
      <c r="AA22" s="89">
        <f>K22</f>
        <v>0</v>
      </c>
      <c r="AB22" s="89">
        <f>M22</f>
        <v>0</v>
      </c>
      <c r="AC22" s="4" t="str">
        <f>N22</f>
        <v/>
      </c>
      <c r="AD22" s="90">
        <f>O22</f>
        <v>0</v>
      </c>
      <c r="AE22" s="76" t="str">
        <f>S22</f>
        <v>계</v>
      </c>
      <c r="AF22" s="76" t="str">
        <f>Q22&amp;"/"&amp;R22</f>
        <v>3/1</v>
      </c>
      <c r="AH22" s="20" t="str">
        <f t="shared" si="1"/>
        <v>개나리</v>
      </c>
      <c r="AI22" s="86">
        <f t="shared" si="0"/>
        <v>21</v>
      </c>
      <c r="AJ22" s="76" t="str">
        <f>IF(AI22="","",$AJ$2)</f>
        <v>A-</v>
      </c>
      <c r="AK22" s="76" t="s">
        <v>13</v>
      </c>
      <c r="AL22" s="76" t="s">
        <v>62</v>
      </c>
      <c r="AM22" s="76" t="s">
        <v>63</v>
      </c>
      <c r="AN22" s="76" t="str">
        <f>IF(AI22="","",$AN$2)</f>
        <v>C</v>
      </c>
      <c r="AO22" s="76" t="str">
        <f>IF(N22="","",IF(N22&gt;=$AO$1/100,"O","X"))</f>
        <v/>
      </c>
      <c r="AP22" s="76" t="str">
        <f>IF(I22="","",IF(I22&lt;=$AP$1,"O","X"))</f>
        <v/>
      </c>
      <c r="AQ22" s="76" t="str">
        <f>IF(O22="","",IF(O22&lt;=$AQ$1,"O","X"))</f>
        <v>O</v>
      </c>
      <c r="AR22" s="76" t="str">
        <f>IF(M22="","",IF(M22&lt;=$AR$1,"O","X"))</f>
        <v>O</v>
      </c>
      <c r="AS22" s="76" t="s">
        <v>2</v>
      </c>
      <c r="AT22" s="76" t="str">
        <f>IF(OR(F22="",AI22=""),"",IF(AND((F22&lt;=85),(AI22&gt;=15)),"O","X"))</f>
        <v>O</v>
      </c>
      <c r="AU22" s="76" t="str">
        <f>IF(C22="","",IF(C22&gt;=$AU$1,"O","X"))</f>
        <v>O</v>
      </c>
      <c r="AV22" s="76" t="str">
        <f>IF(AO22="","",IF(AND(AO22="O",AP22="O",AR22="O",AT22="O",AU22="O"),"후보","X"))</f>
        <v/>
      </c>
    </row>
    <row r="23" spans="1:48" x14ac:dyDescent="0.3">
      <c r="A23" s="9"/>
      <c r="B23" s="76"/>
      <c r="C23" s="6"/>
      <c r="D23" s="9"/>
      <c r="E23" s="14"/>
      <c r="F23" s="85"/>
      <c r="G23" s="9"/>
      <c r="H23" s="9"/>
      <c r="I23" s="9"/>
      <c r="J23" s="9"/>
      <c r="K23" s="9"/>
      <c r="L23" s="9"/>
      <c r="M23" s="9"/>
      <c r="N23" s="9"/>
      <c r="O23" s="90"/>
      <c r="P23" s="90"/>
      <c r="Q23" s="86"/>
      <c r="R23" s="86"/>
      <c r="S23" s="9"/>
      <c r="T23" s="47"/>
      <c r="U23" s="9"/>
      <c r="W23" s="67" t="str">
        <f>$A$4&amp;" "&amp;A24&amp;"("&amp;B24&amp;","&amp;C24&amp;"^)"</f>
        <v>삼천동1가 우성그린('91.08.,444^)</v>
      </c>
      <c r="X23" s="68"/>
      <c r="Y23" s="68"/>
      <c r="Z23" s="68"/>
      <c r="AA23" s="68"/>
      <c r="AB23" s="68"/>
      <c r="AC23" s="68"/>
      <c r="AD23" s="68"/>
      <c r="AE23" s="68"/>
      <c r="AF23" s="69"/>
      <c r="AH23" s="20" t="str">
        <f t="shared" si="1"/>
        <v/>
      </c>
      <c r="AI23" s="108" t="str">
        <f t="shared" si="0"/>
        <v/>
      </c>
      <c r="AJ23" s="76"/>
      <c r="AK23" s="76"/>
      <c r="AL23" s="76"/>
      <c r="AM23" s="76"/>
      <c r="AN23" s="76"/>
      <c r="AO23" s="76"/>
      <c r="AP23" s="76"/>
      <c r="AQ23" s="76"/>
      <c r="AR23" s="76"/>
      <c r="AS23" s="76"/>
      <c r="AT23" s="76"/>
      <c r="AU23" s="76"/>
      <c r="AV23" s="76"/>
    </row>
    <row r="24" spans="1:48" x14ac:dyDescent="0.3">
      <c r="A24" s="9" t="s">
        <v>614</v>
      </c>
      <c r="B24" s="10" t="s">
        <v>1833</v>
      </c>
      <c r="C24" s="87">
        <v>444</v>
      </c>
      <c r="D24" s="85">
        <v>72.400000000000006</v>
      </c>
      <c r="E24" s="86">
        <v>22</v>
      </c>
      <c r="F24" s="85">
        <v>59.7</v>
      </c>
      <c r="G24" s="17">
        <v>18</v>
      </c>
      <c r="H24" s="87">
        <v>372</v>
      </c>
      <c r="I24" s="88">
        <v>16500</v>
      </c>
      <c r="J24" s="88" t="s">
        <v>89</v>
      </c>
      <c r="K24" s="88">
        <v>5500</v>
      </c>
      <c r="L24" s="88" t="s">
        <v>90</v>
      </c>
      <c r="M24" s="89">
        <f>I24-K24</f>
        <v>11000</v>
      </c>
      <c r="N24" s="4">
        <f>IF(ISERROR(K24/I24),"",K24/I24)</f>
        <v>0.33333333333333331</v>
      </c>
      <c r="O24" s="90">
        <f>I24/E24</f>
        <v>750</v>
      </c>
      <c r="P24" s="90">
        <f>K24/E24</f>
        <v>250</v>
      </c>
      <c r="Q24" s="76">
        <v>3</v>
      </c>
      <c r="R24" s="76">
        <v>1</v>
      </c>
      <c r="S24" s="76" t="s">
        <v>61</v>
      </c>
      <c r="T24" s="5" t="s">
        <v>91</v>
      </c>
      <c r="U24" s="9"/>
      <c r="W24" s="85">
        <f>D24</f>
        <v>72.400000000000006</v>
      </c>
      <c r="X24" s="86">
        <f>E24</f>
        <v>22</v>
      </c>
      <c r="Y24" s="91">
        <f>H24</f>
        <v>372</v>
      </c>
      <c r="Z24" s="89">
        <f>I24</f>
        <v>16500</v>
      </c>
      <c r="AA24" s="89">
        <f>K24</f>
        <v>5500</v>
      </c>
      <c r="AB24" s="89">
        <f t="shared" ref="AB24:AD25" si="9">M24</f>
        <v>11000</v>
      </c>
      <c r="AC24" s="4">
        <f t="shared" si="9"/>
        <v>0.33333333333333331</v>
      </c>
      <c r="AD24" s="90">
        <f t="shared" si="9"/>
        <v>750</v>
      </c>
      <c r="AE24" s="76" t="str">
        <f>S24</f>
        <v>계</v>
      </c>
      <c r="AF24" s="76" t="str">
        <f>Q24&amp;"/"&amp;R24</f>
        <v>3/1</v>
      </c>
      <c r="AH24" s="20" t="str">
        <f t="shared" si="1"/>
        <v>우성그린</v>
      </c>
      <c r="AI24" s="86">
        <f t="shared" si="0"/>
        <v>22</v>
      </c>
      <c r="AJ24" s="76" t="str">
        <f>IF(AI24="","",$AJ$2)</f>
        <v>A-</v>
      </c>
      <c r="AK24" s="76" t="s">
        <v>13</v>
      </c>
      <c r="AL24" s="76" t="s">
        <v>62</v>
      </c>
      <c r="AM24" s="76" t="s">
        <v>63</v>
      </c>
      <c r="AN24" s="76" t="str">
        <f>IF(AI24="","",$AN$2)</f>
        <v>C</v>
      </c>
      <c r="AO24" s="76" t="str">
        <f>IF(N24="","",IF(N24&gt;=$AO$1/100,"O","X"))</f>
        <v>X</v>
      </c>
      <c r="AP24" s="76" t="str">
        <f>IF(I24="","",IF(I24&lt;=$AP$1,"O","X"))</f>
        <v>O</v>
      </c>
      <c r="AQ24" s="76" t="str">
        <f>IF(O24="","",IF(O24&lt;=$AQ$1,"O","X"))</f>
        <v>O</v>
      </c>
      <c r="AR24" s="76" t="str">
        <f>IF(M24="","",IF(M24&lt;=$AR$1,"O","X"))</f>
        <v>X</v>
      </c>
      <c r="AS24" s="76" t="s">
        <v>2</v>
      </c>
      <c r="AT24" s="76" t="str">
        <f>IF(OR(F24="",AI24=""),"",IF(AND((F24&lt;=85),(AI24&gt;=15)),"O","X"))</f>
        <v>O</v>
      </c>
      <c r="AU24" s="76" t="str">
        <f>IF(C24="","",IF(C24&gt;=$AU$1,"O","X"))</f>
        <v>O</v>
      </c>
      <c r="AV24" s="76" t="str">
        <f>IF(AO24="","",IF(AND(AO24="O",AP24="O",AR24="O",AT24="O",AU24="O"),"후보","X"))</f>
        <v>X</v>
      </c>
    </row>
    <row r="25" spans="1:48" x14ac:dyDescent="0.3">
      <c r="A25" s="9" t="s">
        <v>614</v>
      </c>
      <c r="B25" s="10" t="s">
        <v>1833</v>
      </c>
      <c r="C25" s="87">
        <v>444</v>
      </c>
      <c r="D25" s="85">
        <v>72.5</v>
      </c>
      <c r="E25" s="86">
        <v>22</v>
      </c>
      <c r="F25" s="85">
        <v>59.8</v>
      </c>
      <c r="G25" s="17">
        <v>18</v>
      </c>
      <c r="H25" s="87">
        <v>72</v>
      </c>
      <c r="I25" s="88"/>
      <c r="J25" s="88"/>
      <c r="K25" s="88"/>
      <c r="L25" s="88"/>
      <c r="M25" s="89">
        <f>I25-K25</f>
        <v>0</v>
      </c>
      <c r="N25" s="4" t="str">
        <f>IF(ISERROR(K25/I25),"",K25/I25)</f>
        <v/>
      </c>
      <c r="O25" s="90">
        <f>I25/E25</f>
        <v>0</v>
      </c>
      <c r="P25" s="90">
        <f>K25/E25</f>
        <v>0</v>
      </c>
      <c r="Q25" s="76">
        <v>3</v>
      </c>
      <c r="R25" s="76">
        <v>1</v>
      </c>
      <c r="S25" s="76" t="s">
        <v>61</v>
      </c>
      <c r="T25" s="5" t="s">
        <v>92</v>
      </c>
      <c r="U25" s="9"/>
      <c r="W25" s="85">
        <f>D25</f>
        <v>72.5</v>
      </c>
      <c r="X25" s="86">
        <f>E25</f>
        <v>22</v>
      </c>
      <c r="Y25" s="91">
        <f>H25</f>
        <v>72</v>
      </c>
      <c r="Z25" s="89">
        <f>I25</f>
        <v>0</v>
      </c>
      <c r="AA25" s="89">
        <f>K25</f>
        <v>0</v>
      </c>
      <c r="AB25" s="89">
        <f t="shared" si="9"/>
        <v>0</v>
      </c>
      <c r="AC25" s="4" t="str">
        <f t="shared" si="9"/>
        <v/>
      </c>
      <c r="AD25" s="90">
        <f t="shared" si="9"/>
        <v>0</v>
      </c>
      <c r="AE25" s="76" t="str">
        <f>S25</f>
        <v>계</v>
      </c>
      <c r="AF25" s="76" t="str">
        <f>Q25&amp;"/"&amp;R25</f>
        <v>3/1</v>
      </c>
      <c r="AH25" s="20" t="str">
        <f t="shared" si="1"/>
        <v>우성그린</v>
      </c>
      <c r="AI25" s="86">
        <f t="shared" si="0"/>
        <v>22</v>
      </c>
      <c r="AJ25" s="76" t="str">
        <f>IF(AI25="","",$AJ$2)</f>
        <v>A-</v>
      </c>
      <c r="AK25" s="76" t="s">
        <v>13</v>
      </c>
      <c r="AL25" s="76" t="s">
        <v>62</v>
      </c>
      <c r="AM25" s="76" t="s">
        <v>63</v>
      </c>
      <c r="AN25" s="76" t="str">
        <f>IF(AI25="","",$AN$2)</f>
        <v>C</v>
      </c>
      <c r="AO25" s="76" t="str">
        <f>IF(N25="","",IF(N25&gt;=$AO$1/100,"O","X"))</f>
        <v/>
      </c>
      <c r="AP25" s="76" t="str">
        <f>IF(I25="","",IF(I25&lt;=$AP$1,"O","X"))</f>
        <v/>
      </c>
      <c r="AQ25" s="76" t="str">
        <f>IF(O25="","",IF(O25&lt;=$AQ$1,"O","X"))</f>
        <v>O</v>
      </c>
      <c r="AR25" s="76" t="str">
        <f>IF(M25="","",IF(M25&lt;=$AR$1,"O","X"))</f>
        <v>O</v>
      </c>
      <c r="AS25" s="76" t="s">
        <v>2</v>
      </c>
      <c r="AT25" s="76" t="str">
        <f>IF(OR(F25="",AI25=""),"",IF(AND((F25&lt;=85),(AI25&gt;=15)),"O","X"))</f>
        <v>O</v>
      </c>
      <c r="AU25" s="76" t="str">
        <f>IF(C25="","",IF(C25&gt;=$AU$1,"O","X"))</f>
        <v>O</v>
      </c>
      <c r="AV25" s="76" t="str">
        <f>IF(AO25="","",IF(AND(AO25="O",AP25="O",AR25="O",AT25="O",AU25="O"),"후보","X"))</f>
        <v/>
      </c>
    </row>
    <row r="26" spans="1:48" x14ac:dyDescent="0.3">
      <c r="A26" s="9"/>
      <c r="B26" s="76"/>
      <c r="C26" s="6"/>
      <c r="D26" s="9"/>
      <c r="E26" s="14"/>
      <c r="F26" s="85"/>
      <c r="G26" s="9"/>
      <c r="H26" s="9"/>
      <c r="I26" s="9"/>
      <c r="J26" s="9"/>
      <c r="K26" s="9"/>
      <c r="L26" s="9"/>
      <c r="M26" s="9"/>
      <c r="N26" s="9"/>
      <c r="O26" s="90"/>
      <c r="P26" s="90"/>
      <c r="Q26" s="86"/>
      <c r="R26" s="86"/>
      <c r="S26" s="9"/>
      <c r="T26" s="47"/>
      <c r="U26" s="9"/>
      <c r="W26" s="67" t="str">
        <f>$A$4&amp;" "&amp;A27&amp;"("&amp;B27&amp;","&amp;C27&amp;"^)"</f>
        <v>삼천동1가 호반리젠시빌('02.03.,709^)</v>
      </c>
      <c r="X26" s="68"/>
      <c r="Y26" s="68"/>
      <c r="Z26" s="68"/>
      <c r="AA26" s="68"/>
      <c r="AB26" s="68"/>
      <c r="AC26" s="68"/>
      <c r="AD26" s="68"/>
      <c r="AE26" s="68"/>
      <c r="AF26" s="69"/>
      <c r="AH26" s="20" t="str">
        <f t="shared" si="1"/>
        <v/>
      </c>
      <c r="AI26" s="108" t="str">
        <f t="shared" si="0"/>
        <v/>
      </c>
      <c r="AJ26" s="76"/>
      <c r="AK26" s="76"/>
      <c r="AL26" s="76"/>
      <c r="AM26" s="76"/>
      <c r="AN26" s="76"/>
      <c r="AO26" s="76"/>
      <c r="AP26" s="76"/>
      <c r="AQ26" s="76"/>
      <c r="AR26" s="76"/>
      <c r="AS26" s="76"/>
      <c r="AT26" s="76"/>
      <c r="AU26" s="76"/>
      <c r="AV26" s="76"/>
    </row>
    <row r="27" spans="1:48" x14ac:dyDescent="0.3">
      <c r="A27" s="9" t="s">
        <v>628</v>
      </c>
      <c r="B27" s="10" t="s">
        <v>1838</v>
      </c>
      <c r="C27" s="87">
        <v>709</v>
      </c>
      <c r="D27" s="85">
        <v>110.9</v>
      </c>
      <c r="E27" s="86">
        <v>34</v>
      </c>
      <c r="F27" s="85">
        <v>84.8</v>
      </c>
      <c r="G27" s="17">
        <v>26</v>
      </c>
      <c r="H27" s="87">
        <v>709</v>
      </c>
      <c r="I27" s="88">
        <v>28000</v>
      </c>
      <c r="J27" s="88" t="s">
        <v>80</v>
      </c>
      <c r="K27" s="88"/>
      <c r="L27" s="88"/>
      <c r="M27" s="89">
        <f>I27-K27</f>
        <v>28000</v>
      </c>
      <c r="N27" s="4">
        <f>IF(ISERROR(K27/I27),"",K27/I27)</f>
        <v>0</v>
      </c>
      <c r="O27" s="90">
        <f>I27/E27</f>
        <v>823.52941176470586</v>
      </c>
      <c r="P27" s="90">
        <f>K27/E27</f>
        <v>0</v>
      </c>
      <c r="Q27" s="76">
        <v>3</v>
      </c>
      <c r="R27" s="76">
        <v>2</v>
      </c>
      <c r="S27" s="76" t="s">
        <v>61</v>
      </c>
      <c r="T27" s="5">
        <v>110</v>
      </c>
      <c r="U27" s="9"/>
      <c r="W27" s="85">
        <f>D27</f>
        <v>110.9</v>
      </c>
      <c r="X27" s="86">
        <f>E27</f>
        <v>34</v>
      </c>
      <c r="Y27" s="91">
        <f>H27</f>
        <v>709</v>
      </c>
      <c r="Z27" s="89">
        <f>I27</f>
        <v>28000</v>
      </c>
      <c r="AA27" s="89">
        <f>K27</f>
        <v>0</v>
      </c>
      <c r="AB27" s="89">
        <f>M27</f>
        <v>28000</v>
      </c>
      <c r="AC27" s="4">
        <f>N27</f>
        <v>0</v>
      </c>
      <c r="AD27" s="90">
        <f>O27</f>
        <v>823.52941176470586</v>
      </c>
      <c r="AE27" s="76" t="str">
        <f>S27</f>
        <v>계</v>
      </c>
      <c r="AF27" s="76" t="str">
        <f>Q27&amp;"/"&amp;R27</f>
        <v>3/2</v>
      </c>
      <c r="AH27" s="20" t="str">
        <f t="shared" si="1"/>
        <v>호반리젠시빌</v>
      </c>
      <c r="AI27" s="86">
        <f t="shared" si="0"/>
        <v>34</v>
      </c>
      <c r="AJ27" s="76" t="str">
        <f>IF(AI27="","",$AJ$2)</f>
        <v>A-</v>
      </c>
      <c r="AK27" s="76" t="s">
        <v>13</v>
      </c>
      <c r="AL27" s="76" t="s">
        <v>62</v>
      </c>
      <c r="AM27" s="76" t="s">
        <v>63</v>
      </c>
      <c r="AN27" s="76" t="str">
        <f>IF(AI27="","",$AN$2)</f>
        <v>C</v>
      </c>
      <c r="AO27" s="76" t="str">
        <f>IF(N27="","",IF(N27&gt;=$AO$1/100,"O","X"))</f>
        <v>X</v>
      </c>
      <c r="AP27" s="76" t="str">
        <f>IF(I27="","",IF(I27&lt;=$AP$1,"O","X"))</f>
        <v>O</v>
      </c>
      <c r="AQ27" s="76" t="str">
        <f>IF(O27="","",IF(O27&lt;=$AQ$1,"O","X"))</f>
        <v>O</v>
      </c>
      <c r="AR27" s="76" t="str">
        <f>IF(M27="","",IF(M27&lt;=$AR$1,"O","X"))</f>
        <v>X</v>
      </c>
      <c r="AS27" s="76" t="s">
        <v>2</v>
      </c>
      <c r="AT27" s="76" t="str">
        <f>IF(OR(F27="",AI27=""),"",IF(AND((F27&lt;=85),(AI27&gt;=15)),"O","X"))</f>
        <v>O</v>
      </c>
      <c r="AU27" s="76" t="str">
        <f>IF(C27="","",IF(C27&gt;=$AU$1,"O","X"))</f>
        <v>O</v>
      </c>
      <c r="AV27" s="76" t="str">
        <f>IF(AO27="","",IF(AND(AO27="O",AP27="O",AR27="O",AT27="O",AU27="O"),"후보","X"))</f>
        <v>X</v>
      </c>
    </row>
    <row r="28" spans="1:48" x14ac:dyDescent="0.3">
      <c r="A28" s="9"/>
      <c r="B28" s="76"/>
      <c r="C28" s="6"/>
      <c r="D28" s="9"/>
      <c r="E28" s="14"/>
      <c r="F28" s="85"/>
      <c r="G28" s="9"/>
      <c r="H28" s="9"/>
      <c r="I28" s="9"/>
      <c r="J28" s="9"/>
      <c r="K28" s="9"/>
      <c r="L28" s="9"/>
      <c r="M28" s="9"/>
      <c r="N28" s="9"/>
      <c r="O28" s="90"/>
      <c r="P28" s="90"/>
      <c r="Q28" s="86"/>
      <c r="R28" s="86"/>
      <c r="S28" s="9"/>
      <c r="T28" s="47"/>
      <c r="U28" s="9"/>
      <c r="W28" s="67" t="str">
        <f>$A$4&amp;" "&amp;A29&amp;"("&amp;B29&amp;","&amp;C29&amp;"^)"</f>
        <v>삼천동1가 삼천주공4단지('00.03.,390^)</v>
      </c>
      <c r="X28" s="68"/>
      <c r="Y28" s="68"/>
      <c r="Z28" s="68"/>
      <c r="AA28" s="68"/>
      <c r="AB28" s="68"/>
      <c r="AC28" s="68"/>
      <c r="AD28" s="68"/>
      <c r="AE28" s="68"/>
      <c r="AF28" s="69"/>
      <c r="AH28" s="20" t="str">
        <f t="shared" si="1"/>
        <v/>
      </c>
      <c r="AI28" s="108" t="str">
        <f t="shared" si="0"/>
        <v/>
      </c>
      <c r="AJ28" s="76"/>
      <c r="AK28" s="76"/>
      <c r="AL28" s="76"/>
      <c r="AM28" s="76"/>
      <c r="AN28" s="76"/>
      <c r="AO28" s="76"/>
      <c r="AP28" s="76"/>
      <c r="AQ28" s="76"/>
      <c r="AR28" s="76"/>
      <c r="AS28" s="76"/>
      <c r="AT28" s="76"/>
      <c r="AU28" s="76"/>
      <c r="AV28" s="76"/>
    </row>
    <row r="29" spans="1:48" x14ac:dyDescent="0.3">
      <c r="A29" s="9" t="s">
        <v>632</v>
      </c>
      <c r="B29" s="10" t="s">
        <v>1835</v>
      </c>
      <c r="C29" s="87">
        <v>390</v>
      </c>
      <c r="D29" s="85">
        <v>77.3</v>
      </c>
      <c r="E29" s="86">
        <v>23</v>
      </c>
      <c r="F29" s="85">
        <v>59.4</v>
      </c>
      <c r="G29" s="17">
        <v>18</v>
      </c>
      <c r="H29" s="87">
        <v>240</v>
      </c>
      <c r="I29" s="88"/>
      <c r="J29" s="88"/>
      <c r="K29" s="88"/>
      <c r="L29" s="88"/>
      <c r="M29" s="89">
        <f>I29-K29</f>
        <v>0</v>
      </c>
      <c r="N29" s="4" t="str">
        <f>IF(ISERROR(K29/I29),"",K29/I29)</f>
        <v/>
      </c>
      <c r="O29" s="90">
        <f>I29/E29</f>
        <v>0</v>
      </c>
      <c r="P29" s="90">
        <f>K29/E29</f>
        <v>0</v>
      </c>
      <c r="Q29" s="76">
        <v>3</v>
      </c>
      <c r="R29" s="76">
        <v>1</v>
      </c>
      <c r="S29" s="76" t="s">
        <v>61</v>
      </c>
      <c r="T29" s="5">
        <v>77</v>
      </c>
      <c r="U29" s="9"/>
      <c r="W29" s="85">
        <f>D29</f>
        <v>77.3</v>
      </c>
      <c r="X29" s="86">
        <f>E29</f>
        <v>23</v>
      </c>
      <c r="Y29" s="91">
        <f>H29</f>
        <v>240</v>
      </c>
      <c r="Z29" s="89">
        <f>I29</f>
        <v>0</v>
      </c>
      <c r="AA29" s="89">
        <f>K29</f>
        <v>0</v>
      </c>
      <c r="AB29" s="89">
        <f t="shared" ref="AB29:AD30" si="10">M29</f>
        <v>0</v>
      </c>
      <c r="AC29" s="4" t="str">
        <f t="shared" si="10"/>
        <v/>
      </c>
      <c r="AD29" s="90">
        <f t="shared" si="10"/>
        <v>0</v>
      </c>
      <c r="AE29" s="76" t="str">
        <f>S29</f>
        <v>계</v>
      </c>
      <c r="AF29" s="76" t="str">
        <f>Q29&amp;"/"&amp;R29</f>
        <v>3/1</v>
      </c>
      <c r="AH29" s="20" t="str">
        <f t="shared" si="1"/>
        <v>삼천주공4단지</v>
      </c>
      <c r="AI29" s="86">
        <f t="shared" si="0"/>
        <v>23</v>
      </c>
      <c r="AJ29" s="76" t="str">
        <f>IF(AI29="","",$AJ$2)</f>
        <v>A-</v>
      </c>
      <c r="AK29" s="76" t="s">
        <v>13</v>
      </c>
      <c r="AL29" s="76" t="s">
        <v>62</v>
      </c>
      <c r="AM29" s="76" t="s">
        <v>63</v>
      </c>
      <c r="AN29" s="76" t="str">
        <f>IF(AI29="","",$AN$2)</f>
        <v>C</v>
      </c>
      <c r="AO29" s="76" t="str">
        <f>IF(N29="","",IF(N29&gt;=$AO$1/100,"O","X"))</f>
        <v/>
      </c>
      <c r="AP29" s="76" t="str">
        <f>IF(I29="","",IF(I29&lt;=$AP$1,"O","X"))</f>
        <v/>
      </c>
      <c r="AQ29" s="76" t="str">
        <f>IF(O29="","",IF(O29&lt;=$AQ$1,"O","X"))</f>
        <v>O</v>
      </c>
      <c r="AR29" s="76" t="str">
        <f>IF(M29="","",IF(M29&lt;=$AR$1,"O","X"))</f>
        <v>O</v>
      </c>
      <c r="AS29" s="76" t="s">
        <v>2</v>
      </c>
      <c r="AT29" s="76" t="str">
        <f>IF(OR(F29="",AI29=""),"",IF(AND((F29&lt;=85),(AI29&gt;=15)),"O","X"))</f>
        <v>O</v>
      </c>
      <c r="AU29" s="76" t="str">
        <f>IF(C29="","",IF(C29&gt;=$AU$1,"O","X"))</f>
        <v>O</v>
      </c>
      <c r="AV29" s="76" t="str">
        <f>IF(AO29="","",IF(AND(AO29="O",AP29="O",AR29="O",AT29="O",AU29="O"),"후보","X"))</f>
        <v/>
      </c>
    </row>
    <row r="30" spans="1:48" x14ac:dyDescent="0.3">
      <c r="A30" s="9" t="s">
        <v>632</v>
      </c>
      <c r="B30" s="10" t="s">
        <v>1835</v>
      </c>
      <c r="C30" s="87">
        <v>390</v>
      </c>
      <c r="D30" s="85">
        <v>109.7</v>
      </c>
      <c r="E30" s="86">
        <v>33</v>
      </c>
      <c r="F30" s="85">
        <v>84.3</v>
      </c>
      <c r="G30" s="17">
        <v>26</v>
      </c>
      <c r="H30" s="87">
        <v>150</v>
      </c>
      <c r="I30" s="88">
        <v>25500</v>
      </c>
      <c r="J30" s="88" t="s">
        <v>83</v>
      </c>
      <c r="K30" s="88"/>
      <c r="L30" s="88"/>
      <c r="M30" s="89">
        <f>I30-K30</f>
        <v>25500</v>
      </c>
      <c r="N30" s="4">
        <f>IF(ISERROR(K30/I30),"",K30/I30)</f>
        <v>0</v>
      </c>
      <c r="O30" s="90">
        <f>I30/E30</f>
        <v>772.72727272727275</v>
      </c>
      <c r="P30" s="90">
        <f>K30/E30</f>
        <v>0</v>
      </c>
      <c r="Q30" s="76">
        <v>3</v>
      </c>
      <c r="R30" s="76">
        <v>2</v>
      </c>
      <c r="S30" s="76" t="s">
        <v>61</v>
      </c>
      <c r="T30" s="5">
        <v>109</v>
      </c>
      <c r="U30" s="9"/>
      <c r="W30" s="85">
        <f>D30</f>
        <v>109.7</v>
      </c>
      <c r="X30" s="86">
        <f>E30</f>
        <v>33</v>
      </c>
      <c r="Y30" s="91">
        <f>H30</f>
        <v>150</v>
      </c>
      <c r="Z30" s="89">
        <f>I30</f>
        <v>25500</v>
      </c>
      <c r="AA30" s="89">
        <f>K30</f>
        <v>0</v>
      </c>
      <c r="AB30" s="89">
        <f t="shared" si="10"/>
        <v>25500</v>
      </c>
      <c r="AC30" s="4">
        <f t="shared" si="10"/>
        <v>0</v>
      </c>
      <c r="AD30" s="90">
        <f t="shared" si="10"/>
        <v>772.72727272727275</v>
      </c>
      <c r="AE30" s="76" t="str">
        <f>S30</f>
        <v>계</v>
      </c>
      <c r="AF30" s="76" t="str">
        <f>Q30&amp;"/"&amp;R30</f>
        <v>3/2</v>
      </c>
      <c r="AH30" s="20" t="str">
        <f t="shared" si="1"/>
        <v>삼천주공4단지</v>
      </c>
      <c r="AI30" s="86">
        <f t="shared" si="0"/>
        <v>33</v>
      </c>
      <c r="AJ30" s="76" t="str">
        <f>IF(AI30="","",$AJ$2)</f>
        <v>A-</v>
      </c>
      <c r="AK30" s="76" t="s">
        <v>13</v>
      </c>
      <c r="AL30" s="76" t="s">
        <v>62</v>
      </c>
      <c r="AM30" s="76" t="s">
        <v>63</v>
      </c>
      <c r="AN30" s="76" t="str">
        <f>IF(AI30="","",$AN$2)</f>
        <v>C</v>
      </c>
      <c r="AO30" s="76" t="str">
        <f>IF(N30="","",IF(N30&gt;=$AO$1/100,"O","X"))</f>
        <v>X</v>
      </c>
      <c r="AP30" s="76" t="str">
        <f>IF(I30="","",IF(I30&lt;=$AP$1,"O","X"))</f>
        <v>O</v>
      </c>
      <c r="AQ30" s="76" t="str">
        <f>IF(O30="","",IF(O30&lt;=$AQ$1,"O","X"))</f>
        <v>O</v>
      </c>
      <c r="AR30" s="76" t="str">
        <f>IF(M30="","",IF(M30&lt;=$AR$1,"O","X"))</f>
        <v>X</v>
      </c>
      <c r="AS30" s="76" t="s">
        <v>2</v>
      </c>
      <c r="AT30" s="76" t="str">
        <f>IF(OR(F30="",AI30=""),"",IF(AND((F30&lt;=85),(AI30&gt;=15)),"O","X"))</f>
        <v>O</v>
      </c>
      <c r="AU30" s="76" t="str">
        <f>IF(C30="","",IF(C30&gt;=$AU$1,"O","X"))</f>
        <v>O</v>
      </c>
      <c r="AV30" s="76" t="str">
        <f>IF(AO30="","",IF(AND(AO30="O",AP30="O",AR30="O",AT30="O",AU30="O"),"후보","X"))</f>
        <v>X</v>
      </c>
    </row>
    <row r="31" spans="1:48" x14ac:dyDescent="0.3">
      <c r="A31" s="9"/>
      <c r="B31" s="76"/>
      <c r="C31" s="6"/>
      <c r="D31" s="9"/>
      <c r="E31" s="14"/>
      <c r="F31" s="85"/>
      <c r="G31" s="9"/>
      <c r="H31" s="9"/>
      <c r="I31" s="9"/>
      <c r="J31" s="9"/>
      <c r="K31" s="9"/>
      <c r="L31" s="9"/>
      <c r="M31" s="9"/>
      <c r="N31" s="9"/>
      <c r="O31" s="90"/>
      <c r="P31" s="90"/>
      <c r="Q31" s="86"/>
      <c r="R31" s="86"/>
      <c r="S31" s="9"/>
      <c r="T31" s="47"/>
      <c r="U31" s="9"/>
      <c r="W31" s="67" t="str">
        <f>$A$4&amp;" "&amp;A32&amp;"("&amp;B32&amp;","&amp;C32&amp;"^)"</f>
        <v>삼천동1가 광진목화('87.04.,460^)</v>
      </c>
      <c r="X31" s="68"/>
      <c r="Y31" s="68"/>
      <c r="Z31" s="68"/>
      <c r="AA31" s="68"/>
      <c r="AB31" s="68"/>
      <c r="AC31" s="68"/>
      <c r="AD31" s="68"/>
      <c r="AE31" s="68"/>
      <c r="AF31" s="69"/>
      <c r="AH31" s="20" t="str">
        <f t="shared" si="1"/>
        <v/>
      </c>
      <c r="AI31" s="108" t="str">
        <f t="shared" si="0"/>
        <v/>
      </c>
      <c r="AJ31" s="76"/>
      <c r="AK31" s="76"/>
      <c r="AL31" s="76"/>
      <c r="AM31" s="76"/>
      <c r="AN31" s="76"/>
      <c r="AO31" s="76"/>
      <c r="AP31" s="76"/>
      <c r="AQ31" s="76"/>
      <c r="AR31" s="76"/>
      <c r="AS31" s="76"/>
      <c r="AT31" s="76"/>
      <c r="AU31" s="76"/>
      <c r="AV31" s="76"/>
    </row>
    <row r="32" spans="1:48" x14ac:dyDescent="0.3">
      <c r="A32" s="9" t="s">
        <v>636</v>
      </c>
      <c r="B32" s="10" t="s">
        <v>1839</v>
      </c>
      <c r="C32" s="87">
        <v>460</v>
      </c>
      <c r="D32" s="85">
        <v>68</v>
      </c>
      <c r="E32" s="86">
        <v>21</v>
      </c>
      <c r="F32" s="85">
        <v>59.9</v>
      </c>
      <c r="G32" s="17">
        <v>18</v>
      </c>
      <c r="H32" s="87">
        <v>460</v>
      </c>
      <c r="I32" s="88">
        <v>16500</v>
      </c>
      <c r="J32" s="88" t="s">
        <v>75</v>
      </c>
      <c r="K32" s="88">
        <v>9500</v>
      </c>
      <c r="L32" s="88" t="s">
        <v>75</v>
      </c>
      <c r="M32" s="89">
        <f>I32-K32</f>
        <v>7000</v>
      </c>
      <c r="N32" s="4">
        <f>IF(ISERROR(K32/I32),"",K32/I32)</f>
        <v>0.5757575757575758</v>
      </c>
      <c r="O32" s="90">
        <f>I32/E32</f>
        <v>785.71428571428567</v>
      </c>
      <c r="P32" s="90">
        <f>K32/E32</f>
        <v>452.38095238095241</v>
      </c>
      <c r="Q32" s="76">
        <v>3</v>
      </c>
      <c r="R32" s="76">
        <v>1</v>
      </c>
      <c r="S32" s="76" t="s">
        <v>61</v>
      </c>
      <c r="T32" s="5">
        <v>68</v>
      </c>
      <c r="U32" s="9"/>
      <c r="W32" s="85">
        <f>D32</f>
        <v>68</v>
      </c>
      <c r="X32" s="86">
        <f>E32</f>
        <v>21</v>
      </c>
      <c r="Y32" s="91">
        <f>H32</f>
        <v>460</v>
      </c>
      <c r="Z32" s="89">
        <f>I32</f>
        <v>16500</v>
      </c>
      <c r="AA32" s="89">
        <f>K32</f>
        <v>9500</v>
      </c>
      <c r="AB32" s="89">
        <f>M32</f>
        <v>7000</v>
      </c>
      <c r="AC32" s="4">
        <f>N32</f>
        <v>0.5757575757575758</v>
      </c>
      <c r="AD32" s="90">
        <f>O32</f>
        <v>785.71428571428567</v>
      </c>
      <c r="AE32" s="76" t="str">
        <f>S32</f>
        <v>계</v>
      </c>
      <c r="AF32" s="76" t="str">
        <f>Q32&amp;"/"&amp;R32</f>
        <v>3/1</v>
      </c>
      <c r="AH32" s="20" t="str">
        <f t="shared" si="1"/>
        <v>광진목화</v>
      </c>
      <c r="AI32" s="86">
        <f t="shared" si="0"/>
        <v>21</v>
      </c>
      <c r="AJ32" s="76" t="str">
        <f>IF(AI32="","",$AJ$2)</f>
        <v>A-</v>
      </c>
      <c r="AK32" s="76" t="s">
        <v>13</v>
      </c>
      <c r="AL32" s="76" t="s">
        <v>62</v>
      </c>
      <c r="AM32" s="76" t="s">
        <v>63</v>
      </c>
      <c r="AN32" s="76" t="str">
        <f>IF(AI32="","",$AN$2)</f>
        <v>C</v>
      </c>
      <c r="AO32" s="76" t="str">
        <f>IF(N32="","",IF(N32&gt;=$AO$1/100,"O","X"))</f>
        <v>X</v>
      </c>
      <c r="AP32" s="76" t="str">
        <f>IF(I32="","",IF(I32&lt;=$AP$1,"O","X"))</f>
        <v>O</v>
      </c>
      <c r="AQ32" s="76" t="str">
        <f>IF(O32="","",IF(O32&lt;=$AQ$1,"O","X"))</f>
        <v>O</v>
      </c>
      <c r="AR32" s="76" t="str">
        <f>IF(M32="","",IF(M32&lt;=$AR$1,"O","X"))</f>
        <v>X</v>
      </c>
      <c r="AS32" s="76" t="s">
        <v>2</v>
      </c>
      <c r="AT32" s="76" t="str">
        <f>IF(OR(F32="",AI32=""),"",IF(AND((F32&lt;=85),(AI32&gt;=15)),"O","X"))</f>
        <v>O</v>
      </c>
      <c r="AU32" s="76" t="str">
        <f>IF(C32="","",IF(C32&gt;=$AU$1,"O","X"))</f>
        <v>O</v>
      </c>
      <c r="AV32" s="76" t="str">
        <f>IF(AO32="","",IF(AND(AO32="O",AP32="O",AR32="O",AT32="O",AU32="O"),"후보","X"))</f>
        <v>X</v>
      </c>
    </row>
    <row r="33" spans="1:48" x14ac:dyDescent="0.3">
      <c r="A33" s="9"/>
      <c r="B33" s="76"/>
      <c r="C33" s="6"/>
      <c r="D33" s="9"/>
      <c r="E33" s="14"/>
      <c r="F33" s="85"/>
      <c r="G33" s="9"/>
      <c r="H33" s="9"/>
      <c r="I33" s="9"/>
      <c r="J33" s="9"/>
      <c r="K33" s="9"/>
      <c r="L33" s="9"/>
      <c r="M33" s="9"/>
      <c r="N33" s="9"/>
      <c r="O33" s="90"/>
      <c r="P33" s="90"/>
      <c r="Q33" s="86"/>
      <c r="R33" s="86"/>
      <c r="S33" s="9"/>
      <c r="T33" s="47"/>
      <c r="U33" s="9"/>
      <c r="W33" s="67" t="str">
        <f>$A$4&amp;" "&amp;A34&amp;"("&amp;B34&amp;","&amp;C34&amp;"^)"</f>
        <v>삼천동1가 삼천우성2차('98.12.,561^)</v>
      </c>
      <c r="X33" s="68"/>
      <c r="Y33" s="68"/>
      <c r="Z33" s="68"/>
      <c r="AA33" s="68"/>
      <c r="AB33" s="68"/>
      <c r="AC33" s="68"/>
      <c r="AD33" s="68"/>
      <c r="AE33" s="68"/>
      <c r="AF33" s="69"/>
      <c r="AH33" s="20" t="str">
        <f t="shared" si="1"/>
        <v/>
      </c>
      <c r="AI33" s="108" t="str">
        <f t="shared" si="0"/>
        <v/>
      </c>
      <c r="AJ33" s="76"/>
      <c r="AK33" s="76"/>
      <c r="AL33" s="76"/>
      <c r="AM33" s="76"/>
      <c r="AN33" s="76"/>
      <c r="AO33" s="76"/>
      <c r="AP33" s="76"/>
      <c r="AQ33" s="76"/>
      <c r="AR33" s="76"/>
      <c r="AS33" s="76"/>
      <c r="AT33" s="76"/>
      <c r="AU33" s="76"/>
      <c r="AV33" s="76"/>
    </row>
    <row r="34" spans="1:48" x14ac:dyDescent="0.3">
      <c r="A34" s="9" t="s">
        <v>641</v>
      </c>
      <c r="B34" s="10" t="s">
        <v>1840</v>
      </c>
      <c r="C34" s="87">
        <v>561</v>
      </c>
      <c r="D34" s="85">
        <v>75.400000000000006</v>
      </c>
      <c r="E34" s="86">
        <v>23</v>
      </c>
      <c r="F34" s="85">
        <v>58.4</v>
      </c>
      <c r="G34" s="17">
        <v>18</v>
      </c>
      <c r="H34" s="87">
        <v>531</v>
      </c>
      <c r="I34" s="88">
        <v>13500</v>
      </c>
      <c r="J34" s="88" t="s">
        <v>89</v>
      </c>
      <c r="K34" s="88"/>
      <c r="L34" s="88"/>
      <c r="M34" s="89">
        <f>I34-K34</f>
        <v>13500</v>
      </c>
      <c r="N34" s="4">
        <f>IF(ISERROR(K34/I34),"",K34/I34)</f>
        <v>0</v>
      </c>
      <c r="O34" s="90">
        <f>I34/E34</f>
        <v>586.95652173913038</v>
      </c>
      <c r="P34" s="90">
        <f>K34/E34</f>
        <v>0</v>
      </c>
      <c r="Q34" s="76">
        <v>2</v>
      </c>
      <c r="R34" s="76">
        <v>1</v>
      </c>
      <c r="S34" s="76" t="s">
        <v>61</v>
      </c>
      <c r="T34" s="5" t="s">
        <v>100</v>
      </c>
      <c r="U34" s="9"/>
      <c r="W34" s="85">
        <f>D34</f>
        <v>75.400000000000006</v>
      </c>
      <c r="X34" s="86">
        <f>E34</f>
        <v>23</v>
      </c>
      <c r="Y34" s="91">
        <f>H34</f>
        <v>531</v>
      </c>
      <c r="Z34" s="89">
        <f>I34</f>
        <v>13500</v>
      </c>
      <c r="AA34" s="89">
        <f>K34</f>
        <v>0</v>
      </c>
      <c r="AB34" s="89">
        <f t="shared" ref="AB34:AD35" si="11">M34</f>
        <v>13500</v>
      </c>
      <c r="AC34" s="4">
        <f t="shared" si="11"/>
        <v>0</v>
      </c>
      <c r="AD34" s="90">
        <f t="shared" si="11"/>
        <v>586.95652173913038</v>
      </c>
      <c r="AE34" s="76" t="str">
        <f>S34</f>
        <v>계</v>
      </c>
      <c r="AF34" s="76" t="str">
        <f>Q34&amp;"/"&amp;R34</f>
        <v>2/1</v>
      </c>
      <c r="AH34" s="20" t="str">
        <f t="shared" si="1"/>
        <v>삼천우성2차</v>
      </c>
      <c r="AI34" s="86">
        <f t="shared" si="0"/>
        <v>23</v>
      </c>
      <c r="AJ34" s="76" t="str">
        <f>IF(AI34="","",$AJ$2)</f>
        <v>A-</v>
      </c>
      <c r="AK34" s="76" t="s">
        <v>13</v>
      </c>
      <c r="AL34" s="76" t="s">
        <v>62</v>
      </c>
      <c r="AM34" s="76" t="s">
        <v>63</v>
      </c>
      <c r="AN34" s="76" t="str">
        <f>IF(AI34="","",$AN$2)</f>
        <v>C</v>
      </c>
      <c r="AO34" s="76" t="str">
        <f>IF(N34="","",IF(N34&gt;=$AO$1/100,"O","X"))</f>
        <v>X</v>
      </c>
      <c r="AP34" s="76" t="str">
        <f>IF(I34="","",IF(I34&lt;=$AP$1,"O","X"))</f>
        <v>O</v>
      </c>
      <c r="AQ34" s="76" t="str">
        <f>IF(O34="","",IF(O34&lt;=$AQ$1,"O","X"))</f>
        <v>O</v>
      </c>
      <c r="AR34" s="76" t="str">
        <f>IF(M34="","",IF(M34&lt;=$AR$1,"O","X"))</f>
        <v>X</v>
      </c>
      <c r="AS34" s="76" t="s">
        <v>2</v>
      </c>
      <c r="AT34" s="76" t="str">
        <f>IF(OR(F34="",AI34=""),"",IF(AND((F34&lt;=85),(AI34&gt;=15)),"O","X"))</f>
        <v>O</v>
      </c>
      <c r="AU34" s="76" t="str">
        <f>IF(C34="","",IF(C34&gt;=$AU$1,"O","X"))</f>
        <v>O</v>
      </c>
      <c r="AV34" s="76" t="str">
        <f>IF(AO34="","",IF(AND(AO34="O",AP34="O",AR34="O",AT34="O",AU34="O"),"후보","X"))</f>
        <v>X</v>
      </c>
    </row>
    <row r="35" spans="1:48" x14ac:dyDescent="0.3">
      <c r="A35" s="9" t="s">
        <v>641</v>
      </c>
      <c r="B35" s="10" t="s">
        <v>1840</v>
      </c>
      <c r="C35" s="87">
        <v>561</v>
      </c>
      <c r="D35" s="85">
        <v>75.400000000000006</v>
      </c>
      <c r="E35" s="86">
        <v>23</v>
      </c>
      <c r="F35" s="85">
        <v>58.4</v>
      </c>
      <c r="G35" s="17">
        <v>18</v>
      </c>
      <c r="H35" s="87">
        <v>30</v>
      </c>
      <c r="I35" s="88">
        <v>13500</v>
      </c>
      <c r="J35" s="88" t="s">
        <v>89</v>
      </c>
      <c r="K35" s="88"/>
      <c r="L35" s="88"/>
      <c r="M35" s="89">
        <f>I35-K35</f>
        <v>13500</v>
      </c>
      <c r="N35" s="4">
        <f>IF(ISERROR(K35/I35),"",K35/I35)</f>
        <v>0</v>
      </c>
      <c r="O35" s="90">
        <f>I35/E35</f>
        <v>586.95652173913038</v>
      </c>
      <c r="P35" s="90">
        <f>K35/E35</f>
        <v>0</v>
      </c>
      <c r="Q35" s="76">
        <v>2</v>
      </c>
      <c r="R35" s="76">
        <v>1</v>
      </c>
      <c r="S35" s="76" t="s">
        <v>61</v>
      </c>
      <c r="T35" s="5" t="s">
        <v>101</v>
      </c>
      <c r="U35" s="9"/>
      <c r="W35" s="85">
        <f>D35</f>
        <v>75.400000000000006</v>
      </c>
      <c r="X35" s="86">
        <f>E35</f>
        <v>23</v>
      </c>
      <c r="Y35" s="91">
        <f>H35</f>
        <v>30</v>
      </c>
      <c r="Z35" s="89">
        <f>I35</f>
        <v>13500</v>
      </c>
      <c r="AA35" s="89">
        <f>K35</f>
        <v>0</v>
      </c>
      <c r="AB35" s="89">
        <f t="shared" si="11"/>
        <v>13500</v>
      </c>
      <c r="AC35" s="4">
        <f t="shared" si="11"/>
        <v>0</v>
      </c>
      <c r="AD35" s="90">
        <f t="shared" si="11"/>
        <v>586.95652173913038</v>
      </c>
      <c r="AE35" s="76" t="str">
        <f>S35</f>
        <v>계</v>
      </c>
      <c r="AF35" s="76" t="str">
        <f>Q35&amp;"/"&amp;R35</f>
        <v>2/1</v>
      </c>
      <c r="AH35" s="20" t="str">
        <f t="shared" si="1"/>
        <v>삼천우성2차</v>
      </c>
      <c r="AI35" s="86">
        <f t="shared" ref="AI35:AI66" si="12">IF(E35="","",E35)</f>
        <v>23</v>
      </c>
      <c r="AJ35" s="76" t="str">
        <f>IF(AI35="","",$AJ$2)</f>
        <v>A-</v>
      </c>
      <c r="AK35" s="76" t="s">
        <v>13</v>
      </c>
      <c r="AL35" s="76" t="s">
        <v>62</v>
      </c>
      <c r="AM35" s="76" t="s">
        <v>63</v>
      </c>
      <c r="AN35" s="76" t="str">
        <f>IF(AI35="","",$AN$2)</f>
        <v>C</v>
      </c>
      <c r="AO35" s="76" t="str">
        <f>IF(N35="","",IF(N35&gt;=$AO$1/100,"O","X"))</f>
        <v>X</v>
      </c>
      <c r="AP35" s="76" t="str">
        <f>IF(I35="","",IF(I35&lt;=$AP$1,"O","X"))</f>
        <v>O</v>
      </c>
      <c r="AQ35" s="76" t="str">
        <f>IF(O35="","",IF(O35&lt;=$AQ$1,"O","X"))</f>
        <v>O</v>
      </c>
      <c r="AR35" s="76" t="str">
        <f>IF(M35="","",IF(M35&lt;=$AR$1,"O","X"))</f>
        <v>X</v>
      </c>
      <c r="AS35" s="76" t="s">
        <v>2</v>
      </c>
      <c r="AT35" s="76" t="str">
        <f>IF(OR(F35="",AI35=""),"",IF(AND((F35&lt;=85),(AI35&gt;=15)),"O","X"))</f>
        <v>O</v>
      </c>
      <c r="AU35" s="76" t="str">
        <f>IF(C35="","",IF(C35&gt;=$AU$1,"O","X"))</f>
        <v>O</v>
      </c>
      <c r="AV35" s="76" t="str">
        <f>IF(AO35="","",IF(AND(AO35="O",AP35="O",AR35="O",AT35="O",AU35="O"),"후보","X"))</f>
        <v>X</v>
      </c>
    </row>
    <row r="36" spans="1:48" x14ac:dyDescent="0.3">
      <c r="A36" s="9"/>
      <c r="B36" s="76"/>
      <c r="C36" s="6"/>
      <c r="D36" s="9"/>
      <c r="E36" s="14"/>
      <c r="F36" s="85"/>
      <c r="G36" s="9"/>
      <c r="H36" s="9"/>
      <c r="I36" s="9"/>
      <c r="J36" s="9"/>
      <c r="K36" s="9"/>
      <c r="L36" s="9"/>
      <c r="M36" s="9"/>
      <c r="N36" s="9"/>
      <c r="O36" s="90"/>
      <c r="P36" s="90"/>
      <c r="Q36" s="86"/>
      <c r="R36" s="86"/>
      <c r="S36" s="9"/>
      <c r="T36" s="47"/>
      <c r="U36" s="9"/>
      <c r="W36" s="67" t="str">
        <f>$A$4&amp;" "&amp;A37&amp;"("&amp;B37&amp;","&amp;C37&amp;"^)"</f>
        <v>삼천동1가 청솔금호타운('98.05.,349^)</v>
      </c>
      <c r="X36" s="68"/>
      <c r="Y36" s="68"/>
      <c r="Z36" s="68"/>
      <c r="AA36" s="68"/>
      <c r="AB36" s="68"/>
      <c r="AC36" s="68"/>
      <c r="AD36" s="68"/>
      <c r="AE36" s="68"/>
      <c r="AF36" s="69"/>
      <c r="AH36" s="20" t="str">
        <f t="shared" si="1"/>
        <v/>
      </c>
      <c r="AI36" s="108" t="str">
        <f t="shared" si="12"/>
        <v/>
      </c>
      <c r="AJ36" s="76"/>
      <c r="AK36" s="76"/>
      <c r="AL36" s="76"/>
      <c r="AM36" s="76"/>
      <c r="AN36" s="76"/>
      <c r="AO36" s="76"/>
      <c r="AP36" s="76"/>
      <c r="AQ36" s="76"/>
      <c r="AR36" s="76"/>
      <c r="AS36" s="76"/>
      <c r="AT36" s="76"/>
      <c r="AU36" s="76"/>
      <c r="AV36" s="76"/>
    </row>
    <row r="37" spans="1:48" x14ac:dyDescent="0.3">
      <c r="A37" s="9" t="s">
        <v>646</v>
      </c>
      <c r="B37" s="10" t="s">
        <v>1841</v>
      </c>
      <c r="C37" s="87">
        <v>349</v>
      </c>
      <c r="D37" s="85">
        <v>105.9</v>
      </c>
      <c r="E37" s="86">
        <v>32</v>
      </c>
      <c r="F37" s="85">
        <v>84.6</v>
      </c>
      <c r="G37" s="17">
        <v>26</v>
      </c>
      <c r="H37" s="87">
        <v>252</v>
      </c>
      <c r="I37" s="88">
        <v>19000</v>
      </c>
      <c r="J37" s="88" t="s">
        <v>104</v>
      </c>
      <c r="K37" s="88"/>
      <c r="L37" s="88"/>
      <c r="M37" s="89">
        <f>I37-K37</f>
        <v>19000</v>
      </c>
      <c r="N37" s="4">
        <f>IF(ISERROR(K37/I37),"",K37/I37)</f>
        <v>0</v>
      </c>
      <c r="O37" s="90">
        <f>I37/E37</f>
        <v>593.75</v>
      </c>
      <c r="P37" s="90">
        <f>K37/E37</f>
        <v>0</v>
      </c>
      <c r="Q37" s="76">
        <v>3</v>
      </c>
      <c r="R37" s="76">
        <v>2</v>
      </c>
      <c r="S37" s="76" t="s">
        <v>61</v>
      </c>
      <c r="T37" s="5">
        <v>105</v>
      </c>
      <c r="U37" s="9"/>
      <c r="W37" s="85">
        <f t="shared" ref="W37:X39" si="13">D37</f>
        <v>105.9</v>
      </c>
      <c r="X37" s="86">
        <f t="shared" si="13"/>
        <v>32</v>
      </c>
      <c r="Y37" s="91">
        <f t="shared" ref="Y37:Z39" si="14">H37</f>
        <v>252</v>
      </c>
      <c r="Z37" s="89">
        <f t="shared" si="14"/>
        <v>19000</v>
      </c>
      <c r="AA37" s="89">
        <f>K37</f>
        <v>0</v>
      </c>
      <c r="AB37" s="89">
        <f t="shared" ref="AB37:AD39" si="15">M37</f>
        <v>19000</v>
      </c>
      <c r="AC37" s="4">
        <f t="shared" si="15"/>
        <v>0</v>
      </c>
      <c r="AD37" s="90">
        <f t="shared" si="15"/>
        <v>593.75</v>
      </c>
      <c r="AE37" s="76" t="str">
        <f>S37</f>
        <v>계</v>
      </c>
      <c r="AF37" s="76" t="str">
        <f>Q37&amp;"/"&amp;R37</f>
        <v>3/2</v>
      </c>
      <c r="AH37" s="20" t="str">
        <f t="shared" ref="AH37:AH68" si="16">IF(A37="","",A37)</f>
        <v>청솔금호타운</v>
      </c>
      <c r="AI37" s="86">
        <f t="shared" si="12"/>
        <v>32</v>
      </c>
      <c r="AJ37" s="76" t="str">
        <f>IF(AI37="","",$AJ$2)</f>
        <v>A-</v>
      </c>
      <c r="AK37" s="76" t="s">
        <v>13</v>
      </c>
      <c r="AL37" s="76" t="s">
        <v>62</v>
      </c>
      <c r="AM37" s="76" t="s">
        <v>63</v>
      </c>
      <c r="AN37" s="76" t="str">
        <f>IF(AI37="","",$AN$2)</f>
        <v>C</v>
      </c>
      <c r="AO37" s="76" t="str">
        <f>IF(N37="","",IF(N37&gt;=$AO$1/100,"O","X"))</f>
        <v>X</v>
      </c>
      <c r="AP37" s="76" t="str">
        <f>IF(I37="","",IF(I37&lt;=$AP$1,"O","X"))</f>
        <v>O</v>
      </c>
      <c r="AQ37" s="76" t="str">
        <f>IF(O37="","",IF(O37&lt;=$AQ$1,"O","X"))</f>
        <v>O</v>
      </c>
      <c r="AR37" s="76" t="str">
        <f>IF(M37="","",IF(M37&lt;=$AR$1,"O","X"))</f>
        <v>X</v>
      </c>
      <c r="AS37" s="76" t="s">
        <v>2</v>
      </c>
      <c r="AT37" s="76" t="str">
        <f>IF(OR(F37="",AI37=""),"",IF(AND((F37&lt;=85),(AI37&gt;=15)),"O","X"))</f>
        <v>O</v>
      </c>
      <c r="AU37" s="76" t="str">
        <f>IF(C37="","",IF(C37&gt;=$AU$1,"O","X"))</f>
        <v>O</v>
      </c>
      <c r="AV37" s="76" t="str">
        <f>IF(AO37="","",IF(AND(AO37="O",AP37="O",AR37="O",AT37="O",AU37="O"),"후보","X"))</f>
        <v>X</v>
      </c>
    </row>
    <row r="38" spans="1:48" x14ac:dyDescent="0.3">
      <c r="A38" s="9" t="s">
        <v>646</v>
      </c>
      <c r="B38" s="10" t="s">
        <v>1841</v>
      </c>
      <c r="C38" s="87">
        <v>349</v>
      </c>
      <c r="D38" s="85">
        <v>131.69999999999999</v>
      </c>
      <c r="E38" s="86">
        <v>40</v>
      </c>
      <c r="F38" s="85">
        <v>105.5</v>
      </c>
      <c r="G38" s="17">
        <v>32</v>
      </c>
      <c r="H38" s="87">
        <v>48</v>
      </c>
      <c r="I38" s="88">
        <v>25000</v>
      </c>
      <c r="J38" s="88" t="s">
        <v>71</v>
      </c>
      <c r="K38" s="88"/>
      <c r="L38" s="88"/>
      <c r="M38" s="89">
        <f>I38-K38</f>
        <v>25000</v>
      </c>
      <c r="N38" s="4">
        <f>IF(ISERROR(K38/I38),"",K38/I38)</f>
        <v>0</v>
      </c>
      <c r="O38" s="90">
        <f>I38/E38</f>
        <v>625</v>
      </c>
      <c r="P38" s="90">
        <f>K38/E38</f>
        <v>0</v>
      </c>
      <c r="Q38" s="76">
        <v>4</v>
      </c>
      <c r="R38" s="76">
        <v>2</v>
      </c>
      <c r="S38" s="76" t="s">
        <v>61</v>
      </c>
      <c r="T38" s="5">
        <v>131</v>
      </c>
      <c r="U38" s="9"/>
      <c r="W38" s="85">
        <f t="shared" si="13"/>
        <v>131.69999999999999</v>
      </c>
      <c r="X38" s="86">
        <f t="shared" si="13"/>
        <v>40</v>
      </c>
      <c r="Y38" s="91">
        <f t="shared" si="14"/>
        <v>48</v>
      </c>
      <c r="Z38" s="89">
        <f t="shared" si="14"/>
        <v>25000</v>
      </c>
      <c r="AA38" s="89">
        <f>K38</f>
        <v>0</v>
      </c>
      <c r="AB38" s="89">
        <f t="shared" si="15"/>
        <v>25000</v>
      </c>
      <c r="AC38" s="4">
        <f t="shared" si="15"/>
        <v>0</v>
      </c>
      <c r="AD38" s="90">
        <f t="shared" si="15"/>
        <v>625</v>
      </c>
      <c r="AE38" s="76" t="str">
        <f>S38</f>
        <v>계</v>
      </c>
      <c r="AF38" s="76" t="str">
        <f>Q38&amp;"/"&amp;R38</f>
        <v>4/2</v>
      </c>
      <c r="AH38" s="20" t="str">
        <f t="shared" si="16"/>
        <v>청솔금호타운</v>
      </c>
      <c r="AI38" s="86">
        <f t="shared" si="12"/>
        <v>40</v>
      </c>
      <c r="AJ38" s="76" t="str">
        <f>IF(AI38="","",$AJ$2)</f>
        <v>A-</v>
      </c>
      <c r="AK38" s="76" t="s">
        <v>13</v>
      </c>
      <c r="AL38" s="76" t="s">
        <v>62</v>
      </c>
      <c r="AM38" s="76" t="s">
        <v>63</v>
      </c>
      <c r="AN38" s="76" t="str">
        <f>IF(AI38="","",$AN$2)</f>
        <v>C</v>
      </c>
      <c r="AO38" s="76" t="str">
        <f>IF(N38="","",IF(N38&gt;=$AO$1/100,"O","X"))</f>
        <v>X</v>
      </c>
      <c r="AP38" s="76" t="str">
        <f>IF(I38="","",IF(I38&lt;=$AP$1,"O","X"))</f>
        <v>O</v>
      </c>
      <c r="AQ38" s="76" t="str">
        <f>IF(O38="","",IF(O38&lt;=$AQ$1,"O","X"))</f>
        <v>O</v>
      </c>
      <c r="AR38" s="76" t="str">
        <f>IF(M38="","",IF(M38&lt;=$AR$1,"O","X"))</f>
        <v>X</v>
      </c>
      <c r="AS38" s="76" t="s">
        <v>2</v>
      </c>
      <c r="AT38" s="76" t="str">
        <f>IF(OR(F38="",AI38=""),"",IF(AND((F38&lt;=85),(AI38&gt;=15)),"O","X"))</f>
        <v>X</v>
      </c>
      <c r="AU38" s="76" t="str">
        <f>IF(C38="","",IF(C38&gt;=$AU$1,"O","X"))</f>
        <v>O</v>
      </c>
      <c r="AV38" s="76" t="str">
        <f>IF(AO38="","",IF(AND(AO38="O",AP38="O",AR38="O",AT38="O",AU38="O"),"후보","X"))</f>
        <v>X</v>
      </c>
    </row>
    <row r="39" spans="1:48" x14ac:dyDescent="0.3">
      <c r="A39" s="9" t="s">
        <v>646</v>
      </c>
      <c r="B39" s="10" t="s">
        <v>1841</v>
      </c>
      <c r="C39" s="87">
        <v>349</v>
      </c>
      <c r="D39" s="85">
        <v>170</v>
      </c>
      <c r="E39" s="86">
        <v>51</v>
      </c>
      <c r="F39" s="85">
        <v>138.80000000000001</v>
      </c>
      <c r="G39" s="17">
        <v>42</v>
      </c>
      <c r="H39" s="87">
        <v>49</v>
      </c>
      <c r="I39" s="88">
        <v>28000</v>
      </c>
      <c r="J39" s="88" t="s">
        <v>71</v>
      </c>
      <c r="K39" s="88"/>
      <c r="L39" s="88"/>
      <c r="M39" s="89">
        <f>I39-K39</f>
        <v>28000</v>
      </c>
      <c r="N39" s="4">
        <f>IF(ISERROR(K39/I39),"",K39/I39)</f>
        <v>0</v>
      </c>
      <c r="O39" s="90">
        <f>I39/E39</f>
        <v>549.01960784313724</v>
      </c>
      <c r="P39" s="90">
        <f>K39/E39</f>
        <v>0</v>
      </c>
      <c r="Q39" s="76">
        <v>4</v>
      </c>
      <c r="R39" s="76">
        <v>2</v>
      </c>
      <c r="S39" s="76" t="s">
        <v>61</v>
      </c>
      <c r="T39" s="5">
        <v>170</v>
      </c>
      <c r="U39" s="9"/>
      <c r="W39" s="85">
        <f t="shared" si="13"/>
        <v>170</v>
      </c>
      <c r="X39" s="86">
        <f t="shared" si="13"/>
        <v>51</v>
      </c>
      <c r="Y39" s="91">
        <f t="shared" si="14"/>
        <v>49</v>
      </c>
      <c r="Z39" s="89">
        <f t="shared" si="14"/>
        <v>28000</v>
      </c>
      <c r="AA39" s="89">
        <f>K39</f>
        <v>0</v>
      </c>
      <c r="AB39" s="89">
        <f t="shared" si="15"/>
        <v>28000</v>
      </c>
      <c r="AC39" s="4">
        <f t="shared" si="15"/>
        <v>0</v>
      </c>
      <c r="AD39" s="90">
        <f t="shared" si="15"/>
        <v>549.01960784313724</v>
      </c>
      <c r="AE39" s="76" t="str">
        <f>S39</f>
        <v>계</v>
      </c>
      <c r="AF39" s="76" t="str">
        <f>Q39&amp;"/"&amp;R39</f>
        <v>4/2</v>
      </c>
      <c r="AH39" s="20" t="str">
        <f t="shared" si="16"/>
        <v>청솔금호타운</v>
      </c>
      <c r="AI39" s="86">
        <f t="shared" si="12"/>
        <v>51</v>
      </c>
      <c r="AJ39" s="76" t="str">
        <f>IF(AI39="","",$AJ$2)</f>
        <v>A-</v>
      </c>
      <c r="AK39" s="76" t="s">
        <v>13</v>
      </c>
      <c r="AL39" s="76" t="s">
        <v>62</v>
      </c>
      <c r="AM39" s="76" t="s">
        <v>63</v>
      </c>
      <c r="AN39" s="76" t="str">
        <f>IF(AI39="","",$AN$2)</f>
        <v>C</v>
      </c>
      <c r="AO39" s="76" t="str">
        <f>IF(N39="","",IF(N39&gt;=$AO$1/100,"O","X"))</f>
        <v>X</v>
      </c>
      <c r="AP39" s="76" t="str">
        <f>IF(I39="","",IF(I39&lt;=$AP$1,"O","X"))</f>
        <v>O</v>
      </c>
      <c r="AQ39" s="76" t="str">
        <f>IF(O39="","",IF(O39&lt;=$AQ$1,"O","X"))</f>
        <v>O</v>
      </c>
      <c r="AR39" s="76" t="str">
        <f>IF(M39="","",IF(M39&lt;=$AR$1,"O","X"))</f>
        <v>X</v>
      </c>
      <c r="AS39" s="76" t="s">
        <v>2</v>
      </c>
      <c r="AT39" s="76" t="str">
        <f>IF(OR(F39="",AI39=""),"",IF(AND((F39&lt;=85),(AI39&gt;=15)),"O","X"))</f>
        <v>X</v>
      </c>
      <c r="AU39" s="76" t="str">
        <f>IF(C39="","",IF(C39&gt;=$AU$1,"O","X"))</f>
        <v>O</v>
      </c>
      <c r="AV39" s="76" t="str">
        <f>IF(AO39="","",IF(AND(AO39="O",AP39="O",AR39="O",AT39="O",AU39="O"),"후보","X"))</f>
        <v>X</v>
      </c>
    </row>
    <row r="40" spans="1:48" x14ac:dyDescent="0.3">
      <c r="A40" s="9"/>
      <c r="B40" s="76"/>
      <c r="C40" s="6"/>
      <c r="D40" s="9"/>
      <c r="E40" s="14"/>
      <c r="F40" s="85"/>
      <c r="G40" s="9"/>
      <c r="H40" s="9"/>
      <c r="I40" s="9"/>
      <c r="J40" s="9"/>
      <c r="K40" s="9"/>
      <c r="L40" s="9"/>
      <c r="M40" s="9"/>
      <c r="N40" s="9"/>
      <c r="O40" s="90"/>
      <c r="P40" s="90"/>
      <c r="Q40" s="86"/>
      <c r="R40" s="86"/>
      <c r="S40" s="9"/>
      <c r="T40" s="47"/>
      <c r="U40" s="9"/>
      <c r="W40" s="67" t="str">
        <f>$A$4&amp;" "&amp;A41&amp;"("&amp;B41&amp;","&amp;C41&amp;"^)"</f>
        <v>삼천동1가 세경('86.12.,480^)</v>
      </c>
      <c r="X40" s="68"/>
      <c r="Y40" s="68"/>
      <c r="Z40" s="68"/>
      <c r="AA40" s="68"/>
      <c r="AB40" s="68"/>
      <c r="AC40" s="68"/>
      <c r="AD40" s="68"/>
      <c r="AE40" s="68"/>
      <c r="AF40" s="69"/>
      <c r="AH40" s="20" t="str">
        <f t="shared" si="16"/>
        <v/>
      </c>
      <c r="AI40" s="108" t="str">
        <f t="shared" si="12"/>
        <v/>
      </c>
      <c r="AJ40" s="76"/>
      <c r="AK40" s="76"/>
      <c r="AL40" s="76"/>
      <c r="AM40" s="76"/>
      <c r="AN40" s="76"/>
      <c r="AO40" s="76"/>
      <c r="AP40" s="76"/>
      <c r="AQ40" s="76"/>
      <c r="AR40" s="76"/>
      <c r="AS40" s="76"/>
      <c r="AT40" s="76"/>
      <c r="AU40" s="76"/>
      <c r="AV40" s="76"/>
    </row>
    <row r="41" spans="1:48" x14ac:dyDescent="0.3">
      <c r="A41" s="9" t="s">
        <v>651</v>
      </c>
      <c r="B41" s="10" t="s">
        <v>1842</v>
      </c>
      <c r="C41" s="87">
        <v>480</v>
      </c>
      <c r="D41" s="85">
        <v>60.9</v>
      </c>
      <c r="E41" s="86">
        <v>18</v>
      </c>
      <c r="F41" s="85">
        <v>55.3</v>
      </c>
      <c r="G41" s="17">
        <v>17</v>
      </c>
      <c r="H41" s="87">
        <v>480</v>
      </c>
      <c r="I41" s="88">
        <v>19000</v>
      </c>
      <c r="J41" s="88" t="s">
        <v>75</v>
      </c>
      <c r="K41" s="88"/>
      <c r="L41" s="88"/>
      <c r="M41" s="89">
        <f>I41-K41</f>
        <v>19000</v>
      </c>
      <c r="N41" s="4">
        <f>IF(ISERROR(K41/I41),"",K41/I41)</f>
        <v>0</v>
      </c>
      <c r="O41" s="90">
        <f>I41/E41</f>
        <v>1055.5555555555557</v>
      </c>
      <c r="P41" s="90">
        <f>K41/E41</f>
        <v>0</v>
      </c>
      <c r="Q41" s="76">
        <v>2</v>
      </c>
      <c r="R41" s="76">
        <v>1</v>
      </c>
      <c r="S41" s="76" t="s">
        <v>61</v>
      </c>
      <c r="T41" s="5">
        <v>60</v>
      </c>
      <c r="U41" s="9"/>
      <c r="W41" s="85">
        <f>D41</f>
        <v>60.9</v>
      </c>
      <c r="X41" s="86">
        <f>E41</f>
        <v>18</v>
      </c>
      <c r="Y41" s="91">
        <f>H41</f>
        <v>480</v>
      </c>
      <c r="Z41" s="89">
        <f>I41</f>
        <v>19000</v>
      </c>
      <c r="AA41" s="89">
        <f>K41</f>
        <v>0</v>
      </c>
      <c r="AB41" s="89">
        <f>M41</f>
        <v>19000</v>
      </c>
      <c r="AC41" s="4">
        <f>N41</f>
        <v>0</v>
      </c>
      <c r="AD41" s="90">
        <f>O41</f>
        <v>1055.5555555555557</v>
      </c>
      <c r="AE41" s="76" t="str">
        <f>S41</f>
        <v>계</v>
      </c>
      <c r="AF41" s="76" t="str">
        <f>Q41&amp;"/"&amp;R41</f>
        <v>2/1</v>
      </c>
      <c r="AH41" s="20" t="str">
        <f t="shared" si="16"/>
        <v>세경</v>
      </c>
      <c r="AI41" s="86">
        <f t="shared" si="12"/>
        <v>18</v>
      </c>
      <c r="AJ41" s="76" t="str">
        <f>IF(AI41="","",$AJ$2)</f>
        <v>A-</v>
      </c>
      <c r="AK41" s="76" t="s">
        <v>13</v>
      </c>
      <c r="AL41" s="76" t="s">
        <v>62</v>
      </c>
      <c r="AM41" s="76" t="s">
        <v>63</v>
      </c>
      <c r="AN41" s="76" t="str">
        <f>IF(AI41="","",$AN$2)</f>
        <v>C</v>
      </c>
      <c r="AO41" s="76" t="str">
        <f>IF(N41="","",IF(N41&gt;=$AO$1/100,"O","X"))</f>
        <v>X</v>
      </c>
      <c r="AP41" s="76" t="str">
        <f>IF(I41="","",IF(I41&lt;=$AP$1,"O","X"))</f>
        <v>O</v>
      </c>
      <c r="AQ41" s="76" t="str">
        <f>IF(O41="","",IF(O41&lt;=$AQ$1,"O","X"))</f>
        <v>O</v>
      </c>
      <c r="AR41" s="76" t="str">
        <f>IF(M41="","",IF(M41&lt;=$AR$1,"O","X"))</f>
        <v>X</v>
      </c>
      <c r="AS41" s="76" t="s">
        <v>2</v>
      </c>
      <c r="AT41" s="76" t="str">
        <f>IF(OR(F41="",AI41=""),"",IF(AND((F41&lt;=85),(AI41&gt;=15)),"O","X"))</f>
        <v>O</v>
      </c>
      <c r="AU41" s="76" t="str">
        <f>IF(C41="","",IF(C41&gt;=$AU$1,"O","X"))</f>
        <v>O</v>
      </c>
      <c r="AV41" s="76" t="str">
        <f>IF(AO41="","",IF(AND(AO41="O",AP41="O",AR41="O",AT41="O",AU41="O"),"후보","X"))</f>
        <v>X</v>
      </c>
    </row>
    <row r="42" spans="1:48" x14ac:dyDescent="0.3">
      <c r="A42" s="9"/>
      <c r="B42" s="76"/>
      <c r="C42" s="6"/>
      <c r="D42" s="9"/>
      <c r="E42" s="14"/>
      <c r="F42" s="85"/>
      <c r="G42" s="9"/>
      <c r="H42" s="9"/>
      <c r="I42" s="9"/>
      <c r="J42" s="9"/>
      <c r="K42" s="9"/>
      <c r="L42" s="9"/>
      <c r="M42" s="9"/>
      <c r="N42" s="9"/>
      <c r="O42" s="90"/>
      <c r="P42" s="90"/>
      <c r="Q42" s="86"/>
      <c r="R42" s="86"/>
      <c r="S42" s="9"/>
      <c r="T42" s="47"/>
      <c r="U42" s="9"/>
      <c r="W42" s="67" t="str">
        <f>$A$4&amp;" "&amp;A43&amp;"("&amp;B43&amp;","&amp;C43&amp;"^)"</f>
        <v>삼천동1가 삼천하이츠('97.04.,540^)</v>
      </c>
      <c r="X42" s="68"/>
      <c r="Y42" s="68"/>
      <c r="Z42" s="68"/>
      <c r="AA42" s="68"/>
      <c r="AB42" s="68"/>
      <c r="AC42" s="68"/>
      <c r="AD42" s="68"/>
      <c r="AE42" s="68"/>
      <c r="AF42" s="69"/>
      <c r="AH42" s="20" t="str">
        <f t="shared" si="16"/>
        <v/>
      </c>
      <c r="AI42" s="108" t="str">
        <f t="shared" si="12"/>
        <v/>
      </c>
      <c r="AJ42" s="76"/>
      <c r="AK42" s="76"/>
      <c r="AL42" s="76"/>
      <c r="AM42" s="76"/>
      <c r="AN42" s="76"/>
      <c r="AO42" s="76"/>
      <c r="AP42" s="76"/>
      <c r="AQ42" s="76"/>
      <c r="AR42" s="76"/>
      <c r="AS42" s="76"/>
      <c r="AT42" s="76"/>
      <c r="AU42" s="76"/>
      <c r="AV42" s="76"/>
    </row>
    <row r="43" spans="1:48" x14ac:dyDescent="0.3">
      <c r="A43" s="9" t="s">
        <v>656</v>
      </c>
      <c r="B43" s="10" t="s">
        <v>1843</v>
      </c>
      <c r="C43" s="87">
        <v>540</v>
      </c>
      <c r="D43" s="85">
        <v>77.5</v>
      </c>
      <c r="E43" s="86">
        <v>23</v>
      </c>
      <c r="F43" s="85">
        <v>59.9</v>
      </c>
      <c r="G43" s="17">
        <v>18</v>
      </c>
      <c r="H43" s="87">
        <v>360</v>
      </c>
      <c r="I43" s="88">
        <v>15500</v>
      </c>
      <c r="J43" s="88" t="s">
        <v>90</v>
      </c>
      <c r="K43" s="88">
        <v>15500</v>
      </c>
      <c r="L43" s="88" t="s">
        <v>72</v>
      </c>
      <c r="M43" s="89">
        <f>I43-K43</f>
        <v>0</v>
      </c>
      <c r="N43" s="4">
        <f>IF(ISERROR(K43/I43),"",K43/I43)</f>
        <v>1</v>
      </c>
      <c r="O43" s="90">
        <f>I43/E43</f>
        <v>673.91304347826087</v>
      </c>
      <c r="P43" s="90">
        <f>K43/E43</f>
        <v>673.91304347826087</v>
      </c>
      <c r="Q43" s="76">
        <v>3</v>
      </c>
      <c r="R43" s="76">
        <v>1</v>
      </c>
      <c r="S43" s="76" t="s">
        <v>61</v>
      </c>
      <c r="T43" s="5">
        <v>77</v>
      </c>
      <c r="U43" s="9"/>
      <c r="W43" s="85">
        <f>D43</f>
        <v>77.5</v>
      </c>
      <c r="X43" s="86">
        <f>E43</f>
        <v>23</v>
      </c>
      <c r="Y43" s="91">
        <f>H43</f>
        <v>360</v>
      </c>
      <c r="Z43" s="89">
        <f>I43</f>
        <v>15500</v>
      </c>
      <c r="AA43" s="89">
        <f>K43</f>
        <v>15500</v>
      </c>
      <c r="AB43" s="89">
        <f t="shared" ref="AB43:AD44" si="17">M43</f>
        <v>0</v>
      </c>
      <c r="AC43" s="4">
        <f t="shared" si="17"/>
        <v>1</v>
      </c>
      <c r="AD43" s="90">
        <f t="shared" si="17"/>
        <v>673.91304347826087</v>
      </c>
      <c r="AE43" s="76" t="str">
        <f>S43</f>
        <v>계</v>
      </c>
      <c r="AF43" s="76" t="str">
        <f>Q43&amp;"/"&amp;R43</f>
        <v>3/1</v>
      </c>
      <c r="AH43" s="20" t="str">
        <f t="shared" si="16"/>
        <v>삼천하이츠</v>
      </c>
      <c r="AI43" s="86">
        <f t="shared" si="12"/>
        <v>23</v>
      </c>
      <c r="AJ43" s="76" t="str">
        <f>IF(AI43="","",$AJ$2)</f>
        <v>A-</v>
      </c>
      <c r="AK43" s="76" t="s">
        <v>13</v>
      </c>
      <c r="AL43" s="76" t="s">
        <v>62</v>
      </c>
      <c r="AM43" s="76" t="s">
        <v>63</v>
      </c>
      <c r="AN43" s="76" t="str">
        <f>IF(AI43="","",$AN$2)</f>
        <v>C</v>
      </c>
      <c r="AO43" s="76" t="str">
        <f>IF(N43="","",IF(N43&gt;=$AO$1/100,"O","X"))</f>
        <v>O</v>
      </c>
      <c r="AP43" s="76" t="str">
        <f>IF(I43="","",IF(I43&lt;=$AP$1,"O","X"))</f>
        <v>O</v>
      </c>
      <c r="AQ43" s="76" t="str">
        <f>IF(O43="","",IF(O43&lt;=$AQ$1,"O","X"))</f>
        <v>O</v>
      </c>
      <c r="AR43" s="76" t="str">
        <f>IF(M43="","",IF(M43&lt;=$AR$1,"O","X"))</f>
        <v>O</v>
      </c>
      <c r="AS43" s="76" t="s">
        <v>2</v>
      </c>
      <c r="AT43" s="76" t="str">
        <f>IF(OR(F43="",AI43=""),"",IF(AND((F43&lt;=85),(AI43&gt;=15)),"O","X"))</f>
        <v>O</v>
      </c>
      <c r="AU43" s="76" t="str">
        <f>IF(C43="","",IF(C43&gt;=$AU$1,"O","X"))</f>
        <v>O</v>
      </c>
      <c r="AV43" s="76" t="str">
        <f>IF(AO43="","",IF(AND(AO43="O",AP43="O",AR43="O",AT43="O",AU43="O"),"후보","X"))</f>
        <v>후보</v>
      </c>
    </row>
    <row r="44" spans="1:48" x14ac:dyDescent="0.3">
      <c r="A44" s="9" t="s">
        <v>656</v>
      </c>
      <c r="B44" s="10" t="s">
        <v>1843</v>
      </c>
      <c r="C44" s="87">
        <v>540</v>
      </c>
      <c r="D44" s="85">
        <v>104.8</v>
      </c>
      <c r="E44" s="86">
        <v>32</v>
      </c>
      <c r="F44" s="85">
        <v>84.9</v>
      </c>
      <c r="G44" s="17">
        <v>26</v>
      </c>
      <c r="H44" s="87">
        <v>180</v>
      </c>
      <c r="I44" s="88">
        <v>21700</v>
      </c>
      <c r="J44" s="88" t="s">
        <v>111</v>
      </c>
      <c r="K44" s="88"/>
      <c r="L44" s="88"/>
      <c r="M44" s="89">
        <f>I44-K44</f>
        <v>21700</v>
      </c>
      <c r="N44" s="4">
        <f>IF(ISERROR(K44/I44),"",K44/I44)</f>
        <v>0</v>
      </c>
      <c r="O44" s="90">
        <f>I44/E44</f>
        <v>678.125</v>
      </c>
      <c r="P44" s="90">
        <f>K44/E44</f>
        <v>0</v>
      </c>
      <c r="Q44" s="76">
        <v>3</v>
      </c>
      <c r="R44" s="76">
        <v>2</v>
      </c>
      <c r="S44" s="76" t="s">
        <v>61</v>
      </c>
      <c r="T44" s="5">
        <v>104</v>
      </c>
      <c r="U44" s="9"/>
      <c r="W44" s="85">
        <f>D44</f>
        <v>104.8</v>
      </c>
      <c r="X44" s="86">
        <f>E44</f>
        <v>32</v>
      </c>
      <c r="Y44" s="91">
        <f>H44</f>
        <v>180</v>
      </c>
      <c r="Z44" s="89">
        <f>I44</f>
        <v>21700</v>
      </c>
      <c r="AA44" s="89">
        <f>K44</f>
        <v>0</v>
      </c>
      <c r="AB44" s="89">
        <f t="shared" si="17"/>
        <v>21700</v>
      </c>
      <c r="AC44" s="4">
        <f t="shared" si="17"/>
        <v>0</v>
      </c>
      <c r="AD44" s="90">
        <f t="shared" si="17"/>
        <v>678.125</v>
      </c>
      <c r="AE44" s="76" t="str">
        <f>S44</f>
        <v>계</v>
      </c>
      <c r="AF44" s="76" t="str">
        <f>Q44&amp;"/"&amp;R44</f>
        <v>3/2</v>
      </c>
      <c r="AH44" s="20" t="str">
        <f t="shared" si="16"/>
        <v>삼천하이츠</v>
      </c>
      <c r="AI44" s="86">
        <f t="shared" si="12"/>
        <v>32</v>
      </c>
      <c r="AJ44" s="76" t="str">
        <f>IF(AI44="","",$AJ$2)</f>
        <v>A-</v>
      </c>
      <c r="AK44" s="76" t="s">
        <v>13</v>
      </c>
      <c r="AL44" s="76" t="s">
        <v>62</v>
      </c>
      <c r="AM44" s="76" t="s">
        <v>63</v>
      </c>
      <c r="AN44" s="76" t="str">
        <f>IF(AI44="","",$AN$2)</f>
        <v>C</v>
      </c>
      <c r="AO44" s="76" t="str">
        <f>IF(N44="","",IF(N44&gt;=$AO$1/100,"O","X"))</f>
        <v>X</v>
      </c>
      <c r="AP44" s="76" t="str">
        <f>IF(I44="","",IF(I44&lt;=$AP$1,"O","X"))</f>
        <v>O</v>
      </c>
      <c r="AQ44" s="76" t="str">
        <f>IF(O44="","",IF(O44&lt;=$AQ$1,"O","X"))</f>
        <v>O</v>
      </c>
      <c r="AR44" s="76" t="str">
        <f>IF(M44="","",IF(M44&lt;=$AR$1,"O","X"))</f>
        <v>X</v>
      </c>
      <c r="AS44" s="76" t="s">
        <v>2</v>
      </c>
      <c r="AT44" s="76" t="str">
        <f>IF(OR(F44="",AI44=""),"",IF(AND((F44&lt;=85),(AI44&gt;=15)),"O","X"))</f>
        <v>O</v>
      </c>
      <c r="AU44" s="76" t="str">
        <f>IF(C44="","",IF(C44&gt;=$AU$1,"O","X"))</f>
        <v>O</v>
      </c>
      <c r="AV44" s="76" t="str">
        <f>IF(AO44="","",IF(AND(AO44="O",AP44="O",AR44="O",AT44="O",AU44="O"),"후보","X"))</f>
        <v>X</v>
      </c>
    </row>
    <row r="45" spans="1:48" x14ac:dyDescent="0.3">
      <c r="A45" s="9"/>
      <c r="B45" s="76"/>
      <c r="C45" s="6"/>
      <c r="D45" s="9"/>
      <c r="E45" s="14"/>
      <c r="F45" s="85"/>
      <c r="G45" s="9"/>
      <c r="H45" s="9"/>
      <c r="I45" s="9"/>
      <c r="J45" s="9"/>
      <c r="K45" s="9"/>
      <c r="L45" s="9"/>
      <c r="M45" s="9"/>
      <c r="N45" s="9"/>
      <c r="O45" s="90"/>
      <c r="P45" s="90"/>
      <c r="Q45" s="86"/>
      <c r="R45" s="86"/>
      <c r="S45" s="9"/>
      <c r="T45" s="47"/>
      <c r="U45" s="9"/>
      <c r="W45" s="67" t="str">
        <f>$A$4&amp;" "&amp;A46&amp;"("&amp;B46&amp;","&amp;C46&amp;"^)"</f>
        <v>삼천동1가 우성('93.03.,488^)</v>
      </c>
      <c r="X45" s="68"/>
      <c r="Y45" s="68"/>
      <c r="Z45" s="68"/>
      <c r="AA45" s="68"/>
      <c r="AB45" s="68"/>
      <c r="AC45" s="68"/>
      <c r="AD45" s="68"/>
      <c r="AE45" s="68"/>
      <c r="AF45" s="69"/>
      <c r="AH45" s="20" t="str">
        <f t="shared" si="16"/>
        <v/>
      </c>
      <c r="AI45" s="108" t="str">
        <f t="shared" si="12"/>
        <v/>
      </c>
      <c r="AJ45" s="76"/>
      <c r="AK45" s="76"/>
      <c r="AL45" s="76"/>
      <c r="AM45" s="76"/>
      <c r="AN45" s="76"/>
      <c r="AO45" s="76"/>
      <c r="AP45" s="76"/>
      <c r="AQ45" s="76"/>
      <c r="AR45" s="76"/>
      <c r="AS45" s="76"/>
      <c r="AT45" s="76"/>
      <c r="AU45" s="76"/>
      <c r="AV45" s="76"/>
    </row>
    <row r="46" spans="1:48" x14ac:dyDescent="0.3">
      <c r="A46" s="9" t="s">
        <v>661</v>
      </c>
      <c r="B46" s="10" t="s">
        <v>1844</v>
      </c>
      <c r="C46" s="87">
        <v>488</v>
      </c>
      <c r="D46" s="85">
        <v>122.1</v>
      </c>
      <c r="E46" s="86">
        <v>37</v>
      </c>
      <c r="F46" s="85">
        <v>101.6</v>
      </c>
      <c r="G46" s="17">
        <v>31</v>
      </c>
      <c r="H46" s="87">
        <v>269</v>
      </c>
      <c r="I46" s="88">
        <v>20000</v>
      </c>
      <c r="J46" s="88" t="s">
        <v>84</v>
      </c>
      <c r="K46" s="88"/>
      <c r="L46" s="88"/>
      <c r="M46" s="89">
        <f>I46-K46</f>
        <v>20000</v>
      </c>
      <c r="N46" s="4">
        <f>IF(ISERROR(K46/I46),"",K46/I46)</f>
        <v>0</v>
      </c>
      <c r="O46" s="90">
        <f>I46/E46</f>
        <v>540.54054054054052</v>
      </c>
      <c r="P46" s="90">
        <f>K46/E46</f>
        <v>0</v>
      </c>
      <c r="Q46" s="76">
        <v>4</v>
      </c>
      <c r="R46" s="76">
        <v>2</v>
      </c>
      <c r="S46" s="76" t="s">
        <v>61</v>
      </c>
      <c r="T46" s="5">
        <v>122</v>
      </c>
      <c r="U46" s="9"/>
      <c r="W46" s="85">
        <f t="shared" ref="W46:X49" si="18">D46</f>
        <v>122.1</v>
      </c>
      <c r="X46" s="86">
        <f t="shared" si="18"/>
        <v>37</v>
      </c>
      <c r="Y46" s="91">
        <f t="shared" ref="Y46:Z49" si="19">H46</f>
        <v>269</v>
      </c>
      <c r="Z46" s="89">
        <f t="shared" si="19"/>
        <v>20000</v>
      </c>
      <c r="AA46" s="89">
        <f>K46</f>
        <v>0</v>
      </c>
      <c r="AB46" s="89">
        <f t="shared" ref="AB46:AD49" si="20">M46</f>
        <v>20000</v>
      </c>
      <c r="AC46" s="4">
        <f t="shared" si="20"/>
        <v>0</v>
      </c>
      <c r="AD46" s="90">
        <f t="shared" si="20"/>
        <v>540.54054054054052</v>
      </c>
      <c r="AE46" s="76" t="str">
        <f>S46</f>
        <v>계</v>
      </c>
      <c r="AF46" s="76" t="str">
        <f>Q46&amp;"/"&amp;R46</f>
        <v>4/2</v>
      </c>
      <c r="AH46" s="20" t="str">
        <f t="shared" si="16"/>
        <v>우성</v>
      </c>
      <c r="AI46" s="86">
        <f t="shared" si="12"/>
        <v>37</v>
      </c>
      <c r="AJ46" s="76" t="str">
        <f>IF(AI46="","",$AJ$2)</f>
        <v>A-</v>
      </c>
      <c r="AK46" s="76" t="s">
        <v>13</v>
      </c>
      <c r="AL46" s="76" t="s">
        <v>62</v>
      </c>
      <c r="AM46" s="76" t="s">
        <v>63</v>
      </c>
      <c r="AN46" s="76" t="str">
        <f>IF(AI46="","",$AN$2)</f>
        <v>C</v>
      </c>
      <c r="AO46" s="76" t="str">
        <f>IF(N46="","",IF(N46&gt;=$AO$1/100,"O","X"))</f>
        <v>X</v>
      </c>
      <c r="AP46" s="76" t="str">
        <f>IF(I46="","",IF(I46&lt;=$AP$1,"O","X"))</f>
        <v>O</v>
      </c>
      <c r="AQ46" s="76" t="str">
        <f>IF(O46="","",IF(O46&lt;=$AQ$1,"O","X"))</f>
        <v>O</v>
      </c>
      <c r="AR46" s="76" t="str">
        <f>IF(M46="","",IF(M46&lt;=$AR$1,"O","X"))</f>
        <v>X</v>
      </c>
      <c r="AS46" s="76" t="s">
        <v>2</v>
      </c>
      <c r="AT46" s="76" t="str">
        <f>IF(OR(F46="",AI46=""),"",IF(AND((F46&lt;=85),(AI46&gt;=15)),"O","X"))</f>
        <v>X</v>
      </c>
      <c r="AU46" s="76" t="str">
        <f>IF(C46="","",IF(C46&gt;=$AU$1,"O","X"))</f>
        <v>O</v>
      </c>
      <c r="AV46" s="76" t="str">
        <f>IF(AO46="","",IF(AND(AO46="O",AP46="O",AR46="O",AT46="O",AU46="O"),"후보","X"))</f>
        <v>X</v>
      </c>
    </row>
    <row r="47" spans="1:48" x14ac:dyDescent="0.3">
      <c r="A47" s="9" t="s">
        <v>661</v>
      </c>
      <c r="B47" s="10" t="s">
        <v>1844</v>
      </c>
      <c r="C47" s="87">
        <v>488</v>
      </c>
      <c r="D47" s="85">
        <v>138.30000000000001</v>
      </c>
      <c r="E47" s="86">
        <v>42</v>
      </c>
      <c r="F47" s="85">
        <v>116.7</v>
      </c>
      <c r="G47" s="17">
        <v>35</v>
      </c>
      <c r="H47" s="87">
        <v>15</v>
      </c>
      <c r="I47" s="88"/>
      <c r="J47" s="88"/>
      <c r="K47" s="88"/>
      <c r="L47" s="88"/>
      <c r="M47" s="89">
        <f>I47-K47</f>
        <v>0</v>
      </c>
      <c r="N47" s="4" t="str">
        <f>IF(ISERROR(K47/I47),"",K47/I47)</f>
        <v/>
      </c>
      <c r="O47" s="90">
        <f>I47/E47</f>
        <v>0</v>
      </c>
      <c r="P47" s="90">
        <f>K47/E47</f>
        <v>0</v>
      </c>
      <c r="Q47" s="76">
        <v>4</v>
      </c>
      <c r="R47" s="76">
        <v>2</v>
      </c>
      <c r="S47" s="76" t="s">
        <v>61</v>
      </c>
      <c r="T47" s="5">
        <v>138</v>
      </c>
      <c r="U47" s="9"/>
      <c r="W47" s="85">
        <f t="shared" si="18"/>
        <v>138.30000000000001</v>
      </c>
      <c r="X47" s="86">
        <f t="shared" si="18"/>
        <v>42</v>
      </c>
      <c r="Y47" s="91">
        <f t="shared" si="19"/>
        <v>15</v>
      </c>
      <c r="Z47" s="89">
        <f t="shared" si="19"/>
        <v>0</v>
      </c>
      <c r="AA47" s="89">
        <f>K47</f>
        <v>0</v>
      </c>
      <c r="AB47" s="89">
        <f t="shared" si="20"/>
        <v>0</v>
      </c>
      <c r="AC47" s="4" t="str">
        <f t="shared" si="20"/>
        <v/>
      </c>
      <c r="AD47" s="90">
        <f t="shared" si="20"/>
        <v>0</v>
      </c>
      <c r="AE47" s="76" t="str">
        <f>S47</f>
        <v>계</v>
      </c>
      <c r="AF47" s="76" t="str">
        <f>Q47&amp;"/"&amp;R47</f>
        <v>4/2</v>
      </c>
      <c r="AH47" s="20" t="str">
        <f t="shared" si="16"/>
        <v>우성</v>
      </c>
      <c r="AI47" s="86">
        <f t="shared" si="12"/>
        <v>42</v>
      </c>
      <c r="AJ47" s="76" t="str">
        <f>IF(AI47="","",$AJ$2)</f>
        <v>A-</v>
      </c>
      <c r="AK47" s="76" t="s">
        <v>13</v>
      </c>
      <c r="AL47" s="76" t="s">
        <v>62</v>
      </c>
      <c r="AM47" s="76" t="s">
        <v>63</v>
      </c>
      <c r="AN47" s="76" t="str">
        <f>IF(AI47="","",$AN$2)</f>
        <v>C</v>
      </c>
      <c r="AO47" s="76" t="str">
        <f>IF(N47="","",IF(N47&gt;=$AO$1/100,"O","X"))</f>
        <v/>
      </c>
      <c r="AP47" s="76" t="str">
        <f>IF(I47="","",IF(I47&lt;=$AP$1,"O","X"))</f>
        <v/>
      </c>
      <c r="AQ47" s="76" t="str">
        <f>IF(O47="","",IF(O47&lt;=$AQ$1,"O","X"))</f>
        <v>O</v>
      </c>
      <c r="AR47" s="76" t="str">
        <f>IF(M47="","",IF(M47&lt;=$AR$1,"O","X"))</f>
        <v>O</v>
      </c>
      <c r="AS47" s="76" t="s">
        <v>2</v>
      </c>
      <c r="AT47" s="76" t="str">
        <f>IF(OR(F47="",AI47=""),"",IF(AND((F47&lt;=85),(AI47&gt;=15)),"O","X"))</f>
        <v>X</v>
      </c>
      <c r="AU47" s="76" t="str">
        <f>IF(C47="","",IF(C47&gt;=$AU$1,"O","X"))</f>
        <v>O</v>
      </c>
      <c r="AV47" s="76" t="str">
        <f>IF(AO47="","",IF(AND(AO47="O",AP47="O",AR47="O",AT47="O",AU47="O"),"후보","X"))</f>
        <v/>
      </c>
    </row>
    <row r="48" spans="1:48" x14ac:dyDescent="0.3">
      <c r="A48" s="9" t="s">
        <v>661</v>
      </c>
      <c r="B48" s="10" t="s">
        <v>1844</v>
      </c>
      <c r="C48" s="87">
        <v>488</v>
      </c>
      <c r="D48" s="85">
        <v>142.30000000000001</v>
      </c>
      <c r="E48" s="86">
        <v>43</v>
      </c>
      <c r="F48" s="85">
        <v>120.3</v>
      </c>
      <c r="G48" s="17">
        <v>36</v>
      </c>
      <c r="H48" s="87">
        <v>132</v>
      </c>
      <c r="I48" s="88">
        <v>23000</v>
      </c>
      <c r="J48" s="88" t="s">
        <v>111</v>
      </c>
      <c r="K48" s="88"/>
      <c r="L48" s="88"/>
      <c r="M48" s="89">
        <f>I48-K48</f>
        <v>23000</v>
      </c>
      <c r="N48" s="4">
        <f>IF(ISERROR(K48/I48),"",K48/I48)</f>
        <v>0</v>
      </c>
      <c r="O48" s="90">
        <f>I48/E48</f>
        <v>534.88372093023258</v>
      </c>
      <c r="P48" s="90">
        <f>K48/E48</f>
        <v>0</v>
      </c>
      <c r="Q48" s="76">
        <v>4</v>
      </c>
      <c r="R48" s="76">
        <v>2</v>
      </c>
      <c r="S48" s="76" t="s">
        <v>61</v>
      </c>
      <c r="T48" s="5">
        <v>142</v>
      </c>
      <c r="U48" s="9"/>
      <c r="W48" s="85">
        <f t="shared" si="18"/>
        <v>142.30000000000001</v>
      </c>
      <c r="X48" s="86">
        <f t="shared" si="18"/>
        <v>43</v>
      </c>
      <c r="Y48" s="91">
        <f t="shared" si="19"/>
        <v>132</v>
      </c>
      <c r="Z48" s="89">
        <f t="shared" si="19"/>
        <v>23000</v>
      </c>
      <c r="AA48" s="89">
        <f>K48</f>
        <v>0</v>
      </c>
      <c r="AB48" s="89">
        <f t="shared" si="20"/>
        <v>23000</v>
      </c>
      <c r="AC48" s="4">
        <f t="shared" si="20"/>
        <v>0</v>
      </c>
      <c r="AD48" s="90">
        <f t="shared" si="20"/>
        <v>534.88372093023258</v>
      </c>
      <c r="AE48" s="76" t="str">
        <f>S48</f>
        <v>계</v>
      </c>
      <c r="AF48" s="76" t="str">
        <f>Q48&amp;"/"&amp;R48</f>
        <v>4/2</v>
      </c>
      <c r="AH48" s="20" t="str">
        <f t="shared" si="16"/>
        <v>우성</v>
      </c>
      <c r="AI48" s="86">
        <f t="shared" si="12"/>
        <v>43</v>
      </c>
      <c r="AJ48" s="76" t="str">
        <f>IF(AI48="","",$AJ$2)</f>
        <v>A-</v>
      </c>
      <c r="AK48" s="76" t="s">
        <v>13</v>
      </c>
      <c r="AL48" s="76" t="s">
        <v>62</v>
      </c>
      <c r="AM48" s="76" t="s">
        <v>63</v>
      </c>
      <c r="AN48" s="76" t="str">
        <f>IF(AI48="","",$AN$2)</f>
        <v>C</v>
      </c>
      <c r="AO48" s="76" t="str">
        <f>IF(N48="","",IF(N48&gt;=$AO$1/100,"O","X"))</f>
        <v>X</v>
      </c>
      <c r="AP48" s="76" t="str">
        <f>IF(I48="","",IF(I48&lt;=$AP$1,"O","X"))</f>
        <v>O</v>
      </c>
      <c r="AQ48" s="76" t="str">
        <f>IF(O48="","",IF(O48&lt;=$AQ$1,"O","X"))</f>
        <v>O</v>
      </c>
      <c r="AR48" s="76" t="str">
        <f>IF(M48="","",IF(M48&lt;=$AR$1,"O","X"))</f>
        <v>X</v>
      </c>
      <c r="AS48" s="76" t="s">
        <v>2</v>
      </c>
      <c r="AT48" s="76" t="str">
        <f>IF(OR(F48="",AI48=""),"",IF(AND((F48&lt;=85),(AI48&gt;=15)),"O","X"))</f>
        <v>X</v>
      </c>
      <c r="AU48" s="76" t="str">
        <f>IF(C48="","",IF(C48&gt;=$AU$1,"O","X"))</f>
        <v>O</v>
      </c>
      <c r="AV48" s="76" t="str">
        <f>IF(AO48="","",IF(AND(AO48="O",AP48="O",AR48="O",AT48="O",AU48="O"),"후보","X"))</f>
        <v>X</v>
      </c>
    </row>
    <row r="49" spans="1:48" x14ac:dyDescent="0.3">
      <c r="A49" s="9" t="s">
        <v>661</v>
      </c>
      <c r="B49" s="10" t="s">
        <v>1844</v>
      </c>
      <c r="C49" s="87">
        <v>488</v>
      </c>
      <c r="D49" s="85">
        <v>159.80000000000001</v>
      </c>
      <c r="E49" s="86">
        <v>48</v>
      </c>
      <c r="F49" s="85">
        <v>134.9</v>
      </c>
      <c r="G49" s="17">
        <v>41</v>
      </c>
      <c r="H49" s="87">
        <v>72</v>
      </c>
      <c r="I49" s="88"/>
      <c r="J49" s="88"/>
      <c r="K49" s="88"/>
      <c r="L49" s="88"/>
      <c r="M49" s="89">
        <f>I49-K49</f>
        <v>0</v>
      </c>
      <c r="N49" s="4" t="str">
        <f>IF(ISERROR(K49/I49),"",K49/I49)</f>
        <v/>
      </c>
      <c r="O49" s="90">
        <f>I49/E49</f>
        <v>0</v>
      </c>
      <c r="P49" s="90">
        <f>K49/E49</f>
        <v>0</v>
      </c>
      <c r="Q49" s="76">
        <v>4</v>
      </c>
      <c r="R49" s="76">
        <v>2</v>
      </c>
      <c r="S49" s="76" t="s">
        <v>61</v>
      </c>
      <c r="T49" s="5">
        <v>159</v>
      </c>
      <c r="U49" s="9"/>
      <c r="W49" s="85">
        <f t="shared" si="18"/>
        <v>159.80000000000001</v>
      </c>
      <c r="X49" s="86">
        <f t="shared" si="18"/>
        <v>48</v>
      </c>
      <c r="Y49" s="91">
        <f t="shared" si="19"/>
        <v>72</v>
      </c>
      <c r="Z49" s="89">
        <f t="shared" si="19"/>
        <v>0</v>
      </c>
      <c r="AA49" s="89">
        <f>K49</f>
        <v>0</v>
      </c>
      <c r="AB49" s="89">
        <f t="shared" si="20"/>
        <v>0</v>
      </c>
      <c r="AC49" s="4" t="str">
        <f t="shared" si="20"/>
        <v/>
      </c>
      <c r="AD49" s="90">
        <f t="shared" si="20"/>
        <v>0</v>
      </c>
      <c r="AE49" s="76" t="str">
        <f>S49</f>
        <v>계</v>
      </c>
      <c r="AF49" s="76" t="str">
        <f>Q49&amp;"/"&amp;R49</f>
        <v>4/2</v>
      </c>
      <c r="AH49" s="20" t="str">
        <f t="shared" si="16"/>
        <v>우성</v>
      </c>
      <c r="AI49" s="86">
        <f t="shared" si="12"/>
        <v>48</v>
      </c>
      <c r="AJ49" s="76" t="str">
        <f>IF(AI49="","",$AJ$2)</f>
        <v>A-</v>
      </c>
      <c r="AK49" s="76" t="s">
        <v>13</v>
      </c>
      <c r="AL49" s="76" t="s">
        <v>62</v>
      </c>
      <c r="AM49" s="76" t="s">
        <v>63</v>
      </c>
      <c r="AN49" s="76" t="str">
        <f>IF(AI49="","",$AN$2)</f>
        <v>C</v>
      </c>
      <c r="AO49" s="76" t="str">
        <f>IF(N49="","",IF(N49&gt;=$AO$1/100,"O","X"))</f>
        <v/>
      </c>
      <c r="AP49" s="76" t="str">
        <f>IF(I49="","",IF(I49&lt;=$AP$1,"O","X"))</f>
        <v/>
      </c>
      <c r="AQ49" s="76" t="str">
        <f>IF(O49="","",IF(O49&lt;=$AQ$1,"O","X"))</f>
        <v>O</v>
      </c>
      <c r="AR49" s="76" t="str">
        <f>IF(M49="","",IF(M49&lt;=$AR$1,"O","X"))</f>
        <v>O</v>
      </c>
      <c r="AS49" s="76" t="s">
        <v>2</v>
      </c>
      <c r="AT49" s="76" t="str">
        <f>IF(OR(F49="",AI49=""),"",IF(AND((F49&lt;=85),(AI49&gt;=15)),"O","X"))</f>
        <v>X</v>
      </c>
      <c r="AU49" s="76" t="str">
        <f>IF(C49="","",IF(C49&gt;=$AU$1,"O","X"))</f>
        <v>O</v>
      </c>
      <c r="AV49" s="76" t="str">
        <f>IF(AO49="","",IF(AND(AO49="O",AP49="O",AR49="O",AT49="O",AU49="O"),"후보","X"))</f>
        <v/>
      </c>
    </row>
    <row r="50" spans="1:48" x14ac:dyDescent="0.3">
      <c r="A50" s="9"/>
      <c r="B50" s="76"/>
      <c r="C50" s="6"/>
      <c r="D50" s="9"/>
      <c r="E50" s="14"/>
      <c r="F50" s="85"/>
      <c r="G50" s="9"/>
      <c r="H50" s="9"/>
      <c r="I50" s="9"/>
      <c r="J50" s="9"/>
      <c r="K50" s="9"/>
      <c r="L50" s="9"/>
      <c r="M50" s="9"/>
      <c r="N50" s="9"/>
      <c r="O50" s="90"/>
      <c r="P50" s="90"/>
      <c r="Q50" s="86"/>
      <c r="R50" s="86"/>
      <c r="S50" s="9"/>
      <c r="T50" s="47"/>
      <c r="U50" s="9"/>
      <c r="W50" s="67" t="str">
        <f>$A$4&amp;" "&amp;A51&amp;"("&amp;B51&amp;","&amp;C51&amp;"^)"</f>
        <v>삼천동1가 삼천주공3단지('89.05.,500^)</v>
      </c>
      <c r="X50" s="68"/>
      <c r="Y50" s="68"/>
      <c r="Z50" s="68"/>
      <c r="AA50" s="68"/>
      <c r="AB50" s="68"/>
      <c r="AC50" s="68"/>
      <c r="AD50" s="68"/>
      <c r="AE50" s="68"/>
      <c r="AF50" s="69"/>
      <c r="AH50" s="20" t="str">
        <f t="shared" si="16"/>
        <v/>
      </c>
      <c r="AI50" s="108" t="str">
        <f t="shared" si="12"/>
        <v/>
      </c>
      <c r="AJ50" s="76"/>
      <c r="AK50" s="76"/>
      <c r="AL50" s="76"/>
      <c r="AM50" s="76"/>
      <c r="AN50" s="76"/>
      <c r="AO50" s="76"/>
      <c r="AP50" s="76"/>
      <c r="AQ50" s="76"/>
      <c r="AR50" s="76"/>
      <c r="AS50" s="76"/>
      <c r="AT50" s="76"/>
      <c r="AU50" s="76"/>
      <c r="AV50" s="76"/>
    </row>
    <row r="51" spans="1:48" x14ac:dyDescent="0.3">
      <c r="A51" s="9" t="s">
        <v>666</v>
      </c>
      <c r="B51" s="10" t="s">
        <v>1845</v>
      </c>
      <c r="C51" s="87">
        <v>500</v>
      </c>
      <c r="D51" s="85">
        <v>49.5</v>
      </c>
      <c r="E51" s="86">
        <v>15</v>
      </c>
      <c r="F51" s="85">
        <v>39.299999999999997</v>
      </c>
      <c r="G51" s="17">
        <v>12</v>
      </c>
      <c r="H51" s="87">
        <v>190</v>
      </c>
      <c r="I51" s="88">
        <v>17800</v>
      </c>
      <c r="J51" s="88" t="s">
        <v>75</v>
      </c>
      <c r="K51" s="88">
        <v>3000</v>
      </c>
      <c r="L51" s="88" t="s">
        <v>75</v>
      </c>
      <c r="M51" s="89">
        <f>I51-K51</f>
        <v>14800</v>
      </c>
      <c r="N51" s="4">
        <f>IF(ISERROR(K51/I51),"",K51/I51)</f>
        <v>0.16853932584269662</v>
      </c>
      <c r="O51" s="90">
        <f>I51/E51</f>
        <v>1186.6666666666667</v>
      </c>
      <c r="P51" s="90">
        <f>K51/E51</f>
        <v>200</v>
      </c>
      <c r="Q51" s="76">
        <v>2</v>
      </c>
      <c r="R51" s="76">
        <v>1</v>
      </c>
      <c r="S51" s="76" t="s">
        <v>61</v>
      </c>
      <c r="T51" s="5" t="s">
        <v>114</v>
      </c>
      <c r="U51" s="9"/>
      <c r="W51" s="85">
        <f t="shared" ref="W51:X54" si="21">D51</f>
        <v>49.5</v>
      </c>
      <c r="X51" s="86">
        <f t="shared" si="21"/>
        <v>15</v>
      </c>
      <c r="Y51" s="91">
        <f t="shared" ref="Y51:Z54" si="22">H51</f>
        <v>190</v>
      </c>
      <c r="Z51" s="89">
        <f t="shared" si="22"/>
        <v>17800</v>
      </c>
      <c r="AA51" s="89">
        <f>K51</f>
        <v>3000</v>
      </c>
      <c r="AB51" s="89">
        <f t="shared" ref="AB51:AD54" si="23">M51</f>
        <v>14800</v>
      </c>
      <c r="AC51" s="4">
        <f t="shared" si="23"/>
        <v>0.16853932584269662</v>
      </c>
      <c r="AD51" s="90">
        <f t="shared" si="23"/>
        <v>1186.6666666666667</v>
      </c>
      <c r="AE51" s="76" t="str">
        <f>S51</f>
        <v>계</v>
      </c>
      <c r="AF51" s="76" t="str">
        <f>Q51&amp;"/"&amp;R51</f>
        <v>2/1</v>
      </c>
      <c r="AH51" s="20" t="str">
        <f t="shared" si="16"/>
        <v>삼천주공3단지</v>
      </c>
      <c r="AI51" s="86">
        <f t="shared" si="12"/>
        <v>15</v>
      </c>
      <c r="AJ51" s="76" t="str">
        <f>IF(AI51="","",$AJ$2)</f>
        <v>A-</v>
      </c>
      <c r="AK51" s="76" t="s">
        <v>13</v>
      </c>
      <c r="AL51" s="76" t="s">
        <v>62</v>
      </c>
      <c r="AM51" s="76" t="s">
        <v>63</v>
      </c>
      <c r="AN51" s="76" t="str">
        <f>IF(AI51="","",$AN$2)</f>
        <v>C</v>
      </c>
      <c r="AO51" s="76" t="str">
        <f>IF(N51="","",IF(N51&gt;=$AO$1/100,"O","X"))</f>
        <v>X</v>
      </c>
      <c r="AP51" s="76" t="str">
        <f>IF(I51="","",IF(I51&lt;=$AP$1,"O","X"))</f>
        <v>O</v>
      </c>
      <c r="AQ51" s="76" t="str">
        <f>IF(O51="","",IF(O51&lt;=$AQ$1,"O","X"))</f>
        <v>O</v>
      </c>
      <c r="AR51" s="76" t="str">
        <f>IF(M51="","",IF(M51&lt;=$AR$1,"O","X"))</f>
        <v>X</v>
      </c>
      <c r="AS51" s="76" t="s">
        <v>2</v>
      </c>
      <c r="AT51" s="76" t="str">
        <f>IF(OR(F51="",AI51=""),"",IF(AND((F51&lt;=85),(AI51&gt;=15)),"O","X"))</f>
        <v>O</v>
      </c>
      <c r="AU51" s="76" t="str">
        <f>IF(C51="","",IF(C51&gt;=$AU$1,"O","X"))</f>
        <v>O</v>
      </c>
      <c r="AV51" s="76" t="str">
        <f>IF(AO51="","",IF(AND(AO51="O",AP51="O",AR51="O",AT51="O",AU51="O"),"후보","X"))</f>
        <v>X</v>
      </c>
    </row>
    <row r="52" spans="1:48" x14ac:dyDescent="0.3">
      <c r="A52" s="9" t="s">
        <v>666</v>
      </c>
      <c r="B52" s="10" t="s">
        <v>1845</v>
      </c>
      <c r="C52" s="87">
        <v>500</v>
      </c>
      <c r="D52" s="85">
        <v>49.9</v>
      </c>
      <c r="E52" s="86">
        <v>15</v>
      </c>
      <c r="F52" s="85">
        <v>39.700000000000003</v>
      </c>
      <c r="G52" s="17">
        <v>12</v>
      </c>
      <c r="H52" s="87">
        <v>170</v>
      </c>
      <c r="I52" s="88">
        <v>18500</v>
      </c>
      <c r="J52" s="88" t="s">
        <v>71</v>
      </c>
      <c r="K52" s="88"/>
      <c r="L52" s="88"/>
      <c r="M52" s="89">
        <f>I52-K52</f>
        <v>18500</v>
      </c>
      <c r="N52" s="4">
        <f>IF(ISERROR(K52/I52),"",K52/I52)</f>
        <v>0</v>
      </c>
      <c r="O52" s="90">
        <f>I52/E52</f>
        <v>1233.3333333333333</v>
      </c>
      <c r="P52" s="90">
        <f>K52/E52</f>
        <v>0</v>
      </c>
      <c r="Q52" s="76">
        <v>2</v>
      </c>
      <c r="R52" s="76">
        <v>1</v>
      </c>
      <c r="S52" s="76" t="s">
        <v>61</v>
      </c>
      <c r="T52" s="5" t="s">
        <v>115</v>
      </c>
      <c r="U52" s="9"/>
      <c r="W52" s="85">
        <f t="shared" si="21"/>
        <v>49.9</v>
      </c>
      <c r="X52" s="86">
        <f t="shared" si="21"/>
        <v>15</v>
      </c>
      <c r="Y52" s="91">
        <f t="shared" si="22"/>
        <v>170</v>
      </c>
      <c r="Z52" s="89">
        <f t="shared" si="22"/>
        <v>18500</v>
      </c>
      <c r="AA52" s="89">
        <f>K52</f>
        <v>0</v>
      </c>
      <c r="AB52" s="89">
        <f t="shared" si="23"/>
        <v>18500</v>
      </c>
      <c r="AC52" s="4">
        <f t="shared" si="23"/>
        <v>0</v>
      </c>
      <c r="AD52" s="90">
        <f t="shared" si="23"/>
        <v>1233.3333333333333</v>
      </c>
      <c r="AE52" s="76" t="str">
        <f>S52</f>
        <v>계</v>
      </c>
      <c r="AF52" s="76" t="str">
        <f>Q52&amp;"/"&amp;R52</f>
        <v>2/1</v>
      </c>
      <c r="AH52" s="20" t="str">
        <f t="shared" si="16"/>
        <v>삼천주공3단지</v>
      </c>
      <c r="AI52" s="86">
        <f t="shared" si="12"/>
        <v>15</v>
      </c>
      <c r="AJ52" s="76" t="str">
        <f>IF(AI52="","",$AJ$2)</f>
        <v>A-</v>
      </c>
      <c r="AK52" s="76" t="s">
        <v>13</v>
      </c>
      <c r="AL52" s="76" t="s">
        <v>62</v>
      </c>
      <c r="AM52" s="76" t="s">
        <v>63</v>
      </c>
      <c r="AN52" s="76" t="str">
        <f>IF(AI52="","",$AN$2)</f>
        <v>C</v>
      </c>
      <c r="AO52" s="76" t="str">
        <f>IF(N52="","",IF(N52&gt;=$AO$1/100,"O","X"))</f>
        <v>X</v>
      </c>
      <c r="AP52" s="76" t="str">
        <f>IF(I52="","",IF(I52&lt;=$AP$1,"O","X"))</f>
        <v>O</v>
      </c>
      <c r="AQ52" s="76" t="str">
        <f>IF(O52="","",IF(O52&lt;=$AQ$1,"O","X"))</f>
        <v>O</v>
      </c>
      <c r="AR52" s="76" t="str">
        <f>IF(M52="","",IF(M52&lt;=$AR$1,"O","X"))</f>
        <v>X</v>
      </c>
      <c r="AS52" s="76" t="s">
        <v>2</v>
      </c>
      <c r="AT52" s="76" t="str">
        <f>IF(OR(F52="",AI52=""),"",IF(AND((F52&lt;=85),(AI52&gt;=15)),"O","X"))</f>
        <v>O</v>
      </c>
      <c r="AU52" s="76" t="str">
        <f>IF(C52="","",IF(C52&gt;=$AU$1,"O","X"))</f>
        <v>O</v>
      </c>
      <c r="AV52" s="76" t="str">
        <f>IF(AO52="","",IF(AND(AO52="O",AP52="O",AR52="O",AT52="O",AU52="O"),"후보","X"))</f>
        <v>X</v>
      </c>
    </row>
    <row r="53" spans="1:48" x14ac:dyDescent="0.3">
      <c r="A53" s="9" t="s">
        <v>666</v>
      </c>
      <c r="B53" s="10" t="s">
        <v>1845</v>
      </c>
      <c r="C53" s="87">
        <v>500</v>
      </c>
      <c r="D53" s="85">
        <v>57.6</v>
      </c>
      <c r="E53" s="86">
        <v>17</v>
      </c>
      <c r="F53" s="85">
        <v>46.7</v>
      </c>
      <c r="G53" s="17">
        <v>14</v>
      </c>
      <c r="H53" s="87">
        <v>80</v>
      </c>
      <c r="I53" s="88">
        <v>22000</v>
      </c>
      <c r="J53" s="88" t="s">
        <v>71</v>
      </c>
      <c r="K53" s="88"/>
      <c r="L53" s="88"/>
      <c r="M53" s="89">
        <f>I53-K53</f>
        <v>22000</v>
      </c>
      <c r="N53" s="4">
        <f>IF(ISERROR(K53/I53),"",K53/I53)</f>
        <v>0</v>
      </c>
      <c r="O53" s="90">
        <f>I53/E53</f>
        <v>1294.1176470588234</v>
      </c>
      <c r="P53" s="90">
        <f>K53/E53</f>
        <v>0</v>
      </c>
      <c r="Q53" s="76">
        <v>3</v>
      </c>
      <c r="R53" s="76">
        <v>1</v>
      </c>
      <c r="S53" s="76" t="s">
        <v>61</v>
      </c>
      <c r="T53" s="5" t="s">
        <v>116</v>
      </c>
      <c r="U53" s="9"/>
      <c r="W53" s="85">
        <f t="shared" si="21"/>
        <v>57.6</v>
      </c>
      <c r="X53" s="86">
        <f t="shared" si="21"/>
        <v>17</v>
      </c>
      <c r="Y53" s="91">
        <f t="shared" si="22"/>
        <v>80</v>
      </c>
      <c r="Z53" s="89">
        <f t="shared" si="22"/>
        <v>22000</v>
      </c>
      <c r="AA53" s="89">
        <f>K53</f>
        <v>0</v>
      </c>
      <c r="AB53" s="89">
        <f t="shared" si="23"/>
        <v>22000</v>
      </c>
      <c r="AC53" s="4">
        <f t="shared" si="23"/>
        <v>0</v>
      </c>
      <c r="AD53" s="90">
        <f t="shared" si="23"/>
        <v>1294.1176470588234</v>
      </c>
      <c r="AE53" s="76" t="str">
        <f>S53</f>
        <v>계</v>
      </c>
      <c r="AF53" s="76" t="str">
        <f>Q53&amp;"/"&amp;R53</f>
        <v>3/1</v>
      </c>
      <c r="AH53" s="20" t="str">
        <f t="shared" si="16"/>
        <v>삼천주공3단지</v>
      </c>
      <c r="AI53" s="86">
        <f t="shared" si="12"/>
        <v>17</v>
      </c>
      <c r="AJ53" s="76" t="str">
        <f>IF(AI53="","",$AJ$2)</f>
        <v>A-</v>
      </c>
      <c r="AK53" s="76" t="s">
        <v>13</v>
      </c>
      <c r="AL53" s="76" t="s">
        <v>62</v>
      </c>
      <c r="AM53" s="76" t="s">
        <v>63</v>
      </c>
      <c r="AN53" s="76" t="str">
        <f>IF(AI53="","",$AN$2)</f>
        <v>C</v>
      </c>
      <c r="AO53" s="76" t="str">
        <f>IF(N53="","",IF(N53&gt;=$AO$1/100,"O","X"))</f>
        <v>X</v>
      </c>
      <c r="AP53" s="76" t="str">
        <f>IF(I53="","",IF(I53&lt;=$AP$1,"O","X"))</f>
        <v>O</v>
      </c>
      <c r="AQ53" s="76" t="str">
        <f>IF(O53="","",IF(O53&lt;=$AQ$1,"O","X"))</f>
        <v>O</v>
      </c>
      <c r="AR53" s="76" t="str">
        <f>IF(M53="","",IF(M53&lt;=$AR$1,"O","X"))</f>
        <v>X</v>
      </c>
      <c r="AS53" s="76" t="s">
        <v>2</v>
      </c>
      <c r="AT53" s="76" t="str">
        <f>IF(OR(F53="",AI53=""),"",IF(AND((F53&lt;=85),(AI53&gt;=15)),"O","X"))</f>
        <v>O</v>
      </c>
      <c r="AU53" s="76" t="str">
        <f>IF(C53="","",IF(C53&gt;=$AU$1,"O","X"))</f>
        <v>O</v>
      </c>
      <c r="AV53" s="76" t="str">
        <f>IF(AO53="","",IF(AND(AO53="O",AP53="O",AR53="O",AT53="O",AU53="O"),"후보","X"))</f>
        <v>X</v>
      </c>
    </row>
    <row r="54" spans="1:48" x14ac:dyDescent="0.3">
      <c r="A54" s="9" t="s">
        <v>666</v>
      </c>
      <c r="B54" s="10" t="s">
        <v>1845</v>
      </c>
      <c r="C54" s="87">
        <v>500</v>
      </c>
      <c r="D54" s="85">
        <v>57.9</v>
      </c>
      <c r="E54" s="86">
        <v>18</v>
      </c>
      <c r="F54" s="85">
        <v>47</v>
      </c>
      <c r="G54" s="17">
        <v>14</v>
      </c>
      <c r="H54" s="87">
        <v>60</v>
      </c>
      <c r="I54" s="88"/>
      <c r="J54" s="88"/>
      <c r="K54" s="88"/>
      <c r="L54" s="88"/>
      <c r="M54" s="89">
        <f>I54-K54</f>
        <v>0</v>
      </c>
      <c r="N54" s="4" t="str">
        <f>IF(ISERROR(K54/I54),"",K54/I54)</f>
        <v/>
      </c>
      <c r="O54" s="90">
        <f>I54/E54</f>
        <v>0</v>
      </c>
      <c r="P54" s="90">
        <f>K54/E54</f>
        <v>0</v>
      </c>
      <c r="Q54" s="76">
        <v>3</v>
      </c>
      <c r="R54" s="76">
        <v>1</v>
      </c>
      <c r="S54" s="76" t="s">
        <v>61</v>
      </c>
      <c r="T54" s="5" t="s">
        <v>117</v>
      </c>
      <c r="U54" s="9"/>
      <c r="W54" s="85">
        <f t="shared" si="21"/>
        <v>57.9</v>
      </c>
      <c r="X54" s="86">
        <f t="shared" si="21"/>
        <v>18</v>
      </c>
      <c r="Y54" s="91">
        <f t="shared" si="22"/>
        <v>60</v>
      </c>
      <c r="Z54" s="89">
        <f t="shared" si="22"/>
        <v>0</v>
      </c>
      <c r="AA54" s="89">
        <f>K54</f>
        <v>0</v>
      </c>
      <c r="AB54" s="89">
        <f t="shared" si="23"/>
        <v>0</v>
      </c>
      <c r="AC54" s="4" t="str">
        <f t="shared" si="23"/>
        <v/>
      </c>
      <c r="AD54" s="90">
        <f t="shared" si="23"/>
        <v>0</v>
      </c>
      <c r="AE54" s="76" t="str">
        <f>S54</f>
        <v>계</v>
      </c>
      <c r="AF54" s="76" t="str">
        <f>Q54&amp;"/"&amp;R54</f>
        <v>3/1</v>
      </c>
      <c r="AH54" s="20" t="str">
        <f t="shared" si="16"/>
        <v>삼천주공3단지</v>
      </c>
      <c r="AI54" s="86">
        <f t="shared" si="12"/>
        <v>18</v>
      </c>
      <c r="AJ54" s="76" t="str">
        <f>IF(AI54="","",$AJ$2)</f>
        <v>A-</v>
      </c>
      <c r="AK54" s="76" t="s">
        <v>13</v>
      </c>
      <c r="AL54" s="76" t="s">
        <v>62</v>
      </c>
      <c r="AM54" s="76" t="s">
        <v>63</v>
      </c>
      <c r="AN54" s="76" t="str">
        <f>IF(AI54="","",$AN$2)</f>
        <v>C</v>
      </c>
      <c r="AO54" s="76" t="str">
        <f>IF(N54="","",IF(N54&gt;=$AO$1/100,"O","X"))</f>
        <v/>
      </c>
      <c r="AP54" s="76" t="str">
        <f>IF(I54="","",IF(I54&lt;=$AP$1,"O","X"))</f>
        <v/>
      </c>
      <c r="AQ54" s="76" t="str">
        <f>IF(O54="","",IF(O54&lt;=$AQ$1,"O","X"))</f>
        <v>O</v>
      </c>
      <c r="AR54" s="76" t="str">
        <f>IF(M54="","",IF(M54&lt;=$AR$1,"O","X"))</f>
        <v>O</v>
      </c>
      <c r="AS54" s="76" t="s">
        <v>2</v>
      </c>
      <c r="AT54" s="76" t="str">
        <f>IF(OR(F54="",AI54=""),"",IF(AND((F54&lt;=85),(AI54&gt;=15)),"O","X"))</f>
        <v>O</v>
      </c>
      <c r="AU54" s="76" t="str">
        <f>IF(C54="","",IF(C54&gt;=$AU$1,"O","X"))</f>
        <v>O</v>
      </c>
      <c r="AV54" s="76" t="str">
        <f>IF(AO54="","",IF(AND(AO54="O",AP54="O",AR54="O",AT54="O",AU54="O"),"후보","X"))</f>
        <v/>
      </c>
    </row>
    <row r="55" spans="1:48" x14ac:dyDescent="0.3">
      <c r="A55" s="9"/>
      <c r="B55" s="76"/>
      <c r="C55" s="6"/>
      <c r="D55" s="9"/>
      <c r="E55" s="14"/>
      <c r="F55" s="85"/>
      <c r="G55" s="9"/>
      <c r="H55" s="9"/>
      <c r="I55" s="9"/>
      <c r="J55" s="9"/>
      <c r="K55" s="9"/>
      <c r="L55" s="9"/>
      <c r="M55" s="9"/>
      <c r="N55" s="9"/>
      <c r="O55" s="90"/>
      <c r="P55" s="90"/>
      <c r="Q55" s="86"/>
      <c r="R55" s="86"/>
      <c r="S55" s="9"/>
      <c r="T55" s="47"/>
      <c r="U55" s="9"/>
      <c r="W55" s="67" t="str">
        <f>$A$4&amp;" "&amp;A56&amp;"("&amp;B56&amp;","&amp;C56&amp;"^)"</f>
        <v>삼천동1가 광진궁전맨션('92.08.,355^)</v>
      </c>
      <c r="X55" s="68"/>
      <c r="Y55" s="68"/>
      <c r="Z55" s="68"/>
      <c r="AA55" s="68"/>
      <c r="AB55" s="68"/>
      <c r="AC55" s="68"/>
      <c r="AD55" s="68"/>
      <c r="AE55" s="68"/>
      <c r="AF55" s="69"/>
      <c r="AH55" s="20" t="str">
        <f t="shared" si="16"/>
        <v/>
      </c>
      <c r="AI55" s="108" t="str">
        <f t="shared" si="12"/>
        <v/>
      </c>
      <c r="AJ55" s="76"/>
      <c r="AK55" s="76"/>
      <c r="AL55" s="76"/>
      <c r="AM55" s="76"/>
      <c r="AN55" s="76"/>
      <c r="AO55" s="76"/>
      <c r="AP55" s="76"/>
      <c r="AQ55" s="76"/>
      <c r="AR55" s="76"/>
      <c r="AS55" s="76"/>
      <c r="AT55" s="76"/>
      <c r="AU55" s="76"/>
      <c r="AV55" s="76"/>
    </row>
    <row r="56" spans="1:48" x14ac:dyDescent="0.3">
      <c r="A56" s="9" t="s">
        <v>676</v>
      </c>
      <c r="B56" s="10" t="s">
        <v>1846</v>
      </c>
      <c r="C56" s="87">
        <v>355</v>
      </c>
      <c r="D56" s="85">
        <v>138.80000000000001</v>
      </c>
      <c r="E56" s="86">
        <v>42</v>
      </c>
      <c r="F56" s="85">
        <v>119.6</v>
      </c>
      <c r="G56" s="17">
        <v>36</v>
      </c>
      <c r="H56" s="87">
        <v>78</v>
      </c>
      <c r="I56" s="88"/>
      <c r="J56" s="88"/>
      <c r="K56" s="88"/>
      <c r="L56" s="88"/>
      <c r="M56" s="89">
        <f>I56-K56</f>
        <v>0</v>
      </c>
      <c r="N56" s="4" t="str">
        <f>IF(ISERROR(K56/I56),"",K56/I56)</f>
        <v/>
      </c>
      <c r="O56" s="90">
        <f>I56/E56</f>
        <v>0</v>
      </c>
      <c r="P56" s="90">
        <f>K56/E56</f>
        <v>0</v>
      </c>
      <c r="Q56" s="76">
        <v>4</v>
      </c>
      <c r="R56" s="76">
        <v>2</v>
      </c>
      <c r="S56" s="76" t="s">
        <v>61</v>
      </c>
      <c r="T56" s="5">
        <v>138</v>
      </c>
      <c r="U56" s="9"/>
      <c r="W56" s="85">
        <f t="shared" ref="W56:X58" si="24">D56</f>
        <v>138.80000000000001</v>
      </c>
      <c r="X56" s="86">
        <f t="shared" si="24"/>
        <v>42</v>
      </c>
      <c r="Y56" s="91">
        <f t="shared" ref="Y56:Z58" si="25">H56</f>
        <v>78</v>
      </c>
      <c r="Z56" s="89">
        <f t="shared" si="25"/>
        <v>0</v>
      </c>
      <c r="AA56" s="89">
        <f>K56</f>
        <v>0</v>
      </c>
      <c r="AB56" s="89">
        <f t="shared" ref="AB56:AD58" si="26">M56</f>
        <v>0</v>
      </c>
      <c r="AC56" s="4" t="str">
        <f t="shared" si="26"/>
        <v/>
      </c>
      <c r="AD56" s="90">
        <f t="shared" si="26"/>
        <v>0</v>
      </c>
      <c r="AE56" s="76" t="str">
        <f>S56</f>
        <v>계</v>
      </c>
      <c r="AF56" s="76" t="str">
        <f>Q56&amp;"/"&amp;R56</f>
        <v>4/2</v>
      </c>
      <c r="AH56" s="20" t="str">
        <f t="shared" si="16"/>
        <v>광진궁전맨션</v>
      </c>
      <c r="AI56" s="86">
        <f t="shared" si="12"/>
        <v>42</v>
      </c>
      <c r="AJ56" s="76" t="str">
        <f>IF(AI56="","",$AJ$2)</f>
        <v>A-</v>
      </c>
      <c r="AK56" s="76" t="s">
        <v>13</v>
      </c>
      <c r="AL56" s="76" t="s">
        <v>62</v>
      </c>
      <c r="AM56" s="76" t="s">
        <v>63</v>
      </c>
      <c r="AN56" s="76" t="str">
        <f>IF(AI56="","",$AN$2)</f>
        <v>C</v>
      </c>
      <c r="AO56" s="76" t="str">
        <f>IF(N56="","",IF(N56&gt;=$AO$1/100,"O","X"))</f>
        <v/>
      </c>
      <c r="AP56" s="76" t="str">
        <f>IF(I56="","",IF(I56&lt;=$AP$1,"O","X"))</f>
        <v/>
      </c>
      <c r="AQ56" s="76" t="str">
        <f>IF(O56="","",IF(O56&lt;=$AQ$1,"O","X"))</f>
        <v>O</v>
      </c>
      <c r="AR56" s="76" t="str">
        <f>IF(M56="","",IF(M56&lt;=$AR$1,"O","X"))</f>
        <v>O</v>
      </c>
      <c r="AS56" s="76" t="s">
        <v>2</v>
      </c>
      <c r="AT56" s="76" t="str">
        <f>IF(OR(F56="",AI56=""),"",IF(AND((F56&lt;=85),(AI56&gt;=15)),"O","X"))</f>
        <v>X</v>
      </c>
      <c r="AU56" s="76" t="str">
        <f>IF(C56="","",IF(C56&gt;=$AU$1,"O","X"))</f>
        <v>O</v>
      </c>
      <c r="AV56" s="76" t="str">
        <f>IF(AO56="","",IF(AND(AO56="O",AP56="O",AR56="O",AT56="O",AU56="O"),"후보","X"))</f>
        <v/>
      </c>
    </row>
    <row r="57" spans="1:48" x14ac:dyDescent="0.3">
      <c r="A57" s="9" t="s">
        <v>676</v>
      </c>
      <c r="B57" s="10" t="s">
        <v>1846</v>
      </c>
      <c r="C57" s="87">
        <v>355</v>
      </c>
      <c r="D57" s="85">
        <v>155</v>
      </c>
      <c r="E57" s="86">
        <v>47</v>
      </c>
      <c r="F57" s="85">
        <v>134.6</v>
      </c>
      <c r="G57" s="17">
        <v>41</v>
      </c>
      <c r="H57" s="87">
        <v>100</v>
      </c>
      <c r="I57" s="88"/>
      <c r="J57" s="88"/>
      <c r="K57" s="88"/>
      <c r="L57" s="88"/>
      <c r="M57" s="89">
        <f>I57-K57</f>
        <v>0</v>
      </c>
      <c r="N57" s="4" t="str">
        <f>IF(ISERROR(K57/I57),"",K57/I57)</f>
        <v/>
      </c>
      <c r="O57" s="90">
        <f>I57/E57</f>
        <v>0</v>
      </c>
      <c r="P57" s="90">
        <f>K57/E57</f>
        <v>0</v>
      </c>
      <c r="Q57" s="76">
        <v>4</v>
      </c>
      <c r="R57" s="76">
        <v>2</v>
      </c>
      <c r="S57" s="76" t="s">
        <v>61</v>
      </c>
      <c r="T57" s="5">
        <v>154</v>
      </c>
      <c r="U57" s="9"/>
      <c r="W57" s="85">
        <f t="shared" si="24"/>
        <v>155</v>
      </c>
      <c r="X57" s="86">
        <f t="shared" si="24"/>
        <v>47</v>
      </c>
      <c r="Y57" s="91">
        <f t="shared" si="25"/>
        <v>100</v>
      </c>
      <c r="Z57" s="89">
        <f t="shared" si="25"/>
        <v>0</v>
      </c>
      <c r="AA57" s="89">
        <f>K57</f>
        <v>0</v>
      </c>
      <c r="AB57" s="89">
        <f t="shared" si="26"/>
        <v>0</v>
      </c>
      <c r="AC57" s="4" t="str">
        <f t="shared" si="26"/>
        <v/>
      </c>
      <c r="AD57" s="90">
        <f t="shared" si="26"/>
        <v>0</v>
      </c>
      <c r="AE57" s="76" t="str">
        <f>S57</f>
        <v>계</v>
      </c>
      <c r="AF57" s="76" t="str">
        <f>Q57&amp;"/"&amp;R57</f>
        <v>4/2</v>
      </c>
      <c r="AH57" s="20" t="str">
        <f t="shared" si="16"/>
        <v>광진궁전맨션</v>
      </c>
      <c r="AI57" s="86">
        <f t="shared" si="12"/>
        <v>47</v>
      </c>
      <c r="AJ57" s="76" t="str">
        <f>IF(AI57="","",$AJ$2)</f>
        <v>A-</v>
      </c>
      <c r="AK57" s="76" t="s">
        <v>13</v>
      </c>
      <c r="AL57" s="76" t="s">
        <v>62</v>
      </c>
      <c r="AM57" s="76" t="s">
        <v>63</v>
      </c>
      <c r="AN57" s="76" t="str">
        <f>IF(AI57="","",$AN$2)</f>
        <v>C</v>
      </c>
      <c r="AO57" s="76" t="str">
        <f>IF(N57="","",IF(N57&gt;=$AO$1/100,"O","X"))</f>
        <v/>
      </c>
      <c r="AP57" s="76" t="str">
        <f>IF(I57="","",IF(I57&lt;=$AP$1,"O","X"))</f>
        <v/>
      </c>
      <c r="AQ57" s="76" t="str">
        <f>IF(O57="","",IF(O57&lt;=$AQ$1,"O","X"))</f>
        <v>O</v>
      </c>
      <c r="AR57" s="76" t="str">
        <f>IF(M57="","",IF(M57&lt;=$AR$1,"O","X"))</f>
        <v>O</v>
      </c>
      <c r="AS57" s="76" t="s">
        <v>2</v>
      </c>
      <c r="AT57" s="76" t="str">
        <f>IF(OR(F57="",AI57=""),"",IF(AND((F57&lt;=85),(AI57&gt;=15)),"O","X"))</f>
        <v>X</v>
      </c>
      <c r="AU57" s="76" t="str">
        <f>IF(C57="","",IF(C57&gt;=$AU$1,"O","X"))</f>
        <v>O</v>
      </c>
      <c r="AV57" s="76" t="str">
        <f>IF(AO57="","",IF(AND(AO57="O",AP57="O",AR57="O",AT57="O",AU57="O"),"후보","X"))</f>
        <v/>
      </c>
    </row>
    <row r="58" spans="1:48" x14ac:dyDescent="0.3">
      <c r="A58" s="9" t="s">
        <v>676</v>
      </c>
      <c r="B58" s="10" t="s">
        <v>1846</v>
      </c>
      <c r="C58" s="87">
        <v>355</v>
      </c>
      <c r="D58" s="85">
        <v>162.80000000000001</v>
      </c>
      <c r="E58" s="86">
        <v>49</v>
      </c>
      <c r="F58" s="85">
        <v>141.80000000000001</v>
      </c>
      <c r="G58" s="17">
        <v>43</v>
      </c>
      <c r="H58" s="87">
        <v>177</v>
      </c>
      <c r="I58" s="88"/>
      <c r="J58" s="88"/>
      <c r="K58" s="88"/>
      <c r="L58" s="88"/>
      <c r="M58" s="89">
        <f>I58-K58</f>
        <v>0</v>
      </c>
      <c r="N58" s="4" t="str">
        <f>IF(ISERROR(K58/I58),"",K58/I58)</f>
        <v/>
      </c>
      <c r="O58" s="90">
        <f>I58/E58</f>
        <v>0</v>
      </c>
      <c r="P58" s="90">
        <f>K58/E58</f>
        <v>0</v>
      </c>
      <c r="Q58" s="76">
        <v>4</v>
      </c>
      <c r="R58" s="76">
        <v>2</v>
      </c>
      <c r="S58" s="76" t="s">
        <v>61</v>
      </c>
      <c r="T58" s="5">
        <v>162</v>
      </c>
      <c r="U58" s="9"/>
      <c r="W58" s="85">
        <f t="shared" si="24"/>
        <v>162.80000000000001</v>
      </c>
      <c r="X58" s="86">
        <f t="shared" si="24"/>
        <v>49</v>
      </c>
      <c r="Y58" s="91">
        <f t="shared" si="25"/>
        <v>177</v>
      </c>
      <c r="Z58" s="89">
        <f t="shared" si="25"/>
        <v>0</v>
      </c>
      <c r="AA58" s="89">
        <f>K58</f>
        <v>0</v>
      </c>
      <c r="AB58" s="89">
        <f t="shared" si="26"/>
        <v>0</v>
      </c>
      <c r="AC58" s="4" t="str">
        <f t="shared" si="26"/>
        <v/>
      </c>
      <c r="AD58" s="90">
        <f t="shared" si="26"/>
        <v>0</v>
      </c>
      <c r="AE58" s="76" t="str">
        <f>S58</f>
        <v>계</v>
      </c>
      <c r="AF58" s="76" t="str">
        <f>Q58&amp;"/"&amp;R58</f>
        <v>4/2</v>
      </c>
      <c r="AH58" s="20" t="str">
        <f t="shared" si="16"/>
        <v>광진궁전맨션</v>
      </c>
      <c r="AI58" s="86">
        <f t="shared" si="12"/>
        <v>49</v>
      </c>
      <c r="AJ58" s="76" t="str">
        <f>IF(AI58="","",$AJ$2)</f>
        <v>A-</v>
      </c>
      <c r="AK58" s="76" t="s">
        <v>13</v>
      </c>
      <c r="AL58" s="76" t="s">
        <v>62</v>
      </c>
      <c r="AM58" s="76" t="s">
        <v>63</v>
      </c>
      <c r="AN58" s="76" t="str">
        <f>IF(AI58="","",$AN$2)</f>
        <v>C</v>
      </c>
      <c r="AO58" s="76" t="str">
        <f>IF(N58="","",IF(N58&gt;=$AO$1/100,"O","X"))</f>
        <v/>
      </c>
      <c r="AP58" s="76" t="str">
        <f>IF(I58="","",IF(I58&lt;=$AP$1,"O","X"))</f>
        <v/>
      </c>
      <c r="AQ58" s="76" t="str">
        <f>IF(O58="","",IF(O58&lt;=$AQ$1,"O","X"))</f>
        <v>O</v>
      </c>
      <c r="AR58" s="76" t="str">
        <f>IF(M58="","",IF(M58&lt;=$AR$1,"O","X"))</f>
        <v>O</v>
      </c>
      <c r="AS58" s="76" t="s">
        <v>2</v>
      </c>
      <c r="AT58" s="76" t="str">
        <f>IF(OR(F58="",AI58=""),"",IF(AND((F58&lt;=85),(AI58&gt;=15)),"O","X"))</f>
        <v>X</v>
      </c>
      <c r="AU58" s="76" t="str">
        <f>IF(C58="","",IF(C58&gt;=$AU$1,"O","X"))</f>
        <v>O</v>
      </c>
      <c r="AV58" s="76" t="str">
        <f>IF(AO58="","",IF(AND(AO58="O",AP58="O",AR58="O",AT58="O",AU58="O"),"후보","X"))</f>
        <v/>
      </c>
    </row>
    <row r="59" spans="1:48" x14ac:dyDescent="0.3">
      <c r="A59" s="9"/>
      <c r="B59" s="76"/>
      <c r="C59" s="6"/>
      <c r="D59" s="9"/>
      <c r="E59" s="14"/>
      <c r="F59" s="85"/>
      <c r="G59" s="9"/>
      <c r="H59" s="9"/>
      <c r="I59" s="9"/>
      <c r="J59" s="9"/>
      <c r="K59" s="9"/>
      <c r="L59" s="9"/>
      <c r="M59" s="9"/>
      <c r="N59" s="9"/>
      <c r="O59" s="90"/>
      <c r="P59" s="90"/>
      <c r="Q59" s="86"/>
      <c r="R59" s="86"/>
      <c r="S59" s="9"/>
      <c r="T59" s="47"/>
      <c r="U59" s="9"/>
      <c r="W59" s="67" t="str">
        <f>$A$4&amp;" "&amp;A60&amp;"("&amp;B60&amp;","&amp;C60&amp;"^)"</f>
        <v>삼천동1가 쌍용2단지('87.12.,400^)</v>
      </c>
      <c r="X59" s="68"/>
      <c r="Y59" s="68"/>
      <c r="Z59" s="68"/>
      <c r="AA59" s="68"/>
      <c r="AB59" s="68"/>
      <c r="AC59" s="68"/>
      <c r="AD59" s="68"/>
      <c r="AE59" s="68"/>
      <c r="AF59" s="69"/>
      <c r="AH59" s="20" t="str">
        <f t="shared" si="16"/>
        <v/>
      </c>
      <c r="AI59" s="108" t="str">
        <f t="shared" si="12"/>
        <v/>
      </c>
      <c r="AJ59" s="76"/>
      <c r="AK59" s="76"/>
      <c r="AL59" s="76"/>
      <c r="AM59" s="76"/>
      <c r="AN59" s="76"/>
      <c r="AO59" s="76"/>
      <c r="AP59" s="76"/>
      <c r="AQ59" s="76"/>
      <c r="AR59" s="76"/>
      <c r="AS59" s="76"/>
      <c r="AT59" s="76"/>
      <c r="AU59" s="76"/>
      <c r="AV59" s="76"/>
    </row>
    <row r="60" spans="1:48" x14ac:dyDescent="0.3">
      <c r="A60" s="9" t="s">
        <v>685</v>
      </c>
      <c r="B60" s="10" t="s">
        <v>1847</v>
      </c>
      <c r="C60" s="87">
        <v>400</v>
      </c>
      <c r="D60" s="85">
        <v>39.6</v>
      </c>
      <c r="E60" s="86">
        <v>12</v>
      </c>
      <c r="F60" s="85">
        <v>30.2</v>
      </c>
      <c r="G60" s="17">
        <v>9</v>
      </c>
      <c r="H60" s="87">
        <v>100</v>
      </c>
      <c r="I60" s="88"/>
      <c r="J60" s="88"/>
      <c r="K60" s="88"/>
      <c r="L60" s="88"/>
      <c r="M60" s="89">
        <f>I60-K60</f>
        <v>0</v>
      </c>
      <c r="N60" s="4" t="str">
        <f>IF(ISERROR(K60/I60),"",K60/I60)</f>
        <v/>
      </c>
      <c r="O60" s="90">
        <f>I60/E60</f>
        <v>0</v>
      </c>
      <c r="P60" s="90">
        <f>K60/E60</f>
        <v>0</v>
      </c>
      <c r="Q60" s="76">
        <v>1</v>
      </c>
      <c r="R60" s="76">
        <v>1</v>
      </c>
      <c r="S60" s="76" t="s">
        <v>61</v>
      </c>
      <c r="T60" s="5">
        <v>39</v>
      </c>
      <c r="U60" s="9"/>
      <c r="W60" s="85">
        <f t="shared" ref="W60:X63" si="27">D60</f>
        <v>39.6</v>
      </c>
      <c r="X60" s="86">
        <f t="shared" si="27"/>
        <v>12</v>
      </c>
      <c r="Y60" s="91">
        <f t="shared" ref="Y60:Z63" si="28">H60</f>
        <v>100</v>
      </c>
      <c r="Z60" s="89">
        <f t="shared" si="28"/>
        <v>0</v>
      </c>
      <c r="AA60" s="89">
        <f>K60</f>
        <v>0</v>
      </c>
      <c r="AB60" s="89">
        <f t="shared" ref="AB60:AD63" si="29">M60</f>
        <v>0</v>
      </c>
      <c r="AC60" s="4" t="str">
        <f t="shared" si="29"/>
        <v/>
      </c>
      <c r="AD60" s="90">
        <f t="shared" si="29"/>
        <v>0</v>
      </c>
      <c r="AE60" s="76" t="str">
        <f>S60</f>
        <v>계</v>
      </c>
      <c r="AF60" s="76" t="str">
        <f>Q60&amp;"/"&amp;R60</f>
        <v>1/1</v>
      </c>
      <c r="AH60" s="20" t="str">
        <f t="shared" si="16"/>
        <v>쌍용2단지</v>
      </c>
      <c r="AI60" s="86">
        <f t="shared" si="12"/>
        <v>12</v>
      </c>
      <c r="AJ60" s="76" t="str">
        <f>IF(AI60="","",$AJ$2)</f>
        <v>A-</v>
      </c>
      <c r="AK60" s="76" t="s">
        <v>13</v>
      </c>
      <c r="AL60" s="76" t="s">
        <v>62</v>
      </c>
      <c r="AM60" s="76" t="s">
        <v>63</v>
      </c>
      <c r="AN60" s="76" t="str">
        <f>IF(AI60="","",$AN$2)</f>
        <v>C</v>
      </c>
      <c r="AO60" s="76" t="str">
        <f>IF(N60="","",IF(N60&gt;=$AO$1/100,"O","X"))</f>
        <v/>
      </c>
      <c r="AP60" s="76" t="str">
        <f>IF(I60="","",IF(I60&lt;=$AP$1,"O","X"))</f>
        <v/>
      </c>
      <c r="AQ60" s="76" t="str">
        <f>IF(O60="","",IF(O60&lt;=$AQ$1,"O","X"))</f>
        <v>O</v>
      </c>
      <c r="AR60" s="76" t="str">
        <f>IF(M60="","",IF(M60&lt;=$AR$1,"O","X"))</f>
        <v>O</v>
      </c>
      <c r="AS60" s="76" t="s">
        <v>2</v>
      </c>
      <c r="AT60" s="76" t="str">
        <f>IF(OR(F60="",AI60=""),"",IF(AND((F60&lt;=85),(AI60&gt;=15)),"O","X"))</f>
        <v>X</v>
      </c>
      <c r="AU60" s="76" t="str">
        <f>IF(C60="","",IF(C60&gt;=$AU$1,"O","X"))</f>
        <v>O</v>
      </c>
      <c r="AV60" s="76" t="str">
        <f>IF(AO60="","",IF(AND(AO60="O",AP60="O",AR60="O",AT60="O",AU60="O"),"후보","X"))</f>
        <v/>
      </c>
    </row>
    <row r="61" spans="1:48" x14ac:dyDescent="0.3">
      <c r="A61" s="9" t="s">
        <v>685</v>
      </c>
      <c r="B61" s="10" t="s">
        <v>1847</v>
      </c>
      <c r="C61" s="87">
        <v>400</v>
      </c>
      <c r="D61" s="85">
        <v>49.8</v>
      </c>
      <c r="E61" s="86">
        <v>15</v>
      </c>
      <c r="F61" s="85">
        <v>39.200000000000003</v>
      </c>
      <c r="G61" s="17">
        <v>12</v>
      </c>
      <c r="H61" s="87">
        <v>100</v>
      </c>
      <c r="I61" s="88">
        <v>8000</v>
      </c>
      <c r="J61" s="88" t="s">
        <v>75</v>
      </c>
      <c r="K61" s="88">
        <v>3500</v>
      </c>
      <c r="L61" s="88" t="s">
        <v>71</v>
      </c>
      <c r="M61" s="89">
        <f>I61-K61</f>
        <v>4500</v>
      </c>
      <c r="N61" s="4">
        <f>IF(ISERROR(K61/I61),"",K61/I61)</f>
        <v>0.4375</v>
      </c>
      <c r="O61" s="90">
        <f>I61/E61</f>
        <v>533.33333333333337</v>
      </c>
      <c r="P61" s="90">
        <f>K61/E61</f>
        <v>233.33333333333334</v>
      </c>
      <c r="Q61" s="76">
        <v>2</v>
      </c>
      <c r="R61" s="76">
        <v>1</v>
      </c>
      <c r="S61" s="76" t="s">
        <v>61</v>
      </c>
      <c r="T61" s="5">
        <v>49</v>
      </c>
      <c r="U61" s="9"/>
      <c r="W61" s="85">
        <f t="shared" si="27"/>
        <v>49.8</v>
      </c>
      <c r="X61" s="86">
        <f t="shared" si="27"/>
        <v>15</v>
      </c>
      <c r="Y61" s="91">
        <f t="shared" si="28"/>
        <v>100</v>
      </c>
      <c r="Z61" s="89">
        <f t="shared" si="28"/>
        <v>8000</v>
      </c>
      <c r="AA61" s="89">
        <f>K61</f>
        <v>3500</v>
      </c>
      <c r="AB61" s="89">
        <f t="shared" si="29"/>
        <v>4500</v>
      </c>
      <c r="AC61" s="4">
        <f t="shared" si="29"/>
        <v>0.4375</v>
      </c>
      <c r="AD61" s="90">
        <f t="shared" si="29"/>
        <v>533.33333333333337</v>
      </c>
      <c r="AE61" s="76" t="str">
        <f>S61</f>
        <v>계</v>
      </c>
      <c r="AF61" s="76" t="str">
        <f>Q61&amp;"/"&amp;R61</f>
        <v>2/1</v>
      </c>
      <c r="AH61" s="20" t="str">
        <f t="shared" si="16"/>
        <v>쌍용2단지</v>
      </c>
      <c r="AI61" s="86">
        <f t="shared" si="12"/>
        <v>15</v>
      </c>
      <c r="AJ61" s="76" t="str">
        <f>IF(AI61="","",$AJ$2)</f>
        <v>A-</v>
      </c>
      <c r="AK61" s="76" t="s">
        <v>13</v>
      </c>
      <c r="AL61" s="76" t="s">
        <v>62</v>
      </c>
      <c r="AM61" s="76" t="s">
        <v>63</v>
      </c>
      <c r="AN61" s="76" t="str">
        <f>IF(AI61="","",$AN$2)</f>
        <v>C</v>
      </c>
      <c r="AO61" s="76" t="str">
        <f>IF(N61="","",IF(N61&gt;=$AO$1/100,"O","X"))</f>
        <v>X</v>
      </c>
      <c r="AP61" s="76" t="str">
        <f>IF(I61="","",IF(I61&lt;=$AP$1,"O","X"))</f>
        <v>O</v>
      </c>
      <c r="AQ61" s="76" t="str">
        <f>IF(O61="","",IF(O61&lt;=$AQ$1,"O","X"))</f>
        <v>O</v>
      </c>
      <c r="AR61" s="76" t="str">
        <f>IF(M61="","",IF(M61&lt;=$AR$1,"O","X"))</f>
        <v>O</v>
      </c>
      <c r="AS61" s="76" t="s">
        <v>2</v>
      </c>
      <c r="AT61" s="76" t="str">
        <f>IF(OR(F61="",AI61=""),"",IF(AND((F61&lt;=85),(AI61&gt;=15)),"O","X"))</f>
        <v>O</v>
      </c>
      <c r="AU61" s="76" t="str">
        <f>IF(C61="","",IF(C61&gt;=$AU$1,"O","X"))</f>
        <v>O</v>
      </c>
      <c r="AV61" s="76" t="str">
        <f>IF(AO61="","",IF(AND(AO61="O",AP61="O",AR61="O",AT61="O",AU61="O"),"후보","X"))</f>
        <v>X</v>
      </c>
    </row>
    <row r="62" spans="1:48" x14ac:dyDescent="0.3">
      <c r="A62" s="9" t="s">
        <v>685</v>
      </c>
      <c r="B62" s="10" t="s">
        <v>1847</v>
      </c>
      <c r="C62" s="87">
        <v>400</v>
      </c>
      <c r="D62" s="85">
        <v>58.7</v>
      </c>
      <c r="E62" s="86">
        <v>18</v>
      </c>
      <c r="F62" s="85">
        <v>49.3</v>
      </c>
      <c r="G62" s="17">
        <v>15</v>
      </c>
      <c r="H62" s="87">
        <v>140</v>
      </c>
      <c r="I62" s="88">
        <v>11000</v>
      </c>
      <c r="J62" s="88" t="s">
        <v>89</v>
      </c>
      <c r="K62" s="88">
        <v>4000</v>
      </c>
      <c r="L62" s="88" t="s">
        <v>75</v>
      </c>
      <c r="M62" s="89">
        <f>I62-K62</f>
        <v>7000</v>
      </c>
      <c r="N62" s="4">
        <f>IF(ISERROR(K62/I62),"",K62/I62)</f>
        <v>0.36363636363636365</v>
      </c>
      <c r="O62" s="90">
        <f>I62/E62</f>
        <v>611.11111111111109</v>
      </c>
      <c r="P62" s="90">
        <f>K62/E62</f>
        <v>222.22222222222223</v>
      </c>
      <c r="Q62" s="76">
        <v>2</v>
      </c>
      <c r="R62" s="76">
        <v>1</v>
      </c>
      <c r="S62" s="76" t="s">
        <v>61</v>
      </c>
      <c r="T62" s="5">
        <v>58</v>
      </c>
      <c r="U62" s="9"/>
      <c r="W62" s="85">
        <f t="shared" si="27"/>
        <v>58.7</v>
      </c>
      <c r="X62" s="86">
        <f t="shared" si="27"/>
        <v>18</v>
      </c>
      <c r="Y62" s="91">
        <f t="shared" si="28"/>
        <v>140</v>
      </c>
      <c r="Z62" s="89">
        <f t="shared" si="28"/>
        <v>11000</v>
      </c>
      <c r="AA62" s="89">
        <f>K62</f>
        <v>4000</v>
      </c>
      <c r="AB62" s="89">
        <f t="shared" si="29"/>
        <v>7000</v>
      </c>
      <c r="AC62" s="4">
        <f t="shared" si="29"/>
        <v>0.36363636363636365</v>
      </c>
      <c r="AD62" s="90">
        <f t="shared" si="29"/>
        <v>611.11111111111109</v>
      </c>
      <c r="AE62" s="76" t="str">
        <f>S62</f>
        <v>계</v>
      </c>
      <c r="AF62" s="76" t="str">
        <f>Q62&amp;"/"&amp;R62</f>
        <v>2/1</v>
      </c>
      <c r="AH62" s="20" t="str">
        <f t="shared" si="16"/>
        <v>쌍용2단지</v>
      </c>
      <c r="AI62" s="86">
        <f t="shared" si="12"/>
        <v>18</v>
      </c>
      <c r="AJ62" s="76" t="str">
        <f>IF(AI62="","",$AJ$2)</f>
        <v>A-</v>
      </c>
      <c r="AK62" s="76" t="s">
        <v>13</v>
      </c>
      <c r="AL62" s="76" t="s">
        <v>62</v>
      </c>
      <c r="AM62" s="76" t="s">
        <v>63</v>
      </c>
      <c r="AN62" s="76" t="str">
        <f>IF(AI62="","",$AN$2)</f>
        <v>C</v>
      </c>
      <c r="AO62" s="76" t="str">
        <f>IF(N62="","",IF(N62&gt;=$AO$1/100,"O","X"))</f>
        <v>X</v>
      </c>
      <c r="AP62" s="76" t="str">
        <f>IF(I62="","",IF(I62&lt;=$AP$1,"O","X"))</f>
        <v>O</v>
      </c>
      <c r="AQ62" s="76" t="str">
        <f>IF(O62="","",IF(O62&lt;=$AQ$1,"O","X"))</f>
        <v>O</v>
      </c>
      <c r="AR62" s="76" t="str">
        <f>IF(M62="","",IF(M62&lt;=$AR$1,"O","X"))</f>
        <v>X</v>
      </c>
      <c r="AS62" s="76" t="s">
        <v>2</v>
      </c>
      <c r="AT62" s="76" t="str">
        <f>IF(OR(F62="",AI62=""),"",IF(AND((F62&lt;=85),(AI62&gt;=15)),"O","X"))</f>
        <v>O</v>
      </c>
      <c r="AU62" s="76" t="str">
        <f>IF(C62="","",IF(C62&gt;=$AU$1,"O","X"))</f>
        <v>O</v>
      </c>
      <c r="AV62" s="76" t="str">
        <f>IF(AO62="","",IF(AND(AO62="O",AP62="O",AR62="O",AT62="O",AU62="O"),"후보","X"))</f>
        <v>X</v>
      </c>
    </row>
    <row r="63" spans="1:48" x14ac:dyDescent="0.3">
      <c r="A63" s="9" t="s">
        <v>685</v>
      </c>
      <c r="B63" s="10" t="s">
        <v>1847</v>
      </c>
      <c r="C63" s="87">
        <v>400</v>
      </c>
      <c r="D63" s="85">
        <v>70.099999999999994</v>
      </c>
      <c r="E63" s="86">
        <v>21</v>
      </c>
      <c r="F63" s="85">
        <v>59.9</v>
      </c>
      <c r="G63" s="17">
        <v>18</v>
      </c>
      <c r="H63" s="87">
        <v>60</v>
      </c>
      <c r="I63" s="88">
        <v>14000</v>
      </c>
      <c r="J63" s="88" t="s">
        <v>71</v>
      </c>
      <c r="K63" s="88"/>
      <c r="L63" s="88"/>
      <c r="M63" s="89">
        <f>I63-K63</f>
        <v>14000</v>
      </c>
      <c r="N63" s="4">
        <f>IF(ISERROR(K63/I63),"",K63/I63)</f>
        <v>0</v>
      </c>
      <c r="O63" s="90">
        <f>I63/E63</f>
        <v>666.66666666666663</v>
      </c>
      <c r="P63" s="90">
        <f>K63/E63</f>
        <v>0</v>
      </c>
      <c r="Q63" s="76">
        <v>3</v>
      </c>
      <c r="R63" s="76">
        <v>1</v>
      </c>
      <c r="S63" s="76" t="s">
        <v>61</v>
      </c>
      <c r="T63" s="5">
        <v>70</v>
      </c>
      <c r="U63" s="9"/>
      <c r="W63" s="85">
        <f t="shared" si="27"/>
        <v>70.099999999999994</v>
      </c>
      <c r="X63" s="86">
        <f t="shared" si="27"/>
        <v>21</v>
      </c>
      <c r="Y63" s="91">
        <f t="shared" si="28"/>
        <v>60</v>
      </c>
      <c r="Z63" s="89">
        <f t="shared" si="28"/>
        <v>14000</v>
      </c>
      <c r="AA63" s="89">
        <f>K63</f>
        <v>0</v>
      </c>
      <c r="AB63" s="89">
        <f t="shared" si="29"/>
        <v>14000</v>
      </c>
      <c r="AC63" s="4">
        <f t="shared" si="29"/>
        <v>0</v>
      </c>
      <c r="AD63" s="90">
        <f t="shared" si="29"/>
        <v>666.66666666666663</v>
      </c>
      <c r="AE63" s="76" t="str">
        <f>S63</f>
        <v>계</v>
      </c>
      <c r="AF63" s="76" t="str">
        <f>Q63&amp;"/"&amp;R63</f>
        <v>3/1</v>
      </c>
      <c r="AH63" s="20" t="str">
        <f t="shared" si="16"/>
        <v>쌍용2단지</v>
      </c>
      <c r="AI63" s="86">
        <f t="shared" si="12"/>
        <v>21</v>
      </c>
      <c r="AJ63" s="76" t="str">
        <f>IF(AI63="","",$AJ$2)</f>
        <v>A-</v>
      </c>
      <c r="AK63" s="76" t="s">
        <v>13</v>
      </c>
      <c r="AL63" s="76" t="s">
        <v>62</v>
      </c>
      <c r="AM63" s="76" t="s">
        <v>63</v>
      </c>
      <c r="AN63" s="76" t="str">
        <f>IF(AI63="","",$AN$2)</f>
        <v>C</v>
      </c>
      <c r="AO63" s="76" t="str">
        <f>IF(N63="","",IF(N63&gt;=$AO$1/100,"O","X"))</f>
        <v>X</v>
      </c>
      <c r="AP63" s="76" t="str">
        <f>IF(I63="","",IF(I63&lt;=$AP$1,"O","X"))</f>
        <v>O</v>
      </c>
      <c r="AQ63" s="76" t="str">
        <f>IF(O63="","",IF(O63&lt;=$AQ$1,"O","X"))</f>
        <v>O</v>
      </c>
      <c r="AR63" s="76" t="str">
        <f>IF(M63="","",IF(M63&lt;=$AR$1,"O","X"))</f>
        <v>X</v>
      </c>
      <c r="AS63" s="76" t="s">
        <v>2</v>
      </c>
      <c r="AT63" s="76" t="str">
        <f>IF(OR(F63="",AI63=""),"",IF(AND((F63&lt;=85),(AI63&gt;=15)),"O","X"))</f>
        <v>O</v>
      </c>
      <c r="AU63" s="76" t="str">
        <f>IF(C63="","",IF(C63&gt;=$AU$1,"O","X"))</f>
        <v>O</v>
      </c>
      <c r="AV63" s="76" t="str">
        <f>IF(AO63="","",IF(AND(AO63="O",AP63="O",AR63="O",AT63="O",AU63="O"),"후보","X"))</f>
        <v>X</v>
      </c>
    </row>
    <row r="64" spans="1:48" x14ac:dyDescent="0.3">
      <c r="A64" s="9"/>
      <c r="B64" s="76"/>
      <c r="C64" s="6"/>
      <c r="D64" s="9"/>
      <c r="E64" s="14"/>
      <c r="F64" s="85"/>
      <c r="G64" s="9"/>
      <c r="H64" s="9"/>
      <c r="I64" s="9"/>
      <c r="J64" s="9"/>
      <c r="K64" s="9"/>
      <c r="L64" s="9"/>
      <c r="M64" s="9"/>
      <c r="N64" s="9"/>
      <c r="O64" s="90"/>
      <c r="P64" s="90"/>
      <c r="Q64" s="86"/>
      <c r="R64" s="86"/>
      <c r="S64" s="9"/>
      <c r="T64" s="47"/>
      <c r="U64" s="9"/>
      <c r="W64" s="67" t="str">
        <f>$A$4&amp;" "&amp;A65&amp;"("&amp;B65&amp;","&amp;C65&amp;"^)"</f>
        <v>삼천동1가 이안전주삼천('14.11.,702^)</v>
      </c>
      <c r="X64" s="68"/>
      <c r="Y64" s="68"/>
      <c r="Z64" s="68"/>
      <c r="AA64" s="68"/>
      <c r="AB64" s="68"/>
      <c r="AC64" s="68"/>
      <c r="AD64" s="68"/>
      <c r="AE64" s="68"/>
      <c r="AF64" s="69"/>
      <c r="AH64" s="20" t="str">
        <f t="shared" si="16"/>
        <v/>
      </c>
      <c r="AI64" s="108" t="str">
        <f t="shared" si="12"/>
        <v/>
      </c>
      <c r="AJ64" s="76"/>
      <c r="AK64" s="76"/>
      <c r="AL64" s="76"/>
      <c r="AM64" s="76"/>
      <c r="AN64" s="76"/>
      <c r="AO64" s="76"/>
      <c r="AP64" s="76"/>
      <c r="AQ64" s="76"/>
      <c r="AR64" s="76"/>
      <c r="AS64" s="76"/>
      <c r="AT64" s="76"/>
      <c r="AU64" s="76"/>
      <c r="AV64" s="76"/>
    </row>
    <row r="65" spans="1:48" x14ac:dyDescent="0.3">
      <c r="A65" s="9" t="s">
        <v>690</v>
      </c>
      <c r="B65" s="10" t="s">
        <v>1848</v>
      </c>
      <c r="C65" s="87">
        <v>702</v>
      </c>
      <c r="D65" s="85">
        <v>87.6</v>
      </c>
      <c r="E65" s="86">
        <v>26</v>
      </c>
      <c r="F65" s="85">
        <v>59.9</v>
      </c>
      <c r="G65" s="17">
        <v>18</v>
      </c>
      <c r="H65" s="87">
        <v>29</v>
      </c>
      <c r="I65" s="88">
        <v>26000</v>
      </c>
      <c r="J65" s="88" t="s">
        <v>111</v>
      </c>
      <c r="K65" s="88"/>
      <c r="L65" s="88"/>
      <c r="M65" s="89">
        <f t="shared" ref="M65:M71" si="30">I65-K65</f>
        <v>26000</v>
      </c>
      <c r="N65" s="4">
        <f t="shared" ref="N65:N71" si="31">IF(ISERROR(K65/I65),"",K65/I65)</f>
        <v>0</v>
      </c>
      <c r="O65" s="90">
        <f t="shared" ref="O65:O71" si="32">I65/E65</f>
        <v>1000</v>
      </c>
      <c r="P65" s="90">
        <f t="shared" ref="P65:P71" si="33">K65/E65</f>
        <v>0</v>
      </c>
      <c r="Q65" s="76">
        <v>3</v>
      </c>
      <c r="R65" s="76">
        <v>2</v>
      </c>
      <c r="S65" s="76" t="s">
        <v>61</v>
      </c>
      <c r="T65" s="5">
        <v>87</v>
      </c>
      <c r="U65" s="9"/>
      <c r="W65" s="85">
        <f t="shared" ref="W65:X71" si="34">D65</f>
        <v>87.6</v>
      </c>
      <c r="X65" s="86">
        <f t="shared" si="34"/>
        <v>26</v>
      </c>
      <c r="Y65" s="91">
        <f t="shared" ref="Y65:Z71" si="35">H65</f>
        <v>29</v>
      </c>
      <c r="Z65" s="89">
        <f t="shared" si="35"/>
        <v>26000</v>
      </c>
      <c r="AA65" s="89">
        <f t="shared" ref="AA65:AA71" si="36">K65</f>
        <v>0</v>
      </c>
      <c r="AB65" s="89">
        <f t="shared" ref="AB65:AD71" si="37">M65</f>
        <v>26000</v>
      </c>
      <c r="AC65" s="4">
        <f t="shared" si="37"/>
        <v>0</v>
      </c>
      <c r="AD65" s="90">
        <f t="shared" si="37"/>
        <v>1000</v>
      </c>
      <c r="AE65" s="76" t="str">
        <f t="shared" ref="AE65:AE71" si="38">S65</f>
        <v>계</v>
      </c>
      <c r="AF65" s="76" t="str">
        <f t="shared" ref="AF65:AF71" si="39">Q65&amp;"/"&amp;R65</f>
        <v>3/2</v>
      </c>
      <c r="AH65" s="20" t="str">
        <f t="shared" si="16"/>
        <v>이안전주삼천</v>
      </c>
      <c r="AI65" s="86">
        <f t="shared" si="12"/>
        <v>26</v>
      </c>
      <c r="AJ65" s="76" t="str">
        <f t="shared" ref="AJ65:AJ71" si="40">IF(AI65="","",$AJ$2)</f>
        <v>A-</v>
      </c>
      <c r="AK65" s="76" t="s">
        <v>13</v>
      </c>
      <c r="AL65" s="76" t="s">
        <v>62</v>
      </c>
      <c r="AM65" s="76" t="s">
        <v>63</v>
      </c>
      <c r="AN65" s="76" t="str">
        <f t="shared" ref="AN65:AN71" si="41">IF(AI65="","",$AN$2)</f>
        <v>C</v>
      </c>
      <c r="AO65" s="76" t="str">
        <f t="shared" ref="AO65:AO71" si="42">IF(N65="","",IF(N65&gt;=$AO$1/100,"O","X"))</f>
        <v>X</v>
      </c>
      <c r="AP65" s="76" t="str">
        <f t="shared" ref="AP65:AP71" si="43">IF(I65="","",IF(I65&lt;=$AP$1,"O","X"))</f>
        <v>O</v>
      </c>
      <c r="AQ65" s="76" t="str">
        <f t="shared" ref="AQ65:AQ71" si="44">IF(O65="","",IF(O65&lt;=$AQ$1,"O","X"))</f>
        <v>O</v>
      </c>
      <c r="AR65" s="76" t="str">
        <f t="shared" ref="AR65:AR71" si="45">IF(M65="","",IF(M65&lt;=$AR$1,"O","X"))</f>
        <v>X</v>
      </c>
      <c r="AS65" s="76" t="s">
        <v>2</v>
      </c>
      <c r="AT65" s="76" t="str">
        <f t="shared" ref="AT65:AT71" si="46">IF(OR(F65="",AI65=""),"",IF(AND((F65&lt;=85),(AI65&gt;=15)),"O","X"))</f>
        <v>O</v>
      </c>
      <c r="AU65" s="76" t="str">
        <f t="shared" ref="AU65:AU71" si="47">IF(C65="","",IF(C65&gt;=$AU$1,"O","X"))</f>
        <v>O</v>
      </c>
      <c r="AV65" s="76" t="str">
        <f t="shared" ref="AV65:AV71" si="48">IF(AO65="","",IF(AND(AO65="O",AP65="O",AR65="O",AT65="O",AU65="O"),"후보","X"))</f>
        <v>X</v>
      </c>
    </row>
    <row r="66" spans="1:48" x14ac:dyDescent="0.3">
      <c r="A66" s="9" t="s">
        <v>690</v>
      </c>
      <c r="B66" s="10" t="s">
        <v>1848</v>
      </c>
      <c r="C66" s="87">
        <v>702</v>
      </c>
      <c r="D66" s="85">
        <v>109.2</v>
      </c>
      <c r="E66" s="86">
        <v>33</v>
      </c>
      <c r="F66" s="85">
        <v>85</v>
      </c>
      <c r="G66" s="17">
        <v>26</v>
      </c>
      <c r="H66" s="87">
        <v>286</v>
      </c>
      <c r="I66" s="88">
        <v>34500</v>
      </c>
      <c r="J66" s="88" t="s">
        <v>75</v>
      </c>
      <c r="K66" s="88"/>
      <c r="L66" s="88"/>
      <c r="M66" s="89">
        <f t="shared" si="30"/>
        <v>34500</v>
      </c>
      <c r="N66" s="4">
        <f t="shared" si="31"/>
        <v>0</v>
      </c>
      <c r="O66" s="90">
        <f t="shared" si="32"/>
        <v>1045.4545454545455</v>
      </c>
      <c r="P66" s="90">
        <f t="shared" si="33"/>
        <v>0</v>
      </c>
      <c r="Q66" s="76">
        <v>3</v>
      </c>
      <c r="R66" s="76">
        <v>2</v>
      </c>
      <c r="S66" s="76" t="s">
        <v>61</v>
      </c>
      <c r="T66" s="5" t="s">
        <v>124</v>
      </c>
      <c r="U66" s="9"/>
      <c r="W66" s="85">
        <f t="shared" si="34"/>
        <v>109.2</v>
      </c>
      <c r="X66" s="86">
        <f t="shared" si="34"/>
        <v>33</v>
      </c>
      <c r="Y66" s="91">
        <f t="shared" si="35"/>
        <v>286</v>
      </c>
      <c r="Z66" s="89">
        <f t="shared" si="35"/>
        <v>34500</v>
      </c>
      <c r="AA66" s="89">
        <f t="shared" si="36"/>
        <v>0</v>
      </c>
      <c r="AB66" s="89">
        <f t="shared" si="37"/>
        <v>34500</v>
      </c>
      <c r="AC66" s="4">
        <f t="shared" si="37"/>
        <v>0</v>
      </c>
      <c r="AD66" s="90">
        <f t="shared" si="37"/>
        <v>1045.4545454545455</v>
      </c>
      <c r="AE66" s="76" t="str">
        <f t="shared" si="38"/>
        <v>계</v>
      </c>
      <c r="AF66" s="76" t="str">
        <f t="shared" si="39"/>
        <v>3/2</v>
      </c>
      <c r="AH66" s="20" t="str">
        <f t="shared" si="16"/>
        <v>이안전주삼천</v>
      </c>
      <c r="AI66" s="86">
        <f t="shared" si="12"/>
        <v>33</v>
      </c>
      <c r="AJ66" s="76" t="str">
        <f t="shared" si="40"/>
        <v>A-</v>
      </c>
      <c r="AK66" s="76" t="s">
        <v>13</v>
      </c>
      <c r="AL66" s="76" t="s">
        <v>62</v>
      </c>
      <c r="AM66" s="76" t="s">
        <v>63</v>
      </c>
      <c r="AN66" s="76" t="str">
        <f t="shared" si="41"/>
        <v>C</v>
      </c>
      <c r="AO66" s="76" t="str">
        <f t="shared" si="42"/>
        <v>X</v>
      </c>
      <c r="AP66" s="76" t="str">
        <f t="shared" si="43"/>
        <v>O</v>
      </c>
      <c r="AQ66" s="76" t="str">
        <f t="shared" si="44"/>
        <v>O</v>
      </c>
      <c r="AR66" s="76" t="str">
        <f t="shared" si="45"/>
        <v>X</v>
      </c>
      <c r="AS66" s="76" t="s">
        <v>2</v>
      </c>
      <c r="AT66" s="76" t="str">
        <f t="shared" si="46"/>
        <v>O</v>
      </c>
      <c r="AU66" s="76" t="str">
        <f t="shared" si="47"/>
        <v>O</v>
      </c>
      <c r="AV66" s="76" t="str">
        <f t="shared" si="48"/>
        <v>X</v>
      </c>
    </row>
    <row r="67" spans="1:48" x14ac:dyDescent="0.3">
      <c r="A67" s="9" t="s">
        <v>690</v>
      </c>
      <c r="B67" s="10" t="s">
        <v>1848</v>
      </c>
      <c r="C67" s="87">
        <v>702</v>
      </c>
      <c r="D67" s="85">
        <v>110.3</v>
      </c>
      <c r="E67" s="86">
        <v>33</v>
      </c>
      <c r="F67" s="85">
        <v>84.9</v>
      </c>
      <c r="G67" s="17">
        <v>26</v>
      </c>
      <c r="H67" s="87">
        <v>15</v>
      </c>
      <c r="I67" s="88"/>
      <c r="J67" s="88"/>
      <c r="K67" s="88"/>
      <c r="L67" s="88"/>
      <c r="M67" s="89">
        <f t="shared" si="30"/>
        <v>0</v>
      </c>
      <c r="N67" s="4" t="str">
        <f t="shared" si="31"/>
        <v/>
      </c>
      <c r="O67" s="90">
        <f t="shared" si="32"/>
        <v>0</v>
      </c>
      <c r="P67" s="90">
        <f t="shared" si="33"/>
        <v>0</v>
      </c>
      <c r="Q67" s="76">
        <v>3</v>
      </c>
      <c r="R67" s="76">
        <v>2</v>
      </c>
      <c r="S67" s="76" t="s">
        <v>61</v>
      </c>
      <c r="T67" s="5" t="s">
        <v>125</v>
      </c>
      <c r="U67" s="9"/>
      <c r="W67" s="85">
        <f t="shared" si="34"/>
        <v>110.3</v>
      </c>
      <c r="X67" s="86">
        <f t="shared" si="34"/>
        <v>33</v>
      </c>
      <c r="Y67" s="91">
        <f t="shared" si="35"/>
        <v>15</v>
      </c>
      <c r="Z67" s="89">
        <f t="shared" si="35"/>
        <v>0</v>
      </c>
      <c r="AA67" s="89">
        <f t="shared" si="36"/>
        <v>0</v>
      </c>
      <c r="AB67" s="89">
        <f t="shared" si="37"/>
        <v>0</v>
      </c>
      <c r="AC67" s="4" t="str">
        <f t="shared" si="37"/>
        <v/>
      </c>
      <c r="AD67" s="90">
        <f t="shared" si="37"/>
        <v>0</v>
      </c>
      <c r="AE67" s="76" t="str">
        <f t="shared" si="38"/>
        <v>계</v>
      </c>
      <c r="AF67" s="76" t="str">
        <f t="shared" si="39"/>
        <v>3/2</v>
      </c>
      <c r="AH67" s="20" t="str">
        <f t="shared" si="16"/>
        <v>이안전주삼천</v>
      </c>
      <c r="AI67" s="86">
        <f t="shared" ref="AI67:AI96" si="49">IF(E67="","",E67)</f>
        <v>33</v>
      </c>
      <c r="AJ67" s="76" t="str">
        <f t="shared" si="40"/>
        <v>A-</v>
      </c>
      <c r="AK67" s="76" t="s">
        <v>13</v>
      </c>
      <c r="AL67" s="76" t="s">
        <v>62</v>
      </c>
      <c r="AM67" s="76" t="s">
        <v>63</v>
      </c>
      <c r="AN67" s="76" t="str">
        <f t="shared" si="41"/>
        <v>C</v>
      </c>
      <c r="AO67" s="76" t="str">
        <f t="shared" si="42"/>
        <v/>
      </c>
      <c r="AP67" s="76" t="str">
        <f t="shared" si="43"/>
        <v/>
      </c>
      <c r="AQ67" s="76" t="str">
        <f t="shared" si="44"/>
        <v>O</v>
      </c>
      <c r="AR67" s="76" t="str">
        <f t="shared" si="45"/>
        <v>O</v>
      </c>
      <c r="AS67" s="76" t="s">
        <v>2</v>
      </c>
      <c r="AT67" s="76" t="str">
        <f t="shared" si="46"/>
        <v>O</v>
      </c>
      <c r="AU67" s="76" t="str">
        <f t="shared" si="47"/>
        <v>O</v>
      </c>
      <c r="AV67" s="76" t="str">
        <f t="shared" si="48"/>
        <v/>
      </c>
    </row>
    <row r="68" spans="1:48" x14ac:dyDescent="0.3">
      <c r="A68" s="9" t="s">
        <v>690</v>
      </c>
      <c r="B68" s="10" t="s">
        <v>1848</v>
      </c>
      <c r="C68" s="87">
        <v>702</v>
      </c>
      <c r="D68" s="85">
        <v>111.8</v>
      </c>
      <c r="E68" s="86">
        <v>34</v>
      </c>
      <c r="F68" s="85">
        <v>84.9</v>
      </c>
      <c r="G68" s="17">
        <v>26</v>
      </c>
      <c r="H68" s="87">
        <v>60</v>
      </c>
      <c r="I68" s="88"/>
      <c r="J68" s="88"/>
      <c r="K68" s="88"/>
      <c r="L68" s="88"/>
      <c r="M68" s="89">
        <f t="shared" si="30"/>
        <v>0</v>
      </c>
      <c r="N68" s="4" t="str">
        <f t="shared" si="31"/>
        <v/>
      </c>
      <c r="O68" s="90">
        <f t="shared" si="32"/>
        <v>0</v>
      </c>
      <c r="P68" s="90">
        <f t="shared" si="33"/>
        <v>0</v>
      </c>
      <c r="Q68" s="76">
        <v>3</v>
      </c>
      <c r="R68" s="76">
        <v>2</v>
      </c>
      <c r="S68" s="76" t="s">
        <v>61</v>
      </c>
      <c r="T68" s="5" t="s">
        <v>126</v>
      </c>
      <c r="U68" s="9"/>
      <c r="W68" s="85">
        <f t="shared" si="34"/>
        <v>111.8</v>
      </c>
      <c r="X68" s="86">
        <f t="shared" si="34"/>
        <v>34</v>
      </c>
      <c r="Y68" s="91">
        <f t="shared" si="35"/>
        <v>60</v>
      </c>
      <c r="Z68" s="89">
        <f t="shared" si="35"/>
        <v>0</v>
      </c>
      <c r="AA68" s="89">
        <f t="shared" si="36"/>
        <v>0</v>
      </c>
      <c r="AB68" s="89">
        <f t="shared" si="37"/>
        <v>0</v>
      </c>
      <c r="AC68" s="4" t="str">
        <f t="shared" si="37"/>
        <v/>
      </c>
      <c r="AD68" s="90">
        <f t="shared" si="37"/>
        <v>0</v>
      </c>
      <c r="AE68" s="76" t="str">
        <f t="shared" si="38"/>
        <v>계</v>
      </c>
      <c r="AF68" s="76" t="str">
        <f t="shared" si="39"/>
        <v>3/2</v>
      </c>
      <c r="AH68" s="20" t="str">
        <f t="shared" si="16"/>
        <v>이안전주삼천</v>
      </c>
      <c r="AI68" s="86">
        <f t="shared" si="49"/>
        <v>34</v>
      </c>
      <c r="AJ68" s="76" t="str">
        <f t="shared" si="40"/>
        <v>A-</v>
      </c>
      <c r="AK68" s="76" t="s">
        <v>13</v>
      </c>
      <c r="AL68" s="76" t="s">
        <v>62</v>
      </c>
      <c r="AM68" s="76" t="s">
        <v>63</v>
      </c>
      <c r="AN68" s="76" t="str">
        <f t="shared" si="41"/>
        <v>C</v>
      </c>
      <c r="AO68" s="76" t="str">
        <f t="shared" si="42"/>
        <v/>
      </c>
      <c r="AP68" s="76" t="str">
        <f t="shared" si="43"/>
        <v/>
      </c>
      <c r="AQ68" s="76" t="str">
        <f t="shared" si="44"/>
        <v>O</v>
      </c>
      <c r="AR68" s="76" t="str">
        <f t="shared" si="45"/>
        <v>O</v>
      </c>
      <c r="AS68" s="76" t="s">
        <v>2</v>
      </c>
      <c r="AT68" s="76" t="str">
        <f t="shared" si="46"/>
        <v>O</v>
      </c>
      <c r="AU68" s="76" t="str">
        <f t="shared" si="47"/>
        <v>O</v>
      </c>
      <c r="AV68" s="76" t="str">
        <f t="shared" si="48"/>
        <v/>
      </c>
    </row>
    <row r="69" spans="1:48" x14ac:dyDescent="0.3">
      <c r="A69" s="9" t="s">
        <v>690</v>
      </c>
      <c r="B69" s="10" t="s">
        <v>1848</v>
      </c>
      <c r="C69" s="87">
        <v>702</v>
      </c>
      <c r="D69" s="85">
        <v>111.3</v>
      </c>
      <c r="E69" s="86">
        <v>34</v>
      </c>
      <c r="F69" s="85">
        <v>85</v>
      </c>
      <c r="G69" s="17">
        <v>26</v>
      </c>
      <c r="H69" s="87">
        <v>60</v>
      </c>
      <c r="I69" s="88">
        <v>33500</v>
      </c>
      <c r="J69" s="88" t="s">
        <v>104</v>
      </c>
      <c r="K69" s="88"/>
      <c r="L69" s="88"/>
      <c r="M69" s="89">
        <f t="shared" si="30"/>
        <v>33500</v>
      </c>
      <c r="N69" s="4">
        <f t="shared" si="31"/>
        <v>0</v>
      </c>
      <c r="O69" s="90">
        <f t="shared" si="32"/>
        <v>985.29411764705878</v>
      </c>
      <c r="P69" s="90">
        <f t="shared" si="33"/>
        <v>0</v>
      </c>
      <c r="Q69" s="76">
        <v>3</v>
      </c>
      <c r="R69" s="76">
        <v>2</v>
      </c>
      <c r="S69" s="76" t="s">
        <v>61</v>
      </c>
      <c r="T69" s="5" t="s">
        <v>127</v>
      </c>
      <c r="U69" s="9"/>
      <c r="W69" s="85">
        <f t="shared" si="34"/>
        <v>111.3</v>
      </c>
      <c r="X69" s="86">
        <f t="shared" si="34"/>
        <v>34</v>
      </c>
      <c r="Y69" s="91">
        <f t="shared" si="35"/>
        <v>60</v>
      </c>
      <c r="Z69" s="89">
        <f t="shared" si="35"/>
        <v>33500</v>
      </c>
      <c r="AA69" s="89">
        <f t="shared" si="36"/>
        <v>0</v>
      </c>
      <c r="AB69" s="89">
        <f t="shared" si="37"/>
        <v>33500</v>
      </c>
      <c r="AC69" s="4">
        <f t="shared" si="37"/>
        <v>0</v>
      </c>
      <c r="AD69" s="90">
        <f t="shared" si="37"/>
        <v>985.29411764705878</v>
      </c>
      <c r="AE69" s="76" t="str">
        <f t="shared" si="38"/>
        <v>계</v>
      </c>
      <c r="AF69" s="76" t="str">
        <f t="shared" si="39"/>
        <v>3/2</v>
      </c>
      <c r="AH69" s="20" t="str">
        <f t="shared" ref="AH69:AH96" si="50">IF(A69="","",A69)</f>
        <v>이안전주삼천</v>
      </c>
      <c r="AI69" s="86">
        <f t="shared" si="49"/>
        <v>34</v>
      </c>
      <c r="AJ69" s="76" t="str">
        <f t="shared" si="40"/>
        <v>A-</v>
      </c>
      <c r="AK69" s="76" t="s">
        <v>13</v>
      </c>
      <c r="AL69" s="76" t="s">
        <v>62</v>
      </c>
      <c r="AM69" s="76" t="s">
        <v>63</v>
      </c>
      <c r="AN69" s="76" t="str">
        <f t="shared" si="41"/>
        <v>C</v>
      </c>
      <c r="AO69" s="76" t="str">
        <f t="shared" si="42"/>
        <v>X</v>
      </c>
      <c r="AP69" s="76" t="str">
        <f t="shared" si="43"/>
        <v>O</v>
      </c>
      <c r="AQ69" s="76" t="str">
        <f t="shared" si="44"/>
        <v>O</v>
      </c>
      <c r="AR69" s="76" t="str">
        <f t="shared" si="45"/>
        <v>X</v>
      </c>
      <c r="AS69" s="76" t="s">
        <v>2</v>
      </c>
      <c r="AT69" s="76" t="str">
        <f t="shared" si="46"/>
        <v>O</v>
      </c>
      <c r="AU69" s="76" t="str">
        <f t="shared" si="47"/>
        <v>O</v>
      </c>
      <c r="AV69" s="76" t="str">
        <f t="shared" si="48"/>
        <v>X</v>
      </c>
    </row>
    <row r="70" spans="1:48" x14ac:dyDescent="0.3">
      <c r="A70" s="9" t="s">
        <v>690</v>
      </c>
      <c r="B70" s="10" t="s">
        <v>1848</v>
      </c>
      <c r="C70" s="87">
        <v>702</v>
      </c>
      <c r="D70" s="85">
        <v>114.7</v>
      </c>
      <c r="E70" s="86">
        <v>35</v>
      </c>
      <c r="F70" s="85">
        <v>84.8</v>
      </c>
      <c r="G70" s="17">
        <v>26</v>
      </c>
      <c r="H70" s="87">
        <v>179</v>
      </c>
      <c r="I70" s="88">
        <v>38000</v>
      </c>
      <c r="J70" s="88" t="s">
        <v>75</v>
      </c>
      <c r="K70" s="88"/>
      <c r="L70" s="88"/>
      <c r="M70" s="89">
        <f t="shared" si="30"/>
        <v>38000</v>
      </c>
      <c r="N70" s="4">
        <f t="shared" si="31"/>
        <v>0</v>
      </c>
      <c r="O70" s="90">
        <f t="shared" si="32"/>
        <v>1085.7142857142858</v>
      </c>
      <c r="P70" s="90">
        <f t="shared" si="33"/>
        <v>0</v>
      </c>
      <c r="Q70" s="76">
        <v>3</v>
      </c>
      <c r="R70" s="76">
        <v>2</v>
      </c>
      <c r="S70" s="76" t="s">
        <v>61</v>
      </c>
      <c r="T70" s="5" t="s">
        <v>128</v>
      </c>
      <c r="U70" s="9"/>
      <c r="W70" s="85">
        <f t="shared" si="34"/>
        <v>114.7</v>
      </c>
      <c r="X70" s="86">
        <f t="shared" si="34"/>
        <v>35</v>
      </c>
      <c r="Y70" s="91">
        <f t="shared" si="35"/>
        <v>179</v>
      </c>
      <c r="Z70" s="89">
        <f t="shared" si="35"/>
        <v>38000</v>
      </c>
      <c r="AA70" s="89">
        <f t="shared" si="36"/>
        <v>0</v>
      </c>
      <c r="AB70" s="89">
        <f t="shared" si="37"/>
        <v>38000</v>
      </c>
      <c r="AC70" s="4">
        <f t="shared" si="37"/>
        <v>0</v>
      </c>
      <c r="AD70" s="90">
        <f t="shared" si="37"/>
        <v>1085.7142857142858</v>
      </c>
      <c r="AE70" s="76" t="str">
        <f t="shared" si="38"/>
        <v>계</v>
      </c>
      <c r="AF70" s="76" t="str">
        <f t="shared" si="39"/>
        <v>3/2</v>
      </c>
      <c r="AH70" s="20" t="str">
        <f t="shared" si="50"/>
        <v>이안전주삼천</v>
      </c>
      <c r="AI70" s="86">
        <f t="shared" si="49"/>
        <v>35</v>
      </c>
      <c r="AJ70" s="76" t="str">
        <f t="shared" si="40"/>
        <v>A-</v>
      </c>
      <c r="AK70" s="76" t="s">
        <v>13</v>
      </c>
      <c r="AL70" s="76" t="s">
        <v>62</v>
      </c>
      <c r="AM70" s="76" t="s">
        <v>63</v>
      </c>
      <c r="AN70" s="76" t="str">
        <f t="shared" si="41"/>
        <v>C</v>
      </c>
      <c r="AO70" s="76" t="str">
        <f t="shared" si="42"/>
        <v>X</v>
      </c>
      <c r="AP70" s="76" t="str">
        <f t="shared" si="43"/>
        <v>O</v>
      </c>
      <c r="AQ70" s="76" t="str">
        <f t="shared" si="44"/>
        <v>O</v>
      </c>
      <c r="AR70" s="76" t="str">
        <f t="shared" si="45"/>
        <v>X</v>
      </c>
      <c r="AS70" s="76" t="s">
        <v>2</v>
      </c>
      <c r="AT70" s="76" t="str">
        <f t="shared" si="46"/>
        <v>O</v>
      </c>
      <c r="AU70" s="76" t="str">
        <f t="shared" si="47"/>
        <v>O</v>
      </c>
      <c r="AV70" s="76" t="str">
        <f t="shared" si="48"/>
        <v>X</v>
      </c>
    </row>
    <row r="71" spans="1:48" x14ac:dyDescent="0.3">
      <c r="A71" s="9" t="s">
        <v>690</v>
      </c>
      <c r="B71" s="10" t="s">
        <v>1848</v>
      </c>
      <c r="C71" s="87">
        <v>702</v>
      </c>
      <c r="D71" s="85">
        <v>151.69999999999999</v>
      </c>
      <c r="E71" s="86">
        <v>46</v>
      </c>
      <c r="F71" s="85">
        <v>119.2</v>
      </c>
      <c r="G71" s="17">
        <v>36</v>
      </c>
      <c r="H71" s="87">
        <v>73</v>
      </c>
      <c r="I71" s="88">
        <v>48000</v>
      </c>
      <c r="J71" s="88" t="s">
        <v>75</v>
      </c>
      <c r="K71" s="88"/>
      <c r="L71" s="88"/>
      <c r="M71" s="89">
        <f t="shared" si="30"/>
        <v>48000</v>
      </c>
      <c r="N71" s="4">
        <f t="shared" si="31"/>
        <v>0</v>
      </c>
      <c r="O71" s="90">
        <f t="shared" si="32"/>
        <v>1043.4782608695652</v>
      </c>
      <c r="P71" s="90">
        <f t="shared" si="33"/>
        <v>0</v>
      </c>
      <c r="Q71" s="76">
        <v>4</v>
      </c>
      <c r="R71" s="76">
        <v>2</v>
      </c>
      <c r="S71" s="76" t="s">
        <v>61</v>
      </c>
      <c r="T71" s="5">
        <v>151</v>
      </c>
      <c r="U71" s="9"/>
      <c r="W71" s="85">
        <f t="shared" si="34"/>
        <v>151.69999999999999</v>
      </c>
      <c r="X71" s="86">
        <f t="shared" si="34"/>
        <v>46</v>
      </c>
      <c r="Y71" s="91">
        <f t="shared" si="35"/>
        <v>73</v>
      </c>
      <c r="Z71" s="89">
        <f t="shared" si="35"/>
        <v>48000</v>
      </c>
      <c r="AA71" s="89">
        <f t="shared" si="36"/>
        <v>0</v>
      </c>
      <c r="AB71" s="89">
        <f t="shared" si="37"/>
        <v>48000</v>
      </c>
      <c r="AC71" s="4">
        <f t="shared" si="37"/>
        <v>0</v>
      </c>
      <c r="AD71" s="90">
        <f t="shared" si="37"/>
        <v>1043.4782608695652</v>
      </c>
      <c r="AE71" s="76" t="str">
        <f t="shared" si="38"/>
        <v>계</v>
      </c>
      <c r="AF71" s="76" t="str">
        <f t="shared" si="39"/>
        <v>4/2</v>
      </c>
      <c r="AH71" s="20" t="str">
        <f t="shared" si="50"/>
        <v>이안전주삼천</v>
      </c>
      <c r="AI71" s="86">
        <f t="shared" si="49"/>
        <v>46</v>
      </c>
      <c r="AJ71" s="76" t="str">
        <f t="shared" si="40"/>
        <v>A-</v>
      </c>
      <c r="AK71" s="76" t="s">
        <v>13</v>
      </c>
      <c r="AL71" s="76" t="s">
        <v>62</v>
      </c>
      <c r="AM71" s="76" t="s">
        <v>63</v>
      </c>
      <c r="AN71" s="76" t="str">
        <f t="shared" si="41"/>
        <v>C</v>
      </c>
      <c r="AO71" s="76" t="str">
        <f t="shared" si="42"/>
        <v>X</v>
      </c>
      <c r="AP71" s="76" t="str">
        <f t="shared" si="43"/>
        <v>O</v>
      </c>
      <c r="AQ71" s="76" t="str">
        <f t="shared" si="44"/>
        <v>O</v>
      </c>
      <c r="AR71" s="76" t="str">
        <f t="shared" si="45"/>
        <v>X</v>
      </c>
      <c r="AS71" s="76" t="s">
        <v>2</v>
      </c>
      <c r="AT71" s="76" t="str">
        <f t="shared" si="46"/>
        <v>X</v>
      </c>
      <c r="AU71" s="76" t="str">
        <f t="shared" si="47"/>
        <v>O</v>
      </c>
      <c r="AV71" s="76" t="str">
        <f t="shared" si="48"/>
        <v>X</v>
      </c>
    </row>
    <row r="72" spans="1:48" x14ac:dyDescent="0.3">
      <c r="A72" s="9"/>
      <c r="B72" s="76"/>
      <c r="C72" s="6"/>
      <c r="D72" s="9"/>
      <c r="E72" s="14"/>
      <c r="F72" s="85"/>
      <c r="G72" s="9"/>
      <c r="H72" s="9"/>
      <c r="I72" s="9"/>
      <c r="J72" s="9"/>
      <c r="K72" s="9"/>
      <c r="L72" s="9"/>
      <c r="M72" s="9"/>
      <c r="N72" s="9"/>
      <c r="O72" s="90"/>
      <c r="P72" s="90"/>
      <c r="Q72" s="86"/>
      <c r="R72" s="86"/>
      <c r="S72" s="9"/>
      <c r="T72" s="47"/>
      <c r="U72" s="9"/>
      <c r="W72" s="67" t="str">
        <f>$A$4&amp;" "&amp;A73&amp;"("&amp;B73&amp;","&amp;C73&amp;"^)"</f>
        <v>삼천동1가 삼천남양('98.12.,637^)</v>
      </c>
      <c r="X72" s="68"/>
      <c r="Y72" s="68"/>
      <c r="Z72" s="68"/>
      <c r="AA72" s="68"/>
      <c r="AB72" s="68"/>
      <c r="AC72" s="68"/>
      <c r="AD72" s="68"/>
      <c r="AE72" s="68"/>
      <c r="AF72" s="69"/>
      <c r="AH72" s="20" t="str">
        <f t="shared" si="50"/>
        <v/>
      </c>
      <c r="AI72" s="108" t="str">
        <f t="shared" si="49"/>
        <v/>
      </c>
      <c r="AJ72" s="76"/>
      <c r="AK72" s="76"/>
      <c r="AL72" s="76"/>
      <c r="AM72" s="76"/>
      <c r="AN72" s="76"/>
      <c r="AO72" s="76"/>
      <c r="AP72" s="76"/>
      <c r="AQ72" s="76"/>
      <c r="AR72" s="76"/>
      <c r="AS72" s="76"/>
      <c r="AT72" s="76"/>
      <c r="AU72" s="76"/>
      <c r="AV72" s="76"/>
    </row>
    <row r="73" spans="1:48" x14ac:dyDescent="0.3">
      <c r="A73" s="9" t="s">
        <v>695</v>
      </c>
      <c r="B73" s="10" t="s">
        <v>1840</v>
      </c>
      <c r="C73" s="87">
        <v>637</v>
      </c>
      <c r="D73" s="85">
        <v>76.7</v>
      </c>
      <c r="E73" s="86">
        <v>23</v>
      </c>
      <c r="F73" s="85">
        <v>60</v>
      </c>
      <c r="G73" s="17">
        <v>18</v>
      </c>
      <c r="H73" s="87">
        <v>637</v>
      </c>
      <c r="I73" s="88">
        <v>16000</v>
      </c>
      <c r="J73" s="88" t="s">
        <v>89</v>
      </c>
      <c r="K73" s="88">
        <v>17000</v>
      </c>
      <c r="L73" s="88" t="s">
        <v>89</v>
      </c>
      <c r="M73" s="89">
        <f>I73-K73</f>
        <v>-1000</v>
      </c>
      <c r="N73" s="4">
        <f>IF(ISERROR(K73/I73),"",K73/I73)</f>
        <v>1.0625</v>
      </c>
      <c r="O73" s="90">
        <f>I73/E73</f>
        <v>695.6521739130435</v>
      </c>
      <c r="P73" s="90">
        <f>K73/E73</f>
        <v>739.13043478260875</v>
      </c>
      <c r="Q73" s="76">
        <v>3</v>
      </c>
      <c r="R73" s="76">
        <v>1</v>
      </c>
      <c r="S73" s="76" t="s">
        <v>61</v>
      </c>
      <c r="T73" s="5">
        <v>76</v>
      </c>
      <c r="U73" s="9"/>
      <c r="W73" s="85">
        <f>D73</f>
        <v>76.7</v>
      </c>
      <c r="X73" s="86">
        <f>E73</f>
        <v>23</v>
      </c>
      <c r="Y73" s="91">
        <f>H73</f>
        <v>637</v>
      </c>
      <c r="Z73" s="89">
        <f>I73</f>
        <v>16000</v>
      </c>
      <c r="AA73" s="89">
        <f>K73</f>
        <v>17000</v>
      </c>
      <c r="AB73" s="89">
        <f>M73</f>
        <v>-1000</v>
      </c>
      <c r="AC73" s="4">
        <f>N73</f>
        <v>1.0625</v>
      </c>
      <c r="AD73" s="90">
        <f>O73</f>
        <v>695.6521739130435</v>
      </c>
      <c r="AE73" s="76" t="str">
        <f>S73</f>
        <v>계</v>
      </c>
      <c r="AF73" s="76" t="str">
        <f>Q73&amp;"/"&amp;R73</f>
        <v>3/1</v>
      </c>
      <c r="AH73" s="20" t="str">
        <f t="shared" si="50"/>
        <v>삼천남양</v>
      </c>
      <c r="AI73" s="86">
        <f t="shared" si="49"/>
        <v>23</v>
      </c>
      <c r="AJ73" s="76" t="str">
        <f>IF(AI73="","",$AJ$2)</f>
        <v>A-</v>
      </c>
      <c r="AK73" s="76" t="s">
        <v>13</v>
      </c>
      <c r="AL73" s="76" t="s">
        <v>62</v>
      </c>
      <c r="AM73" s="76" t="s">
        <v>63</v>
      </c>
      <c r="AN73" s="76" t="str">
        <f>IF(AI73="","",$AN$2)</f>
        <v>C</v>
      </c>
      <c r="AO73" s="76" t="str">
        <f>IF(N73="","",IF(N73&gt;=$AO$1/100,"O","X"))</f>
        <v>O</v>
      </c>
      <c r="AP73" s="76" t="str">
        <f>IF(I73="","",IF(I73&lt;=$AP$1,"O","X"))</f>
        <v>O</v>
      </c>
      <c r="AQ73" s="76" t="str">
        <f>IF(O73="","",IF(O73&lt;=$AQ$1,"O","X"))</f>
        <v>O</v>
      </c>
      <c r="AR73" s="76" t="str">
        <f>IF(M73="","",IF(M73&lt;=$AR$1,"O","X"))</f>
        <v>O</v>
      </c>
      <c r="AS73" s="76" t="s">
        <v>2</v>
      </c>
      <c r="AT73" s="76" t="str">
        <f>IF(OR(F73="",AI73=""),"",IF(AND((F73&lt;=85),(AI73&gt;=15)),"O","X"))</f>
        <v>O</v>
      </c>
      <c r="AU73" s="76" t="str">
        <f>IF(C73="","",IF(C73&gt;=$AU$1,"O","X"))</f>
        <v>O</v>
      </c>
      <c r="AV73" s="76" t="str">
        <f>IF(AO73="","",IF(AND(AO73="O",AP73="O",AR73="O",AT73="O",AU73="O"),"후보","X"))</f>
        <v>후보</v>
      </c>
    </row>
    <row r="74" spans="1:48" x14ac:dyDescent="0.3">
      <c r="A74" s="9"/>
      <c r="B74" s="76"/>
      <c r="C74" s="6"/>
      <c r="D74" s="9"/>
      <c r="E74" s="14"/>
      <c r="F74" s="85"/>
      <c r="G74" s="9"/>
      <c r="H74" s="9"/>
      <c r="I74" s="9"/>
      <c r="J74" s="9"/>
      <c r="K74" s="9"/>
      <c r="L74" s="9"/>
      <c r="M74" s="9"/>
      <c r="N74" s="9"/>
      <c r="O74" s="90"/>
      <c r="P74" s="90"/>
      <c r="Q74" s="86"/>
      <c r="R74" s="86"/>
      <c r="S74" s="9"/>
      <c r="T74" s="47"/>
      <c r="U74" s="9"/>
      <c r="W74" s="67" t="str">
        <f>$A$4&amp;" "&amp;A75&amp;"("&amp;B75&amp;","&amp;C75&amp;"^)"</f>
        <v>삼천동1가 삼천주공5단지('00.03.,414^)</v>
      </c>
      <c r="X74" s="68"/>
      <c r="Y74" s="68"/>
      <c r="Z74" s="68"/>
      <c r="AA74" s="68"/>
      <c r="AB74" s="68"/>
      <c r="AC74" s="68"/>
      <c r="AD74" s="68"/>
      <c r="AE74" s="68"/>
      <c r="AF74" s="69"/>
      <c r="AH74" s="20" t="str">
        <f t="shared" si="50"/>
        <v/>
      </c>
      <c r="AI74" s="108" t="str">
        <f t="shared" si="49"/>
        <v/>
      </c>
      <c r="AJ74" s="76"/>
      <c r="AK74" s="76"/>
      <c r="AL74" s="76"/>
      <c r="AM74" s="76"/>
      <c r="AN74" s="76"/>
      <c r="AO74" s="76"/>
      <c r="AP74" s="76"/>
      <c r="AQ74" s="76"/>
      <c r="AR74" s="76"/>
      <c r="AS74" s="76"/>
      <c r="AT74" s="76"/>
      <c r="AU74" s="76"/>
      <c r="AV74" s="76"/>
    </row>
    <row r="75" spans="1:48" x14ac:dyDescent="0.3">
      <c r="A75" s="9" t="s">
        <v>699</v>
      </c>
      <c r="B75" s="10" t="s">
        <v>1835</v>
      </c>
      <c r="C75" s="87">
        <v>414</v>
      </c>
      <c r="D75" s="85">
        <v>80.3</v>
      </c>
      <c r="E75" s="86">
        <v>24</v>
      </c>
      <c r="F75" s="85">
        <v>59.4</v>
      </c>
      <c r="G75" s="17">
        <v>18</v>
      </c>
      <c r="H75" s="87">
        <v>378</v>
      </c>
      <c r="I75" s="88">
        <v>18000</v>
      </c>
      <c r="J75" s="88" t="s">
        <v>131</v>
      </c>
      <c r="K75" s="88">
        <v>17000</v>
      </c>
      <c r="L75" s="88" t="s">
        <v>71</v>
      </c>
      <c r="M75" s="89">
        <f>I75-K75</f>
        <v>1000</v>
      </c>
      <c r="N75" s="4">
        <f>IF(ISERROR(K75/I75),"",K75/I75)</f>
        <v>0.94444444444444442</v>
      </c>
      <c r="O75" s="90">
        <f>I75/E75</f>
        <v>750</v>
      </c>
      <c r="P75" s="90">
        <f>K75/E75</f>
        <v>708.33333333333337</v>
      </c>
      <c r="Q75" s="76">
        <v>3</v>
      </c>
      <c r="R75" s="76">
        <v>1</v>
      </c>
      <c r="S75" s="76" t="s">
        <v>61</v>
      </c>
      <c r="T75" s="5" t="s">
        <v>132</v>
      </c>
      <c r="U75" s="9"/>
      <c r="W75" s="85">
        <f>D75</f>
        <v>80.3</v>
      </c>
      <c r="X75" s="86">
        <f>E75</f>
        <v>24</v>
      </c>
      <c r="Y75" s="91">
        <f>H75</f>
        <v>378</v>
      </c>
      <c r="Z75" s="89">
        <f>I75</f>
        <v>18000</v>
      </c>
      <c r="AA75" s="89">
        <f>K75</f>
        <v>17000</v>
      </c>
      <c r="AB75" s="89">
        <f t="shared" ref="AB75:AD76" si="51">M75</f>
        <v>1000</v>
      </c>
      <c r="AC75" s="4">
        <f t="shared" si="51"/>
        <v>0.94444444444444442</v>
      </c>
      <c r="AD75" s="90">
        <f t="shared" si="51"/>
        <v>750</v>
      </c>
      <c r="AE75" s="76" t="str">
        <f>S75</f>
        <v>계</v>
      </c>
      <c r="AF75" s="76" t="str">
        <f>Q75&amp;"/"&amp;R75</f>
        <v>3/1</v>
      </c>
      <c r="AH75" s="20" t="str">
        <f t="shared" si="50"/>
        <v>삼천주공5단지</v>
      </c>
      <c r="AI75" s="86">
        <f t="shared" si="49"/>
        <v>24</v>
      </c>
      <c r="AJ75" s="76" t="str">
        <f>IF(AI75="","",$AJ$2)</f>
        <v>A-</v>
      </c>
      <c r="AK75" s="76" t="s">
        <v>13</v>
      </c>
      <c r="AL75" s="76" t="s">
        <v>62</v>
      </c>
      <c r="AM75" s="76" t="s">
        <v>63</v>
      </c>
      <c r="AN75" s="76" t="str">
        <f>IF(AI75="","",$AN$2)</f>
        <v>C</v>
      </c>
      <c r="AO75" s="76" t="str">
        <f>IF(N75="","",IF(N75&gt;=$AO$1/100,"O","X"))</f>
        <v>O</v>
      </c>
      <c r="AP75" s="76" t="str">
        <f>IF(I75="","",IF(I75&lt;=$AP$1,"O","X"))</f>
        <v>O</v>
      </c>
      <c r="AQ75" s="76" t="str">
        <f>IF(O75="","",IF(O75&lt;=$AQ$1,"O","X"))</f>
        <v>O</v>
      </c>
      <c r="AR75" s="76" t="str">
        <f>IF(M75="","",IF(M75&lt;=$AR$1,"O","X"))</f>
        <v>O</v>
      </c>
      <c r="AS75" s="76" t="s">
        <v>2</v>
      </c>
      <c r="AT75" s="76" t="str">
        <f>IF(OR(F75="",AI75=""),"",IF(AND((F75&lt;=85),(AI75&gt;=15)),"O","X"))</f>
        <v>O</v>
      </c>
      <c r="AU75" s="76" t="str">
        <f>IF(C75="","",IF(C75&gt;=$AU$1,"O","X"))</f>
        <v>O</v>
      </c>
      <c r="AV75" s="76" t="str">
        <f>IF(AO75="","",IF(AND(AO75="O",AP75="O",AR75="O",AT75="O",AU75="O"),"후보","X"))</f>
        <v>후보</v>
      </c>
    </row>
    <row r="76" spans="1:48" x14ac:dyDescent="0.3">
      <c r="A76" s="9" t="s">
        <v>699</v>
      </c>
      <c r="B76" s="10" t="s">
        <v>1835</v>
      </c>
      <c r="C76" s="87">
        <v>414</v>
      </c>
      <c r="D76" s="85">
        <v>80.2</v>
      </c>
      <c r="E76" s="86">
        <v>24</v>
      </c>
      <c r="F76" s="85">
        <v>59.3</v>
      </c>
      <c r="G76" s="17">
        <v>18</v>
      </c>
      <c r="H76" s="87">
        <v>36</v>
      </c>
      <c r="I76" s="88">
        <v>18000</v>
      </c>
      <c r="J76" s="88" t="s">
        <v>89</v>
      </c>
      <c r="K76" s="88"/>
      <c r="L76" s="88"/>
      <c r="M76" s="89">
        <f>I76-K76</f>
        <v>18000</v>
      </c>
      <c r="N76" s="4">
        <f>IF(ISERROR(K76/I76),"",K76/I76)</f>
        <v>0</v>
      </c>
      <c r="O76" s="90">
        <f>I76/E76</f>
        <v>750</v>
      </c>
      <c r="P76" s="90">
        <f>K76/E76</f>
        <v>0</v>
      </c>
      <c r="Q76" s="76">
        <v>3</v>
      </c>
      <c r="R76" s="76">
        <v>1</v>
      </c>
      <c r="S76" s="76" t="s">
        <v>61</v>
      </c>
      <c r="T76" s="5" t="s">
        <v>133</v>
      </c>
      <c r="U76" s="9"/>
      <c r="W76" s="85">
        <f>D76</f>
        <v>80.2</v>
      </c>
      <c r="X76" s="86">
        <f>E76</f>
        <v>24</v>
      </c>
      <c r="Y76" s="91">
        <f>H76</f>
        <v>36</v>
      </c>
      <c r="Z76" s="89">
        <f>I76</f>
        <v>18000</v>
      </c>
      <c r="AA76" s="89">
        <f>K76</f>
        <v>0</v>
      </c>
      <c r="AB76" s="89">
        <f t="shared" si="51"/>
        <v>18000</v>
      </c>
      <c r="AC76" s="4">
        <f t="shared" si="51"/>
        <v>0</v>
      </c>
      <c r="AD76" s="90">
        <f t="shared" si="51"/>
        <v>750</v>
      </c>
      <c r="AE76" s="76" t="str">
        <f>S76</f>
        <v>계</v>
      </c>
      <c r="AF76" s="76" t="str">
        <f>Q76&amp;"/"&amp;R76</f>
        <v>3/1</v>
      </c>
      <c r="AH76" s="20" t="str">
        <f t="shared" si="50"/>
        <v>삼천주공5단지</v>
      </c>
      <c r="AI76" s="86">
        <f t="shared" si="49"/>
        <v>24</v>
      </c>
      <c r="AJ76" s="76" t="str">
        <f>IF(AI76="","",$AJ$2)</f>
        <v>A-</v>
      </c>
      <c r="AK76" s="76" t="s">
        <v>13</v>
      </c>
      <c r="AL76" s="76" t="s">
        <v>62</v>
      </c>
      <c r="AM76" s="76" t="s">
        <v>63</v>
      </c>
      <c r="AN76" s="76" t="str">
        <f>IF(AI76="","",$AN$2)</f>
        <v>C</v>
      </c>
      <c r="AO76" s="76" t="str">
        <f>IF(N76="","",IF(N76&gt;=$AO$1/100,"O","X"))</f>
        <v>X</v>
      </c>
      <c r="AP76" s="76" t="str">
        <f>IF(I76="","",IF(I76&lt;=$AP$1,"O","X"))</f>
        <v>O</v>
      </c>
      <c r="AQ76" s="76" t="str">
        <f>IF(O76="","",IF(O76&lt;=$AQ$1,"O","X"))</f>
        <v>O</v>
      </c>
      <c r="AR76" s="76" t="str">
        <f>IF(M76="","",IF(M76&lt;=$AR$1,"O","X"))</f>
        <v>X</v>
      </c>
      <c r="AS76" s="76" t="s">
        <v>2</v>
      </c>
      <c r="AT76" s="76" t="str">
        <f>IF(OR(F76="",AI76=""),"",IF(AND((F76&lt;=85),(AI76&gt;=15)),"O","X"))</f>
        <v>O</v>
      </c>
      <c r="AU76" s="76" t="str">
        <f>IF(C76="","",IF(C76&gt;=$AU$1,"O","X"))</f>
        <v>O</v>
      </c>
      <c r="AV76" s="76" t="str">
        <f>IF(AO76="","",IF(AND(AO76="O",AP76="O",AR76="O",AT76="O",AU76="O"),"후보","X"))</f>
        <v>X</v>
      </c>
    </row>
    <row r="77" spans="1:48" x14ac:dyDescent="0.3">
      <c r="A77" s="9"/>
      <c r="B77" s="76"/>
      <c r="C77" s="6"/>
      <c r="D77" s="9"/>
      <c r="E77" s="14"/>
      <c r="F77" s="85"/>
      <c r="G77" s="9"/>
      <c r="H77" s="9"/>
      <c r="I77" s="9"/>
      <c r="J77" s="9"/>
      <c r="K77" s="9"/>
      <c r="L77" s="9"/>
      <c r="M77" s="9"/>
      <c r="N77" s="9"/>
      <c r="O77" s="90"/>
      <c r="P77" s="90"/>
      <c r="Q77" s="86"/>
      <c r="R77" s="86"/>
      <c r="S77" s="9"/>
      <c r="T77" s="47"/>
      <c r="U77" s="9"/>
      <c r="W77" s="67" t="str">
        <f>$A$4&amp;" "&amp;A78&amp;"("&amp;B78&amp;","&amp;C78&amp;"^)"</f>
        <v>삼천동1가 쌍용3단지('91.07.,360^)</v>
      </c>
      <c r="X77" s="68"/>
      <c r="Y77" s="68"/>
      <c r="Z77" s="68"/>
      <c r="AA77" s="68"/>
      <c r="AB77" s="68"/>
      <c r="AC77" s="68"/>
      <c r="AD77" s="68"/>
      <c r="AE77" s="68"/>
      <c r="AF77" s="69"/>
      <c r="AH77" s="20" t="str">
        <f t="shared" si="50"/>
        <v/>
      </c>
      <c r="AI77" s="108" t="str">
        <f t="shared" si="49"/>
        <v/>
      </c>
      <c r="AJ77" s="76"/>
      <c r="AK77" s="76"/>
      <c r="AL77" s="76"/>
      <c r="AM77" s="76"/>
      <c r="AN77" s="76"/>
      <c r="AO77" s="76"/>
      <c r="AP77" s="76"/>
      <c r="AQ77" s="76"/>
      <c r="AR77" s="76"/>
      <c r="AS77" s="76"/>
      <c r="AT77" s="76"/>
      <c r="AU77" s="76"/>
      <c r="AV77" s="76"/>
    </row>
    <row r="78" spans="1:48" x14ac:dyDescent="0.3">
      <c r="A78" s="9" t="s">
        <v>703</v>
      </c>
      <c r="B78" s="10" t="s">
        <v>1849</v>
      </c>
      <c r="C78" s="87">
        <v>360</v>
      </c>
      <c r="D78" s="85">
        <v>69.7</v>
      </c>
      <c r="E78" s="86">
        <v>21</v>
      </c>
      <c r="F78" s="85">
        <v>59.7</v>
      </c>
      <c r="G78" s="17">
        <v>18</v>
      </c>
      <c r="H78" s="87">
        <v>360</v>
      </c>
      <c r="I78" s="88">
        <v>15000</v>
      </c>
      <c r="J78" s="88" t="s">
        <v>75</v>
      </c>
      <c r="K78" s="88"/>
      <c r="L78" s="88"/>
      <c r="M78" s="89">
        <f>I78-K78</f>
        <v>15000</v>
      </c>
      <c r="N78" s="4">
        <f>IF(ISERROR(K78/I78),"",K78/I78)</f>
        <v>0</v>
      </c>
      <c r="O78" s="90">
        <f>I78/E78</f>
        <v>714.28571428571433</v>
      </c>
      <c r="P78" s="90">
        <f>K78/E78</f>
        <v>0</v>
      </c>
      <c r="Q78" s="76">
        <v>3</v>
      </c>
      <c r="R78" s="76">
        <v>1</v>
      </c>
      <c r="S78" s="76" t="s">
        <v>61</v>
      </c>
      <c r="T78" s="5">
        <v>69</v>
      </c>
      <c r="U78" s="9"/>
      <c r="W78" s="85">
        <f>D78</f>
        <v>69.7</v>
      </c>
      <c r="X78" s="86">
        <f>E78</f>
        <v>21</v>
      </c>
      <c r="Y78" s="91">
        <f>H78</f>
        <v>360</v>
      </c>
      <c r="Z78" s="89">
        <f>I78</f>
        <v>15000</v>
      </c>
      <c r="AA78" s="89">
        <f>K78</f>
        <v>0</v>
      </c>
      <c r="AB78" s="89">
        <f>M78</f>
        <v>15000</v>
      </c>
      <c r="AC78" s="4">
        <f>N78</f>
        <v>0</v>
      </c>
      <c r="AD78" s="90">
        <f>O78</f>
        <v>714.28571428571433</v>
      </c>
      <c r="AE78" s="76" t="str">
        <f>S78</f>
        <v>계</v>
      </c>
      <c r="AF78" s="76" t="str">
        <f>Q78&amp;"/"&amp;R78</f>
        <v>3/1</v>
      </c>
      <c r="AH78" s="20" t="str">
        <f t="shared" si="50"/>
        <v>쌍용3단지</v>
      </c>
      <c r="AI78" s="86">
        <f t="shared" si="49"/>
        <v>21</v>
      </c>
      <c r="AJ78" s="76" t="str">
        <f>IF(AI78="","",$AJ$2)</f>
        <v>A-</v>
      </c>
      <c r="AK78" s="76" t="s">
        <v>13</v>
      </c>
      <c r="AL78" s="76" t="s">
        <v>62</v>
      </c>
      <c r="AM78" s="76" t="s">
        <v>63</v>
      </c>
      <c r="AN78" s="76" t="str">
        <f>IF(AI78="","",$AN$2)</f>
        <v>C</v>
      </c>
      <c r="AO78" s="76" t="str">
        <f>IF(N78="","",IF(N78&gt;=$AO$1/100,"O","X"))</f>
        <v>X</v>
      </c>
      <c r="AP78" s="76" t="str">
        <f>IF(I78="","",IF(I78&lt;=$AP$1,"O","X"))</f>
        <v>O</v>
      </c>
      <c r="AQ78" s="76" t="str">
        <f>IF(O78="","",IF(O78&lt;=$AQ$1,"O","X"))</f>
        <v>O</v>
      </c>
      <c r="AR78" s="76" t="str">
        <f>IF(M78="","",IF(M78&lt;=$AR$1,"O","X"))</f>
        <v>X</v>
      </c>
      <c r="AS78" s="76" t="s">
        <v>2</v>
      </c>
      <c r="AT78" s="76" t="str">
        <f>IF(OR(F78="",AI78=""),"",IF(AND((F78&lt;=85),(AI78&gt;=15)),"O","X"))</f>
        <v>O</v>
      </c>
      <c r="AU78" s="76" t="str">
        <f>IF(C78="","",IF(C78&gt;=$AU$1,"O","X"))</f>
        <v>O</v>
      </c>
      <c r="AV78" s="76" t="str">
        <f>IF(AO78="","",IF(AND(AO78="O",AP78="O",AR78="O",AT78="O",AU78="O"),"후보","X"))</f>
        <v>X</v>
      </c>
    </row>
    <row r="79" spans="1:48" x14ac:dyDescent="0.3">
      <c r="A79" s="9"/>
      <c r="B79" s="76"/>
      <c r="C79" s="6"/>
      <c r="D79" s="9"/>
      <c r="E79" s="14"/>
      <c r="F79" s="85"/>
      <c r="G79" s="9"/>
      <c r="H79" s="9"/>
      <c r="I79" s="9"/>
      <c r="J79" s="9"/>
      <c r="K79" s="9"/>
      <c r="L79" s="9"/>
      <c r="M79" s="9"/>
      <c r="N79" s="9"/>
      <c r="O79" s="90"/>
      <c r="P79" s="90"/>
      <c r="Q79" s="86"/>
      <c r="R79" s="86"/>
      <c r="S79" s="9"/>
      <c r="T79" s="47"/>
      <c r="U79" s="9"/>
      <c r="W79" s="67" t="str">
        <f>$A$4&amp;" "&amp;A80&amp;"("&amp;B80&amp;","&amp;C80&amp;"^)"</f>
        <v>삼천동1가 안행현대('98.04.,296^)</v>
      </c>
      <c r="X79" s="68"/>
      <c r="Y79" s="68"/>
      <c r="Z79" s="68"/>
      <c r="AA79" s="68"/>
      <c r="AB79" s="68"/>
      <c r="AC79" s="68"/>
      <c r="AD79" s="68"/>
      <c r="AE79" s="68"/>
      <c r="AF79" s="69"/>
      <c r="AH79" s="20" t="str">
        <f t="shared" si="50"/>
        <v/>
      </c>
      <c r="AI79" s="108" t="str">
        <f t="shared" si="49"/>
        <v/>
      </c>
      <c r="AJ79" s="76"/>
      <c r="AK79" s="76"/>
      <c r="AL79" s="76"/>
      <c r="AM79" s="76"/>
      <c r="AN79" s="76"/>
      <c r="AO79" s="76"/>
      <c r="AP79" s="76"/>
      <c r="AQ79" s="76"/>
      <c r="AR79" s="76"/>
      <c r="AS79" s="76"/>
      <c r="AT79" s="76"/>
      <c r="AU79" s="76"/>
      <c r="AV79" s="76"/>
    </row>
    <row r="80" spans="1:48" x14ac:dyDescent="0.3">
      <c r="A80" s="9" t="s">
        <v>708</v>
      </c>
      <c r="B80" s="10" t="s">
        <v>1850</v>
      </c>
      <c r="C80" s="87">
        <v>296</v>
      </c>
      <c r="D80" s="85">
        <v>103.7</v>
      </c>
      <c r="E80" s="86">
        <v>31</v>
      </c>
      <c r="F80" s="85">
        <v>85</v>
      </c>
      <c r="G80" s="17">
        <v>26</v>
      </c>
      <c r="H80" s="87">
        <v>233</v>
      </c>
      <c r="I80" s="88"/>
      <c r="J80" s="88"/>
      <c r="K80" s="88"/>
      <c r="L80" s="88"/>
      <c r="M80" s="89">
        <f>I80-K80</f>
        <v>0</v>
      </c>
      <c r="N80" s="4" t="str">
        <f>IF(ISERROR(K80/I80),"",K80/I80)</f>
        <v/>
      </c>
      <c r="O80" s="90">
        <f>I80/E80</f>
        <v>0</v>
      </c>
      <c r="P80" s="90">
        <f>K80/E80</f>
        <v>0</v>
      </c>
      <c r="Q80" s="76">
        <v>3</v>
      </c>
      <c r="R80" s="76">
        <v>2</v>
      </c>
      <c r="S80" s="76" t="s">
        <v>61</v>
      </c>
      <c r="T80" s="5">
        <v>103</v>
      </c>
      <c r="U80" s="9"/>
      <c r="W80" s="85">
        <f t="shared" ref="W80:X82" si="52">D80</f>
        <v>103.7</v>
      </c>
      <c r="X80" s="86">
        <f t="shared" si="52"/>
        <v>31</v>
      </c>
      <c r="Y80" s="91">
        <f t="shared" ref="Y80:Z82" si="53">H80</f>
        <v>233</v>
      </c>
      <c r="Z80" s="89">
        <f t="shared" si="53"/>
        <v>0</v>
      </c>
      <c r="AA80" s="89">
        <f>K80</f>
        <v>0</v>
      </c>
      <c r="AB80" s="89">
        <f t="shared" ref="AB80:AD82" si="54">M80</f>
        <v>0</v>
      </c>
      <c r="AC80" s="4" t="str">
        <f t="shared" si="54"/>
        <v/>
      </c>
      <c r="AD80" s="90">
        <f t="shared" si="54"/>
        <v>0</v>
      </c>
      <c r="AE80" s="76" t="str">
        <f>S80</f>
        <v>계</v>
      </c>
      <c r="AF80" s="76" t="str">
        <f>Q80&amp;"/"&amp;R80</f>
        <v>3/2</v>
      </c>
      <c r="AH80" s="20" t="str">
        <f t="shared" si="50"/>
        <v>안행현대</v>
      </c>
      <c r="AI80" s="86">
        <f t="shared" si="49"/>
        <v>31</v>
      </c>
      <c r="AJ80" s="76" t="str">
        <f>IF(AI80="","",$AJ$2)</f>
        <v>A-</v>
      </c>
      <c r="AK80" s="76" t="s">
        <v>13</v>
      </c>
      <c r="AL80" s="76" t="s">
        <v>62</v>
      </c>
      <c r="AM80" s="76" t="s">
        <v>63</v>
      </c>
      <c r="AN80" s="76" t="str">
        <f>IF(AI80="","",$AN$2)</f>
        <v>C</v>
      </c>
      <c r="AO80" s="76" t="str">
        <f>IF(N80="","",IF(N80&gt;=$AO$1/100,"O","X"))</f>
        <v/>
      </c>
      <c r="AP80" s="76" t="str">
        <f>IF(I80="","",IF(I80&lt;=$AP$1,"O","X"))</f>
        <v/>
      </c>
      <c r="AQ80" s="76" t="str">
        <f>IF(O80="","",IF(O80&lt;=$AQ$1,"O","X"))</f>
        <v>O</v>
      </c>
      <c r="AR80" s="76" t="str">
        <f>IF(M80="","",IF(M80&lt;=$AR$1,"O","X"))</f>
        <v>O</v>
      </c>
      <c r="AS80" s="76" t="s">
        <v>2</v>
      </c>
      <c r="AT80" s="76" t="str">
        <f>IF(OR(F80="",AI80=""),"",IF(AND((F80&lt;=85),(AI80&gt;=15)),"O","X"))</f>
        <v>O</v>
      </c>
      <c r="AU80" s="76" t="str">
        <f>IF(C80="","",IF(C80&gt;=$AU$1,"O","X"))</f>
        <v>X</v>
      </c>
      <c r="AV80" s="76" t="str">
        <f>IF(AO80="","",IF(AND(AO80="O",AP80="O",AR80="O",AT80="O",AU80="O"),"후보","X"))</f>
        <v/>
      </c>
    </row>
    <row r="81" spans="1:48" x14ac:dyDescent="0.3">
      <c r="A81" s="9" t="s">
        <v>708</v>
      </c>
      <c r="B81" s="10" t="s">
        <v>1850</v>
      </c>
      <c r="C81" s="87">
        <v>296</v>
      </c>
      <c r="D81" s="85">
        <v>140.19999999999999</v>
      </c>
      <c r="E81" s="86">
        <v>42</v>
      </c>
      <c r="F81" s="85">
        <v>114.9</v>
      </c>
      <c r="G81" s="17">
        <v>35</v>
      </c>
      <c r="H81" s="87">
        <v>19</v>
      </c>
      <c r="I81" s="88"/>
      <c r="J81" s="88"/>
      <c r="K81" s="88"/>
      <c r="L81" s="88"/>
      <c r="M81" s="89">
        <f>I81-K81</f>
        <v>0</v>
      </c>
      <c r="N81" s="4" t="str">
        <f>IF(ISERROR(K81/I81),"",K81/I81)</f>
        <v/>
      </c>
      <c r="O81" s="90">
        <f>I81/E81</f>
        <v>0</v>
      </c>
      <c r="P81" s="90">
        <f>K81/E81</f>
        <v>0</v>
      </c>
      <c r="Q81" s="76">
        <v>4</v>
      </c>
      <c r="R81" s="76">
        <v>2</v>
      </c>
      <c r="S81" s="76" t="s">
        <v>61</v>
      </c>
      <c r="T81" s="5">
        <v>140</v>
      </c>
      <c r="U81" s="9"/>
      <c r="W81" s="85">
        <f t="shared" si="52"/>
        <v>140.19999999999999</v>
      </c>
      <c r="X81" s="86">
        <f t="shared" si="52"/>
        <v>42</v>
      </c>
      <c r="Y81" s="91">
        <f t="shared" si="53"/>
        <v>19</v>
      </c>
      <c r="Z81" s="89">
        <f t="shared" si="53"/>
        <v>0</v>
      </c>
      <c r="AA81" s="89">
        <f>K81</f>
        <v>0</v>
      </c>
      <c r="AB81" s="89">
        <f t="shared" si="54"/>
        <v>0</v>
      </c>
      <c r="AC81" s="4" t="str">
        <f t="shared" si="54"/>
        <v/>
      </c>
      <c r="AD81" s="90">
        <f t="shared" si="54"/>
        <v>0</v>
      </c>
      <c r="AE81" s="76" t="str">
        <f>S81</f>
        <v>계</v>
      </c>
      <c r="AF81" s="76" t="str">
        <f>Q81&amp;"/"&amp;R81</f>
        <v>4/2</v>
      </c>
      <c r="AH81" s="20" t="str">
        <f t="shared" si="50"/>
        <v>안행현대</v>
      </c>
      <c r="AI81" s="86">
        <f t="shared" si="49"/>
        <v>42</v>
      </c>
      <c r="AJ81" s="76" t="str">
        <f>IF(AI81="","",$AJ$2)</f>
        <v>A-</v>
      </c>
      <c r="AK81" s="76" t="s">
        <v>13</v>
      </c>
      <c r="AL81" s="76" t="s">
        <v>62</v>
      </c>
      <c r="AM81" s="76" t="s">
        <v>63</v>
      </c>
      <c r="AN81" s="76" t="str">
        <f>IF(AI81="","",$AN$2)</f>
        <v>C</v>
      </c>
      <c r="AO81" s="76" t="str">
        <f>IF(N81="","",IF(N81&gt;=$AO$1/100,"O","X"))</f>
        <v/>
      </c>
      <c r="AP81" s="76" t="str">
        <f>IF(I81="","",IF(I81&lt;=$AP$1,"O","X"))</f>
        <v/>
      </c>
      <c r="AQ81" s="76" t="str">
        <f>IF(O81="","",IF(O81&lt;=$AQ$1,"O","X"))</f>
        <v>O</v>
      </c>
      <c r="AR81" s="76" t="str">
        <f>IF(M81="","",IF(M81&lt;=$AR$1,"O","X"))</f>
        <v>O</v>
      </c>
      <c r="AS81" s="76" t="s">
        <v>2</v>
      </c>
      <c r="AT81" s="76" t="str">
        <f>IF(OR(F81="",AI81=""),"",IF(AND((F81&lt;=85),(AI81&gt;=15)),"O","X"))</f>
        <v>X</v>
      </c>
      <c r="AU81" s="76" t="str">
        <f>IF(C81="","",IF(C81&gt;=$AU$1,"O","X"))</f>
        <v>X</v>
      </c>
      <c r="AV81" s="76" t="str">
        <f>IF(AO81="","",IF(AND(AO81="O",AP81="O",AR81="O",AT81="O",AU81="O"),"후보","X"))</f>
        <v/>
      </c>
    </row>
    <row r="82" spans="1:48" x14ac:dyDescent="0.3">
      <c r="A82" s="9" t="s">
        <v>708</v>
      </c>
      <c r="B82" s="10" t="s">
        <v>1850</v>
      </c>
      <c r="C82" s="87">
        <v>296</v>
      </c>
      <c r="D82" s="85">
        <v>164.2</v>
      </c>
      <c r="E82" s="86">
        <v>50</v>
      </c>
      <c r="F82" s="85">
        <v>134.6</v>
      </c>
      <c r="G82" s="17">
        <v>41</v>
      </c>
      <c r="H82" s="87">
        <v>44</v>
      </c>
      <c r="I82" s="88"/>
      <c r="J82" s="88"/>
      <c r="K82" s="88"/>
      <c r="L82" s="88"/>
      <c r="M82" s="89">
        <f>I82-K82</f>
        <v>0</v>
      </c>
      <c r="N82" s="4" t="str">
        <f>IF(ISERROR(K82/I82),"",K82/I82)</f>
        <v/>
      </c>
      <c r="O82" s="90">
        <f>I82/E82</f>
        <v>0</v>
      </c>
      <c r="P82" s="90">
        <f>K82/E82</f>
        <v>0</v>
      </c>
      <c r="Q82" s="76">
        <v>4</v>
      </c>
      <c r="R82" s="76">
        <v>2</v>
      </c>
      <c r="S82" s="76" t="s">
        <v>61</v>
      </c>
      <c r="T82" s="5">
        <v>164</v>
      </c>
      <c r="U82" s="9"/>
      <c r="W82" s="85">
        <f t="shared" si="52"/>
        <v>164.2</v>
      </c>
      <c r="X82" s="86">
        <f t="shared" si="52"/>
        <v>50</v>
      </c>
      <c r="Y82" s="91">
        <f t="shared" si="53"/>
        <v>44</v>
      </c>
      <c r="Z82" s="89">
        <f t="shared" si="53"/>
        <v>0</v>
      </c>
      <c r="AA82" s="89">
        <f>K82</f>
        <v>0</v>
      </c>
      <c r="AB82" s="89">
        <f t="shared" si="54"/>
        <v>0</v>
      </c>
      <c r="AC82" s="4" t="str">
        <f t="shared" si="54"/>
        <v/>
      </c>
      <c r="AD82" s="90">
        <f t="shared" si="54"/>
        <v>0</v>
      </c>
      <c r="AE82" s="76" t="str">
        <f>S82</f>
        <v>계</v>
      </c>
      <c r="AF82" s="76" t="str">
        <f>Q82&amp;"/"&amp;R82</f>
        <v>4/2</v>
      </c>
      <c r="AH82" s="20" t="str">
        <f t="shared" si="50"/>
        <v>안행현대</v>
      </c>
      <c r="AI82" s="86">
        <f t="shared" si="49"/>
        <v>50</v>
      </c>
      <c r="AJ82" s="76" t="str">
        <f>IF(AI82="","",$AJ$2)</f>
        <v>A-</v>
      </c>
      <c r="AK82" s="76" t="s">
        <v>13</v>
      </c>
      <c r="AL82" s="76" t="s">
        <v>62</v>
      </c>
      <c r="AM82" s="76" t="s">
        <v>63</v>
      </c>
      <c r="AN82" s="76" t="str">
        <f>IF(AI82="","",$AN$2)</f>
        <v>C</v>
      </c>
      <c r="AO82" s="76" t="str">
        <f>IF(N82="","",IF(N82&gt;=$AO$1/100,"O","X"))</f>
        <v/>
      </c>
      <c r="AP82" s="76" t="str">
        <f>IF(I82="","",IF(I82&lt;=$AP$1,"O","X"))</f>
        <v/>
      </c>
      <c r="AQ82" s="76" t="str">
        <f>IF(O82="","",IF(O82&lt;=$AQ$1,"O","X"))</f>
        <v>O</v>
      </c>
      <c r="AR82" s="76" t="str">
        <f>IF(M82="","",IF(M82&lt;=$AR$1,"O","X"))</f>
        <v>O</v>
      </c>
      <c r="AS82" s="76" t="s">
        <v>2</v>
      </c>
      <c r="AT82" s="76" t="str">
        <f>IF(OR(F82="",AI82=""),"",IF(AND((F82&lt;=85),(AI82&gt;=15)),"O","X"))</f>
        <v>X</v>
      </c>
      <c r="AU82" s="76" t="str">
        <f>IF(C82="","",IF(C82&gt;=$AU$1,"O","X"))</f>
        <v>X</v>
      </c>
      <c r="AV82" s="76" t="str">
        <f>IF(AO82="","",IF(AND(AO82="O",AP82="O",AR82="O",AT82="O",AU82="O"),"후보","X"))</f>
        <v/>
      </c>
    </row>
    <row r="83" spans="1:48" x14ac:dyDescent="0.3">
      <c r="A83" s="9"/>
      <c r="B83" s="76"/>
      <c r="C83" s="6"/>
      <c r="D83" s="9"/>
      <c r="E83" s="14"/>
      <c r="F83" s="85"/>
      <c r="G83" s="9"/>
      <c r="H83" s="9"/>
      <c r="I83" s="9"/>
      <c r="J83" s="9"/>
      <c r="K83" s="9"/>
      <c r="L83" s="9"/>
      <c r="M83" s="9"/>
      <c r="N83" s="9"/>
      <c r="O83" s="90"/>
      <c r="P83" s="90"/>
      <c r="Q83" s="86"/>
      <c r="R83" s="86"/>
      <c r="S83" s="9"/>
      <c r="T83" s="47"/>
      <c r="U83" s="9"/>
      <c r="W83" s="67" t="str">
        <f>$A$4&amp;" "&amp;A84&amp;"("&amp;B84&amp;","&amp;C84&amp;"^)"</f>
        <v>삼천동1가 쌍용1단지('85.12.,480^)</v>
      </c>
      <c r="X83" s="68"/>
      <c r="Y83" s="68"/>
      <c r="Z83" s="68"/>
      <c r="AA83" s="68"/>
      <c r="AB83" s="68"/>
      <c r="AC83" s="68"/>
      <c r="AD83" s="68"/>
      <c r="AE83" s="68"/>
      <c r="AF83" s="69"/>
      <c r="AH83" s="20" t="str">
        <f t="shared" si="50"/>
        <v/>
      </c>
      <c r="AI83" s="108" t="str">
        <f t="shared" si="49"/>
        <v/>
      </c>
      <c r="AJ83" s="76"/>
      <c r="AK83" s="76"/>
      <c r="AL83" s="76"/>
      <c r="AM83" s="76"/>
      <c r="AN83" s="76"/>
      <c r="AO83" s="76"/>
      <c r="AP83" s="76"/>
      <c r="AQ83" s="76"/>
      <c r="AR83" s="76"/>
      <c r="AS83" s="76"/>
      <c r="AT83" s="76"/>
      <c r="AU83" s="76"/>
      <c r="AV83" s="76"/>
    </row>
    <row r="84" spans="1:48" x14ac:dyDescent="0.3">
      <c r="A84" s="9" t="s">
        <v>713</v>
      </c>
      <c r="B84" s="10" t="s">
        <v>1851</v>
      </c>
      <c r="C84" s="87">
        <v>480</v>
      </c>
      <c r="D84" s="85">
        <v>58.5</v>
      </c>
      <c r="E84" s="86">
        <v>18</v>
      </c>
      <c r="F84" s="85">
        <v>50.5</v>
      </c>
      <c r="G84" s="17">
        <v>15</v>
      </c>
      <c r="H84" s="87">
        <v>80</v>
      </c>
      <c r="I84" s="88"/>
      <c r="J84" s="88"/>
      <c r="K84" s="88"/>
      <c r="L84" s="88"/>
      <c r="M84" s="89">
        <f>I84-K84</f>
        <v>0</v>
      </c>
      <c r="N84" s="4" t="str">
        <f>IF(ISERROR(K84/I84),"",K84/I84)</f>
        <v/>
      </c>
      <c r="O84" s="90">
        <f>I84/E84</f>
        <v>0</v>
      </c>
      <c r="P84" s="90">
        <f>K84/E84</f>
        <v>0</v>
      </c>
      <c r="Q84" s="76">
        <v>2</v>
      </c>
      <c r="R84" s="76">
        <v>1</v>
      </c>
      <c r="S84" s="76" t="s">
        <v>61</v>
      </c>
      <c r="T84" s="5">
        <v>58</v>
      </c>
      <c r="U84" s="9"/>
      <c r="W84" s="85">
        <f t="shared" ref="W84:X86" si="55">D84</f>
        <v>58.5</v>
      </c>
      <c r="X84" s="86">
        <f t="shared" si="55"/>
        <v>18</v>
      </c>
      <c r="Y84" s="91">
        <f t="shared" ref="Y84:Z86" si="56">H84</f>
        <v>80</v>
      </c>
      <c r="Z84" s="89">
        <f t="shared" si="56"/>
        <v>0</v>
      </c>
      <c r="AA84" s="89">
        <f>K84</f>
        <v>0</v>
      </c>
      <c r="AB84" s="89">
        <f t="shared" ref="AB84:AD86" si="57">M84</f>
        <v>0</v>
      </c>
      <c r="AC84" s="4" t="str">
        <f t="shared" si="57"/>
        <v/>
      </c>
      <c r="AD84" s="90">
        <f t="shared" si="57"/>
        <v>0</v>
      </c>
      <c r="AE84" s="76" t="str">
        <f>S84</f>
        <v>계</v>
      </c>
      <c r="AF84" s="76" t="str">
        <f>Q84&amp;"/"&amp;R84</f>
        <v>2/1</v>
      </c>
      <c r="AH84" s="20" t="str">
        <f t="shared" si="50"/>
        <v>쌍용1단지</v>
      </c>
      <c r="AI84" s="86">
        <f t="shared" si="49"/>
        <v>18</v>
      </c>
      <c r="AJ84" s="76" t="str">
        <f>IF(AI84="","",$AJ$2)</f>
        <v>A-</v>
      </c>
      <c r="AK84" s="76" t="s">
        <v>13</v>
      </c>
      <c r="AL84" s="76" t="s">
        <v>62</v>
      </c>
      <c r="AM84" s="76" t="s">
        <v>63</v>
      </c>
      <c r="AN84" s="76" t="str">
        <f>IF(AI84="","",$AN$2)</f>
        <v>C</v>
      </c>
      <c r="AO84" s="76" t="str">
        <f>IF(N84="","",IF(N84&gt;=$AO$1/100,"O","X"))</f>
        <v/>
      </c>
      <c r="AP84" s="76" t="str">
        <f>IF(I84="","",IF(I84&lt;=$AP$1,"O","X"))</f>
        <v/>
      </c>
      <c r="AQ84" s="76" t="str">
        <f>IF(O84="","",IF(O84&lt;=$AQ$1,"O","X"))</f>
        <v>O</v>
      </c>
      <c r="AR84" s="76" t="str">
        <f>IF(M84="","",IF(M84&lt;=$AR$1,"O","X"))</f>
        <v>O</v>
      </c>
      <c r="AS84" s="76" t="s">
        <v>2</v>
      </c>
      <c r="AT84" s="76" t="str">
        <f>IF(OR(F84="",AI84=""),"",IF(AND((F84&lt;=85),(AI84&gt;=15)),"O","X"))</f>
        <v>O</v>
      </c>
      <c r="AU84" s="76" t="str">
        <f>IF(C84="","",IF(C84&gt;=$AU$1,"O","X"))</f>
        <v>O</v>
      </c>
      <c r="AV84" s="76" t="str">
        <f>IF(AO84="","",IF(AND(AO84="O",AP84="O",AR84="O",AT84="O",AU84="O"),"후보","X"))</f>
        <v/>
      </c>
    </row>
    <row r="85" spans="1:48" x14ac:dyDescent="0.3">
      <c r="A85" s="9" t="s">
        <v>713</v>
      </c>
      <c r="B85" s="10" t="s">
        <v>1851</v>
      </c>
      <c r="C85" s="87">
        <v>480</v>
      </c>
      <c r="D85" s="85">
        <v>67.099999999999994</v>
      </c>
      <c r="E85" s="86">
        <v>20</v>
      </c>
      <c r="F85" s="85">
        <v>58.6</v>
      </c>
      <c r="G85" s="17">
        <v>18</v>
      </c>
      <c r="H85" s="87">
        <v>200</v>
      </c>
      <c r="I85" s="88"/>
      <c r="J85" s="88"/>
      <c r="K85" s="88"/>
      <c r="L85" s="88"/>
      <c r="M85" s="89">
        <f>I85-K85</f>
        <v>0</v>
      </c>
      <c r="N85" s="4" t="str">
        <f>IF(ISERROR(K85/I85),"",K85/I85)</f>
        <v/>
      </c>
      <c r="O85" s="90">
        <f>I85/E85</f>
        <v>0</v>
      </c>
      <c r="P85" s="90">
        <f>K85/E85</f>
        <v>0</v>
      </c>
      <c r="Q85" s="76">
        <v>3</v>
      </c>
      <c r="R85" s="76">
        <v>1</v>
      </c>
      <c r="S85" s="76" t="s">
        <v>61</v>
      </c>
      <c r="T85" s="5">
        <v>67</v>
      </c>
      <c r="U85" s="9"/>
      <c r="W85" s="85">
        <f t="shared" si="55"/>
        <v>67.099999999999994</v>
      </c>
      <c r="X85" s="86">
        <f t="shared" si="55"/>
        <v>20</v>
      </c>
      <c r="Y85" s="91">
        <f t="shared" si="56"/>
        <v>200</v>
      </c>
      <c r="Z85" s="89">
        <f t="shared" si="56"/>
        <v>0</v>
      </c>
      <c r="AA85" s="89">
        <f>K85</f>
        <v>0</v>
      </c>
      <c r="AB85" s="89">
        <f t="shared" si="57"/>
        <v>0</v>
      </c>
      <c r="AC85" s="4" t="str">
        <f t="shared" si="57"/>
        <v/>
      </c>
      <c r="AD85" s="90">
        <f t="shared" si="57"/>
        <v>0</v>
      </c>
      <c r="AE85" s="76" t="str">
        <f>S85</f>
        <v>계</v>
      </c>
      <c r="AF85" s="76" t="str">
        <f>Q85&amp;"/"&amp;R85</f>
        <v>3/1</v>
      </c>
      <c r="AH85" s="20" t="str">
        <f t="shared" si="50"/>
        <v>쌍용1단지</v>
      </c>
      <c r="AI85" s="86">
        <f t="shared" si="49"/>
        <v>20</v>
      </c>
      <c r="AJ85" s="76" t="str">
        <f>IF(AI85="","",$AJ$2)</f>
        <v>A-</v>
      </c>
      <c r="AK85" s="76" t="s">
        <v>13</v>
      </c>
      <c r="AL85" s="76" t="s">
        <v>62</v>
      </c>
      <c r="AM85" s="76" t="s">
        <v>63</v>
      </c>
      <c r="AN85" s="76" t="str">
        <f>IF(AI85="","",$AN$2)</f>
        <v>C</v>
      </c>
      <c r="AO85" s="76" t="str">
        <f>IF(N85="","",IF(N85&gt;=$AO$1/100,"O","X"))</f>
        <v/>
      </c>
      <c r="AP85" s="76" t="str">
        <f>IF(I85="","",IF(I85&lt;=$AP$1,"O","X"))</f>
        <v/>
      </c>
      <c r="AQ85" s="76" t="str">
        <f>IF(O85="","",IF(O85&lt;=$AQ$1,"O","X"))</f>
        <v>O</v>
      </c>
      <c r="AR85" s="76" t="str">
        <f>IF(M85="","",IF(M85&lt;=$AR$1,"O","X"))</f>
        <v>O</v>
      </c>
      <c r="AS85" s="76" t="s">
        <v>2</v>
      </c>
      <c r="AT85" s="76" t="str">
        <f>IF(OR(F85="",AI85=""),"",IF(AND((F85&lt;=85),(AI85&gt;=15)),"O","X"))</f>
        <v>O</v>
      </c>
      <c r="AU85" s="76" t="str">
        <f>IF(C85="","",IF(C85&gt;=$AU$1,"O","X"))</f>
        <v>O</v>
      </c>
      <c r="AV85" s="76" t="str">
        <f>IF(AO85="","",IF(AND(AO85="O",AP85="O",AR85="O",AT85="O",AU85="O"),"후보","X"))</f>
        <v/>
      </c>
    </row>
    <row r="86" spans="1:48" x14ac:dyDescent="0.3">
      <c r="A86" s="9" t="s">
        <v>713</v>
      </c>
      <c r="B86" s="10" t="s">
        <v>1851</v>
      </c>
      <c r="C86" s="87">
        <v>480</v>
      </c>
      <c r="D86" s="85">
        <v>72</v>
      </c>
      <c r="E86" s="86">
        <v>22</v>
      </c>
      <c r="F86" s="85">
        <v>63.2</v>
      </c>
      <c r="G86" s="17">
        <v>19</v>
      </c>
      <c r="H86" s="87">
        <v>200</v>
      </c>
      <c r="I86" s="88"/>
      <c r="J86" s="88"/>
      <c r="K86" s="88"/>
      <c r="L86" s="88"/>
      <c r="M86" s="89">
        <f>I86-K86</f>
        <v>0</v>
      </c>
      <c r="N86" s="4" t="str">
        <f>IF(ISERROR(K86/I86),"",K86/I86)</f>
        <v/>
      </c>
      <c r="O86" s="90">
        <f>I86/E86</f>
        <v>0</v>
      </c>
      <c r="P86" s="90">
        <f>K86/E86</f>
        <v>0</v>
      </c>
      <c r="Q86" s="76">
        <v>3</v>
      </c>
      <c r="R86" s="76">
        <v>1</v>
      </c>
      <c r="S86" s="76" t="s">
        <v>61</v>
      </c>
      <c r="T86" s="5">
        <v>71</v>
      </c>
      <c r="U86" s="9"/>
      <c r="W86" s="85">
        <f t="shared" si="55"/>
        <v>72</v>
      </c>
      <c r="X86" s="86">
        <f t="shared" si="55"/>
        <v>22</v>
      </c>
      <c r="Y86" s="91">
        <f t="shared" si="56"/>
        <v>200</v>
      </c>
      <c r="Z86" s="89">
        <f t="shared" si="56"/>
        <v>0</v>
      </c>
      <c r="AA86" s="89">
        <f>K86</f>
        <v>0</v>
      </c>
      <c r="AB86" s="89">
        <f t="shared" si="57"/>
        <v>0</v>
      </c>
      <c r="AC86" s="4" t="str">
        <f t="shared" si="57"/>
        <v/>
      </c>
      <c r="AD86" s="90">
        <f t="shared" si="57"/>
        <v>0</v>
      </c>
      <c r="AE86" s="76" t="str">
        <f>S86</f>
        <v>계</v>
      </c>
      <c r="AF86" s="76" t="str">
        <f>Q86&amp;"/"&amp;R86</f>
        <v>3/1</v>
      </c>
      <c r="AH86" s="20" t="str">
        <f t="shared" si="50"/>
        <v>쌍용1단지</v>
      </c>
      <c r="AI86" s="86">
        <f t="shared" si="49"/>
        <v>22</v>
      </c>
      <c r="AJ86" s="76" t="str">
        <f>IF(AI86="","",$AJ$2)</f>
        <v>A-</v>
      </c>
      <c r="AK86" s="76" t="s">
        <v>13</v>
      </c>
      <c r="AL86" s="76" t="s">
        <v>62</v>
      </c>
      <c r="AM86" s="76" t="s">
        <v>63</v>
      </c>
      <c r="AN86" s="76" t="str">
        <f>IF(AI86="","",$AN$2)</f>
        <v>C</v>
      </c>
      <c r="AO86" s="76" t="str">
        <f>IF(N86="","",IF(N86&gt;=$AO$1/100,"O","X"))</f>
        <v/>
      </c>
      <c r="AP86" s="76" t="str">
        <f>IF(I86="","",IF(I86&lt;=$AP$1,"O","X"))</f>
        <v/>
      </c>
      <c r="AQ86" s="76" t="str">
        <f>IF(O86="","",IF(O86&lt;=$AQ$1,"O","X"))</f>
        <v>O</v>
      </c>
      <c r="AR86" s="76" t="str">
        <f>IF(M86="","",IF(M86&lt;=$AR$1,"O","X"))</f>
        <v>O</v>
      </c>
      <c r="AS86" s="76" t="s">
        <v>2</v>
      </c>
      <c r="AT86" s="76" t="str">
        <f>IF(OR(F86="",AI86=""),"",IF(AND((F86&lt;=85),(AI86&gt;=15)),"O","X"))</f>
        <v>O</v>
      </c>
      <c r="AU86" s="76" t="str">
        <f>IF(C86="","",IF(C86&gt;=$AU$1,"O","X"))</f>
        <v>O</v>
      </c>
      <c r="AV86" s="76" t="str">
        <f>IF(AO86="","",IF(AND(AO86="O",AP86="O",AR86="O",AT86="O",AU86="O"),"후보","X"))</f>
        <v/>
      </c>
    </row>
    <row r="87" spans="1:48" x14ac:dyDescent="0.3">
      <c r="A87" s="9"/>
      <c r="B87" s="76"/>
      <c r="C87" s="6"/>
      <c r="D87" s="9"/>
      <c r="E87" s="14"/>
      <c r="F87" s="85"/>
      <c r="G87" s="9"/>
      <c r="H87" s="9"/>
      <c r="I87" s="9"/>
      <c r="J87" s="9"/>
      <c r="K87" s="9"/>
      <c r="L87" s="9"/>
      <c r="M87" s="9"/>
      <c r="N87" s="9"/>
      <c r="O87" s="90"/>
      <c r="P87" s="90"/>
      <c r="Q87" s="86"/>
      <c r="R87" s="86"/>
      <c r="S87" s="9"/>
      <c r="T87" s="47"/>
      <c r="U87" s="9"/>
      <c r="W87" s="67" t="str">
        <f>$A$4&amp;" "&amp;A88&amp;"("&amp;B88&amp;","&amp;C88&amp;"^)"</f>
        <v>삼천동1가 오성대우('91.10.,265^)</v>
      </c>
      <c r="X87" s="68"/>
      <c r="Y87" s="68"/>
      <c r="Z87" s="68"/>
      <c r="AA87" s="68"/>
      <c r="AB87" s="68"/>
      <c r="AC87" s="68"/>
      <c r="AD87" s="68"/>
      <c r="AE87" s="68"/>
      <c r="AF87" s="69"/>
      <c r="AH87" s="20" t="str">
        <f t="shared" si="50"/>
        <v/>
      </c>
      <c r="AI87" s="108" t="str">
        <f t="shared" si="49"/>
        <v/>
      </c>
      <c r="AJ87" s="76"/>
      <c r="AK87" s="76"/>
      <c r="AL87" s="76"/>
      <c r="AM87" s="76"/>
      <c r="AN87" s="76"/>
      <c r="AO87" s="76"/>
      <c r="AP87" s="76"/>
      <c r="AQ87" s="76"/>
      <c r="AR87" s="76"/>
      <c r="AS87" s="76"/>
      <c r="AT87" s="76"/>
      <c r="AU87" s="76"/>
      <c r="AV87" s="76"/>
    </row>
    <row r="88" spans="1:48" x14ac:dyDescent="0.3">
      <c r="A88" s="9" t="s">
        <v>718</v>
      </c>
      <c r="B88" s="10" t="s">
        <v>1852</v>
      </c>
      <c r="C88" s="87">
        <v>265</v>
      </c>
      <c r="D88" s="85">
        <v>92.2</v>
      </c>
      <c r="E88" s="86">
        <v>28</v>
      </c>
      <c r="F88" s="85">
        <v>70.7</v>
      </c>
      <c r="G88" s="17">
        <v>21</v>
      </c>
      <c r="H88" s="87">
        <v>90</v>
      </c>
      <c r="I88" s="88"/>
      <c r="J88" s="88"/>
      <c r="K88" s="88"/>
      <c r="L88" s="88"/>
      <c r="M88" s="89">
        <f>I88-K88</f>
        <v>0</v>
      </c>
      <c r="N88" s="4" t="str">
        <f>IF(ISERROR(K88/I88),"",K88/I88)</f>
        <v/>
      </c>
      <c r="O88" s="90">
        <f>I88/E88</f>
        <v>0</v>
      </c>
      <c r="P88" s="90">
        <f>K88/E88</f>
        <v>0</v>
      </c>
      <c r="Q88" s="76">
        <v>3</v>
      </c>
      <c r="R88" s="76">
        <v>2</v>
      </c>
      <c r="S88" s="76" t="s">
        <v>61</v>
      </c>
      <c r="T88" s="5">
        <v>92</v>
      </c>
      <c r="U88" s="9"/>
      <c r="W88" s="85">
        <f>D88</f>
        <v>92.2</v>
      </c>
      <c r="X88" s="86">
        <f>E88</f>
        <v>28</v>
      </c>
      <c r="Y88" s="91">
        <f>H88</f>
        <v>90</v>
      </c>
      <c r="Z88" s="89">
        <f>I88</f>
        <v>0</v>
      </c>
      <c r="AA88" s="89">
        <f>K88</f>
        <v>0</v>
      </c>
      <c r="AB88" s="89">
        <f t="shared" ref="AB88:AD89" si="58">M88</f>
        <v>0</v>
      </c>
      <c r="AC88" s="4" t="str">
        <f t="shared" si="58"/>
        <v/>
      </c>
      <c r="AD88" s="90">
        <f t="shared" si="58"/>
        <v>0</v>
      </c>
      <c r="AE88" s="76" t="str">
        <f>S88</f>
        <v>계</v>
      </c>
      <c r="AF88" s="76" t="str">
        <f>Q88&amp;"/"&amp;R88</f>
        <v>3/2</v>
      </c>
      <c r="AH88" s="20" t="str">
        <f t="shared" si="50"/>
        <v>오성대우</v>
      </c>
      <c r="AI88" s="86">
        <f t="shared" si="49"/>
        <v>28</v>
      </c>
      <c r="AJ88" s="76" t="str">
        <f>IF(AI88="","",$AJ$2)</f>
        <v>A-</v>
      </c>
      <c r="AK88" s="76" t="s">
        <v>13</v>
      </c>
      <c r="AL88" s="76" t="s">
        <v>62</v>
      </c>
      <c r="AM88" s="76" t="s">
        <v>63</v>
      </c>
      <c r="AN88" s="76" t="str">
        <f>IF(AI88="","",$AN$2)</f>
        <v>C</v>
      </c>
      <c r="AO88" s="76" t="str">
        <f>IF(N88="","",IF(N88&gt;=$AO$1/100,"O","X"))</f>
        <v/>
      </c>
      <c r="AP88" s="76" t="str">
        <f>IF(I88="","",IF(I88&lt;=$AP$1,"O","X"))</f>
        <v/>
      </c>
      <c r="AQ88" s="76" t="str">
        <f>IF(O88="","",IF(O88&lt;=$AQ$1,"O","X"))</f>
        <v>O</v>
      </c>
      <c r="AR88" s="76" t="str">
        <f>IF(M88="","",IF(M88&lt;=$AR$1,"O","X"))</f>
        <v>O</v>
      </c>
      <c r="AS88" s="76" t="s">
        <v>2</v>
      </c>
      <c r="AT88" s="76" t="str">
        <f>IF(OR(F88="",AI88=""),"",IF(AND((F88&lt;=85),(AI88&gt;=15)),"O","X"))</f>
        <v>O</v>
      </c>
      <c r="AU88" s="76" t="str">
        <f>IF(C88="","",IF(C88&gt;=$AU$1,"O","X"))</f>
        <v>X</v>
      </c>
      <c r="AV88" s="76" t="str">
        <f>IF(AO88="","",IF(AND(AO88="O",AP88="O",AR88="O",AT88="O",AU88="O"),"후보","X"))</f>
        <v/>
      </c>
    </row>
    <row r="89" spans="1:48" x14ac:dyDescent="0.3">
      <c r="A89" s="9" t="s">
        <v>718</v>
      </c>
      <c r="B89" s="10" t="s">
        <v>1852</v>
      </c>
      <c r="C89" s="87">
        <v>265</v>
      </c>
      <c r="D89" s="85">
        <v>111.1</v>
      </c>
      <c r="E89" s="86">
        <v>34</v>
      </c>
      <c r="F89" s="85">
        <v>84.8</v>
      </c>
      <c r="G89" s="17">
        <v>26</v>
      </c>
      <c r="H89" s="87">
        <v>175</v>
      </c>
      <c r="I89" s="88"/>
      <c r="J89" s="88"/>
      <c r="K89" s="88"/>
      <c r="L89" s="88"/>
      <c r="M89" s="89">
        <f>I89-K89</f>
        <v>0</v>
      </c>
      <c r="N89" s="4" t="str">
        <f>IF(ISERROR(K89/I89),"",K89/I89)</f>
        <v/>
      </c>
      <c r="O89" s="90">
        <f>I89/E89</f>
        <v>0</v>
      </c>
      <c r="P89" s="90">
        <f>K89/E89</f>
        <v>0</v>
      </c>
      <c r="Q89" s="76">
        <v>3</v>
      </c>
      <c r="R89" s="76">
        <v>2</v>
      </c>
      <c r="S89" s="76" t="s">
        <v>61</v>
      </c>
      <c r="T89" s="5">
        <v>111</v>
      </c>
      <c r="U89" s="9"/>
      <c r="W89" s="85">
        <f>D89</f>
        <v>111.1</v>
      </c>
      <c r="X89" s="86">
        <f>E89</f>
        <v>34</v>
      </c>
      <c r="Y89" s="91">
        <f>H89</f>
        <v>175</v>
      </c>
      <c r="Z89" s="89">
        <f>I89</f>
        <v>0</v>
      </c>
      <c r="AA89" s="89">
        <f>K89</f>
        <v>0</v>
      </c>
      <c r="AB89" s="89">
        <f t="shared" si="58"/>
        <v>0</v>
      </c>
      <c r="AC89" s="4" t="str">
        <f t="shared" si="58"/>
        <v/>
      </c>
      <c r="AD89" s="90">
        <f t="shared" si="58"/>
        <v>0</v>
      </c>
      <c r="AE89" s="76" t="str">
        <f>S89</f>
        <v>계</v>
      </c>
      <c r="AF89" s="76" t="str">
        <f>Q89&amp;"/"&amp;R89</f>
        <v>3/2</v>
      </c>
      <c r="AH89" s="20" t="str">
        <f t="shared" si="50"/>
        <v>오성대우</v>
      </c>
      <c r="AI89" s="86">
        <f t="shared" si="49"/>
        <v>34</v>
      </c>
      <c r="AJ89" s="76" t="str">
        <f>IF(AI89="","",$AJ$2)</f>
        <v>A-</v>
      </c>
      <c r="AK89" s="76" t="s">
        <v>13</v>
      </c>
      <c r="AL89" s="76" t="s">
        <v>62</v>
      </c>
      <c r="AM89" s="76" t="s">
        <v>63</v>
      </c>
      <c r="AN89" s="76" t="str">
        <f>IF(AI89="","",$AN$2)</f>
        <v>C</v>
      </c>
      <c r="AO89" s="76" t="str">
        <f>IF(N89="","",IF(N89&gt;=$AO$1/100,"O","X"))</f>
        <v/>
      </c>
      <c r="AP89" s="76" t="str">
        <f>IF(I89="","",IF(I89&lt;=$AP$1,"O","X"))</f>
        <v/>
      </c>
      <c r="AQ89" s="76" t="str">
        <f>IF(O89="","",IF(O89&lt;=$AQ$1,"O","X"))</f>
        <v>O</v>
      </c>
      <c r="AR89" s="76" t="str">
        <f>IF(M89="","",IF(M89&lt;=$AR$1,"O","X"))</f>
        <v>O</v>
      </c>
      <c r="AS89" s="76" t="s">
        <v>2</v>
      </c>
      <c r="AT89" s="76" t="str">
        <f>IF(OR(F89="",AI89=""),"",IF(AND((F89&lt;=85),(AI89&gt;=15)),"O","X"))</f>
        <v>O</v>
      </c>
      <c r="AU89" s="76" t="str">
        <f>IF(C89="","",IF(C89&gt;=$AU$1,"O","X"))</f>
        <v>X</v>
      </c>
      <c r="AV89" s="76" t="str">
        <f>IF(AO89="","",IF(AND(AO89="O",AP89="O",AR89="O",AT89="O",AU89="O"),"후보","X"))</f>
        <v/>
      </c>
    </row>
    <row r="90" spans="1:48" x14ac:dyDescent="0.3">
      <c r="A90" s="9"/>
      <c r="B90" s="76"/>
      <c r="C90" s="6"/>
      <c r="D90" s="9"/>
      <c r="E90" s="14"/>
      <c r="F90" s="85"/>
      <c r="G90" s="9"/>
      <c r="H90" s="9"/>
      <c r="I90" s="9"/>
      <c r="J90" s="9"/>
      <c r="K90" s="9"/>
      <c r="L90" s="9"/>
      <c r="M90" s="9"/>
      <c r="N90" s="9"/>
      <c r="O90" s="90"/>
      <c r="P90" s="90"/>
      <c r="Q90" s="86"/>
      <c r="R90" s="86"/>
      <c r="S90" s="9"/>
      <c r="T90" s="47"/>
      <c r="U90" s="9"/>
      <c r="W90" s="67" t="str">
        <f>$A$4&amp;" "&amp;A91&amp;"("&amp;B91&amp;","&amp;C91&amp;"^)"</f>
        <v>삼천동1가 신일강변('97.01.,900^)</v>
      </c>
      <c r="X90" s="68"/>
      <c r="Y90" s="68"/>
      <c r="Z90" s="68"/>
      <c r="AA90" s="68"/>
      <c r="AB90" s="68"/>
      <c r="AC90" s="68"/>
      <c r="AD90" s="68"/>
      <c r="AE90" s="68"/>
      <c r="AF90" s="69"/>
      <c r="AH90" s="20" t="str">
        <f t="shared" si="50"/>
        <v/>
      </c>
      <c r="AI90" s="108" t="str">
        <f t="shared" si="49"/>
        <v/>
      </c>
      <c r="AJ90" s="76"/>
      <c r="AK90" s="76"/>
      <c r="AL90" s="76"/>
      <c r="AM90" s="76"/>
      <c r="AN90" s="76"/>
      <c r="AO90" s="76"/>
      <c r="AP90" s="76"/>
      <c r="AQ90" s="76"/>
      <c r="AR90" s="76"/>
      <c r="AS90" s="76"/>
      <c r="AT90" s="76"/>
      <c r="AU90" s="76"/>
      <c r="AV90" s="76"/>
    </row>
    <row r="91" spans="1:48" x14ac:dyDescent="0.3">
      <c r="A91" s="9" t="s">
        <v>723</v>
      </c>
      <c r="B91" s="10" t="s">
        <v>1853</v>
      </c>
      <c r="C91" s="87">
        <v>900</v>
      </c>
      <c r="D91" s="85">
        <v>76.5</v>
      </c>
      <c r="E91" s="86">
        <v>23</v>
      </c>
      <c r="F91" s="85">
        <v>60</v>
      </c>
      <c r="G91" s="17">
        <v>18</v>
      </c>
      <c r="H91" s="87">
        <v>540</v>
      </c>
      <c r="I91" s="88">
        <v>16800</v>
      </c>
      <c r="J91" s="88" t="s">
        <v>84</v>
      </c>
      <c r="K91" s="88"/>
      <c r="L91" s="88"/>
      <c r="M91" s="89">
        <f>I91-K91</f>
        <v>16800</v>
      </c>
      <c r="N91" s="4">
        <f>IF(ISERROR(K91/I91),"",K91/I91)</f>
        <v>0</v>
      </c>
      <c r="O91" s="90">
        <f>I91/E91</f>
        <v>730.43478260869563</v>
      </c>
      <c r="P91" s="90">
        <f>K91/E91</f>
        <v>0</v>
      </c>
      <c r="Q91" s="76">
        <v>3</v>
      </c>
      <c r="R91" s="76">
        <v>1</v>
      </c>
      <c r="S91" s="76" t="s">
        <v>61</v>
      </c>
      <c r="T91" s="5">
        <v>76</v>
      </c>
      <c r="U91" s="9"/>
      <c r="W91" s="85">
        <f>D91</f>
        <v>76.5</v>
      </c>
      <c r="X91" s="86">
        <f>E91</f>
        <v>23</v>
      </c>
      <c r="Y91" s="91">
        <f>H91</f>
        <v>540</v>
      </c>
      <c r="Z91" s="89">
        <f>I91</f>
        <v>16800</v>
      </c>
      <c r="AA91" s="89">
        <f>K91</f>
        <v>0</v>
      </c>
      <c r="AB91" s="89">
        <f t="shared" ref="AB91:AD92" si="59">M91</f>
        <v>16800</v>
      </c>
      <c r="AC91" s="4">
        <f t="shared" si="59"/>
        <v>0</v>
      </c>
      <c r="AD91" s="90">
        <f t="shared" si="59"/>
        <v>730.43478260869563</v>
      </c>
      <c r="AE91" s="76" t="str">
        <f>S91</f>
        <v>계</v>
      </c>
      <c r="AF91" s="76" t="str">
        <f>Q91&amp;"/"&amp;R91</f>
        <v>3/1</v>
      </c>
      <c r="AH91" s="20" t="str">
        <f t="shared" si="50"/>
        <v>신일강변</v>
      </c>
      <c r="AI91" s="86">
        <f t="shared" si="49"/>
        <v>23</v>
      </c>
      <c r="AJ91" s="76" t="str">
        <f>IF(AI91="","",$AJ$2)</f>
        <v>A-</v>
      </c>
      <c r="AK91" s="76" t="s">
        <v>13</v>
      </c>
      <c r="AL91" s="76" t="s">
        <v>62</v>
      </c>
      <c r="AM91" s="76" t="s">
        <v>63</v>
      </c>
      <c r="AN91" s="76" t="str">
        <f>IF(AI91="","",$AN$2)</f>
        <v>C</v>
      </c>
      <c r="AO91" s="76" t="str">
        <f>IF(N91="","",IF(N91&gt;=$AO$1/100,"O","X"))</f>
        <v>X</v>
      </c>
      <c r="AP91" s="76" t="str">
        <f>IF(I91="","",IF(I91&lt;=$AP$1,"O","X"))</f>
        <v>O</v>
      </c>
      <c r="AQ91" s="76" t="str">
        <f>IF(O91="","",IF(O91&lt;=$AQ$1,"O","X"))</f>
        <v>O</v>
      </c>
      <c r="AR91" s="76" t="str">
        <f>IF(M91="","",IF(M91&lt;=$AR$1,"O","X"))</f>
        <v>X</v>
      </c>
      <c r="AS91" s="76" t="s">
        <v>2</v>
      </c>
      <c r="AT91" s="76" t="str">
        <f>IF(OR(F91="",AI91=""),"",IF(AND((F91&lt;=85),(AI91&gt;=15)),"O","X"))</f>
        <v>O</v>
      </c>
      <c r="AU91" s="76" t="str">
        <f>IF(C91="","",IF(C91&gt;=$AU$1,"O","X"))</f>
        <v>O</v>
      </c>
      <c r="AV91" s="76" t="str">
        <f>IF(AO91="","",IF(AND(AO91="O",AP91="O",AR91="O",AT91="O",AU91="O"),"후보","X"))</f>
        <v>X</v>
      </c>
    </row>
    <row r="92" spans="1:48" x14ac:dyDescent="0.3">
      <c r="A92" s="9" t="s">
        <v>723</v>
      </c>
      <c r="B92" s="10" t="s">
        <v>1853</v>
      </c>
      <c r="C92" s="87">
        <v>900</v>
      </c>
      <c r="D92" s="85">
        <v>108.3</v>
      </c>
      <c r="E92" s="86">
        <v>33</v>
      </c>
      <c r="F92" s="85">
        <v>84.9</v>
      </c>
      <c r="G92" s="17">
        <v>26</v>
      </c>
      <c r="H92" s="87">
        <v>360</v>
      </c>
      <c r="I92" s="88">
        <v>22000</v>
      </c>
      <c r="J92" s="88" t="s">
        <v>80</v>
      </c>
      <c r="K92" s="88">
        <v>22000</v>
      </c>
      <c r="L92" s="88" t="s">
        <v>71</v>
      </c>
      <c r="M92" s="89">
        <f>I92-K92</f>
        <v>0</v>
      </c>
      <c r="N92" s="4">
        <f>IF(ISERROR(K92/I92),"",K92/I92)</f>
        <v>1</v>
      </c>
      <c r="O92" s="90">
        <f>I92/E92</f>
        <v>666.66666666666663</v>
      </c>
      <c r="P92" s="90">
        <f>K92/E92</f>
        <v>666.66666666666663</v>
      </c>
      <c r="Q92" s="76">
        <v>3</v>
      </c>
      <c r="R92" s="76">
        <v>2</v>
      </c>
      <c r="S92" s="76" t="s">
        <v>61</v>
      </c>
      <c r="T92" s="5">
        <v>108</v>
      </c>
      <c r="U92" s="9"/>
      <c r="W92" s="85">
        <f>D92</f>
        <v>108.3</v>
      </c>
      <c r="X92" s="86">
        <f>E92</f>
        <v>33</v>
      </c>
      <c r="Y92" s="91">
        <f>H92</f>
        <v>360</v>
      </c>
      <c r="Z92" s="89">
        <f>I92</f>
        <v>22000</v>
      </c>
      <c r="AA92" s="89">
        <f>K92</f>
        <v>22000</v>
      </c>
      <c r="AB92" s="89">
        <f t="shared" si="59"/>
        <v>0</v>
      </c>
      <c r="AC92" s="4">
        <f t="shared" si="59"/>
        <v>1</v>
      </c>
      <c r="AD92" s="90">
        <f t="shared" si="59"/>
        <v>666.66666666666663</v>
      </c>
      <c r="AE92" s="76" t="str">
        <f>S92</f>
        <v>계</v>
      </c>
      <c r="AF92" s="76" t="str">
        <f>Q92&amp;"/"&amp;R92</f>
        <v>3/2</v>
      </c>
      <c r="AH92" s="20" t="str">
        <f t="shared" si="50"/>
        <v>신일강변</v>
      </c>
      <c r="AI92" s="86">
        <f t="shared" si="49"/>
        <v>33</v>
      </c>
      <c r="AJ92" s="76" t="str">
        <f>IF(AI92="","",$AJ$2)</f>
        <v>A-</v>
      </c>
      <c r="AK92" s="76" t="s">
        <v>13</v>
      </c>
      <c r="AL92" s="76" t="s">
        <v>62</v>
      </c>
      <c r="AM92" s="76" t="s">
        <v>63</v>
      </c>
      <c r="AN92" s="76" t="str">
        <f>IF(AI92="","",$AN$2)</f>
        <v>C</v>
      </c>
      <c r="AO92" s="76" t="str">
        <f>IF(N92="","",IF(N92&gt;=$AO$1/100,"O","X"))</f>
        <v>O</v>
      </c>
      <c r="AP92" s="76" t="str">
        <f>IF(I92="","",IF(I92&lt;=$AP$1,"O","X"))</f>
        <v>O</v>
      </c>
      <c r="AQ92" s="76" t="str">
        <f>IF(O92="","",IF(O92&lt;=$AQ$1,"O","X"))</f>
        <v>O</v>
      </c>
      <c r="AR92" s="76" t="str">
        <f>IF(M92="","",IF(M92&lt;=$AR$1,"O","X"))</f>
        <v>O</v>
      </c>
      <c r="AS92" s="76" t="s">
        <v>2</v>
      </c>
      <c r="AT92" s="76" t="str">
        <f>IF(OR(F92="",AI92=""),"",IF(AND((F92&lt;=85),(AI92&gt;=15)),"O","X"))</f>
        <v>O</v>
      </c>
      <c r="AU92" s="76" t="str">
        <f>IF(C92="","",IF(C92&gt;=$AU$1,"O","X"))</f>
        <v>O</v>
      </c>
      <c r="AV92" s="76" t="str">
        <f>IF(AO92="","",IF(AND(AO92="O",AP92="O",AR92="O",AT92="O",AU92="O"),"후보","X"))</f>
        <v>후보</v>
      </c>
    </row>
    <row r="93" spans="1:48" x14ac:dyDescent="0.3">
      <c r="A93" s="9"/>
      <c r="B93" s="76"/>
      <c r="C93" s="6"/>
      <c r="D93" s="9"/>
      <c r="E93" s="14"/>
      <c r="F93" s="85"/>
      <c r="G93" s="9"/>
      <c r="H93" s="9"/>
      <c r="I93" s="9"/>
      <c r="J93" s="9"/>
      <c r="K93" s="9"/>
      <c r="L93" s="9"/>
      <c r="M93" s="9"/>
      <c r="N93" s="9"/>
      <c r="O93" s="90"/>
      <c r="P93" s="90"/>
      <c r="Q93" s="86"/>
      <c r="R93" s="86"/>
      <c r="S93" s="9"/>
      <c r="T93" s="47"/>
      <c r="U93" s="9"/>
      <c r="W93" s="67" t="str">
        <f>$A$4&amp;" "&amp;A94&amp;"("&amp;B94&amp;","&amp;C94&amp;"^)"</f>
        <v>삼천동1가 삼천흥건1차('99.12.,538^)</v>
      </c>
      <c r="X93" s="68"/>
      <c r="Y93" s="68"/>
      <c r="Z93" s="68"/>
      <c r="AA93" s="68"/>
      <c r="AB93" s="68"/>
      <c r="AC93" s="68"/>
      <c r="AD93" s="68"/>
      <c r="AE93" s="68"/>
      <c r="AF93" s="69"/>
      <c r="AH93" s="20" t="str">
        <f t="shared" si="50"/>
        <v/>
      </c>
      <c r="AI93" s="108" t="str">
        <f t="shared" si="49"/>
        <v/>
      </c>
      <c r="AJ93" s="76"/>
      <c r="AK93" s="76"/>
      <c r="AL93" s="76"/>
      <c r="AM93" s="76"/>
      <c r="AN93" s="76"/>
      <c r="AO93" s="76"/>
      <c r="AP93" s="76"/>
      <c r="AQ93" s="76"/>
      <c r="AR93" s="76"/>
      <c r="AS93" s="76"/>
      <c r="AT93" s="76"/>
      <c r="AU93" s="76"/>
      <c r="AV93" s="76"/>
    </row>
    <row r="94" spans="1:48" x14ac:dyDescent="0.3">
      <c r="A94" s="9" t="s">
        <v>728</v>
      </c>
      <c r="B94" s="10" t="s">
        <v>1854</v>
      </c>
      <c r="C94" s="87">
        <v>538</v>
      </c>
      <c r="D94" s="85">
        <v>106.9</v>
      </c>
      <c r="E94" s="86">
        <v>32</v>
      </c>
      <c r="F94" s="85">
        <v>85</v>
      </c>
      <c r="G94" s="17">
        <v>26</v>
      </c>
      <c r="H94" s="87">
        <v>404</v>
      </c>
      <c r="I94" s="88">
        <v>27000</v>
      </c>
      <c r="J94" s="88" t="s">
        <v>89</v>
      </c>
      <c r="K94" s="88"/>
      <c r="L94" s="88"/>
      <c r="M94" s="89">
        <f>I94-K94</f>
        <v>27000</v>
      </c>
      <c r="N94" s="4">
        <f>IF(ISERROR(K94/I94),"",K94/I94)</f>
        <v>0</v>
      </c>
      <c r="O94" s="90">
        <f>I94/E94</f>
        <v>843.75</v>
      </c>
      <c r="P94" s="90">
        <f>K94/E94</f>
        <v>0</v>
      </c>
      <c r="Q94" s="76">
        <v>3</v>
      </c>
      <c r="R94" s="76">
        <v>2</v>
      </c>
      <c r="S94" s="76" t="s">
        <v>61</v>
      </c>
      <c r="T94" s="5">
        <v>106</v>
      </c>
      <c r="U94" s="9"/>
      <c r="W94" s="85">
        <f t="shared" ref="W94:X96" si="60">D94</f>
        <v>106.9</v>
      </c>
      <c r="X94" s="86">
        <f t="shared" si="60"/>
        <v>32</v>
      </c>
      <c r="Y94" s="91">
        <f t="shared" ref="Y94:Z96" si="61">H94</f>
        <v>404</v>
      </c>
      <c r="Z94" s="89">
        <f t="shared" si="61"/>
        <v>27000</v>
      </c>
      <c r="AA94" s="89">
        <f>K94</f>
        <v>0</v>
      </c>
      <c r="AB94" s="89">
        <f t="shared" ref="AB94:AD96" si="62">M94</f>
        <v>27000</v>
      </c>
      <c r="AC94" s="4">
        <f t="shared" si="62"/>
        <v>0</v>
      </c>
      <c r="AD94" s="90">
        <f t="shared" si="62"/>
        <v>843.75</v>
      </c>
      <c r="AE94" s="76" t="str">
        <f>S94</f>
        <v>계</v>
      </c>
      <c r="AF94" s="76" t="str">
        <f>Q94&amp;"/"&amp;R94</f>
        <v>3/2</v>
      </c>
      <c r="AH94" s="20" t="str">
        <f t="shared" si="50"/>
        <v>삼천흥건1차</v>
      </c>
      <c r="AI94" s="86">
        <f t="shared" si="49"/>
        <v>32</v>
      </c>
      <c r="AJ94" s="76" t="str">
        <f>IF(AI94="","",$AJ$2)</f>
        <v>A-</v>
      </c>
      <c r="AK94" s="76" t="s">
        <v>13</v>
      </c>
      <c r="AL94" s="76" t="s">
        <v>62</v>
      </c>
      <c r="AM94" s="76" t="s">
        <v>63</v>
      </c>
      <c r="AN94" s="76" t="str">
        <f>IF(AI94="","",$AN$2)</f>
        <v>C</v>
      </c>
      <c r="AO94" s="76" t="str">
        <f>IF(N94="","",IF(N94&gt;=$AO$1/100,"O","X"))</f>
        <v>X</v>
      </c>
      <c r="AP94" s="76" t="str">
        <f>IF(I94="","",IF(I94&lt;=$AP$1,"O","X"))</f>
        <v>O</v>
      </c>
      <c r="AQ94" s="76" t="str">
        <f>IF(O94="","",IF(O94&lt;=$AQ$1,"O","X"))</f>
        <v>O</v>
      </c>
      <c r="AR94" s="76" t="str">
        <f>IF(M94="","",IF(M94&lt;=$AR$1,"O","X"))</f>
        <v>X</v>
      </c>
      <c r="AS94" s="76" t="s">
        <v>2</v>
      </c>
      <c r="AT94" s="76" t="str">
        <f>IF(OR(F94="",AI94=""),"",IF(AND((F94&lt;=85),(AI94&gt;=15)),"O","X"))</f>
        <v>O</v>
      </c>
      <c r="AU94" s="76" t="str">
        <f>IF(C94="","",IF(C94&gt;=$AU$1,"O","X"))</f>
        <v>O</v>
      </c>
      <c r="AV94" s="76" t="str">
        <f>IF(AO94="","",IF(AND(AO94="O",AP94="O",AR94="O",AT94="O",AU94="O"),"후보","X"))</f>
        <v>X</v>
      </c>
    </row>
    <row r="95" spans="1:48" x14ac:dyDescent="0.3">
      <c r="A95" s="9" t="s">
        <v>728</v>
      </c>
      <c r="B95" s="10" t="s">
        <v>1854</v>
      </c>
      <c r="C95" s="87">
        <v>538</v>
      </c>
      <c r="D95" s="85">
        <v>122.2</v>
      </c>
      <c r="E95" s="86">
        <v>37</v>
      </c>
      <c r="F95" s="85">
        <v>99.2</v>
      </c>
      <c r="G95" s="17">
        <v>30</v>
      </c>
      <c r="H95" s="87">
        <v>72</v>
      </c>
      <c r="I95" s="88"/>
      <c r="J95" s="88"/>
      <c r="K95" s="88"/>
      <c r="L95" s="88"/>
      <c r="M95" s="89">
        <f>I95-K95</f>
        <v>0</v>
      </c>
      <c r="N95" s="4" t="str">
        <f>IF(ISERROR(K95/I95),"",K95/I95)</f>
        <v/>
      </c>
      <c r="O95" s="90">
        <f>I95/E95</f>
        <v>0</v>
      </c>
      <c r="P95" s="90">
        <f>K95/E95</f>
        <v>0</v>
      </c>
      <c r="Q95" s="76">
        <v>4</v>
      </c>
      <c r="R95" s="76">
        <v>2</v>
      </c>
      <c r="S95" s="76" t="s">
        <v>61</v>
      </c>
      <c r="T95" s="5">
        <v>122</v>
      </c>
      <c r="U95" s="9"/>
      <c r="W95" s="85">
        <f t="shared" si="60"/>
        <v>122.2</v>
      </c>
      <c r="X95" s="86">
        <f t="shared" si="60"/>
        <v>37</v>
      </c>
      <c r="Y95" s="91">
        <f t="shared" si="61"/>
        <v>72</v>
      </c>
      <c r="Z95" s="89">
        <f t="shared" si="61"/>
        <v>0</v>
      </c>
      <c r="AA95" s="89">
        <f>K95</f>
        <v>0</v>
      </c>
      <c r="AB95" s="89">
        <f t="shared" si="62"/>
        <v>0</v>
      </c>
      <c r="AC95" s="4" t="str">
        <f t="shared" si="62"/>
        <v/>
      </c>
      <c r="AD95" s="90">
        <f t="shared" si="62"/>
        <v>0</v>
      </c>
      <c r="AE95" s="76" t="str">
        <f>S95</f>
        <v>계</v>
      </c>
      <c r="AF95" s="76" t="str">
        <f>Q95&amp;"/"&amp;R95</f>
        <v>4/2</v>
      </c>
      <c r="AH95" s="20" t="str">
        <f t="shared" si="50"/>
        <v>삼천흥건1차</v>
      </c>
      <c r="AI95" s="86">
        <f t="shared" si="49"/>
        <v>37</v>
      </c>
      <c r="AJ95" s="76" t="str">
        <f>IF(AI95="","",$AJ$2)</f>
        <v>A-</v>
      </c>
      <c r="AK95" s="76" t="s">
        <v>13</v>
      </c>
      <c r="AL95" s="76" t="s">
        <v>62</v>
      </c>
      <c r="AM95" s="76" t="s">
        <v>63</v>
      </c>
      <c r="AN95" s="76" t="str">
        <f>IF(AI95="","",$AN$2)</f>
        <v>C</v>
      </c>
      <c r="AO95" s="76" t="str">
        <f>IF(N95="","",IF(N95&gt;=$AO$1/100,"O","X"))</f>
        <v/>
      </c>
      <c r="AP95" s="76" t="str">
        <f>IF(I95="","",IF(I95&lt;=$AP$1,"O","X"))</f>
        <v/>
      </c>
      <c r="AQ95" s="76" t="str">
        <f>IF(O95="","",IF(O95&lt;=$AQ$1,"O","X"))</f>
        <v>O</v>
      </c>
      <c r="AR95" s="76" t="str">
        <f>IF(M95="","",IF(M95&lt;=$AR$1,"O","X"))</f>
        <v>O</v>
      </c>
      <c r="AS95" s="76" t="s">
        <v>2</v>
      </c>
      <c r="AT95" s="76" t="str">
        <f>IF(OR(F95="",AI95=""),"",IF(AND((F95&lt;=85),(AI95&gt;=15)),"O","X"))</f>
        <v>X</v>
      </c>
      <c r="AU95" s="76" t="str">
        <f>IF(C95="","",IF(C95&gt;=$AU$1,"O","X"))</f>
        <v>O</v>
      </c>
      <c r="AV95" s="76" t="str">
        <f>IF(AO95="","",IF(AND(AO95="O",AP95="O",AR95="O",AT95="O",AU95="O"),"후보","X"))</f>
        <v/>
      </c>
    </row>
    <row r="96" spans="1:48" x14ac:dyDescent="0.3">
      <c r="A96" s="9" t="s">
        <v>728</v>
      </c>
      <c r="B96" s="10" t="s">
        <v>1854</v>
      </c>
      <c r="C96" s="87">
        <v>538</v>
      </c>
      <c r="D96" s="85">
        <v>155</v>
      </c>
      <c r="E96" s="86">
        <v>47</v>
      </c>
      <c r="F96" s="85">
        <v>129.4</v>
      </c>
      <c r="G96" s="17">
        <v>39</v>
      </c>
      <c r="H96" s="87">
        <v>62</v>
      </c>
      <c r="I96" s="88"/>
      <c r="J96" s="88"/>
      <c r="K96" s="88"/>
      <c r="L96" s="88"/>
      <c r="M96" s="89">
        <f>I96-K96</f>
        <v>0</v>
      </c>
      <c r="N96" s="4" t="str">
        <f>IF(ISERROR(K96/I96),"",K96/I96)</f>
        <v/>
      </c>
      <c r="O96" s="90">
        <f>I96/E96</f>
        <v>0</v>
      </c>
      <c r="P96" s="90">
        <f>K96/E96</f>
        <v>0</v>
      </c>
      <c r="Q96" s="76">
        <v>4</v>
      </c>
      <c r="R96" s="76">
        <v>2</v>
      </c>
      <c r="S96" s="76" t="s">
        <v>61</v>
      </c>
      <c r="T96" s="5">
        <v>155</v>
      </c>
      <c r="U96" s="9"/>
      <c r="W96" s="85">
        <f t="shared" si="60"/>
        <v>155</v>
      </c>
      <c r="X96" s="86">
        <f t="shared" si="60"/>
        <v>47</v>
      </c>
      <c r="Y96" s="91">
        <f t="shared" si="61"/>
        <v>62</v>
      </c>
      <c r="Z96" s="89">
        <f t="shared" si="61"/>
        <v>0</v>
      </c>
      <c r="AA96" s="89">
        <f>K96</f>
        <v>0</v>
      </c>
      <c r="AB96" s="89">
        <f t="shared" si="62"/>
        <v>0</v>
      </c>
      <c r="AC96" s="4" t="str">
        <f t="shared" si="62"/>
        <v/>
      </c>
      <c r="AD96" s="90">
        <f t="shared" si="62"/>
        <v>0</v>
      </c>
      <c r="AE96" s="76" t="str">
        <f>S96</f>
        <v>계</v>
      </c>
      <c r="AF96" s="76" t="str">
        <f>Q96&amp;"/"&amp;R96</f>
        <v>4/2</v>
      </c>
      <c r="AH96" s="20" t="str">
        <f t="shared" si="50"/>
        <v>삼천흥건1차</v>
      </c>
      <c r="AI96" s="86">
        <f t="shared" si="49"/>
        <v>47</v>
      </c>
      <c r="AJ96" s="76" t="str">
        <f>IF(AI96="","",$AJ$2)</f>
        <v>A-</v>
      </c>
      <c r="AK96" s="76" t="s">
        <v>13</v>
      </c>
      <c r="AL96" s="76" t="s">
        <v>62</v>
      </c>
      <c r="AM96" s="76" t="s">
        <v>63</v>
      </c>
      <c r="AN96" s="76" t="str">
        <f>IF(AI96="","",$AN$2)</f>
        <v>C</v>
      </c>
      <c r="AO96" s="76" t="str">
        <f>IF(N96="","",IF(N96&gt;=$AO$1/100,"O","X"))</f>
        <v/>
      </c>
      <c r="AP96" s="76" t="str">
        <f>IF(I96="","",IF(I96&lt;=$AP$1,"O","X"))</f>
        <v/>
      </c>
      <c r="AQ96" s="76" t="str">
        <f>IF(O96="","",IF(O96&lt;=$AQ$1,"O","X"))</f>
        <v>O</v>
      </c>
      <c r="AR96" s="76" t="str">
        <f>IF(M96="","",IF(M96&lt;=$AR$1,"O","X"))</f>
        <v>O</v>
      </c>
      <c r="AS96" s="76" t="s">
        <v>2</v>
      </c>
      <c r="AT96" s="76" t="str">
        <f>IF(OR(F96="",AI96=""),"",IF(AND((F96&lt;=85),(AI96&gt;=15)),"O","X"))</f>
        <v>X</v>
      </c>
      <c r="AU96" s="76" t="str">
        <f>IF(C96="","",IF(C96&gt;=$AU$1,"O","X"))</f>
        <v>O</v>
      </c>
      <c r="AV96" s="76" t="str">
        <f>IF(AO96="","",IF(AND(AO96="O",AP96="O",AR96="O",AT96="O",AU96="O"),"후보","X"))</f>
        <v/>
      </c>
    </row>
  </sheetData>
  <mergeCells count="1">
    <mergeCell ref="AJ1:AN1"/>
  </mergeCells>
  <phoneticPr fontId="2" type="noConversion"/>
  <conditionalFormatting sqref="AV4:AV6">
    <cfRule type="expression" dxfId="20273" priority="1366">
      <formula>AV4="X"</formula>
    </cfRule>
    <cfRule type="expression" dxfId="20272" priority="1367">
      <formula>AV4="후보"</formula>
    </cfRule>
  </conditionalFormatting>
  <conditionalFormatting sqref="AC1:AC2 AC4:AC6 N4:N5">
    <cfRule type="cellIs" dxfId="20271" priority="1363" operator="greaterThan">
      <formula>0.9</formula>
    </cfRule>
    <cfRule type="cellIs" dxfId="20270" priority="1364" operator="greaterThan">
      <formula>0.85</formula>
    </cfRule>
  </conditionalFormatting>
  <conditionalFormatting sqref="N1:N2">
    <cfRule type="cellIs" dxfId="20269" priority="1361" operator="greaterThan">
      <formula>0.9</formula>
    </cfRule>
    <cfRule type="cellIs" dxfId="20268" priority="1362" operator="greaterThan">
      <formula>0.85</formula>
    </cfRule>
  </conditionalFormatting>
  <conditionalFormatting sqref="N6">
    <cfRule type="cellIs" dxfId="20267" priority="1359" operator="greaterThan">
      <formula>0.9</formula>
    </cfRule>
    <cfRule type="cellIs" dxfId="20266" priority="1360" operator="greaterThan">
      <formula>0.85</formula>
    </cfRule>
  </conditionalFormatting>
  <conditionalFormatting sqref="E6">
    <cfRule type="expression" dxfId="20265" priority="1355">
      <formula>AND(IF(OR($Q6=1,$Q6=2),1,0),IF($X6&lt;=20,1,0))</formula>
    </cfRule>
    <cfRule type="expression" dxfId="20264" priority="1356">
      <formula>AND(IF($Q6=2,1,0),IF($X6&lt;30,1,0))</formula>
    </cfRule>
    <cfRule type="expression" dxfId="20263" priority="1357">
      <formula>AND(IF($Q6=3,1,0),IF($X6&lt;30,1,0))</formula>
    </cfRule>
    <cfRule type="expression" dxfId="20262" priority="1358">
      <formula>AND(IF($Q6=3,1,IF($Q6=4,1,0)),IF($F6&lt;=85,1,0))</formula>
    </cfRule>
  </conditionalFormatting>
  <conditionalFormatting sqref="X6">
    <cfRule type="expression" dxfId="20261" priority="1351">
      <formula>AND(IF(OR($Q6=1,$Q6=2),1,0),IF($X6&lt;=20,1,0))</formula>
    </cfRule>
    <cfRule type="expression" dxfId="20260" priority="1352">
      <formula>AND(IF($Q6=2,1,0),IF($X6&lt;30,1,0))</formula>
    </cfRule>
    <cfRule type="expression" dxfId="20259" priority="1353">
      <formula>AND(IF($Q6=3,1,0),IF($X6&lt;30,1,0))</formula>
    </cfRule>
    <cfRule type="expression" dxfId="20258" priority="1354">
      <formula>AND(IF($Q6=3,1,IF($Q6=4,1,0)),IF($F6&lt;=85,1,0))</formula>
    </cfRule>
  </conditionalFormatting>
  <conditionalFormatting sqref="AI6">
    <cfRule type="expression" dxfId="20257" priority="1347">
      <formula>AND(IF(OR($Q6=1,$Q6=2),1,0),IF($X6&lt;=20,1,0))</formula>
    </cfRule>
    <cfRule type="expression" dxfId="20256" priority="1348">
      <formula>AND(IF($Q6=2,1,0),IF($X6&lt;30,1,0))</formula>
    </cfRule>
    <cfRule type="expression" dxfId="20255" priority="1349">
      <formula>AND(IF($Q6=3,1,0),IF($X6&lt;30,1,0))</formula>
    </cfRule>
    <cfRule type="expression" dxfId="20254" priority="1350">
      <formula>AND(IF($Q6=3,1,IF($Q6=4,1,0)),IF($F6&lt;=85,1,0))</formula>
    </cfRule>
  </conditionalFormatting>
  <conditionalFormatting sqref="AV7">
    <cfRule type="expression" dxfId="20253" priority="1345">
      <formula>AV7="X"</formula>
    </cfRule>
    <cfRule type="expression" dxfId="20252" priority="1346">
      <formula>AV7="후보"</formula>
    </cfRule>
  </conditionalFormatting>
  <conditionalFormatting sqref="AC7">
    <cfRule type="cellIs" dxfId="20251" priority="1342" operator="greaterThan">
      <formula>0.9</formula>
    </cfRule>
    <cfRule type="cellIs" dxfId="20250" priority="1343" operator="greaterThan">
      <formula>0.85</formula>
    </cfRule>
  </conditionalFormatting>
  <conditionalFormatting sqref="N7">
    <cfRule type="cellIs" dxfId="20249" priority="1340" operator="greaterThan">
      <formula>0.9</formula>
    </cfRule>
    <cfRule type="cellIs" dxfId="20248" priority="1341" operator="greaterThan">
      <formula>0.85</formula>
    </cfRule>
  </conditionalFormatting>
  <conditionalFormatting sqref="E7">
    <cfRule type="expression" dxfId="20247" priority="1336">
      <formula>AND(IF(OR($Q7=1,$Q7=2),1,0),IF($X7&lt;=20,1,0))</formula>
    </cfRule>
    <cfRule type="expression" dxfId="20246" priority="1337">
      <formula>AND(IF($Q7=2,1,0),IF($X7&lt;30,1,0))</formula>
    </cfRule>
    <cfRule type="expression" dxfId="20245" priority="1338">
      <formula>AND(IF($Q7=3,1,0),IF($X7&lt;30,1,0))</formula>
    </cfRule>
    <cfRule type="expression" dxfId="20244" priority="1339">
      <formula>AND(IF($Q7=3,1,IF($Q7=4,1,0)),IF($F7&lt;=85,1,0))</formula>
    </cfRule>
  </conditionalFormatting>
  <conditionalFormatting sqref="X7">
    <cfRule type="expression" dxfId="20243" priority="1332">
      <formula>AND(IF(OR($Q7=1,$Q7=2),1,0),IF($X7&lt;=20,1,0))</formula>
    </cfRule>
    <cfRule type="expression" dxfId="20242" priority="1333">
      <formula>AND(IF($Q7=2,1,0),IF($X7&lt;30,1,0))</formula>
    </cfRule>
    <cfRule type="expression" dxfId="20241" priority="1334">
      <formula>AND(IF($Q7=3,1,0),IF($X7&lt;30,1,0))</formula>
    </cfRule>
    <cfRule type="expression" dxfId="20240" priority="1335">
      <formula>AND(IF($Q7=3,1,IF($Q7=4,1,0)),IF($F7&lt;=85,1,0))</formula>
    </cfRule>
  </conditionalFormatting>
  <conditionalFormatting sqref="AI7">
    <cfRule type="expression" dxfId="20239" priority="1328">
      <formula>AND(IF(OR($Q7=1,$Q7=2),1,0),IF($X7&lt;=20,1,0))</formula>
    </cfRule>
    <cfRule type="expression" dxfId="20238" priority="1329">
      <formula>AND(IF($Q7=2,1,0),IF($X7&lt;30,1,0))</formula>
    </cfRule>
    <cfRule type="expression" dxfId="20237" priority="1330">
      <formula>AND(IF($Q7=3,1,0),IF($X7&lt;30,1,0))</formula>
    </cfRule>
    <cfRule type="expression" dxfId="20236" priority="1331">
      <formula>AND(IF($Q7=3,1,IF($Q7=4,1,0)),IF($F7&lt;=85,1,0))</formula>
    </cfRule>
  </conditionalFormatting>
  <conditionalFormatting sqref="AV8">
    <cfRule type="expression" dxfId="20235" priority="1326">
      <formula>AV8="X"</formula>
    </cfRule>
    <cfRule type="expression" dxfId="20234" priority="1327">
      <formula>AV8="후보"</formula>
    </cfRule>
  </conditionalFormatting>
  <conditionalFormatting sqref="AC8 N8">
    <cfRule type="cellIs" dxfId="20233" priority="1323" operator="greaterThan">
      <formula>0.9</formula>
    </cfRule>
    <cfRule type="cellIs" dxfId="20232" priority="1324" operator="greaterThan">
      <formula>0.85</formula>
    </cfRule>
  </conditionalFormatting>
  <conditionalFormatting sqref="AV9">
    <cfRule type="expression" dxfId="20231" priority="1321">
      <formula>AV9="X"</formula>
    </cfRule>
    <cfRule type="expression" dxfId="20230" priority="1322">
      <formula>AV9="후보"</formula>
    </cfRule>
  </conditionalFormatting>
  <conditionalFormatting sqref="AC9">
    <cfRule type="cellIs" dxfId="20229" priority="1318" operator="greaterThan">
      <formula>0.9</formula>
    </cfRule>
    <cfRule type="cellIs" dxfId="20228" priority="1319" operator="greaterThan">
      <formula>0.85</formula>
    </cfRule>
  </conditionalFormatting>
  <conditionalFormatting sqref="N9">
    <cfRule type="cellIs" dxfId="20227" priority="1316" operator="greaterThan">
      <formula>0.9</formula>
    </cfRule>
    <cfRule type="cellIs" dxfId="20226" priority="1317" operator="greaterThan">
      <formula>0.85</formula>
    </cfRule>
  </conditionalFormatting>
  <conditionalFormatting sqref="E9">
    <cfRule type="expression" dxfId="20225" priority="1312">
      <formula>AND(IF(OR($Q9=1,$Q9=2),1,0),IF($X9&lt;=20,1,0))</formula>
    </cfRule>
    <cfRule type="expression" dxfId="20224" priority="1313">
      <formula>AND(IF($Q9=2,1,0),IF($X9&lt;30,1,0))</formula>
    </cfRule>
    <cfRule type="expression" dxfId="20223" priority="1314">
      <formula>AND(IF($Q9=3,1,0),IF($X9&lt;30,1,0))</formula>
    </cfRule>
    <cfRule type="expression" dxfId="20222" priority="1315">
      <formula>AND(IF($Q9=3,1,IF($Q9=4,1,0)),IF($F9&lt;=85,1,0))</formula>
    </cfRule>
  </conditionalFormatting>
  <conditionalFormatting sqref="X9">
    <cfRule type="expression" dxfId="20221" priority="1308">
      <formula>AND(IF(OR($Q9=1,$Q9=2),1,0),IF($X9&lt;=20,1,0))</formula>
    </cfRule>
    <cfRule type="expression" dxfId="20220" priority="1309">
      <formula>AND(IF($Q9=2,1,0),IF($X9&lt;30,1,0))</formula>
    </cfRule>
    <cfRule type="expression" dxfId="20219" priority="1310">
      <formula>AND(IF($Q9=3,1,0),IF($X9&lt;30,1,0))</formula>
    </cfRule>
    <cfRule type="expression" dxfId="20218" priority="1311">
      <formula>AND(IF($Q9=3,1,IF($Q9=4,1,0)),IF($F9&lt;=85,1,0))</formula>
    </cfRule>
  </conditionalFormatting>
  <conditionalFormatting sqref="AI9">
    <cfRule type="expression" dxfId="20217" priority="1304">
      <formula>AND(IF(OR($Q9=1,$Q9=2),1,0),IF($X9&lt;=20,1,0))</formula>
    </cfRule>
    <cfRule type="expression" dxfId="20216" priority="1305">
      <formula>AND(IF($Q9=2,1,0),IF($X9&lt;30,1,0))</formula>
    </cfRule>
    <cfRule type="expression" dxfId="20215" priority="1306">
      <formula>AND(IF($Q9=3,1,0),IF($X9&lt;30,1,0))</formula>
    </cfRule>
    <cfRule type="expression" dxfId="20214" priority="1307">
      <formula>AND(IF($Q9=3,1,IF($Q9=4,1,0)),IF($F9&lt;=85,1,0))</formula>
    </cfRule>
  </conditionalFormatting>
  <conditionalFormatting sqref="AV10">
    <cfRule type="expression" dxfId="20213" priority="1302">
      <formula>AV10="X"</formula>
    </cfRule>
    <cfRule type="expression" dxfId="20212" priority="1303">
      <formula>AV10="후보"</formula>
    </cfRule>
  </conditionalFormatting>
  <conditionalFormatting sqref="AC10 N10">
    <cfRule type="cellIs" dxfId="20211" priority="1299" operator="greaterThan">
      <formula>0.9</formula>
    </cfRule>
    <cfRule type="cellIs" dxfId="20210" priority="1300" operator="greaterThan">
      <formula>0.85</formula>
    </cfRule>
  </conditionalFormatting>
  <conditionalFormatting sqref="AV11">
    <cfRule type="expression" dxfId="20209" priority="1297">
      <formula>AV11="X"</formula>
    </cfRule>
    <cfRule type="expression" dxfId="20208" priority="1298">
      <formula>AV11="후보"</formula>
    </cfRule>
  </conditionalFormatting>
  <conditionalFormatting sqref="AC11">
    <cfRule type="cellIs" dxfId="20207" priority="1294" operator="greaterThan">
      <formula>0.9</formula>
    </cfRule>
    <cfRule type="cellIs" dxfId="20206" priority="1295" operator="greaterThan">
      <formula>0.85</formula>
    </cfRule>
  </conditionalFormatting>
  <conditionalFormatting sqref="N11">
    <cfRule type="cellIs" dxfId="20205" priority="1292" operator="greaterThan">
      <formula>0.9</formula>
    </cfRule>
    <cfRule type="cellIs" dxfId="20204" priority="1293" operator="greaterThan">
      <formula>0.85</formula>
    </cfRule>
  </conditionalFormatting>
  <conditionalFormatting sqref="E11">
    <cfRule type="expression" dxfId="20203" priority="1288">
      <formula>AND(IF(OR($Q11=1,$Q11=2),1,0),IF($X11&lt;=20,1,0))</formula>
    </cfRule>
    <cfRule type="expression" dxfId="20202" priority="1289">
      <formula>AND(IF($Q11=2,1,0),IF($X11&lt;30,1,0))</formula>
    </cfRule>
    <cfRule type="expression" dxfId="20201" priority="1290">
      <formula>AND(IF($Q11=3,1,0),IF($X11&lt;30,1,0))</formula>
    </cfRule>
    <cfRule type="expression" dxfId="20200" priority="1291">
      <formula>AND(IF($Q11=3,1,IF($Q11=4,1,0)),IF($F11&lt;=85,1,0))</formula>
    </cfRule>
  </conditionalFormatting>
  <conditionalFormatting sqref="X11">
    <cfRule type="expression" dxfId="20199" priority="1284">
      <formula>AND(IF(OR($Q11=1,$Q11=2),1,0),IF($X11&lt;=20,1,0))</formula>
    </cfRule>
    <cfRule type="expression" dxfId="20198" priority="1285">
      <formula>AND(IF($Q11=2,1,0),IF($X11&lt;30,1,0))</formula>
    </cfRule>
    <cfRule type="expression" dxfId="20197" priority="1286">
      <formula>AND(IF($Q11=3,1,0),IF($X11&lt;30,1,0))</formula>
    </cfRule>
    <cfRule type="expression" dxfId="20196" priority="1287">
      <formula>AND(IF($Q11=3,1,IF($Q11=4,1,0)),IF($F11&lt;=85,1,0))</formula>
    </cfRule>
  </conditionalFormatting>
  <conditionalFormatting sqref="AI11">
    <cfRule type="expression" dxfId="20195" priority="1280">
      <formula>AND(IF(OR($Q11=1,$Q11=2),1,0),IF($X11&lt;=20,1,0))</formula>
    </cfRule>
    <cfRule type="expression" dxfId="20194" priority="1281">
      <formula>AND(IF($Q11=2,1,0),IF($X11&lt;30,1,0))</formula>
    </cfRule>
    <cfRule type="expression" dxfId="20193" priority="1282">
      <formula>AND(IF($Q11=3,1,0),IF($X11&lt;30,1,0))</formula>
    </cfRule>
    <cfRule type="expression" dxfId="20192" priority="1283">
      <formula>AND(IF($Q11=3,1,IF($Q11=4,1,0)),IF($F11&lt;=85,1,0))</formula>
    </cfRule>
  </conditionalFormatting>
  <conditionalFormatting sqref="AV12">
    <cfRule type="expression" dxfId="20191" priority="1278">
      <formula>AV12="X"</formula>
    </cfRule>
    <cfRule type="expression" dxfId="20190" priority="1279">
      <formula>AV12="후보"</formula>
    </cfRule>
  </conditionalFormatting>
  <conditionalFormatting sqref="AC12 N12">
    <cfRule type="cellIs" dxfId="20189" priority="1275" operator="greaterThan">
      <formula>0.9</formula>
    </cfRule>
    <cfRule type="cellIs" dxfId="20188" priority="1276" operator="greaterThan">
      <formula>0.85</formula>
    </cfRule>
  </conditionalFormatting>
  <conditionalFormatting sqref="AV13">
    <cfRule type="expression" dxfId="20187" priority="1273">
      <formula>AV13="X"</formula>
    </cfRule>
    <cfRule type="expression" dxfId="20186" priority="1274">
      <formula>AV13="후보"</formula>
    </cfRule>
  </conditionalFormatting>
  <conditionalFormatting sqref="AC13">
    <cfRule type="cellIs" dxfId="20185" priority="1270" operator="greaterThan">
      <formula>0.9</formula>
    </cfRule>
    <cfRule type="cellIs" dxfId="20184" priority="1271" operator="greaterThan">
      <formula>0.85</formula>
    </cfRule>
  </conditionalFormatting>
  <conditionalFormatting sqref="N13">
    <cfRule type="cellIs" dxfId="20183" priority="1268" operator="greaterThan">
      <formula>0.9</formula>
    </cfRule>
    <cfRule type="cellIs" dxfId="20182" priority="1269" operator="greaterThan">
      <formula>0.85</formula>
    </cfRule>
  </conditionalFormatting>
  <conditionalFormatting sqref="E13">
    <cfRule type="expression" dxfId="20181" priority="1264">
      <formula>AND(IF(OR($Q13=1,$Q13=2),1,0),IF($X13&lt;=20,1,0))</formula>
    </cfRule>
    <cfRule type="expression" dxfId="20180" priority="1265">
      <formula>AND(IF($Q13=2,1,0),IF($X13&lt;30,1,0))</formula>
    </cfRule>
    <cfRule type="expression" dxfId="20179" priority="1266">
      <formula>AND(IF($Q13=3,1,0),IF($X13&lt;30,1,0))</formula>
    </cfRule>
    <cfRule type="expression" dxfId="20178" priority="1267">
      <formula>AND(IF($Q13=3,1,IF($Q13=4,1,0)),IF($F13&lt;=85,1,0))</formula>
    </cfRule>
  </conditionalFormatting>
  <conditionalFormatting sqref="X13">
    <cfRule type="expression" dxfId="20177" priority="1260">
      <formula>AND(IF(OR($Q13=1,$Q13=2),1,0),IF($X13&lt;=20,1,0))</formula>
    </cfRule>
    <cfRule type="expression" dxfId="20176" priority="1261">
      <formula>AND(IF($Q13=2,1,0),IF($X13&lt;30,1,0))</formula>
    </cfRule>
    <cfRule type="expression" dxfId="20175" priority="1262">
      <formula>AND(IF($Q13=3,1,0),IF($X13&lt;30,1,0))</formula>
    </cfRule>
    <cfRule type="expression" dxfId="20174" priority="1263">
      <formula>AND(IF($Q13=3,1,IF($Q13=4,1,0)),IF($F13&lt;=85,1,0))</formula>
    </cfRule>
  </conditionalFormatting>
  <conditionalFormatting sqref="AI13">
    <cfRule type="expression" dxfId="20173" priority="1256">
      <formula>AND(IF(OR($Q13=1,$Q13=2),1,0),IF($X13&lt;=20,1,0))</formula>
    </cfRule>
    <cfRule type="expression" dxfId="20172" priority="1257">
      <formula>AND(IF($Q13=2,1,0),IF($X13&lt;30,1,0))</formula>
    </cfRule>
    <cfRule type="expression" dxfId="20171" priority="1258">
      <formula>AND(IF($Q13=3,1,0),IF($X13&lt;30,1,0))</formula>
    </cfRule>
    <cfRule type="expression" dxfId="20170" priority="1259">
      <formula>AND(IF($Q13=3,1,IF($Q13=4,1,0)),IF($F13&lt;=85,1,0))</formula>
    </cfRule>
  </conditionalFormatting>
  <conditionalFormatting sqref="AV14">
    <cfRule type="expression" dxfId="20169" priority="1254">
      <formula>AV14="X"</formula>
    </cfRule>
    <cfRule type="expression" dxfId="20168" priority="1255">
      <formula>AV14="후보"</formula>
    </cfRule>
  </conditionalFormatting>
  <conditionalFormatting sqref="AC14">
    <cfRule type="cellIs" dxfId="20167" priority="1251" operator="greaterThan">
      <formula>0.9</formula>
    </cfRule>
    <cfRule type="cellIs" dxfId="20166" priority="1252" operator="greaterThan">
      <formula>0.85</formula>
    </cfRule>
  </conditionalFormatting>
  <conditionalFormatting sqref="N14">
    <cfRule type="cellIs" dxfId="20165" priority="1249" operator="greaterThan">
      <formula>0.9</formula>
    </cfRule>
    <cfRule type="cellIs" dxfId="20164" priority="1250" operator="greaterThan">
      <formula>0.85</formula>
    </cfRule>
  </conditionalFormatting>
  <conditionalFormatting sqref="E14">
    <cfRule type="expression" dxfId="20163" priority="1245">
      <formula>AND(IF(OR($Q14=1,$Q14=2),1,0),IF($X14&lt;=20,1,0))</formula>
    </cfRule>
    <cfRule type="expression" dxfId="20162" priority="1246">
      <formula>AND(IF($Q14=2,1,0),IF($X14&lt;30,1,0))</formula>
    </cfRule>
    <cfRule type="expression" dxfId="20161" priority="1247">
      <formula>AND(IF($Q14=3,1,0),IF($X14&lt;30,1,0))</formula>
    </cfRule>
    <cfRule type="expression" dxfId="20160" priority="1248">
      <formula>AND(IF($Q14=3,1,IF($Q14=4,1,0)),IF($F14&lt;=85,1,0))</formula>
    </cfRule>
  </conditionalFormatting>
  <conditionalFormatting sqref="X14">
    <cfRule type="expression" dxfId="20159" priority="1241">
      <formula>AND(IF(OR($Q14=1,$Q14=2),1,0),IF($X14&lt;=20,1,0))</formula>
    </cfRule>
    <cfRule type="expression" dxfId="20158" priority="1242">
      <formula>AND(IF($Q14=2,1,0),IF($X14&lt;30,1,0))</formula>
    </cfRule>
    <cfRule type="expression" dxfId="20157" priority="1243">
      <formula>AND(IF($Q14=3,1,0),IF($X14&lt;30,1,0))</formula>
    </cfRule>
    <cfRule type="expression" dxfId="20156" priority="1244">
      <formula>AND(IF($Q14=3,1,IF($Q14=4,1,0)),IF($F14&lt;=85,1,0))</formula>
    </cfRule>
  </conditionalFormatting>
  <conditionalFormatting sqref="AI14">
    <cfRule type="expression" dxfId="20155" priority="1237">
      <formula>AND(IF(OR($Q14=1,$Q14=2),1,0),IF($X14&lt;=20,1,0))</formula>
    </cfRule>
    <cfRule type="expression" dxfId="20154" priority="1238">
      <formula>AND(IF($Q14=2,1,0),IF($X14&lt;30,1,0))</formula>
    </cfRule>
    <cfRule type="expression" dxfId="20153" priority="1239">
      <formula>AND(IF($Q14=3,1,0),IF($X14&lt;30,1,0))</formula>
    </cfRule>
    <cfRule type="expression" dxfId="20152" priority="1240">
      <formula>AND(IF($Q14=3,1,IF($Q14=4,1,0)),IF($F14&lt;=85,1,0))</formula>
    </cfRule>
  </conditionalFormatting>
  <conditionalFormatting sqref="AV15">
    <cfRule type="expression" dxfId="20151" priority="1235">
      <formula>AV15="X"</formula>
    </cfRule>
    <cfRule type="expression" dxfId="20150" priority="1236">
      <formula>AV15="후보"</formula>
    </cfRule>
  </conditionalFormatting>
  <conditionalFormatting sqref="AC15">
    <cfRule type="cellIs" dxfId="20149" priority="1232" operator="greaterThan">
      <formula>0.9</formula>
    </cfRule>
    <cfRule type="cellIs" dxfId="20148" priority="1233" operator="greaterThan">
      <formula>0.85</formula>
    </cfRule>
  </conditionalFormatting>
  <conditionalFormatting sqref="N15">
    <cfRule type="cellIs" dxfId="20147" priority="1230" operator="greaterThan">
      <formula>0.9</formula>
    </cfRule>
    <cfRule type="cellIs" dxfId="20146" priority="1231" operator="greaterThan">
      <formula>0.85</formula>
    </cfRule>
  </conditionalFormatting>
  <conditionalFormatting sqref="E15">
    <cfRule type="expression" dxfId="20145" priority="1226">
      <formula>AND(IF(OR($Q15=1,$Q15=2),1,0),IF($X15&lt;=20,1,0))</formula>
    </cfRule>
    <cfRule type="expression" dxfId="20144" priority="1227">
      <formula>AND(IF($Q15=2,1,0),IF($X15&lt;30,1,0))</formula>
    </cfRule>
    <cfRule type="expression" dxfId="20143" priority="1228">
      <formula>AND(IF($Q15=3,1,0),IF($X15&lt;30,1,0))</formula>
    </cfRule>
    <cfRule type="expression" dxfId="20142" priority="1229">
      <formula>AND(IF($Q15=3,1,IF($Q15=4,1,0)),IF($F15&lt;=85,1,0))</formula>
    </cfRule>
  </conditionalFormatting>
  <conditionalFormatting sqref="X15">
    <cfRule type="expression" dxfId="20141" priority="1222">
      <formula>AND(IF(OR($Q15=1,$Q15=2),1,0),IF($X15&lt;=20,1,0))</formula>
    </cfRule>
    <cfRule type="expression" dxfId="20140" priority="1223">
      <formula>AND(IF($Q15=2,1,0),IF($X15&lt;30,1,0))</formula>
    </cfRule>
    <cfRule type="expression" dxfId="20139" priority="1224">
      <formula>AND(IF($Q15=3,1,0),IF($X15&lt;30,1,0))</formula>
    </cfRule>
    <cfRule type="expression" dxfId="20138" priority="1225">
      <formula>AND(IF($Q15=3,1,IF($Q15=4,1,0)),IF($F15&lt;=85,1,0))</formula>
    </cfRule>
  </conditionalFormatting>
  <conditionalFormatting sqref="AI15">
    <cfRule type="expression" dxfId="20137" priority="1218">
      <formula>AND(IF(OR($Q15=1,$Q15=2),1,0),IF($X15&lt;=20,1,0))</formula>
    </cfRule>
    <cfRule type="expression" dxfId="20136" priority="1219">
      <formula>AND(IF($Q15=2,1,0),IF($X15&lt;30,1,0))</formula>
    </cfRule>
    <cfRule type="expression" dxfId="20135" priority="1220">
      <formula>AND(IF($Q15=3,1,0),IF($X15&lt;30,1,0))</formula>
    </cfRule>
    <cfRule type="expression" dxfId="20134" priority="1221">
      <formula>AND(IF($Q15=3,1,IF($Q15=4,1,0)),IF($F15&lt;=85,1,0))</formula>
    </cfRule>
  </conditionalFormatting>
  <conditionalFormatting sqref="AV16">
    <cfRule type="expression" dxfId="20133" priority="1216">
      <formula>AV16="X"</formula>
    </cfRule>
    <cfRule type="expression" dxfId="20132" priority="1217">
      <formula>AV16="후보"</formula>
    </cfRule>
  </conditionalFormatting>
  <conditionalFormatting sqref="AC16 N16">
    <cfRule type="cellIs" dxfId="20131" priority="1213" operator="greaterThan">
      <formula>0.9</formula>
    </cfRule>
    <cfRule type="cellIs" dxfId="20130" priority="1214" operator="greaterThan">
      <formula>0.85</formula>
    </cfRule>
  </conditionalFormatting>
  <conditionalFormatting sqref="AV17">
    <cfRule type="expression" dxfId="20129" priority="1211">
      <formula>AV17="X"</formula>
    </cfRule>
    <cfRule type="expression" dxfId="20128" priority="1212">
      <formula>AV17="후보"</formula>
    </cfRule>
  </conditionalFormatting>
  <conditionalFormatting sqref="AC17">
    <cfRule type="cellIs" dxfId="20127" priority="1208" operator="greaterThan">
      <formula>0.9</formula>
    </cfRule>
    <cfRule type="cellIs" dxfId="20126" priority="1209" operator="greaterThan">
      <formula>0.85</formula>
    </cfRule>
  </conditionalFormatting>
  <conditionalFormatting sqref="N17">
    <cfRule type="cellIs" dxfId="20125" priority="1206" operator="greaterThan">
      <formula>0.9</formula>
    </cfRule>
    <cfRule type="cellIs" dxfId="20124" priority="1207" operator="greaterThan">
      <formula>0.85</formula>
    </cfRule>
  </conditionalFormatting>
  <conditionalFormatting sqref="E17">
    <cfRule type="expression" dxfId="20123" priority="1202">
      <formula>AND(IF(OR($Q17=1,$Q17=2),1,0),IF($X17&lt;=20,1,0))</formula>
    </cfRule>
    <cfRule type="expression" dxfId="20122" priority="1203">
      <formula>AND(IF($Q17=2,1,0),IF($X17&lt;30,1,0))</formula>
    </cfRule>
    <cfRule type="expression" dxfId="20121" priority="1204">
      <formula>AND(IF($Q17=3,1,0),IF($X17&lt;30,1,0))</formula>
    </cfRule>
    <cfRule type="expression" dxfId="20120" priority="1205">
      <formula>AND(IF($Q17=3,1,IF($Q17=4,1,0)),IF($F17&lt;=85,1,0))</formula>
    </cfRule>
  </conditionalFormatting>
  <conditionalFormatting sqref="X17">
    <cfRule type="expression" dxfId="20119" priority="1198">
      <formula>AND(IF(OR($Q17=1,$Q17=2),1,0),IF($X17&lt;=20,1,0))</formula>
    </cfRule>
    <cfRule type="expression" dxfId="20118" priority="1199">
      <formula>AND(IF($Q17=2,1,0),IF($X17&lt;30,1,0))</formula>
    </cfRule>
    <cfRule type="expression" dxfId="20117" priority="1200">
      <formula>AND(IF($Q17=3,1,0),IF($X17&lt;30,1,0))</formula>
    </cfRule>
    <cfRule type="expression" dxfId="20116" priority="1201">
      <formula>AND(IF($Q17=3,1,IF($Q17=4,1,0)),IF($F17&lt;=85,1,0))</formula>
    </cfRule>
  </conditionalFormatting>
  <conditionalFormatting sqref="AI17">
    <cfRule type="expression" dxfId="20115" priority="1194">
      <formula>AND(IF(OR($Q17=1,$Q17=2),1,0),IF($X17&lt;=20,1,0))</formula>
    </cfRule>
    <cfRule type="expression" dxfId="20114" priority="1195">
      <formula>AND(IF($Q17=2,1,0),IF($X17&lt;30,1,0))</formula>
    </cfRule>
    <cfRule type="expression" dxfId="20113" priority="1196">
      <formula>AND(IF($Q17=3,1,0),IF($X17&lt;30,1,0))</formula>
    </cfRule>
    <cfRule type="expression" dxfId="20112" priority="1197">
      <formula>AND(IF($Q17=3,1,IF($Q17=4,1,0)),IF($F17&lt;=85,1,0))</formula>
    </cfRule>
  </conditionalFormatting>
  <conditionalFormatting sqref="AV18">
    <cfRule type="expression" dxfId="20111" priority="1192">
      <formula>AV18="X"</formula>
    </cfRule>
    <cfRule type="expression" dxfId="20110" priority="1193">
      <formula>AV18="후보"</formula>
    </cfRule>
  </conditionalFormatting>
  <conditionalFormatting sqref="AC18">
    <cfRule type="cellIs" dxfId="20109" priority="1189" operator="greaterThan">
      <formula>0.9</formula>
    </cfRule>
    <cfRule type="cellIs" dxfId="20108" priority="1190" operator="greaterThan">
      <formula>0.85</formula>
    </cfRule>
  </conditionalFormatting>
  <conditionalFormatting sqref="N18">
    <cfRule type="cellIs" dxfId="20107" priority="1187" operator="greaterThan">
      <formula>0.9</formula>
    </cfRule>
    <cfRule type="cellIs" dxfId="20106" priority="1188" operator="greaterThan">
      <formula>0.85</formula>
    </cfRule>
  </conditionalFormatting>
  <conditionalFormatting sqref="E18">
    <cfRule type="expression" dxfId="20105" priority="1183">
      <formula>AND(IF(OR($Q18=1,$Q18=2),1,0),IF($X18&lt;=20,1,0))</formula>
    </cfRule>
    <cfRule type="expression" dxfId="20104" priority="1184">
      <formula>AND(IF($Q18=2,1,0),IF($X18&lt;30,1,0))</formula>
    </cfRule>
    <cfRule type="expression" dxfId="20103" priority="1185">
      <formula>AND(IF($Q18=3,1,0),IF($X18&lt;30,1,0))</formula>
    </cfRule>
    <cfRule type="expression" dxfId="20102" priority="1186">
      <formula>AND(IF($Q18=3,1,IF($Q18=4,1,0)),IF($F18&lt;=85,1,0))</formula>
    </cfRule>
  </conditionalFormatting>
  <conditionalFormatting sqref="X18">
    <cfRule type="expression" dxfId="20101" priority="1179">
      <formula>AND(IF(OR($Q18=1,$Q18=2),1,0),IF($X18&lt;=20,1,0))</formula>
    </cfRule>
    <cfRule type="expression" dxfId="20100" priority="1180">
      <formula>AND(IF($Q18=2,1,0),IF($X18&lt;30,1,0))</formula>
    </cfRule>
    <cfRule type="expression" dxfId="20099" priority="1181">
      <formula>AND(IF($Q18=3,1,0),IF($X18&lt;30,1,0))</formula>
    </cfRule>
    <cfRule type="expression" dxfId="20098" priority="1182">
      <formula>AND(IF($Q18=3,1,IF($Q18=4,1,0)),IF($F18&lt;=85,1,0))</formula>
    </cfRule>
  </conditionalFormatting>
  <conditionalFormatting sqref="AI18">
    <cfRule type="expression" dxfId="20097" priority="1175">
      <formula>AND(IF(OR($Q18=1,$Q18=2),1,0),IF($X18&lt;=20,1,0))</formula>
    </cfRule>
    <cfRule type="expression" dxfId="20096" priority="1176">
      <formula>AND(IF($Q18=2,1,0),IF($X18&lt;30,1,0))</formula>
    </cfRule>
    <cfRule type="expression" dxfId="20095" priority="1177">
      <formula>AND(IF($Q18=3,1,0),IF($X18&lt;30,1,0))</formula>
    </cfRule>
    <cfRule type="expression" dxfId="20094" priority="1178">
      <formula>AND(IF($Q18=3,1,IF($Q18=4,1,0)),IF($F18&lt;=85,1,0))</formula>
    </cfRule>
  </conditionalFormatting>
  <conditionalFormatting sqref="AV19">
    <cfRule type="expression" dxfId="20093" priority="1173">
      <formula>AV19="X"</formula>
    </cfRule>
    <cfRule type="expression" dxfId="20092" priority="1174">
      <formula>AV19="후보"</formula>
    </cfRule>
  </conditionalFormatting>
  <conditionalFormatting sqref="AC19">
    <cfRule type="cellIs" dxfId="20091" priority="1170" operator="greaterThan">
      <formula>0.9</formula>
    </cfRule>
    <cfRule type="cellIs" dxfId="20090" priority="1171" operator="greaterThan">
      <formula>0.85</formula>
    </cfRule>
  </conditionalFormatting>
  <conditionalFormatting sqref="N19">
    <cfRule type="cellIs" dxfId="20089" priority="1168" operator="greaterThan">
      <formula>0.9</formula>
    </cfRule>
    <cfRule type="cellIs" dxfId="20088" priority="1169" operator="greaterThan">
      <formula>0.85</formula>
    </cfRule>
  </conditionalFormatting>
  <conditionalFormatting sqref="E19">
    <cfRule type="expression" dxfId="20087" priority="1164">
      <formula>AND(IF(OR($Q19=1,$Q19=2),1,0),IF($X19&lt;=20,1,0))</formula>
    </cfRule>
    <cfRule type="expression" dxfId="20086" priority="1165">
      <formula>AND(IF($Q19=2,1,0),IF($X19&lt;30,1,0))</formula>
    </cfRule>
    <cfRule type="expression" dxfId="20085" priority="1166">
      <formula>AND(IF($Q19=3,1,0),IF($X19&lt;30,1,0))</formula>
    </cfRule>
    <cfRule type="expression" dxfId="20084" priority="1167">
      <formula>AND(IF($Q19=3,1,IF($Q19=4,1,0)),IF($F19&lt;=85,1,0))</formula>
    </cfRule>
  </conditionalFormatting>
  <conditionalFormatting sqref="X19">
    <cfRule type="expression" dxfId="20083" priority="1160">
      <formula>AND(IF(OR($Q19=1,$Q19=2),1,0),IF($X19&lt;=20,1,0))</formula>
    </cfRule>
    <cfRule type="expression" dxfId="20082" priority="1161">
      <formula>AND(IF($Q19=2,1,0),IF($X19&lt;30,1,0))</formula>
    </cfRule>
    <cfRule type="expression" dxfId="20081" priority="1162">
      <formula>AND(IF($Q19=3,1,0),IF($X19&lt;30,1,0))</formula>
    </cfRule>
    <cfRule type="expression" dxfId="20080" priority="1163">
      <formula>AND(IF($Q19=3,1,IF($Q19=4,1,0)),IF($F19&lt;=85,1,0))</formula>
    </cfRule>
  </conditionalFormatting>
  <conditionalFormatting sqref="AI19">
    <cfRule type="expression" dxfId="20079" priority="1156">
      <formula>AND(IF(OR($Q19=1,$Q19=2),1,0),IF($X19&lt;=20,1,0))</formula>
    </cfRule>
    <cfRule type="expression" dxfId="20078" priority="1157">
      <formula>AND(IF($Q19=2,1,0),IF($X19&lt;30,1,0))</formula>
    </cfRule>
    <cfRule type="expression" dxfId="20077" priority="1158">
      <formula>AND(IF($Q19=3,1,0),IF($X19&lt;30,1,0))</formula>
    </cfRule>
    <cfRule type="expression" dxfId="20076" priority="1159">
      <formula>AND(IF($Q19=3,1,IF($Q19=4,1,0)),IF($F19&lt;=85,1,0))</formula>
    </cfRule>
  </conditionalFormatting>
  <conditionalFormatting sqref="AV20">
    <cfRule type="expression" dxfId="20075" priority="1154">
      <formula>AV20="X"</formula>
    </cfRule>
    <cfRule type="expression" dxfId="20074" priority="1155">
      <formula>AV20="후보"</formula>
    </cfRule>
  </conditionalFormatting>
  <conditionalFormatting sqref="AC20">
    <cfRule type="cellIs" dxfId="20073" priority="1151" operator="greaterThan">
      <formula>0.9</formula>
    </cfRule>
    <cfRule type="cellIs" dxfId="20072" priority="1152" operator="greaterThan">
      <formula>0.85</formula>
    </cfRule>
  </conditionalFormatting>
  <conditionalFormatting sqref="N20">
    <cfRule type="cellIs" dxfId="20071" priority="1149" operator="greaterThan">
      <formula>0.9</formula>
    </cfRule>
    <cfRule type="cellIs" dxfId="20070" priority="1150" operator="greaterThan">
      <formula>0.85</formula>
    </cfRule>
  </conditionalFormatting>
  <conditionalFormatting sqref="E20">
    <cfRule type="expression" dxfId="20069" priority="1145">
      <formula>AND(IF(OR($Q20=1,$Q20=2),1,0),IF($X20&lt;=20,1,0))</formula>
    </cfRule>
    <cfRule type="expression" dxfId="20068" priority="1146">
      <formula>AND(IF($Q20=2,1,0),IF($X20&lt;30,1,0))</formula>
    </cfRule>
    <cfRule type="expression" dxfId="20067" priority="1147">
      <formula>AND(IF($Q20=3,1,0),IF($X20&lt;30,1,0))</formula>
    </cfRule>
    <cfRule type="expression" dxfId="20066" priority="1148">
      <formula>AND(IF($Q20=3,1,IF($Q20=4,1,0)),IF($F20&lt;=85,1,0))</formula>
    </cfRule>
  </conditionalFormatting>
  <conditionalFormatting sqref="X20">
    <cfRule type="expression" dxfId="20065" priority="1141">
      <formula>AND(IF(OR($Q20=1,$Q20=2),1,0),IF($X20&lt;=20,1,0))</formula>
    </cfRule>
    <cfRule type="expression" dxfId="20064" priority="1142">
      <formula>AND(IF($Q20=2,1,0),IF($X20&lt;30,1,0))</formula>
    </cfRule>
    <cfRule type="expression" dxfId="20063" priority="1143">
      <formula>AND(IF($Q20=3,1,0),IF($X20&lt;30,1,0))</formula>
    </cfRule>
    <cfRule type="expression" dxfId="20062" priority="1144">
      <formula>AND(IF($Q20=3,1,IF($Q20=4,1,0)),IF($F20&lt;=85,1,0))</formula>
    </cfRule>
  </conditionalFormatting>
  <conditionalFormatting sqref="AI20">
    <cfRule type="expression" dxfId="20061" priority="1137">
      <formula>AND(IF(OR($Q20=1,$Q20=2),1,0),IF($X20&lt;=20,1,0))</formula>
    </cfRule>
    <cfRule type="expression" dxfId="20060" priority="1138">
      <formula>AND(IF($Q20=2,1,0),IF($X20&lt;30,1,0))</formula>
    </cfRule>
    <cfRule type="expression" dxfId="20059" priority="1139">
      <formula>AND(IF($Q20=3,1,0),IF($X20&lt;30,1,0))</formula>
    </cfRule>
    <cfRule type="expression" dxfId="20058" priority="1140">
      <formula>AND(IF($Q20=3,1,IF($Q20=4,1,0)),IF($F20&lt;=85,1,0))</formula>
    </cfRule>
  </conditionalFormatting>
  <conditionalFormatting sqref="AV21">
    <cfRule type="expression" dxfId="20057" priority="1135">
      <formula>AV21="X"</formula>
    </cfRule>
    <cfRule type="expression" dxfId="20056" priority="1136">
      <formula>AV21="후보"</formula>
    </cfRule>
  </conditionalFormatting>
  <conditionalFormatting sqref="AC21 N21">
    <cfRule type="cellIs" dxfId="20055" priority="1132" operator="greaterThan">
      <formula>0.9</formula>
    </cfRule>
    <cfRule type="cellIs" dxfId="20054" priority="1133" operator="greaterThan">
      <formula>0.85</formula>
    </cfRule>
  </conditionalFormatting>
  <conditionalFormatting sqref="AV22">
    <cfRule type="expression" dxfId="20053" priority="1130">
      <formula>AV22="X"</formula>
    </cfRule>
    <cfRule type="expression" dxfId="20052" priority="1131">
      <formula>AV22="후보"</formula>
    </cfRule>
  </conditionalFormatting>
  <conditionalFormatting sqref="AC22">
    <cfRule type="cellIs" dxfId="20051" priority="1127" operator="greaterThan">
      <formula>0.9</formula>
    </cfRule>
    <cfRule type="cellIs" dxfId="20050" priority="1128" operator="greaterThan">
      <formula>0.85</formula>
    </cfRule>
  </conditionalFormatting>
  <conditionalFormatting sqref="N22">
    <cfRule type="cellIs" dxfId="20049" priority="1125" operator="greaterThan">
      <formula>0.9</formula>
    </cfRule>
    <cfRule type="cellIs" dxfId="20048" priority="1126" operator="greaterThan">
      <formula>0.85</formula>
    </cfRule>
  </conditionalFormatting>
  <conditionalFormatting sqref="E22">
    <cfRule type="expression" dxfId="20047" priority="1121">
      <formula>AND(IF(OR($Q22=1,$Q22=2),1,0),IF($X22&lt;=20,1,0))</formula>
    </cfRule>
    <cfRule type="expression" dxfId="20046" priority="1122">
      <formula>AND(IF($Q22=2,1,0),IF($X22&lt;30,1,0))</formula>
    </cfRule>
    <cfRule type="expression" dxfId="20045" priority="1123">
      <formula>AND(IF($Q22=3,1,0),IF($X22&lt;30,1,0))</formula>
    </cfRule>
    <cfRule type="expression" dxfId="20044" priority="1124">
      <formula>AND(IF($Q22=3,1,IF($Q22=4,1,0)),IF($F22&lt;=85,1,0))</formula>
    </cfRule>
  </conditionalFormatting>
  <conditionalFormatting sqref="X22">
    <cfRule type="expression" dxfId="20043" priority="1117">
      <formula>AND(IF(OR($Q22=1,$Q22=2),1,0),IF($X22&lt;=20,1,0))</formula>
    </cfRule>
    <cfRule type="expression" dxfId="20042" priority="1118">
      <formula>AND(IF($Q22=2,1,0),IF($X22&lt;30,1,0))</formula>
    </cfRule>
    <cfRule type="expression" dxfId="20041" priority="1119">
      <formula>AND(IF($Q22=3,1,0),IF($X22&lt;30,1,0))</formula>
    </cfRule>
    <cfRule type="expression" dxfId="20040" priority="1120">
      <formula>AND(IF($Q22=3,1,IF($Q22=4,1,0)),IF($F22&lt;=85,1,0))</formula>
    </cfRule>
  </conditionalFormatting>
  <conditionalFormatting sqref="AI22">
    <cfRule type="expression" dxfId="20039" priority="1113">
      <formula>AND(IF(OR($Q22=1,$Q22=2),1,0),IF($X22&lt;=20,1,0))</formula>
    </cfRule>
    <cfRule type="expression" dxfId="20038" priority="1114">
      <formula>AND(IF($Q22=2,1,0),IF($X22&lt;30,1,0))</formula>
    </cfRule>
    <cfRule type="expression" dxfId="20037" priority="1115">
      <formula>AND(IF($Q22=3,1,0),IF($X22&lt;30,1,0))</formula>
    </cfRule>
    <cfRule type="expression" dxfId="20036" priority="1116">
      <formula>AND(IF($Q22=3,1,IF($Q22=4,1,0)),IF($F22&lt;=85,1,0))</formula>
    </cfRule>
  </conditionalFormatting>
  <conditionalFormatting sqref="AV23">
    <cfRule type="expression" dxfId="20035" priority="1111">
      <formula>AV23="X"</formula>
    </cfRule>
    <cfRule type="expression" dxfId="20034" priority="1112">
      <formula>AV23="후보"</formula>
    </cfRule>
  </conditionalFormatting>
  <conditionalFormatting sqref="AC23 N23">
    <cfRule type="cellIs" dxfId="20033" priority="1108" operator="greaterThan">
      <formula>0.9</formula>
    </cfRule>
    <cfRule type="cellIs" dxfId="20032" priority="1109" operator="greaterThan">
      <formula>0.85</formula>
    </cfRule>
  </conditionalFormatting>
  <conditionalFormatting sqref="AV24">
    <cfRule type="expression" dxfId="20031" priority="1106">
      <formula>AV24="X"</formula>
    </cfRule>
    <cfRule type="expression" dxfId="20030" priority="1107">
      <formula>AV24="후보"</formula>
    </cfRule>
  </conditionalFormatting>
  <conditionalFormatting sqref="AC24">
    <cfRule type="cellIs" dxfId="20029" priority="1103" operator="greaterThan">
      <formula>0.9</formula>
    </cfRule>
    <cfRule type="cellIs" dxfId="20028" priority="1104" operator="greaterThan">
      <formula>0.85</formula>
    </cfRule>
  </conditionalFormatting>
  <conditionalFormatting sqref="N24">
    <cfRule type="cellIs" dxfId="20027" priority="1101" operator="greaterThan">
      <formula>0.9</formula>
    </cfRule>
    <cfRule type="cellIs" dxfId="20026" priority="1102" operator="greaterThan">
      <formula>0.85</formula>
    </cfRule>
  </conditionalFormatting>
  <conditionalFormatting sqref="E24">
    <cfRule type="expression" dxfId="20025" priority="1097">
      <formula>AND(IF(OR($Q24=1,$Q24=2),1,0),IF($X24&lt;=20,1,0))</formula>
    </cfRule>
    <cfRule type="expression" dxfId="20024" priority="1098">
      <formula>AND(IF($Q24=2,1,0),IF($X24&lt;30,1,0))</formula>
    </cfRule>
    <cfRule type="expression" dxfId="20023" priority="1099">
      <formula>AND(IF($Q24=3,1,0),IF($X24&lt;30,1,0))</formula>
    </cfRule>
    <cfRule type="expression" dxfId="20022" priority="1100">
      <formula>AND(IF($Q24=3,1,IF($Q24=4,1,0)),IF($F24&lt;=85,1,0))</formula>
    </cfRule>
  </conditionalFormatting>
  <conditionalFormatting sqref="X24">
    <cfRule type="expression" dxfId="20021" priority="1093">
      <formula>AND(IF(OR($Q24=1,$Q24=2),1,0),IF($X24&lt;=20,1,0))</formula>
    </cfRule>
    <cfRule type="expression" dxfId="20020" priority="1094">
      <formula>AND(IF($Q24=2,1,0),IF($X24&lt;30,1,0))</formula>
    </cfRule>
    <cfRule type="expression" dxfId="20019" priority="1095">
      <formula>AND(IF($Q24=3,1,0),IF($X24&lt;30,1,0))</formula>
    </cfRule>
    <cfRule type="expression" dxfId="20018" priority="1096">
      <formula>AND(IF($Q24=3,1,IF($Q24=4,1,0)),IF($F24&lt;=85,1,0))</formula>
    </cfRule>
  </conditionalFormatting>
  <conditionalFormatting sqref="AI24">
    <cfRule type="expression" dxfId="20017" priority="1089">
      <formula>AND(IF(OR($Q24=1,$Q24=2),1,0),IF($X24&lt;=20,1,0))</formula>
    </cfRule>
    <cfRule type="expression" dxfId="20016" priority="1090">
      <formula>AND(IF($Q24=2,1,0),IF($X24&lt;30,1,0))</formula>
    </cfRule>
    <cfRule type="expression" dxfId="20015" priority="1091">
      <formula>AND(IF($Q24=3,1,0),IF($X24&lt;30,1,0))</formula>
    </cfRule>
    <cfRule type="expression" dxfId="20014" priority="1092">
      <formula>AND(IF($Q24=3,1,IF($Q24=4,1,0)),IF($F24&lt;=85,1,0))</formula>
    </cfRule>
  </conditionalFormatting>
  <conditionalFormatting sqref="AV25">
    <cfRule type="expression" dxfId="20013" priority="1087">
      <formula>AV25="X"</formula>
    </cfRule>
    <cfRule type="expression" dxfId="20012" priority="1088">
      <formula>AV25="후보"</formula>
    </cfRule>
  </conditionalFormatting>
  <conditionalFormatting sqref="AC25">
    <cfRule type="cellIs" dxfId="20011" priority="1084" operator="greaterThan">
      <formula>0.9</formula>
    </cfRule>
    <cfRule type="cellIs" dxfId="20010" priority="1085" operator="greaterThan">
      <formula>0.85</formula>
    </cfRule>
  </conditionalFormatting>
  <conditionalFormatting sqref="N25">
    <cfRule type="cellIs" dxfId="20009" priority="1082" operator="greaterThan">
      <formula>0.9</formula>
    </cfRule>
    <cfRule type="cellIs" dxfId="20008" priority="1083" operator="greaterThan">
      <formula>0.85</formula>
    </cfRule>
  </conditionalFormatting>
  <conditionalFormatting sqref="E25">
    <cfRule type="expression" dxfId="20007" priority="1078">
      <formula>AND(IF(OR($Q25=1,$Q25=2),1,0),IF($X25&lt;=20,1,0))</formula>
    </cfRule>
    <cfRule type="expression" dxfId="20006" priority="1079">
      <formula>AND(IF($Q25=2,1,0),IF($X25&lt;30,1,0))</formula>
    </cfRule>
    <cfRule type="expression" dxfId="20005" priority="1080">
      <formula>AND(IF($Q25=3,1,0),IF($X25&lt;30,1,0))</formula>
    </cfRule>
    <cfRule type="expression" dxfId="20004" priority="1081">
      <formula>AND(IF($Q25=3,1,IF($Q25=4,1,0)),IF($F25&lt;=85,1,0))</formula>
    </cfRule>
  </conditionalFormatting>
  <conditionalFormatting sqref="X25">
    <cfRule type="expression" dxfId="20003" priority="1074">
      <formula>AND(IF(OR($Q25=1,$Q25=2),1,0),IF($X25&lt;=20,1,0))</formula>
    </cfRule>
    <cfRule type="expression" dxfId="20002" priority="1075">
      <formula>AND(IF($Q25=2,1,0),IF($X25&lt;30,1,0))</formula>
    </cfRule>
    <cfRule type="expression" dxfId="20001" priority="1076">
      <formula>AND(IF($Q25=3,1,0),IF($X25&lt;30,1,0))</formula>
    </cfRule>
    <cfRule type="expression" dxfId="20000" priority="1077">
      <formula>AND(IF($Q25=3,1,IF($Q25=4,1,0)),IF($F25&lt;=85,1,0))</formula>
    </cfRule>
  </conditionalFormatting>
  <conditionalFormatting sqref="AI25">
    <cfRule type="expression" dxfId="19999" priority="1070">
      <formula>AND(IF(OR($Q25=1,$Q25=2),1,0),IF($X25&lt;=20,1,0))</formula>
    </cfRule>
    <cfRule type="expression" dxfId="19998" priority="1071">
      <formula>AND(IF($Q25=2,1,0),IF($X25&lt;30,1,0))</formula>
    </cfRule>
    <cfRule type="expression" dxfId="19997" priority="1072">
      <formula>AND(IF($Q25=3,1,0),IF($X25&lt;30,1,0))</formula>
    </cfRule>
    <cfRule type="expression" dxfId="19996" priority="1073">
      <formula>AND(IF($Q25=3,1,IF($Q25=4,1,0)),IF($F25&lt;=85,1,0))</formula>
    </cfRule>
  </conditionalFormatting>
  <conditionalFormatting sqref="AV26">
    <cfRule type="expression" dxfId="19995" priority="1068">
      <formula>AV26="X"</formula>
    </cfRule>
    <cfRule type="expression" dxfId="19994" priority="1069">
      <formula>AV26="후보"</formula>
    </cfRule>
  </conditionalFormatting>
  <conditionalFormatting sqref="AC26 N26">
    <cfRule type="cellIs" dxfId="19993" priority="1065" operator="greaterThan">
      <formula>0.9</formula>
    </cfRule>
    <cfRule type="cellIs" dxfId="19992" priority="1066" operator="greaterThan">
      <formula>0.85</formula>
    </cfRule>
  </conditionalFormatting>
  <conditionalFormatting sqref="AV27">
    <cfRule type="expression" dxfId="19991" priority="1063">
      <formula>AV27="X"</formula>
    </cfRule>
    <cfRule type="expression" dxfId="19990" priority="1064">
      <formula>AV27="후보"</formula>
    </cfRule>
  </conditionalFormatting>
  <conditionalFormatting sqref="AC27">
    <cfRule type="cellIs" dxfId="19989" priority="1060" operator="greaterThan">
      <formula>0.9</formula>
    </cfRule>
    <cfRule type="cellIs" dxfId="19988" priority="1061" operator="greaterThan">
      <formula>0.85</formula>
    </cfRule>
  </conditionalFormatting>
  <conditionalFormatting sqref="N27">
    <cfRule type="cellIs" dxfId="19987" priority="1058" operator="greaterThan">
      <formula>0.9</formula>
    </cfRule>
    <cfRule type="cellIs" dxfId="19986" priority="1059" operator="greaterThan">
      <formula>0.85</formula>
    </cfRule>
  </conditionalFormatting>
  <conditionalFormatting sqref="E27">
    <cfRule type="expression" dxfId="19985" priority="1054">
      <formula>AND(IF(OR($Q27=1,$Q27=2),1,0),IF($X27&lt;=20,1,0))</formula>
    </cfRule>
    <cfRule type="expression" dxfId="19984" priority="1055">
      <formula>AND(IF($Q27=2,1,0),IF($X27&lt;30,1,0))</formula>
    </cfRule>
    <cfRule type="expression" dxfId="19983" priority="1056">
      <formula>AND(IF($Q27=3,1,0),IF($X27&lt;30,1,0))</formula>
    </cfRule>
    <cfRule type="expression" dxfId="19982" priority="1057">
      <formula>AND(IF($Q27=3,1,IF($Q27=4,1,0)),IF($F27&lt;=85,1,0))</formula>
    </cfRule>
  </conditionalFormatting>
  <conditionalFormatting sqref="X27">
    <cfRule type="expression" dxfId="19981" priority="1050">
      <formula>AND(IF(OR($Q27=1,$Q27=2),1,0),IF($X27&lt;=20,1,0))</formula>
    </cfRule>
    <cfRule type="expression" dxfId="19980" priority="1051">
      <formula>AND(IF($Q27=2,1,0),IF($X27&lt;30,1,0))</formula>
    </cfRule>
    <cfRule type="expression" dxfId="19979" priority="1052">
      <formula>AND(IF($Q27=3,1,0),IF($X27&lt;30,1,0))</formula>
    </cfRule>
    <cfRule type="expression" dxfId="19978" priority="1053">
      <formula>AND(IF($Q27=3,1,IF($Q27=4,1,0)),IF($F27&lt;=85,1,0))</formula>
    </cfRule>
  </conditionalFormatting>
  <conditionalFormatting sqref="AI27">
    <cfRule type="expression" dxfId="19977" priority="1046">
      <formula>AND(IF(OR($Q27=1,$Q27=2),1,0),IF($X27&lt;=20,1,0))</formula>
    </cfRule>
    <cfRule type="expression" dxfId="19976" priority="1047">
      <formula>AND(IF($Q27=2,1,0),IF($X27&lt;30,1,0))</formula>
    </cfRule>
    <cfRule type="expression" dxfId="19975" priority="1048">
      <formula>AND(IF($Q27=3,1,0),IF($X27&lt;30,1,0))</formula>
    </cfRule>
    <cfRule type="expression" dxfId="19974" priority="1049">
      <formula>AND(IF($Q27=3,1,IF($Q27=4,1,0)),IF($F27&lt;=85,1,0))</formula>
    </cfRule>
  </conditionalFormatting>
  <conditionalFormatting sqref="AV28">
    <cfRule type="expression" dxfId="19973" priority="1044">
      <formula>AV28="X"</formula>
    </cfRule>
    <cfRule type="expression" dxfId="19972" priority="1045">
      <formula>AV28="후보"</formula>
    </cfRule>
  </conditionalFormatting>
  <conditionalFormatting sqref="AC28 N28">
    <cfRule type="cellIs" dxfId="19971" priority="1041" operator="greaterThan">
      <formula>0.9</formula>
    </cfRule>
    <cfRule type="cellIs" dxfId="19970" priority="1042" operator="greaterThan">
      <formula>0.85</formula>
    </cfRule>
  </conditionalFormatting>
  <conditionalFormatting sqref="AV29">
    <cfRule type="expression" dxfId="19969" priority="1039">
      <formula>AV29="X"</formula>
    </cfRule>
    <cfRule type="expression" dxfId="19968" priority="1040">
      <formula>AV29="후보"</formula>
    </cfRule>
  </conditionalFormatting>
  <conditionalFormatting sqref="AC29">
    <cfRule type="cellIs" dxfId="19967" priority="1036" operator="greaterThan">
      <formula>0.9</formula>
    </cfRule>
    <cfRule type="cellIs" dxfId="19966" priority="1037" operator="greaterThan">
      <formula>0.85</formula>
    </cfRule>
  </conditionalFormatting>
  <conditionalFormatting sqref="N29">
    <cfRule type="cellIs" dxfId="19965" priority="1034" operator="greaterThan">
      <formula>0.9</formula>
    </cfRule>
    <cfRule type="cellIs" dxfId="19964" priority="1035" operator="greaterThan">
      <formula>0.85</formula>
    </cfRule>
  </conditionalFormatting>
  <conditionalFormatting sqref="E29">
    <cfRule type="expression" dxfId="19963" priority="1030">
      <formula>AND(IF(OR($Q29=1,$Q29=2),1,0),IF($X29&lt;=20,1,0))</formula>
    </cfRule>
    <cfRule type="expression" dxfId="19962" priority="1031">
      <formula>AND(IF($Q29=2,1,0),IF($X29&lt;30,1,0))</formula>
    </cfRule>
    <cfRule type="expression" dxfId="19961" priority="1032">
      <formula>AND(IF($Q29=3,1,0),IF($X29&lt;30,1,0))</formula>
    </cfRule>
    <cfRule type="expression" dxfId="19960" priority="1033">
      <formula>AND(IF($Q29=3,1,IF($Q29=4,1,0)),IF($F29&lt;=85,1,0))</formula>
    </cfRule>
  </conditionalFormatting>
  <conditionalFormatting sqref="X29">
    <cfRule type="expression" dxfId="19959" priority="1026">
      <formula>AND(IF(OR($Q29=1,$Q29=2),1,0),IF($X29&lt;=20,1,0))</formula>
    </cfRule>
    <cfRule type="expression" dxfId="19958" priority="1027">
      <formula>AND(IF($Q29=2,1,0),IF($X29&lt;30,1,0))</formula>
    </cfRule>
    <cfRule type="expression" dxfId="19957" priority="1028">
      <formula>AND(IF($Q29=3,1,0),IF($X29&lt;30,1,0))</formula>
    </cfRule>
    <cfRule type="expression" dxfId="19956" priority="1029">
      <formula>AND(IF($Q29=3,1,IF($Q29=4,1,0)),IF($F29&lt;=85,1,0))</formula>
    </cfRule>
  </conditionalFormatting>
  <conditionalFormatting sqref="AI29">
    <cfRule type="expression" dxfId="19955" priority="1022">
      <formula>AND(IF(OR($Q29=1,$Q29=2),1,0),IF($X29&lt;=20,1,0))</formula>
    </cfRule>
    <cfRule type="expression" dxfId="19954" priority="1023">
      <formula>AND(IF($Q29=2,1,0),IF($X29&lt;30,1,0))</formula>
    </cfRule>
    <cfRule type="expression" dxfId="19953" priority="1024">
      <formula>AND(IF($Q29=3,1,0),IF($X29&lt;30,1,0))</formula>
    </cfRule>
    <cfRule type="expression" dxfId="19952" priority="1025">
      <formula>AND(IF($Q29=3,1,IF($Q29=4,1,0)),IF($F29&lt;=85,1,0))</formula>
    </cfRule>
  </conditionalFormatting>
  <conditionalFormatting sqref="AV30">
    <cfRule type="expression" dxfId="19951" priority="1020">
      <formula>AV30="X"</formula>
    </cfRule>
    <cfRule type="expression" dxfId="19950" priority="1021">
      <formula>AV30="후보"</formula>
    </cfRule>
  </conditionalFormatting>
  <conditionalFormatting sqref="AC30">
    <cfRule type="cellIs" dxfId="19949" priority="1017" operator="greaterThan">
      <formula>0.9</formula>
    </cfRule>
    <cfRule type="cellIs" dxfId="19948" priority="1018" operator="greaterThan">
      <formula>0.85</formula>
    </cfRule>
  </conditionalFormatting>
  <conditionalFormatting sqref="N30">
    <cfRule type="cellIs" dxfId="19947" priority="1015" operator="greaterThan">
      <formula>0.9</formula>
    </cfRule>
    <cfRule type="cellIs" dxfId="19946" priority="1016" operator="greaterThan">
      <formula>0.85</formula>
    </cfRule>
  </conditionalFormatting>
  <conditionalFormatting sqref="E30">
    <cfRule type="expression" dxfId="19945" priority="1011">
      <formula>AND(IF(OR($Q30=1,$Q30=2),1,0),IF($X30&lt;=20,1,0))</formula>
    </cfRule>
    <cfRule type="expression" dxfId="19944" priority="1012">
      <formula>AND(IF($Q30=2,1,0),IF($X30&lt;30,1,0))</formula>
    </cfRule>
    <cfRule type="expression" dxfId="19943" priority="1013">
      <formula>AND(IF($Q30=3,1,0),IF($X30&lt;30,1,0))</formula>
    </cfRule>
    <cfRule type="expression" dxfId="19942" priority="1014">
      <formula>AND(IF($Q30=3,1,IF($Q30=4,1,0)),IF($F30&lt;=85,1,0))</formula>
    </cfRule>
  </conditionalFormatting>
  <conditionalFormatting sqref="X30">
    <cfRule type="expression" dxfId="19941" priority="1007">
      <formula>AND(IF(OR($Q30=1,$Q30=2),1,0),IF($X30&lt;=20,1,0))</formula>
    </cfRule>
    <cfRule type="expression" dxfId="19940" priority="1008">
      <formula>AND(IF($Q30=2,1,0),IF($X30&lt;30,1,0))</formula>
    </cfRule>
    <cfRule type="expression" dxfId="19939" priority="1009">
      <formula>AND(IF($Q30=3,1,0),IF($X30&lt;30,1,0))</formula>
    </cfRule>
    <cfRule type="expression" dxfId="19938" priority="1010">
      <formula>AND(IF($Q30=3,1,IF($Q30=4,1,0)),IF($F30&lt;=85,1,0))</formula>
    </cfRule>
  </conditionalFormatting>
  <conditionalFormatting sqref="AI30">
    <cfRule type="expression" dxfId="19937" priority="1003">
      <formula>AND(IF(OR($Q30=1,$Q30=2),1,0),IF($X30&lt;=20,1,0))</formula>
    </cfRule>
    <cfRule type="expression" dxfId="19936" priority="1004">
      <formula>AND(IF($Q30=2,1,0),IF($X30&lt;30,1,0))</formula>
    </cfRule>
    <cfRule type="expression" dxfId="19935" priority="1005">
      <formula>AND(IF($Q30=3,1,0),IF($X30&lt;30,1,0))</formula>
    </cfRule>
    <cfRule type="expression" dxfId="19934" priority="1006">
      <formula>AND(IF($Q30=3,1,IF($Q30=4,1,0)),IF($F30&lt;=85,1,0))</formula>
    </cfRule>
  </conditionalFormatting>
  <conditionalFormatting sqref="AV31">
    <cfRule type="expression" dxfId="19933" priority="1001">
      <formula>AV31="X"</formula>
    </cfRule>
    <cfRule type="expression" dxfId="19932" priority="1002">
      <formula>AV31="후보"</formula>
    </cfRule>
  </conditionalFormatting>
  <conditionalFormatting sqref="AC31 N31">
    <cfRule type="cellIs" dxfId="19931" priority="998" operator="greaterThan">
      <formula>0.9</formula>
    </cfRule>
    <cfRule type="cellIs" dxfId="19930" priority="999" operator="greaterThan">
      <formula>0.85</formula>
    </cfRule>
  </conditionalFormatting>
  <conditionalFormatting sqref="AV32">
    <cfRule type="expression" dxfId="19929" priority="996">
      <formula>AV32="X"</formula>
    </cfRule>
    <cfRule type="expression" dxfId="19928" priority="997">
      <formula>AV32="후보"</formula>
    </cfRule>
  </conditionalFormatting>
  <conditionalFormatting sqref="AC32">
    <cfRule type="cellIs" dxfId="19927" priority="993" operator="greaterThan">
      <formula>0.9</formula>
    </cfRule>
    <cfRule type="cellIs" dxfId="19926" priority="994" operator="greaterThan">
      <formula>0.85</formula>
    </cfRule>
  </conditionalFormatting>
  <conditionalFormatting sqref="N32">
    <cfRule type="cellIs" dxfId="19925" priority="991" operator="greaterThan">
      <formula>0.9</formula>
    </cfRule>
    <cfRule type="cellIs" dxfId="19924" priority="992" operator="greaterThan">
      <formula>0.85</formula>
    </cfRule>
  </conditionalFormatting>
  <conditionalFormatting sqref="E32">
    <cfRule type="expression" dxfId="19923" priority="987">
      <formula>AND(IF(OR($Q32=1,$Q32=2),1,0),IF($X32&lt;=20,1,0))</formula>
    </cfRule>
    <cfRule type="expression" dxfId="19922" priority="988">
      <formula>AND(IF($Q32=2,1,0),IF($X32&lt;30,1,0))</formula>
    </cfRule>
    <cfRule type="expression" dxfId="19921" priority="989">
      <formula>AND(IF($Q32=3,1,0),IF($X32&lt;30,1,0))</formula>
    </cfRule>
    <cfRule type="expression" dxfId="19920" priority="990">
      <formula>AND(IF($Q32=3,1,IF($Q32=4,1,0)),IF($F32&lt;=85,1,0))</formula>
    </cfRule>
  </conditionalFormatting>
  <conditionalFormatting sqref="X32">
    <cfRule type="expression" dxfId="19919" priority="983">
      <formula>AND(IF(OR($Q32=1,$Q32=2),1,0),IF($X32&lt;=20,1,0))</formula>
    </cfRule>
    <cfRule type="expression" dxfId="19918" priority="984">
      <formula>AND(IF($Q32=2,1,0),IF($X32&lt;30,1,0))</formula>
    </cfRule>
    <cfRule type="expression" dxfId="19917" priority="985">
      <formula>AND(IF($Q32=3,1,0),IF($X32&lt;30,1,0))</formula>
    </cfRule>
    <cfRule type="expression" dxfId="19916" priority="986">
      <formula>AND(IF($Q32=3,1,IF($Q32=4,1,0)),IF($F32&lt;=85,1,0))</formula>
    </cfRule>
  </conditionalFormatting>
  <conditionalFormatting sqref="AI32">
    <cfRule type="expression" dxfId="19915" priority="979">
      <formula>AND(IF(OR($Q32=1,$Q32=2),1,0),IF($X32&lt;=20,1,0))</formula>
    </cfRule>
    <cfRule type="expression" dxfId="19914" priority="980">
      <formula>AND(IF($Q32=2,1,0),IF($X32&lt;30,1,0))</formula>
    </cfRule>
    <cfRule type="expression" dxfId="19913" priority="981">
      <formula>AND(IF($Q32=3,1,0),IF($X32&lt;30,1,0))</formula>
    </cfRule>
    <cfRule type="expression" dxfId="19912" priority="982">
      <formula>AND(IF($Q32=3,1,IF($Q32=4,1,0)),IF($F32&lt;=85,1,0))</formula>
    </cfRule>
  </conditionalFormatting>
  <conditionalFormatting sqref="AV33">
    <cfRule type="expression" dxfId="19911" priority="977">
      <formula>AV33="X"</formula>
    </cfRule>
    <cfRule type="expression" dxfId="19910" priority="978">
      <formula>AV33="후보"</formula>
    </cfRule>
  </conditionalFormatting>
  <conditionalFormatting sqref="AC33 N33">
    <cfRule type="cellIs" dxfId="19909" priority="974" operator="greaterThan">
      <formula>0.9</formula>
    </cfRule>
    <cfRule type="cellIs" dxfId="19908" priority="975" operator="greaterThan">
      <formula>0.85</formula>
    </cfRule>
  </conditionalFormatting>
  <conditionalFormatting sqref="AV34">
    <cfRule type="expression" dxfId="19907" priority="972">
      <formula>AV34="X"</formula>
    </cfRule>
    <cfRule type="expression" dxfId="19906" priority="973">
      <formula>AV34="후보"</formula>
    </cfRule>
  </conditionalFormatting>
  <conditionalFormatting sqref="AC34">
    <cfRule type="cellIs" dxfId="19905" priority="969" operator="greaterThan">
      <formula>0.9</formula>
    </cfRule>
    <cfRule type="cellIs" dxfId="19904" priority="970" operator="greaterThan">
      <formula>0.85</formula>
    </cfRule>
  </conditionalFormatting>
  <conditionalFormatting sqref="N34">
    <cfRule type="cellIs" dxfId="19903" priority="967" operator="greaterThan">
      <formula>0.9</formula>
    </cfRule>
    <cfRule type="cellIs" dxfId="19902" priority="968" operator="greaterThan">
      <formula>0.85</formula>
    </cfRule>
  </conditionalFormatting>
  <conditionalFormatting sqref="E34">
    <cfRule type="expression" dxfId="19901" priority="963">
      <formula>AND(IF(OR($Q34=1,$Q34=2),1,0),IF($X34&lt;=20,1,0))</formula>
    </cfRule>
    <cfRule type="expression" dxfId="19900" priority="964">
      <formula>AND(IF($Q34=2,1,0),IF($X34&lt;30,1,0))</formula>
    </cfRule>
    <cfRule type="expression" dxfId="19899" priority="965">
      <formula>AND(IF($Q34=3,1,0),IF($X34&lt;30,1,0))</formula>
    </cfRule>
    <cfRule type="expression" dxfId="19898" priority="966">
      <formula>AND(IF($Q34=3,1,IF($Q34=4,1,0)),IF($F34&lt;=85,1,0))</formula>
    </cfRule>
  </conditionalFormatting>
  <conditionalFormatting sqref="X34">
    <cfRule type="expression" dxfId="19897" priority="959">
      <formula>AND(IF(OR($Q34=1,$Q34=2),1,0),IF($X34&lt;=20,1,0))</formula>
    </cfRule>
    <cfRule type="expression" dxfId="19896" priority="960">
      <formula>AND(IF($Q34=2,1,0),IF($X34&lt;30,1,0))</formula>
    </cfRule>
    <cfRule type="expression" dxfId="19895" priority="961">
      <formula>AND(IF($Q34=3,1,0),IF($X34&lt;30,1,0))</formula>
    </cfRule>
    <cfRule type="expression" dxfId="19894" priority="962">
      <formula>AND(IF($Q34=3,1,IF($Q34=4,1,0)),IF($F34&lt;=85,1,0))</formula>
    </cfRule>
  </conditionalFormatting>
  <conditionalFormatting sqref="AI34">
    <cfRule type="expression" dxfId="19893" priority="955">
      <formula>AND(IF(OR($Q34=1,$Q34=2),1,0),IF($X34&lt;=20,1,0))</formula>
    </cfRule>
    <cfRule type="expression" dxfId="19892" priority="956">
      <formula>AND(IF($Q34=2,1,0),IF($X34&lt;30,1,0))</formula>
    </cfRule>
    <cfRule type="expression" dxfId="19891" priority="957">
      <formula>AND(IF($Q34=3,1,0),IF($X34&lt;30,1,0))</formula>
    </cfRule>
    <cfRule type="expression" dxfId="19890" priority="958">
      <formula>AND(IF($Q34=3,1,IF($Q34=4,1,0)),IF($F34&lt;=85,1,0))</formula>
    </cfRule>
  </conditionalFormatting>
  <conditionalFormatting sqref="AV35">
    <cfRule type="expression" dxfId="19889" priority="953">
      <formula>AV35="X"</formula>
    </cfRule>
    <cfRule type="expression" dxfId="19888" priority="954">
      <formula>AV35="후보"</formula>
    </cfRule>
  </conditionalFormatting>
  <conditionalFormatting sqref="AC35">
    <cfRule type="cellIs" dxfId="19887" priority="950" operator="greaterThan">
      <formula>0.9</formula>
    </cfRule>
    <cfRule type="cellIs" dxfId="19886" priority="951" operator="greaterThan">
      <formula>0.85</formula>
    </cfRule>
  </conditionalFormatting>
  <conditionalFormatting sqref="N35">
    <cfRule type="cellIs" dxfId="19885" priority="948" operator="greaterThan">
      <formula>0.9</formula>
    </cfRule>
    <cfRule type="cellIs" dxfId="19884" priority="949" operator="greaterThan">
      <formula>0.85</formula>
    </cfRule>
  </conditionalFormatting>
  <conditionalFormatting sqref="E35">
    <cfRule type="expression" dxfId="19883" priority="944">
      <formula>AND(IF(OR($Q35=1,$Q35=2),1,0),IF($X35&lt;=20,1,0))</formula>
    </cfRule>
    <cfRule type="expression" dxfId="19882" priority="945">
      <formula>AND(IF($Q35=2,1,0),IF($X35&lt;30,1,0))</formula>
    </cfRule>
    <cfRule type="expression" dxfId="19881" priority="946">
      <formula>AND(IF($Q35=3,1,0),IF($X35&lt;30,1,0))</formula>
    </cfRule>
    <cfRule type="expression" dxfId="19880" priority="947">
      <formula>AND(IF($Q35=3,1,IF($Q35=4,1,0)),IF($F35&lt;=85,1,0))</formula>
    </cfRule>
  </conditionalFormatting>
  <conditionalFormatting sqref="X35">
    <cfRule type="expression" dxfId="19879" priority="940">
      <formula>AND(IF(OR($Q35=1,$Q35=2),1,0),IF($X35&lt;=20,1,0))</formula>
    </cfRule>
    <cfRule type="expression" dxfId="19878" priority="941">
      <formula>AND(IF($Q35=2,1,0),IF($X35&lt;30,1,0))</formula>
    </cfRule>
    <cfRule type="expression" dxfId="19877" priority="942">
      <formula>AND(IF($Q35=3,1,0),IF($X35&lt;30,1,0))</formula>
    </cfRule>
    <cfRule type="expression" dxfId="19876" priority="943">
      <formula>AND(IF($Q35=3,1,IF($Q35=4,1,0)),IF($F35&lt;=85,1,0))</formula>
    </cfRule>
  </conditionalFormatting>
  <conditionalFormatting sqref="AI35">
    <cfRule type="expression" dxfId="19875" priority="936">
      <formula>AND(IF(OR($Q35=1,$Q35=2),1,0),IF($X35&lt;=20,1,0))</formula>
    </cfRule>
    <cfRule type="expression" dxfId="19874" priority="937">
      <formula>AND(IF($Q35=2,1,0),IF($X35&lt;30,1,0))</formula>
    </cfRule>
    <cfRule type="expression" dxfId="19873" priority="938">
      <formula>AND(IF($Q35=3,1,0),IF($X35&lt;30,1,0))</formula>
    </cfRule>
    <cfRule type="expression" dxfId="19872" priority="939">
      <formula>AND(IF($Q35=3,1,IF($Q35=4,1,0)),IF($F35&lt;=85,1,0))</formula>
    </cfRule>
  </conditionalFormatting>
  <conditionalFormatting sqref="AV36">
    <cfRule type="expression" dxfId="19871" priority="934">
      <formula>AV36="X"</formula>
    </cfRule>
    <cfRule type="expression" dxfId="19870" priority="935">
      <formula>AV36="후보"</formula>
    </cfRule>
  </conditionalFormatting>
  <conditionalFormatting sqref="AC36 N36">
    <cfRule type="cellIs" dxfId="19869" priority="931" operator="greaterThan">
      <formula>0.9</formula>
    </cfRule>
    <cfRule type="cellIs" dxfId="19868" priority="932" operator="greaterThan">
      <formula>0.85</formula>
    </cfRule>
  </conditionalFormatting>
  <conditionalFormatting sqref="AV37">
    <cfRule type="expression" dxfId="19867" priority="929">
      <formula>AV37="X"</formula>
    </cfRule>
    <cfRule type="expression" dxfId="19866" priority="930">
      <formula>AV37="후보"</formula>
    </cfRule>
  </conditionalFormatting>
  <conditionalFormatting sqref="AC37">
    <cfRule type="cellIs" dxfId="19865" priority="926" operator="greaterThan">
      <formula>0.9</formula>
    </cfRule>
    <cfRule type="cellIs" dxfId="19864" priority="927" operator="greaterThan">
      <formula>0.85</formula>
    </cfRule>
  </conditionalFormatting>
  <conditionalFormatting sqref="N37">
    <cfRule type="cellIs" dxfId="19863" priority="924" operator="greaterThan">
      <formula>0.9</formula>
    </cfRule>
    <cfRule type="cellIs" dxfId="19862" priority="925" operator="greaterThan">
      <formula>0.85</formula>
    </cfRule>
  </conditionalFormatting>
  <conditionalFormatting sqref="E37">
    <cfRule type="expression" dxfId="19861" priority="920">
      <formula>AND(IF(OR($Q37=1,$Q37=2),1,0),IF($X37&lt;=20,1,0))</formula>
    </cfRule>
    <cfRule type="expression" dxfId="19860" priority="921">
      <formula>AND(IF($Q37=2,1,0),IF($X37&lt;30,1,0))</formula>
    </cfRule>
    <cfRule type="expression" dxfId="19859" priority="922">
      <formula>AND(IF($Q37=3,1,0),IF($X37&lt;30,1,0))</formula>
    </cfRule>
    <cfRule type="expression" dxfId="19858" priority="923">
      <formula>AND(IF($Q37=3,1,IF($Q37=4,1,0)),IF($F37&lt;=85,1,0))</formula>
    </cfRule>
  </conditionalFormatting>
  <conditionalFormatting sqref="X37">
    <cfRule type="expression" dxfId="19857" priority="916">
      <formula>AND(IF(OR($Q37=1,$Q37=2),1,0),IF($X37&lt;=20,1,0))</formula>
    </cfRule>
    <cfRule type="expression" dxfId="19856" priority="917">
      <formula>AND(IF($Q37=2,1,0),IF($X37&lt;30,1,0))</formula>
    </cfRule>
    <cfRule type="expression" dxfId="19855" priority="918">
      <formula>AND(IF($Q37=3,1,0),IF($X37&lt;30,1,0))</formula>
    </cfRule>
    <cfRule type="expression" dxfId="19854" priority="919">
      <formula>AND(IF($Q37=3,1,IF($Q37=4,1,0)),IF($F37&lt;=85,1,0))</formula>
    </cfRule>
  </conditionalFormatting>
  <conditionalFormatting sqref="AI37">
    <cfRule type="expression" dxfId="19853" priority="912">
      <formula>AND(IF(OR($Q37=1,$Q37=2),1,0),IF($X37&lt;=20,1,0))</formula>
    </cfRule>
    <cfRule type="expression" dxfId="19852" priority="913">
      <formula>AND(IF($Q37=2,1,0),IF($X37&lt;30,1,0))</formula>
    </cfRule>
    <cfRule type="expression" dxfId="19851" priority="914">
      <formula>AND(IF($Q37=3,1,0),IF($X37&lt;30,1,0))</formula>
    </cfRule>
    <cfRule type="expression" dxfId="19850" priority="915">
      <formula>AND(IF($Q37=3,1,IF($Q37=4,1,0)),IF($F37&lt;=85,1,0))</formula>
    </cfRule>
  </conditionalFormatting>
  <conditionalFormatting sqref="AV38">
    <cfRule type="expression" dxfId="19849" priority="910">
      <formula>AV38="X"</formula>
    </cfRule>
    <cfRule type="expression" dxfId="19848" priority="911">
      <formula>AV38="후보"</formula>
    </cfRule>
  </conditionalFormatting>
  <conditionalFormatting sqref="AC38">
    <cfRule type="cellIs" dxfId="19847" priority="907" operator="greaterThan">
      <formula>0.9</formula>
    </cfRule>
    <cfRule type="cellIs" dxfId="19846" priority="908" operator="greaterThan">
      <formula>0.85</formula>
    </cfRule>
  </conditionalFormatting>
  <conditionalFormatting sqref="N38">
    <cfRule type="cellIs" dxfId="19845" priority="905" operator="greaterThan">
      <formula>0.9</formula>
    </cfRule>
    <cfRule type="cellIs" dxfId="19844" priority="906" operator="greaterThan">
      <formula>0.85</formula>
    </cfRule>
  </conditionalFormatting>
  <conditionalFormatting sqref="E38">
    <cfRule type="expression" dxfId="19843" priority="901">
      <formula>AND(IF(OR($Q38=1,$Q38=2),1,0),IF($X38&lt;=20,1,0))</formula>
    </cfRule>
    <cfRule type="expression" dxfId="19842" priority="902">
      <formula>AND(IF($Q38=2,1,0),IF($X38&lt;30,1,0))</formula>
    </cfRule>
    <cfRule type="expression" dxfId="19841" priority="903">
      <formula>AND(IF($Q38=3,1,0),IF($X38&lt;30,1,0))</formula>
    </cfRule>
    <cfRule type="expression" dxfId="19840" priority="904">
      <formula>AND(IF($Q38=3,1,IF($Q38=4,1,0)),IF($F38&lt;=85,1,0))</formula>
    </cfRule>
  </conditionalFormatting>
  <conditionalFormatting sqref="X38">
    <cfRule type="expression" dxfId="19839" priority="897">
      <formula>AND(IF(OR($Q38=1,$Q38=2),1,0),IF($X38&lt;=20,1,0))</formula>
    </cfRule>
    <cfRule type="expression" dxfId="19838" priority="898">
      <formula>AND(IF($Q38=2,1,0),IF($X38&lt;30,1,0))</formula>
    </cfRule>
    <cfRule type="expression" dxfId="19837" priority="899">
      <formula>AND(IF($Q38=3,1,0),IF($X38&lt;30,1,0))</formula>
    </cfRule>
    <cfRule type="expression" dxfId="19836" priority="900">
      <formula>AND(IF($Q38=3,1,IF($Q38=4,1,0)),IF($F38&lt;=85,1,0))</formula>
    </cfRule>
  </conditionalFormatting>
  <conditionalFormatting sqref="AI38">
    <cfRule type="expression" dxfId="19835" priority="893">
      <formula>AND(IF(OR($Q38=1,$Q38=2),1,0),IF($X38&lt;=20,1,0))</formula>
    </cfRule>
    <cfRule type="expression" dxfId="19834" priority="894">
      <formula>AND(IF($Q38=2,1,0),IF($X38&lt;30,1,0))</formula>
    </cfRule>
    <cfRule type="expression" dxfId="19833" priority="895">
      <formula>AND(IF($Q38=3,1,0),IF($X38&lt;30,1,0))</formula>
    </cfRule>
    <cfRule type="expression" dxfId="19832" priority="896">
      <formula>AND(IF($Q38=3,1,IF($Q38=4,1,0)),IF($F38&lt;=85,1,0))</formula>
    </cfRule>
  </conditionalFormatting>
  <conditionalFormatting sqref="AV39">
    <cfRule type="expression" dxfId="19831" priority="891">
      <formula>AV39="X"</formula>
    </cfRule>
    <cfRule type="expression" dxfId="19830" priority="892">
      <formula>AV39="후보"</formula>
    </cfRule>
  </conditionalFormatting>
  <conditionalFormatting sqref="AC39">
    <cfRule type="cellIs" dxfId="19829" priority="888" operator="greaterThan">
      <formula>0.9</formula>
    </cfRule>
    <cfRule type="cellIs" dxfId="19828" priority="889" operator="greaterThan">
      <formula>0.85</formula>
    </cfRule>
  </conditionalFormatting>
  <conditionalFormatting sqref="N39">
    <cfRule type="cellIs" dxfId="19827" priority="886" operator="greaterThan">
      <formula>0.9</formula>
    </cfRule>
    <cfRule type="cellIs" dxfId="19826" priority="887" operator="greaterThan">
      <formula>0.85</formula>
    </cfRule>
  </conditionalFormatting>
  <conditionalFormatting sqref="E39">
    <cfRule type="expression" dxfId="19825" priority="882">
      <formula>AND(IF(OR($Q39=1,$Q39=2),1,0),IF($X39&lt;=20,1,0))</formula>
    </cfRule>
    <cfRule type="expression" dxfId="19824" priority="883">
      <formula>AND(IF($Q39=2,1,0),IF($X39&lt;30,1,0))</formula>
    </cfRule>
    <cfRule type="expression" dxfId="19823" priority="884">
      <formula>AND(IF($Q39=3,1,0),IF($X39&lt;30,1,0))</formula>
    </cfRule>
    <cfRule type="expression" dxfId="19822" priority="885">
      <formula>AND(IF($Q39=3,1,IF($Q39=4,1,0)),IF($F39&lt;=85,1,0))</formula>
    </cfRule>
  </conditionalFormatting>
  <conditionalFormatting sqref="X39">
    <cfRule type="expression" dxfId="19821" priority="878">
      <formula>AND(IF(OR($Q39=1,$Q39=2),1,0),IF($X39&lt;=20,1,0))</formula>
    </cfRule>
    <cfRule type="expression" dxfId="19820" priority="879">
      <formula>AND(IF($Q39=2,1,0),IF($X39&lt;30,1,0))</formula>
    </cfRule>
    <cfRule type="expression" dxfId="19819" priority="880">
      <formula>AND(IF($Q39=3,1,0),IF($X39&lt;30,1,0))</formula>
    </cfRule>
    <cfRule type="expression" dxfId="19818" priority="881">
      <formula>AND(IF($Q39=3,1,IF($Q39=4,1,0)),IF($F39&lt;=85,1,0))</formula>
    </cfRule>
  </conditionalFormatting>
  <conditionalFormatting sqref="AI39">
    <cfRule type="expression" dxfId="19817" priority="874">
      <formula>AND(IF(OR($Q39=1,$Q39=2),1,0),IF($X39&lt;=20,1,0))</formula>
    </cfRule>
    <cfRule type="expression" dxfId="19816" priority="875">
      <formula>AND(IF($Q39=2,1,0),IF($X39&lt;30,1,0))</formula>
    </cfRule>
    <cfRule type="expression" dxfId="19815" priority="876">
      <formula>AND(IF($Q39=3,1,0),IF($X39&lt;30,1,0))</formula>
    </cfRule>
    <cfRule type="expression" dxfId="19814" priority="877">
      <formula>AND(IF($Q39=3,1,IF($Q39=4,1,0)),IF($F39&lt;=85,1,0))</formula>
    </cfRule>
  </conditionalFormatting>
  <conditionalFormatting sqref="AV40">
    <cfRule type="expression" dxfId="19813" priority="872">
      <formula>AV40="X"</formula>
    </cfRule>
    <cfRule type="expression" dxfId="19812" priority="873">
      <formula>AV40="후보"</formula>
    </cfRule>
  </conditionalFormatting>
  <conditionalFormatting sqref="AC40 N40">
    <cfRule type="cellIs" dxfId="19811" priority="869" operator="greaterThan">
      <formula>0.9</formula>
    </cfRule>
    <cfRule type="cellIs" dxfId="19810" priority="870" operator="greaterThan">
      <formula>0.85</formula>
    </cfRule>
  </conditionalFormatting>
  <conditionalFormatting sqref="AV41">
    <cfRule type="expression" dxfId="19809" priority="867">
      <formula>AV41="X"</formula>
    </cfRule>
    <cfRule type="expression" dxfId="19808" priority="868">
      <formula>AV41="후보"</formula>
    </cfRule>
  </conditionalFormatting>
  <conditionalFormatting sqref="AC41">
    <cfRule type="cellIs" dxfId="19807" priority="864" operator="greaterThan">
      <formula>0.9</formula>
    </cfRule>
    <cfRule type="cellIs" dxfId="19806" priority="865" operator="greaterThan">
      <formula>0.85</formula>
    </cfRule>
  </conditionalFormatting>
  <conditionalFormatting sqref="N41">
    <cfRule type="cellIs" dxfId="19805" priority="862" operator="greaterThan">
      <formula>0.9</formula>
    </cfRule>
    <cfRule type="cellIs" dxfId="19804" priority="863" operator="greaterThan">
      <formula>0.85</formula>
    </cfRule>
  </conditionalFormatting>
  <conditionalFormatting sqref="E41">
    <cfRule type="expression" dxfId="19803" priority="858">
      <formula>AND(IF(OR($Q41=1,$Q41=2),1,0),IF($X41&lt;=20,1,0))</formula>
    </cfRule>
    <cfRule type="expression" dxfId="19802" priority="859">
      <formula>AND(IF($Q41=2,1,0),IF($X41&lt;30,1,0))</formula>
    </cfRule>
    <cfRule type="expression" dxfId="19801" priority="860">
      <formula>AND(IF($Q41=3,1,0),IF($X41&lt;30,1,0))</formula>
    </cfRule>
    <cfRule type="expression" dxfId="19800" priority="861">
      <formula>AND(IF($Q41=3,1,IF($Q41=4,1,0)),IF($F41&lt;=85,1,0))</formula>
    </cfRule>
  </conditionalFormatting>
  <conditionalFormatting sqref="X41">
    <cfRule type="expression" dxfId="19799" priority="854">
      <formula>AND(IF(OR($Q41=1,$Q41=2),1,0),IF($X41&lt;=20,1,0))</formula>
    </cfRule>
    <cfRule type="expression" dxfId="19798" priority="855">
      <formula>AND(IF($Q41=2,1,0),IF($X41&lt;30,1,0))</formula>
    </cfRule>
    <cfRule type="expression" dxfId="19797" priority="856">
      <formula>AND(IF($Q41=3,1,0),IF($X41&lt;30,1,0))</formula>
    </cfRule>
    <cfRule type="expression" dxfId="19796" priority="857">
      <formula>AND(IF($Q41=3,1,IF($Q41=4,1,0)),IF($F41&lt;=85,1,0))</formula>
    </cfRule>
  </conditionalFormatting>
  <conditionalFormatting sqref="AI41">
    <cfRule type="expression" dxfId="19795" priority="850">
      <formula>AND(IF(OR($Q41=1,$Q41=2),1,0),IF($X41&lt;=20,1,0))</formula>
    </cfRule>
    <cfRule type="expression" dxfId="19794" priority="851">
      <formula>AND(IF($Q41=2,1,0),IF($X41&lt;30,1,0))</formula>
    </cfRule>
    <cfRule type="expression" dxfId="19793" priority="852">
      <formula>AND(IF($Q41=3,1,0),IF($X41&lt;30,1,0))</formula>
    </cfRule>
    <cfRule type="expression" dxfId="19792" priority="853">
      <formula>AND(IF($Q41=3,1,IF($Q41=4,1,0)),IF($F41&lt;=85,1,0))</formula>
    </cfRule>
  </conditionalFormatting>
  <conditionalFormatting sqref="AV42">
    <cfRule type="expression" dxfId="19791" priority="848">
      <formula>AV42="X"</formula>
    </cfRule>
    <cfRule type="expression" dxfId="19790" priority="849">
      <formula>AV42="후보"</formula>
    </cfRule>
  </conditionalFormatting>
  <conditionalFormatting sqref="AC42 N42">
    <cfRule type="cellIs" dxfId="19789" priority="845" operator="greaterThan">
      <formula>0.9</formula>
    </cfRule>
    <cfRule type="cellIs" dxfId="19788" priority="846" operator="greaterThan">
      <formula>0.85</formula>
    </cfRule>
  </conditionalFormatting>
  <conditionalFormatting sqref="AV43">
    <cfRule type="expression" dxfId="19787" priority="843">
      <formula>AV43="X"</formula>
    </cfRule>
    <cfRule type="expression" dxfId="19786" priority="844">
      <formula>AV43="후보"</formula>
    </cfRule>
  </conditionalFormatting>
  <conditionalFormatting sqref="AC43">
    <cfRule type="cellIs" dxfId="19785" priority="840" operator="greaterThan">
      <formula>0.9</formula>
    </cfRule>
    <cfRule type="cellIs" dxfId="19784" priority="841" operator="greaterThan">
      <formula>0.85</formula>
    </cfRule>
  </conditionalFormatting>
  <conditionalFormatting sqref="N43">
    <cfRule type="cellIs" dxfId="19783" priority="838" operator="greaterThan">
      <formula>0.9</formula>
    </cfRule>
    <cfRule type="cellIs" dxfId="19782" priority="839" operator="greaterThan">
      <formula>0.85</formula>
    </cfRule>
  </conditionalFormatting>
  <conditionalFormatting sqref="E43">
    <cfRule type="expression" dxfId="19781" priority="834">
      <formula>AND(IF(OR($Q43=1,$Q43=2),1,0),IF($X43&lt;=20,1,0))</formula>
    </cfRule>
    <cfRule type="expression" dxfId="19780" priority="835">
      <formula>AND(IF($Q43=2,1,0),IF($X43&lt;30,1,0))</formula>
    </cfRule>
    <cfRule type="expression" dxfId="19779" priority="836">
      <formula>AND(IF($Q43=3,1,0),IF($X43&lt;30,1,0))</formula>
    </cfRule>
    <cfRule type="expression" dxfId="19778" priority="837">
      <formula>AND(IF($Q43=3,1,IF($Q43=4,1,0)),IF($F43&lt;=85,1,0))</formula>
    </cfRule>
  </conditionalFormatting>
  <conditionalFormatting sqref="X43">
    <cfRule type="expression" dxfId="19777" priority="830">
      <formula>AND(IF(OR($Q43=1,$Q43=2),1,0),IF($X43&lt;=20,1,0))</formula>
    </cfRule>
    <cfRule type="expression" dxfId="19776" priority="831">
      <formula>AND(IF($Q43=2,1,0),IF($X43&lt;30,1,0))</formula>
    </cfRule>
    <cfRule type="expression" dxfId="19775" priority="832">
      <formula>AND(IF($Q43=3,1,0),IF($X43&lt;30,1,0))</formula>
    </cfRule>
    <cfRule type="expression" dxfId="19774" priority="833">
      <formula>AND(IF($Q43=3,1,IF($Q43=4,1,0)),IF($F43&lt;=85,1,0))</formula>
    </cfRule>
  </conditionalFormatting>
  <conditionalFormatting sqref="AI43">
    <cfRule type="expression" dxfId="19773" priority="826">
      <formula>AND(IF(OR($Q43=1,$Q43=2),1,0),IF($X43&lt;=20,1,0))</formula>
    </cfRule>
    <cfRule type="expression" dxfId="19772" priority="827">
      <formula>AND(IF($Q43=2,1,0),IF($X43&lt;30,1,0))</formula>
    </cfRule>
    <cfRule type="expression" dxfId="19771" priority="828">
      <formula>AND(IF($Q43=3,1,0),IF($X43&lt;30,1,0))</formula>
    </cfRule>
    <cfRule type="expression" dxfId="19770" priority="829">
      <formula>AND(IF($Q43=3,1,IF($Q43=4,1,0)),IF($F43&lt;=85,1,0))</formula>
    </cfRule>
  </conditionalFormatting>
  <conditionalFormatting sqref="AV44">
    <cfRule type="expression" dxfId="19769" priority="824">
      <formula>AV44="X"</formula>
    </cfRule>
    <cfRule type="expression" dxfId="19768" priority="825">
      <formula>AV44="후보"</formula>
    </cfRule>
  </conditionalFormatting>
  <conditionalFormatting sqref="AC44">
    <cfRule type="cellIs" dxfId="19767" priority="821" operator="greaterThan">
      <formula>0.9</formula>
    </cfRule>
    <cfRule type="cellIs" dxfId="19766" priority="822" operator="greaterThan">
      <formula>0.85</formula>
    </cfRule>
  </conditionalFormatting>
  <conditionalFormatting sqref="N44">
    <cfRule type="cellIs" dxfId="19765" priority="819" operator="greaterThan">
      <formula>0.9</formula>
    </cfRule>
    <cfRule type="cellIs" dxfId="19764" priority="820" operator="greaterThan">
      <formula>0.85</formula>
    </cfRule>
  </conditionalFormatting>
  <conditionalFormatting sqref="E44">
    <cfRule type="expression" dxfId="19763" priority="815">
      <formula>AND(IF(OR($Q44=1,$Q44=2),1,0),IF($X44&lt;=20,1,0))</formula>
    </cfRule>
    <cfRule type="expression" dxfId="19762" priority="816">
      <formula>AND(IF($Q44=2,1,0),IF($X44&lt;30,1,0))</formula>
    </cfRule>
    <cfRule type="expression" dxfId="19761" priority="817">
      <formula>AND(IF($Q44=3,1,0),IF($X44&lt;30,1,0))</formula>
    </cfRule>
    <cfRule type="expression" dxfId="19760" priority="818">
      <formula>AND(IF($Q44=3,1,IF($Q44=4,1,0)),IF($F44&lt;=85,1,0))</formula>
    </cfRule>
  </conditionalFormatting>
  <conditionalFormatting sqref="X44">
    <cfRule type="expression" dxfId="19759" priority="811">
      <formula>AND(IF(OR($Q44=1,$Q44=2),1,0),IF($X44&lt;=20,1,0))</formula>
    </cfRule>
    <cfRule type="expression" dxfId="19758" priority="812">
      <formula>AND(IF($Q44=2,1,0),IF($X44&lt;30,1,0))</formula>
    </cfRule>
    <cfRule type="expression" dxfId="19757" priority="813">
      <formula>AND(IF($Q44=3,1,0),IF($X44&lt;30,1,0))</formula>
    </cfRule>
    <cfRule type="expression" dxfId="19756" priority="814">
      <formula>AND(IF($Q44=3,1,IF($Q44=4,1,0)),IF($F44&lt;=85,1,0))</formula>
    </cfRule>
  </conditionalFormatting>
  <conditionalFormatting sqref="AI44">
    <cfRule type="expression" dxfId="19755" priority="807">
      <formula>AND(IF(OR($Q44=1,$Q44=2),1,0),IF($X44&lt;=20,1,0))</formula>
    </cfRule>
    <cfRule type="expression" dxfId="19754" priority="808">
      <formula>AND(IF($Q44=2,1,0),IF($X44&lt;30,1,0))</formula>
    </cfRule>
    <cfRule type="expression" dxfId="19753" priority="809">
      <formula>AND(IF($Q44=3,1,0),IF($X44&lt;30,1,0))</formula>
    </cfRule>
    <cfRule type="expression" dxfId="19752" priority="810">
      <formula>AND(IF($Q44=3,1,IF($Q44=4,1,0)),IF($F44&lt;=85,1,0))</formula>
    </cfRule>
  </conditionalFormatting>
  <conditionalFormatting sqref="AV45">
    <cfRule type="expression" dxfId="19751" priority="805">
      <formula>AV45="X"</formula>
    </cfRule>
    <cfRule type="expression" dxfId="19750" priority="806">
      <formula>AV45="후보"</formula>
    </cfRule>
  </conditionalFormatting>
  <conditionalFormatting sqref="AC45 N45">
    <cfRule type="cellIs" dxfId="19749" priority="802" operator="greaterThan">
      <formula>0.9</formula>
    </cfRule>
    <cfRule type="cellIs" dxfId="19748" priority="803" operator="greaterThan">
      <formula>0.85</formula>
    </cfRule>
  </conditionalFormatting>
  <conditionalFormatting sqref="AV46">
    <cfRule type="expression" dxfId="19747" priority="800">
      <formula>AV46="X"</formula>
    </cfRule>
    <cfRule type="expression" dxfId="19746" priority="801">
      <formula>AV46="후보"</formula>
    </cfRule>
  </conditionalFormatting>
  <conditionalFormatting sqref="AC46">
    <cfRule type="cellIs" dxfId="19745" priority="797" operator="greaterThan">
      <formula>0.9</formula>
    </cfRule>
    <cfRule type="cellIs" dxfId="19744" priority="798" operator="greaterThan">
      <formula>0.85</formula>
    </cfRule>
  </conditionalFormatting>
  <conditionalFormatting sqref="N46">
    <cfRule type="cellIs" dxfId="19743" priority="795" operator="greaterThan">
      <formula>0.9</formula>
    </cfRule>
    <cfRule type="cellIs" dxfId="19742" priority="796" operator="greaterThan">
      <formula>0.85</formula>
    </cfRule>
  </conditionalFormatting>
  <conditionalFormatting sqref="E46">
    <cfRule type="expression" dxfId="19741" priority="791">
      <formula>AND(IF(OR($Q46=1,$Q46=2),1,0),IF($X46&lt;=20,1,0))</formula>
    </cfRule>
    <cfRule type="expression" dxfId="19740" priority="792">
      <formula>AND(IF($Q46=2,1,0),IF($X46&lt;30,1,0))</formula>
    </cfRule>
    <cfRule type="expression" dxfId="19739" priority="793">
      <formula>AND(IF($Q46=3,1,0),IF($X46&lt;30,1,0))</formula>
    </cfRule>
    <cfRule type="expression" dxfId="19738" priority="794">
      <formula>AND(IF($Q46=3,1,IF($Q46=4,1,0)),IF($F46&lt;=85,1,0))</formula>
    </cfRule>
  </conditionalFormatting>
  <conditionalFormatting sqref="X46">
    <cfRule type="expression" dxfId="19737" priority="787">
      <formula>AND(IF(OR($Q46=1,$Q46=2),1,0),IF($X46&lt;=20,1,0))</formula>
    </cfRule>
    <cfRule type="expression" dxfId="19736" priority="788">
      <formula>AND(IF($Q46=2,1,0),IF($X46&lt;30,1,0))</formula>
    </cfRule>
    <cfRule type="expression" dxfId="19735" priority="789">
      <formula>AND(IF($Q46=3,1,0),IF($X46&lt;30,1,0))</formula>
    </cfRule>
    <cfRule type="expression" dxfId="19734" priority="790">
      <formula>AND(IF($Q46=3,1,IF($Q46=4,1,0)),IF($F46&lt;=85,1,0))</formula>
    </cfRule>
  </conditionalFormatting>
  <conditionalFormatting sqref="AI46">
    <cfRule type="expression" dxfId="19733" priority="783">
      <formula>AND(IF(OR($Q46=1,$Q46=2),1,0),IF($X46&lt;=20,1,0))</formula>
    </cfRule>
    <cfRule type="expression" dxfId="19732" priority="784">
      <formula>AND(IF($Q46=2,1,0),IF($X46&lt;30,1,0))</formula>
    </cfRule>
    <cfRule type="expression" dxfId="19731" priority="785">
      <formula>AND(IF($Q46=3,1,0),IF($X46&lt;30,1,0))</formula>
    </cfRule>
    <cfRule type="expression" dxfId="19730" priority="786">
      <formula>AND(IF($Q46=3,1,IF($Q46=4,1,0)),IF($F46&lt;=85,1,0))</formula>
    </cfRule>
  </conditionalFormatting>
  <conditionalFormatting sqref="AV47">
    <cfRule type="expression" dxfId="19729" priority="781">
      <formula>AV47="X"</formula>
    </cfRule>
    <cfRule type="expression" dxfId="19728" priority="782">
      <formula>AV47="후보"</formula>
    </cfRule>
  </conditionalFormatting>
  <conditionalFormatting sqref="AC47">
    <cfRule type="cellIs" dxfId="19727" priority="778" operator="greaterThan">
      <formula>0.9</formula>
    </cfRule>
    <cfRule type="cellIs" dxfId="19726" priority="779" operator="greaterThan">
      <formula>0.85</formula>
    </cfRule>
  </conditionalFormatting>
  <conditionalFormatting sqref="N47">
    <cfRule type="cellIs" dxfId="19725" priority="776" operator="greaterThan">
      <formula>0.9</formula>
    </cfRule>
    <cfRule type="cellIs" dxfId="19724" priority="777" operator="greaterThan">
      <formula>0.85</formula>
    </cfRule>
  </conditionalFormatting>
  <conditionalFormatting sqref="E47">
    <cfRule type="expression" dxfId="19723" priority="772">
      <formula>AND(IF(OR($Q47=1,$Q47=2),1,0),IF($X47&lt;=20,1,0))</formula>
    </cfRule>
    <cfRule type="expression" dxfId="19722" priority="773">
      <formula>AND(IF($Q47=2,1,0),IF($X47&lt;30,1,0))</formula>
    </cfRule>
    <cfRule type="expression" dxfId="19721" priority="774">
      <formula>AND(IF($Q47=3,1,0),IF($X47&lt;30,1,0))</formula>
    </cfRule>
    <cfRule type="expression" dxfId="19720" priority="775">
      <formula>AND(IF($Q47=3,1,IF($Q47=4,1,0)),IF($F47&lt;=85,1,0))</formula>
    </cfRule>
  </conditionalFormatting>
  <conditionalFormatting sqref="X47">
    <cfRule type="expression" dxfId="19719" priority="768">
      <formula>AND(IF(OR($Q47=1,$Q47=2),1,0),IF($X47&lt;=20,1,0))</formula>
    </cfRule>
    <cfRule type="expression" dxfId="19718" priority="769">
      <formula>AND(IF($Q47=2,1,0),IF($X47&lt;30,1,0))</formula>
    </cfRule>
    <cfRule type="expression" dxfId="19717" priority="770">
      <formula>AND(IF($Q47=3,1,0),IF($X47&lt;30,1,0))</formula>
    </cfRule>
    <cfRule type="expression" dxfId="19716" priority="771">
      <formula>AND(IF($Q47=3,1,IF($Q47=4,1,0)),IF($F47&lt;=85,1,0))</formula>
    </cfRule>
  </conditionalFormatting>
  <conditionalFormatting sqref="AI47">
    <cfRule type="expression" dxfId="19715" priority="764">
      <formula>AND(IF(OR($Q47=1,$Q47=2),1,0),IF($X47&lt;=20,1,0))</formula>
    </cfRule>
    <cfRule type="expression" dxfId="19714" priority="765">
      <formula>AND(IF($Q47=2,1,0),IF($X47&lt;30,1,0))</formula>
    </cfRule>
    <cfRule type="expression" dxfId="19713" priority="766">
      <formula>AND(IF($Q47=3,1,0),IF($X47&lt;30,1,0))</formula>
    </cfRule>
    <cfRule type="expression" dxfId="19712" priority="767">
      <formula>AND(IF($Q47=3,1,IF($Q47=4,1,0)),IF($F47&lt;=85,1,0))</formula>
    </cfRule>
  </conditionalFormatting>
  <conditionalFormatting sqref="AV48">
    <cfRule type="expression" dxfId="19711" priority="762">
      <formula>AV48="X"</formula>
    </cfRule>
    <cfRule type="expression" dxfId="19710" priority="763">
      <formula>AV48="후보"</formula>
    </cfRule>
  </conditionalFormatting>
  <conditionalFormatting sqref="AC48">
    <cfRule type="cellIs" dxfId="19709" priority="759" operator="greaterThan">
      <formula>0.9</formula>
    </cfRule>
    <cfRule type="cellIs" dxfId="19708" priority="760" operator="greaterThan">
      <formula>0.85</formula>
    </cfRule>
  </conditionalFormatting>
  <conditionalFormatting sqref="N48">
    <cfRule type="cellIs" dxfId="19707" priority="757" operator="greaterThan">
      <formula>0.9</formula>
    </cfRule>
    <cfRule type="cellIs" dxfId="19706" priority="758" operator="greaterThan">
      <formula>0.85</formula>
    </cfRule>
  </conditionalFormatting>
  <conditionalFormatting sqref="E48">
    <cfRule type="expression" dxfId="19705" priority="753">
      <formula>AND(IF(OR($Q48=1,$Q48=2),1,0),IF($X48&lt;=20,1,0))</formula>
    </cfRule>
    <cfRule type="expression" dxfId="19704" priority="754">
      <formula>AND(IF($Q48=2,1,0),IF($X48&lt;30,1,0))</formula>
    </cfRule>
    <cfRule type="expression" dxfId="19703" priority="755">
      <formula>AND(IF($Q48=3,1,0),IF($X48&lt;30,1,0))</formula>
    </cfRule>
    <cfRule type="expression" dxfId="19702" priority="756">
      <formula>AND(IF($Q48=3,1,IF($Q48=4,1,0)),IF($F48&lt;=85,1,0))</formula>
    </cfRule>
  </conditionalFormatting>
  <conditionalFormatting sqref="X48">
    <cfRule type="expression" dxfId="19701" priority="749">
      <formula>AND(IF(OR($Q48=1,$Q48=2),1,0),IF($X48&lt;=20,1,0))</formula>
    </cfRule>
    <cfRule type="expression" dxfId="19700" priority="750">
      <formula>AND(IF($Q48=2,1,0),IF($X48&lt;30,1,0))</formula>
    </cfRule>
    <cfRule type="expression" dxfId="19699" priority="751">
      <formula>AND(IF($Q48=3,1,0),IF($X48&lt;30,1,0))</formula>
    </cfRule>
    <cfRule type="expression" dxfId="19698" priority="752">
      <formula>AND(IF($Q48=3,1,IF($Q48=4,1,0)),IF($F48&lt;=85,1,0))</formula>
    </cfRule>
  </conditionalFormatting>
  <conditionalFormatting sqref="AI48">
    <cfRule type="expression" dxfId="19697" priority="745">
      <formula>AND(IF(OR($Q48=1,$Q48=2),1,0),IF($X48&lt;=20,1,0))</formula>
    </cfRule>
    <cfRule type="expression" dxfId="19696" priority="746">
      <formula>AND(IF($Q48=2,1,0),IF($X48&lt;30,1,0))</formula>
    </cfRule>
    <cfRule type="expression" dxfId="19695" priority="747">
      <formula>AND(IF($Q48=3,1,0),IF($X48&lt;30,1,0))</formula>
    </cfRule>
    <cfRule type="expression" dxfId="19694" priority="748">
      <formula>AND(IF($Q48=3,1,IF($Q48=4,1,0)),IF($F48&lt;=85,1,0))</formula>
    </cfRule>
  </conditionalFormatting>
  <conditionalFormatting sqref="AV49">
    <cfRule type="expression" dxfId="19693" priority="743">
      <formula>AV49="X"</formula>
    </cfRule>
    <cfRule type="expression" dxfId="19692" priority="744">
      <formula>AV49="후보"</formula>
    </cfRule>
  </conditionalFormatting>
  <conditionalFormatting sqref="AC49">
    <cfRule type="cellIs" dxfId="19691" priority="740" operator="greaterThan">
      <formula>0.9</formula>
    </cfRule>
    <cfRule type="cellIs" dxfId="19690" priority="741" operator="greaterThan">
      <formula>0.85</formula>
    </cfRule>
  </conditionalFormatting>
  <conditionalFormatting sqref="N49">
    <cfRule type="cellIs" dxfId="19689" priority="738" operator="greaterThan">
      <formula>0.9</formula>
    </cfRule>
    <cfRule type="cellIs" dxfId="19688" priority="739" operator="greaterThan">
      <formula>0.85</formula>
    </cfRule>
  </conditionalFormatting>
  <conditionalFormatting sqref="E49">
    <cfRule type="expression" dxfId="19687" priority="734">
      <formula>AND(IF(OR($Q49=1,$Q49=2),1,0),IF($X49&lt;=20,1,0))</formula>
    </cfRule>
    <cfRule type="expression" dxfId="19686" priority="735">
      <formula>AND(IF($Q49=2,1,0),IF($X49&lt;30,1,0))</formula>
    </cfRule>
    <cfRule type="expression" dxfId="19685" priority="736">
      <formula>AND(IF($Q49=3,1,0),IF($X49&lt;30,1,0))</formula>
    </cfRule>
    <cfRule type="expression" dxfId="19684" priority="737">
      <formula>AND(IF($Q49=3,1,IF($Q49=4,1,0)),IF($F49&lt;=85,1,0))</formula>
    </cfRule>
  </conditionalFormatting>
  <conditionalFormatting sqref="X49">
    <cfRule type="expression" dxfId="19683" priority="730">
      <formula>AND(IF(OR($Q49=1,$Q49=2),1,0),IF($X49&lt;=20,1,0))</formula>
    </cfRule>
    <cfRule type="expression" dxfId="19682" priority="731">
      <formula>AND(IF($Q49=2,1,0),IF($X49&lt;30,1,0))</formula>
    </cfRule>
    <cfRule type="expression" dxfId="19681" priority="732">
      <formula>AND(IF($Q49=3,1,0),IF($X49&lt;30,1,0))</formula>
    </cfRule>
    <cfRule type="expression" dxfId="19680" priority="733">
      <formula>AND(IF($Q49=3,1,IF($Q49=4,1,0)),IF($F49&lt;=85,1,0))</formula>
    </cfRule>
  </conditionalFormatting>
  <conditionalFormatting sqref="AI49">
    <cfRule type="expression" dxfId="19679" priority="726">
      <formula>AND(IF(OR($Q49=1,$Q49=2),1,0),IF($X49&lt;=20,1,0))</formula>
    </cfRule>
    <cfRule type="expression" dxfId="19678" priority="727">
      <formula>AND(IF($Q49=2,1,0),IF($X49&lt;30,1,0))</formula>
    </cfRule>
    <cfRule type="expression" dxfId="19677" priority="728">
      <formula>AND(IF($Q49=3,1,0),IF($X49&lt;30,1,0))</formula>
    </cfRule>
    <cfRule type="expression" dxfId="19676" priority="729">
      <formula>AND(IF($Q49=3,1,IF($Q49=4,1,0)),IF($F49&lt;=85,1,0))</formula>
    </cfRule>
  </conditionalFormatting>
  <conditionalFormatting sqref="AV50">
    <cfRule type="expression" dxfId="19675" priority="724">
      <formula>AV50="X"</formula>
    </cfRule>
    <cfRule type="expression" dxfId="19674" priority="725">
      <formula>AV50="후보"</formula>
    </cfRule>
  </conditionalFormatting>
  <conditionalFormatting sqref="AC50 N50">
    <cfRule type="cellIs" dxfId="19673" priority="721" operator="greaterThan">
      <formula>0.9</formula>
    </cfRule>
    <cfRule type="cellIs" dxfId="19672" priority="722" operator="greaterThan">
      <formula>0.85</formula>
    </cfRule>
  </conditionalFormatting>
  <conditionalFormatting sqref="AV51">
    <cfRule type="expression" dxfId="19671" priority="719">
      <formula>AV51="X"</formula>
    </cfRule>
    <cfRule type="expression" dxfId="19670" priority="720">
      <formula>AV51="후보"</formula>
    </cfRule>
  </conditionalFormatting>
  <conditionalFormatting sqref="AC51">
    <cfRule type="cellIs" dxfId="19669" priority="716" operator="greaterThan">
      <formula>0.9</formula>
    </cfRule>
    <cfRule type="cellIs" dxfId="19668" priority="717" operator="greaterThan">
      <formula>0.85</formula>
    </cfRule>
  </conditionalFormatting>
  <conditionalFormatting sqref="N51">
    <cfRule type="cellIs" dxfId="19667" priority="714" operator="greaterThan">
      <formula>0.9</formula>
    </cfRule>
    <cfRule type="cellIs" dxfId="19666" priority="715" operator="greaterThan">
      <formula>0.85</formula>
    </cfRule>
  </conditionalFormatting>
  <conditionalFormatting sqref="E51">
    <cfRule type="expression" dxfId="19665" priority="710">
      <formula>AND(IF(OR($Q51=1,$Q51=2),1,0),IF($X51&lt;=20,1,0))</formula>
    </cfRule>
    <cfRule type="expression" dxfId="19664" priority="711">
      <formula>AND(IF($Q51=2,1,0),IF($X51&lt;30,1,0))</formula>
    </cfRule>
    <cfRule type="expression" dxfId="19663" priority="712">
      <formula>AND(IF($Q51=3,1,0),IF($X51&lt;30,1,0))</formula>
    </cfRule>
    <cfRule type="expression" dxfId="19662" priority="713">
      <formula>AND(IF($Q51=3,1,IF($Q51=4,1,0)),IF($F51&lt;=85,1,0))</formula>
    </cfRule>
  </conditionalFormatting>
  <conditionalFormatting sqref="X51">
    <cfRule type="expression" dxfId="19661" priority="706">
      <formula>AND(IF(OR($Q51=1,$Q51=2),1,0),IF($X51&lt;=20,1,0))</formula>
    </cfRule>
    <cfRule type="expression" dxfId="19660" priority="707">
      <formula>AND(IF($Q51=2,1,0),IF($X51&lt;30,1,0))</formula>
    </cfRule>
    <cfRule type="expression" dxfId="19659" priority="708">
      <formula>AND(IF($Q51=3,1,0),IF($X51&lt;30,1,0))</formula>
    </cfRule>
    <cfRule type="expression" dxfId="19658" priority="709">
      <formula>AND(IF($Q51=3,1,IF($Q51=4,1,0)),IF($F51&lt;=85,1,0))</formula>
    </cfRule>
  </conditionalFormatting>
  <conditionalFormatting sqref="AI51">
    <cfRule type="expression" dxfId="19657" priority="702">
      <formula>AND(IF(OR($Q51=1,$Q51=2),1,0),IF($X51&lt;=20,1,0))</formula>
    </cfRule>
    <cfRule type="expression" dxfId="19656" priority="703">
      <formula>AND(IF($Q51=2,1,0),IF($X51&lt;30,1,0))</formula>
    </cfRule>
    <cfRule type="expression" dxfId="19655" priority="704">
      <formula>AND(IF($Q51=3,1,0),IF($X51&lt;30,1,0))</formula>
    </cfRule>
    <cfRule type="expression" dxfId="19654" priority="705">
      <formula>AND(IF($Q51=3,1,IF($Q51=4,1,0)),IF($F51&lt;=85,1,0))</formula>
    </cfRule>
  </conditionalFormatting>
  <conditionalFormatting sqref="AV52">
    <cfRule type="expression" dxfId="19653" priority="700">
      <formula>AV52="X"</formula>
    </cfRule>
    <cfRule type="expression" dxfId="19652" priority="701">
      <formula>AV52="후보"</formula>
    </cfRule>
  </conditionalFormatting>
  <conditionalFormatting sqref="AC52">
    <cfRule type="cellIs" dxfId="19651" priority="697" operator="greaterThan">
      <formula>0.9</formula>
    </cfRule>
    <cfRule type="cellIs" dxfId="19650" priority="698" operator="greaterThan">
      <formula>0.85</formula>
    </cfRule>
  </conditionalFormatting>
  <conditionalFormatting sqref="N52">
    <cfRule type="cellIs" dxfId="19649" priority="695" operator="greaterThan">
      <formula>0.9</formula>
    </cfRule>
    <cfRule type="cellIs" dxfId="19648" priority="696" operator="greaterThan">
      <formula>0.85</formula>
    </cfRule>
  </conditionalFormatting>
  <conditionalFormatting sqref="E52">
    <cfRule type="expression" dxfId="19647" priority="691">
      <formula>AND(IF(OR($Q52=1,$Q52=2),1,0),IF($X52&lt;=20,1,0))</formula>
    </cfRule>
    <cfRule type="expression" dxfId="19646" priority="692">
      <formula>AND(IF($Q52=2,1,0),IF($X52&lt;30,1,0))</formula>
    </cfRule>
    <cfRule type="expression" dxfId="19645" priority="693">
      <formula>AND(IF($Q52=3,1,0),IF($X52&lt;30,1,0))</formula>
    </cfRule>
    <cfRule type="expression" dxfId="19644" priority="694">
      <formula>AND(IF($Q52=3,1,IF($Q52=4,1,0)),IF($F52&lt;=85,1,0))</formula>
    </cfRule>
  </conditionalFormatting>
  <conditionalFormatting sqref="X52">
    <cfRule type="expression" dxfId="19643" priority="687">
      <formula>AND(IF(OR($Q52=1,$Q52=2),1,0),IF($X52&lt;=20,1,0))</formula>
    </cfRule>
    <cfRule type="expression" dxfId="19642" priority="688">
      <formula>AND(IF($Q52=2,1,0),IF($X52&lt;30,1,0))</formula>
    </cfRule>
    <cfRule type="expression" dxfId="19641" priority="689">
      <formula>AND(IF($Q52=3,1,0),IF($X52&lt;30,1,0))</formula>
    </cfRule>
    <cfRule type="expression" dxfId="19640" priority="690">
      <formula>AND(IF($Q52=3,1,IF($Q52=4,1,0)),IF($F52&lt;=85,1,0))</formula>
    </cfRule>
  </conditionalFormatting>
  <conditionalFormatting sqref="AI52">
    <cfRule type="expression" dxfId="19639" priority="683">
      <formula>AND(IF(OR($Q52=1,$Q52=2),1,0),IF($X52&lt;=20,1,0))</formula>
    </cfRule>
    <cfRule type="expression" dxfId="19638" priority="684">
      <formula>AND(IF($Q52=2,1,0),IF($X52&lt;30,1,0))</formula>
    </cfRule>
    <cfRule type="expression" dxfId="19637" priority="685">
      <formula>AND(IF($Q52=3,1,0),IF($X52&lt;30,1,0))</formula>
    </cfRule>
    <cfRule type="expression" dxfId="19636" priority="686">
      <formula>AND(IF($Q52=3,1,IF($Q52=4,1,0)),IF($F52&lt;=85,1,0))</formula>
    </cfRule>
  </conditionalFormatting>
  <conditionalFormatting sqref="AV53">
    <cfRule type="expression" dxfId="19635" priority="681">
      <formula>AV53="X"</formula>
    </cfRule>
    <cfRule type="expression" dxfId="19634" priority="682">
      <formula>AV53="후보"</formula>
    </cfRule>
  </conditionalFormatting>
  <conditionalFormatting sqref="AC53">
    <cfRule type="cellIs" dxfId="19633" priority="678" operator="greaterThan">
      <formula>0.9</formula>
    </cfRule>
    <cfRule type="cellIs" dxfId="19632" priority="679" operator="greaterThan">
      <formula>0.85</formula>
    </cfRule>
  </conditionalFormatting>
  <conditionalFormatting sqref="N53">
    <cfRule type="cellIs" dxfId="19631" priority="676" operator="greaterThan">
      <formula>0.9</formula>
    </cfRule>
    <cfRule type="cellIs" dxfId="19630" priority="677" operator="greaterThan">
      <formula>0.85</formula>
    </cfRule>
  </conditionalFormatting>
  <conditionalFormatting sqref="E53">
    <cfRule type="expression" dxfId="19629" priority="672">
      <formula>AND(IF(OR($Q53=1,$Q53=2),1,0),IF($X53&lt;=20,1,0))</formula>
    </cfRule>
    <cfRule type="expression" dxfId="19628" priority="673">
      <formula>AND(IF($Q53=2,1,0),IF($X53&lt;30,1,0))</formula>
    </cfRule>
    <cfRule type="expression" dxfId="19627" priority="674">
      <formula>AND(IF($Q53=3,1,0),IF($X53&lt;30,1,0))</formula>
    </cfRule>
    <cfRule type="expression" dxfId="19626" priority="675">
      <formula>AND(IF($Q53=3,1,IF($Q53=4,1,0)),IF($F53&lt;=85,1,0))</formula>
    </cfRule>
  </conditionalFormatting>
  <conditionalFormatting sqref="X53">
    <cfRule type="expression" dxfId="19625" priority="668">
      <formula>AND(IF(OR($Q53=1,$Q53=2),1,0),IF($X53&lt;=20,1,0))</formula>
    </cfRule>
    <cfRule type="expression" dxfId="19624" priority="669">
      <formula>AND(IF($Q53=2,1,0),IF($X53&lt;30,1,0))</formula>
    </cfRule>
    <cfRule type="expression" dxfId="19623" priority="670">
      <formula>AND(IF($Q53=3,1,0),IF($X53&lt;30,1,0))</formula>
    </cfRule>
    <cfRule type="expression" dxfId="19622" priority="671">
      <formula>AND(IF($Q53=3,1,IF($Q53=4,1,0)),IF($F53&lt;=85,1,0))</formula>
    </cfRule>
  </conditionalFormatting>
  <conditionalFormatting sqref="AI53">
    <cfRule type="expression" dxfId="19621" priority="664">
      <formula>AND(IF(OR($Q53=1,$Q53=2),1,0),IF($X53&lt;=20,1,0))</formula>
    </cfRule>
    <cfRule type="expression" dxfId="19620" priority="665">
      <formula>AND(IF($Q53=2,1,0),IF($X53&lt;30,1,0))</formula>
    </cfRule>
    <cfRule type="expression" dxfId="19619" priority="666">
      <formula>AND(IF($Q53=3,1,0),IF($X53&lt;30,1,0))</formula>
    </cfRule>
    <cfRule type="expression" dxfId="19618" priority="667">
      <formula>AND(IF($Q53=3,1,IF($Q53=4,1,0)),IF($F53&lt;=85,1,0))</formula>
    </cfRule>
  </conditionalFormatting>
  <conditionalFormatting sqref="AV54">
    <cfRule type="expression" dxfId="19617" priority="662">
      <formula>AV54="X"</formula>
    </cfRule>
    <cfRule type="expression" dxfId="19616" priority="663">
      <formula>AV54="후보"</formula>
    </cfRule>
  </conditionalFormatting>
  <conditionalFormatting sqref="AC54">
    <cfRule type="cellIs" dxfId="19615" priority="659" operator="greaterThan">
      <formula>0.9</formula>
    </cfRule>
    <cfRule type="cellIs" dxfId="19614" priority="660" operator="greaterThan">
      <formula>0.85</formula>
    </cfRule>
  </conditionalFormatting>
  <conditionalFormatting sqref="N54">
    <cfRule type="cellIs" dxfId="19613" priority="657" operator="greaterThan">
      <formula>0.9</formula>
    </cfRule>
    <cfRule type="cellIs" dxfId="19612" priority="658" operator="greaterThan">
      <formula>0.85</formula>
    </cfRule>
  </conditionalFormatting>
  <conditionalFormatting sqref="E54">
    <cfRule type="expression" dxfId="19611" priority="653">
      <formula>AND(IF(OR($Q54=1,$Q54=2),1,0),IF($X54&lt;=20,1,0))</formula>
    </cfRule>
    <cfRule type="expression" dxfId="19610" priority="654">
      <formula>AND(IF($Q54=2,1,0),IF($X54&lt;30,1,0))</formula>
    </cfRule>
    <cfRule type="expression" dxfId="19609" priority="655">
      <formula>AND(IF($Q54=3,1,0),IF($X54&lt;30,1,0))</formula>
    </cfRule>
    <cfRule type="expression" dxfId="19608" priority="656">
      <formula>AND(IF($Q54=3,1,IF($Q54=4,1,0)),IF($F54&lt;=85,1,0))</formula>
    </cfRule>
  </conditionalFormatting>
  <conditionalFormatting sqref="X54">
    <cfRule type="expression" dxfId="19607" priority="649">
      <formula>AND(IF(OR($Q54=1,$Q54=2),1,0),IF($X54&lt;=20,1,0))</formula>
    </cfRule>
    <cfRule type="expression" dxfId="19606" priority="650">
      <formula>AND(IF($Q54=2,1,0),IF($X54&lt;30,1,0))</formula>
    </cfRule>
    <cfRule type="expression" dxfId="19605" priority="651">
      <formula>AND(IF($Q54=3,1,0),IF($X54&lt;30,1,0))</formula>
    </cfRule>
    <cfRule type="expression" dxfId="19604" priority="652">
      <formula>AND(IF($Q54=3,1,IF($Q54=4,1,0)),IF($F54&lt;=85,1,0))</formula>
    </cfRule>
  </conditionalFormatting>
  <conditionalFormatting sqref="AI54">
    <cfRule type="expression" dxfId="19603" priority="645">
      <formula>AND(IF(OR($Q54=1,$Q54=2),1,0),IF($X54&lt;=20,1,0))</formula>
    </cfRule>
    <cfRule type="expression" dxfId="19602" priority="646">
      <formula>AND(IF($Q54=2,1,0),IF($X54&lt;30,1,0))</formula>
    </cfRule>
    <cfRule type="expression" dxfId="19601" priority="647">
      <formula>AND(IF($Q54=3,1,0),IF($X54&lt;30,1,0))</formula>
    </cfRule>
    <cfRule type="expression" dxfId="19600" priority="648">
      <formula>AND(IF($Q54=3,1,IF($Q54=4,1,0)),IF($F54&lt;=85,1,0))</formula>
    </cfRule>
  </conditionalFormatting>
  <conditionalFormatting sqref="AV55">
    <cfRule type="expression" dxfId="19599" priority="643">
      <formula>AV55="X"</formula>
    </cfRule>
    <cfRule type="expression" dxfId="19598" priority="644">
      <formula>AV55="후보"</formula>
    </cfRule>
  </conditionalFormatting>
  <conditionalFormatting sqref="AC55 N55">
    <cfRule type="cellIs" dxfId="19597" priority="640" operator="greaterThan">
      <formula>0.9</formula>
    </cfRule>
    <cfRule type="cellIs" dxfId="19596" priority="641" operator="greaterThan">
      <formula>0.85</formula>
    </cfRule>
  </conditionalFormatting>
  <conditionalFormatting sqref="AV56">
    <cfRule type="expression" dxfId="19595" priority="638">
      <formula>AV56="X"</formula>
    </cfRule>
    <cfRule type="expression" dxfId="19594" priority="639">
      <formula>AV56="후보"</formula>
    </cfRule>
  </conditionalFormatting>
  <conditionalFormatting sqref="AC56">
    <cfRule type="cellIs" dxfId="19593" priority="635" operator="greaterThan">
      <formula>0.9</formula>
    </cfRule>
    <cfRule type="cellIs" dxfId="19592" priority="636" operator="greaterThan">
      <formula>0.85</formula>
    </cfRule>
  </conditionalFormatting>
  <conditionalFormatting sqref="N56">
    <cfRule type="cellIs" dxfId="19591" priority="633" operator="greaterThan">
      <formula>0.9</formula>
    </cfRule>
    <cfRule type="cellIs" dxfId="19590" priority="634" operator="greaterThan">
      <formula>0.85</formula>
    </cfRule>
  </conditionalFormatting>
  <conditionalFormatting sqref="E56">
    <cfRule type="expression" dxfId="19589" priority="629">
      <formula>AND(IF(OR($Q56=1,$Q56=2),1,0),IF($X56&lt;=20,1,0))</formula>
    </cfRule>
    <cfRule type="expression" dxfId="19588" priority="630">
      <formula>AND(IF($Q56=2,1,0),IF($X56&lt;30,1,0))</formula>
    </cfRule>
    <cfRule type="expression" dxfId="19587" priority="631">
      <formula>AND(IF($Q56=3,1,0),IF($X56&lt;30,1,0))</formula>
    </cfRule>
    <cfRule type="expression" dxfId="19586" priority="632">
      <formula>AND(IF($Q56=3,1,IF($Q56=4,1,0)),IF($F56&lt;=85,1,0))</formula>
    </cfRule>
  </conditionalFormatting>
  <conditionalFormatting sqref="X56">
    <cfRule type="expression" dxfId="19585" priority="625">
      <formula>AND(IF(OR($Q56=1,$Q56=2),1,0),IF($X56&lt;=20,1,0))</formula>
    </cfRule>
    <cfRule type="expression" dxfId="19584" priority="626">
      <formula>AND(IF($Q56=2,1,0),IF($X56&lt;30,1,0))</formula>
    </cfRule>
    <cfRule type="expression" dxfId="19583" priority="627">
      <formula>AND(IF($Q56=3,1,0),IF($X56&lt;30,1,0))</formula>
    </cfRule>
    <cfRule type="expression" dxfId="19582" priority="628">
      <formula>AND(IF($Q56=3,1,IF($Q56=4,1,0)),IF($F56&lt;=85,1,0))</formula>
    </cfRule>
  </conditionalFormatting>
  <conditionalFormatting sqref="AI56">
    <cfRule type="expression" dxfId="19581" priority="621">
      <formula>AND(IF(OR($Q56=1,$Q56=2),1,0),IF($X56&lt;=20,1,0))</formula>
    </cfRule>
    <cfRule type="expression" dxfId="19580" priority="622">
      <formula>AND(IF($Q56=2,1,0),IF($X56&lt;30,1,0))</formula>
    </cfRule>
    <cfRule type="expression" dxfId="19579" priority="623">
      <formula>AND(IF($Q56=3,1,0),IF($X56&lt;30,1,0))</formula>
    </cfRule>
    <cfRule type="expression" dxfId="19578" priority="624">
      <formula>AND(IF($Q56=3,1,IF($Q56=4,1,0)),IF($F56&lt;=85,1,0))</formula>
    </cfRule>
  </conditionalFormatting>
  <conditionalFormatting sqref="AV57">
    <cfRule type="expression" dxfId="19577" priority="619">
      <formula>AV57="X"</formula>
    </cfRule>
    <cfRule type="expression" dxfId="19576" priority="620">
      <formula>AV57="후보"</formula>
    </cfRule>
  </conditionalFormatting>
  <conditionalFormatting sqref="AC57">
    <cfRule type="cellIs" dxfId="19575" priority="616" operator="greaterThan">
      <formula>0.9</formula>
    </cfRule>
    <cfRule type="cellIs" dxfId="19574" priority="617" operator="greaterThan">
      <formula>0.85</formula>
    </cfRule>
  </conditionalFormatting>
  <conditionalFormatting sqref="N57">
    <cfRule type="cellIs" dxfId="19573" priority="614" operator="greaterThan">
      <formula>0.9</formula>
    </cfRule>
    <cfRule type="cellIs" dxfId="19572" priority="615" operator="greaterThan">
      <formula>0.85</formula>
    </cfRule>
  </conditionalFormatting>
  <conditionalFormatting sqref="E57">
    <cfRule type="expression" dxfId="19571" priority="610">
      <formula>AND(IF(OR($Q57=1,$Q57=2),1,0),IF($X57&lt;=20,1,0))</formula>
    </cfRule>
    <cfRule type="expression" dxfId="19570" priority="611">
      <formula>AND(IF($Q57=2,1,0),IF($X57&lt;30,1,0))</formula>
    </cfRule>
    <cfRule type="expression" dxfId="19569" priority="612">
      <formula>AND(IF($Q57=3,1,0),IF($X57&lt;30,1,0))</formula>
    </cfRule>
    <cfRule type="expression" dxfId="19568" priority="613">
      <formula>AND(IF($Q57=3,1,IF($Q57=4,1,0)),IF($F57&lt;=85,1,0))</formula>
    </cfRule>
  </conditionalFormatting>
  <conditionalFormatting sqref="X57">
    <cfRule type="expression" dxfId="19567" priority="606">
      <formula>AND(IF(OR($Q57=1,$Q57=2),1,0),IF($X57&lt;=20,1,0))</formula>
    </cfRule>
    <cfRule type="expression" dxfId="19566" priority="607">
      <formula>AND(IF($Q57=2,1,0),IF($X57&lt;30,1,0))</formula>
    </cfRule>
    <cfRule type="expression" dxfId="19565" priority="608">
      <formula>AND(IF($Q57=3,1,0),IF($X57&lt;30,1,0))</formula>
    </cfRule>
    <cfRule type="expression" dxfId="19564" priority="609">
      <formula>AND(IF($Q57=3,1,IF($Q57=4,1,0)),IF($F57&lt;=85,1,0))</formula>
    </cfRule>
  </conditionalFormatting>
  <conditionalFormatting sqref="AI57">
    <cfRule type="expression" dxfId="19563" priority="602">
      <formula>AND(IF(OR($Q57=1,$Q57=2),1,0),IF($X57&lt;=20,1,0))</formula>
    </cfRule>
    <cfRule type="expression" dxfId="19562" priority="603">
      <formula>AND(IF($Q57=2,1,0),IF($X57&lt;30,1,0))</formula>
    </cfRule>
    <cfRule type="expression" dxfId="19561" priority="604">
      <formula>AND(IF($Q57=3,1,0),IF($X57&lt;30,1,0))</formula>
    </cfRule>
    <cfRule type="expression" dxfId="19560" priority="605">
      <formula>AND(IF($Q57=3,1,IF($Q57=4,1,0)),IF($F57&lt;=85,1,0))</formula>
    </cfRule>
  </conditionalFormatting>
  <conditionalFormatting sqref="AV58">
    <cfRule type="expression" dxfId="19559" priority="600">
      <formula>AV58="X"</formula>
    </cfRule>
    <cfRule type="expression" dxfId="19558" priority="601">
      <formula>AV58="후보"</formula>
    </cfRule>
  </conditionalFormatting>
  <conditionalFormatting sqref="AC58">
    <cfRule type="cellIs" dxfId="19557" priority="597" operator="greaterThan">
      <formula>0.9</formula>
    </cfRule>
    <cfRule type="cellIs" dxfId="19556" priority="598" operator="greaterThan">
      <formula>0.85</formula>
    </cfRule>
  </conditionalFormatting>
  <conditionalFormatting sqref="N58">
    <cfRule type="cellIs" dxfId="19555" priority="595" operator="greaterThan">
      <formula>0.9</formula>
    </cfRule>
    <cfRule type="cellIs" dxfId="19554" priority="596" operator="greaterThan">
      <formula>0.85</formula>
    </cfRule>
  </conditionalFormatting>
  <conditionalFormatting sqref="E58">
    <cfRule type="expression" dxfId="19553" priority="591">
      <formula>AND(IF(OR($Q58=1,$Q58=2),1,0),IF($X58&lt;=20,1,0))</formula>
    </cfRule>
    <cfRule type="expression" dxfId="19552" priority="592">
      <formula>AND(IF($Q58=2,1,0),IF($X58&lt;30,1,0))</formula>
    </cfRule>
    <cfRule type="expression" dxfId="19551" priority="593">
      <formula>AND(IF($Q58=3,1,0),IF($X58&lt;30,1,0))</formula>
    </cfRule>
    <cfRule type="expression" dxfId="19550" priority="594">
      <formula>AND(IF($Q58=3,1,IF($Q58=4,1,0)),IF($F58&lt;=85,1,0))</formula>
    </cfRule>
  </conditionalFormatting>
  <conditionalFormatting sqref="X58">
    <cfRule type="expression" dxfId="19549" priority="587">
      <formula>AND(IF(OR($Q58=1,$Q58=2),1,0),IF($X58&lt;=20,1,0))</formula>
    </cfRule>
    <cfRule type="expression" dxfId="19548" priority="588">
      <formula>AND(IF($Q58=2,1,0),IF($X58&lt;30,1,0))</formula>
    </cfRule>
    <cfRule type="expression" dxfId="19547" priority="589">
      <formula>AND(IF($Q58=3,1,0),IF($X58&lt;30,1,0))</formula>
    </cfRule>
    <cfRule type="expression" dxfId="19546" priority="590">
      <formula>AND(IF($Q58=3,1,IF($Q58=4,1,0)),IF($F58&lt;=85,1,0))</formula>
    </cfRule>
  </conditionalFormatting>
  <conditionalFormatting sqref="AI58">
    <cfRule type="expression" dxfId="19545" priority="583">
      <formula>AND(IF(OR($Q58=1,$Q58=2),1,0),IF($X58&lt;=20,1,0))</formula>
    </cfRule>
    <cfRule type="expression" dxfId="19544" priority="584">
      <formula>AND(IF($Q58=2,1,0),IF($X58&lt;30,1,0))</formula>
    </cfRule>
    <cfRule type="expression" dxfId="19543" priority="585">
      <formula>AND(IF($Q58=3,1,0),IF($X58&lt;30,1,0))</formula>
    </cfRule>
    <cfRule type="expression" dxfId="19542" priority="586">
      <formula>AND(IF($Q58=3,1,IF($Q58=4,1,0)),IF($F58&lt;=85,1,0))</formula>
    </cfRule>
  </conditionalFormatting>
  <conditionalFormatting sqref="AV59">
    <cfRule type="expression" dxfId="19541" priority="581">
      <formula>AV59="X"</formula>
    </cfRule>
    <cfRule type="expression" dxfId="19540" priority="582">
      <formula>AV59="후보"</formula>
    </cfRule>
  </conditionalFormatting>
  <conditionalFormatting sqref="AC59 N59">
    <cfRule type="cellIs" dxfId="19539" priority="578" operator="greaterThan">
      <formula>0.9</formula>
    </cfRule>
    <cfRule type="cellIs" dxfId="19538" priority="579" operator="greaterThan">
      <formula>0.85</formula>
    </cfRule>
  </conditionalFormatting>
  <conditionalFormatting sqref="AV60">
    <cfRule type="expression" dxfId="19537" priority="576">
      <formula>AV60="X"</formula>
    </cfRule>
    <cfRule type="expression" dxfId="19536" priority="577">
      <formula>AV60="후보"</formula>
    </cfRule>
  </conditionalFormatting>
  <conditionalFormatting sqref="AC60">
    <cfRule type="cellIs" dxfId="19535" priority="573" operator="greaterThan">
      <formula>0.9</formula>
    </cfRule>
    <cfRule type="cellIs" dxfId="19534" priority="574" operator="greaterThan">
      <formula>0.85</formula>
    </cfRule>
  </conditionalFormatting>
  <conditionalFormatting sqref="N60">
    <cfRule type="cellIs" dxfId="19533" priority="571" operator="greaterThan">
      <formula>0.9</formula>
    </cfRule>
    <cfRule type="cellIs" dxfId="19532" priority="572" operator="greaterThan">
      <formula>0.85</formula>
    </cfRule>
  </conditionalFormatting>
  <conditionalFormatting sqref="E60">
    <cfRule type="expression" dxfId="19531" priority="567">
      <formula>AND(IF(OR($Q60=1,$Q60=2),1,0),IF($X60&lt;=20,1,0))</formula>
    </cfRule>
    <cfRule type="expression" dxfId="19530" priority="568">
      <formula>AND(IF($Q60=2,1,0),IF($X60&lt;30,1,0))</formula>
    </cfRule>
    <cfRule type="expression" dxfId="19529" priority="569">
      <formula>AND(IF($Q60=3,1,0),IF($X60&lt;30,1,0))</formula>
    </cfRule>
    <cfRule type="expression" dxfId="19528" priority="570">
      <formula>AND(IF($Q60=3,1,IF($Q60=4,1,0)),IF($F60&lt;=85,1,0))</formula>
    </cfRule>
  </conditionalFormatting>
  <conditionalFormatting sqref="X60">
    <cfRule type="expression" dxfId="19527" priority="563">
      <formula>AND(IF(OR($Q60=1,$Q60=2),1,0),IF($X60&lt;=20,1,0))</formula>
    </cfRule>
    <cfRule type="expression" dxfId="19526" priority="564">
      <formula>AND(IF($Q60=2,1,0),IF($X60&lt;30,1,0))</formula>
    </cfRule>
    <cfRule type="expression" dxfId="19525" priority="565">
      <formula>AND(IF($Q60=3,1,0),IF($X60&lt;30,1,0))</formula>
    </cfRule>
    <cfRule type="expression" dxfId="19524" priority="566">
      <formula>AND(IF($Q60=3,1,IF($Q60=4,1,0)),IF($F60&lt;=85,1,0))</formula>
    </cfRule>
  </conditionalFormatting>
  <conditionalFormatting sqref="AI60">
    <cfRule type="expression" dxfId="19523" priority="559">
      <formula>AND(IF(OR($Q60=1,$Q60=2),1,0),IF($X60&lt;=20,1,0))</formula>
    </cfRule>
    <cfRule type="expression" dxfId="19522" priority="560">
      <formula>AND(IF($Q60=2,1,0),IF($X60&lt;30,1,0))</formula>
    </cfRule>
    <cfRule type="expression" dxfId="19521" priority="561">
      <formula>AND(IF($Q60=3,1,0),IF($X60&lt;30,1,0))</formula>
    </cfRule>
    <cfRule type="expression" dxfId="19520" priority="562">
      <formula>AND(IF($Q60=3,1,IF($Q60=4,1,0)),IF($F60&lt;=85,1,0))</formula>
    </cfRule>
  </conditionalFormatting>
  <conditionalFormatting sqref="AV61">
    <cfRule type="expression" dxfId="19519" priority="557">
      <formula>AV61="X"</formula>
    </cfRule>
    <cfRule type="expression" dxfId="19518" priority="558">
      <formula>AV61="후보"</formula>
    </cfRule>
  </conditionalFormatting>
  <conditionalFormatting sqref="AC61">
    <cfRule type="cellIs" dxfId="19517" priority="554" operator="greaterThan">
      <formula>0.9</formula>
    </cfRule>
    <cfRule type="cellIs" dxfId="19516" priority="555" operator="greaterThan">
      <formula>0.85</formula>
    </cfRule>
  </conditionalFormatting>
  <conditionalFormatting sqref="N61">
    <cfRule type="cellIs" dxfId="19515" priority="552" operator="greaterThan">
      <formula>0.9</formula>
    </cfRule>
    <cfRule type="cellIs" dxfId="19514" priority="553" operator="greaterThan">
      <formula>0.85</formula>
    </cfRule>
  </conditionalFormatting>
  <conditionalFormatting sqref="E61">
    <cfRule type="expression" dxfId="19513" priority="548">
      <formula>AND(IF(OR($Q61=1,$Q61=2),1,0),IF($X61&lt;=20,1,0))</formula>
    </cfRule>
    <cfRule type="expression" dxfId="19512" priority="549">
      <formula>AND(IF($Q61=2,1,0),IF($X61&lt;30,1,0))</formula>
    </cfRule>
    <cfRule type="expression" dxfId="19511" priority="550">
      <formula>AND(IF($Q61=3,1,0),IF($X61&lt;30,1,0))</formula>
    </cfRule>
    <cfRule type="expression" dxfId="19510" priority="551">
      <formula>AND(IF($Q61=3,1,IF($Q61=4,1,0)),IF($F61&lt;=85,1,0))</formula>
    </cfRule>
  </conditionalFormatting>
  <conditionalFormatting sqref="X61">
    <cfRule type="expression" dxfId="19509" priority="544">
      <formula>AND(IF(OR($Q61=1,$Q61=2),1,0),IF($X61&lt;=20,1,0))</formula>
    </cfRule>
    <cfRule type="expression" dxfId="19508" priority="545">
      <formula>AND(IF($Q61=2,1,0),IF($X61&lt;30,1,0))</formula>
    </cfRule>
    <cfRule type="expression" dxfId="19507" priority="546">
      <formula>AND(IF($Q61=3,1,0),IF($X61&lt;30,1,0))</formula>
    </cfRule>
    <cfRule type="expression" dxfId="19506" priority="547">
      <formula>AND(IF($Q61=3,1,IF($Q61=4,1,0)),IF($F61&lt;=85,1,0))</formula>
    </cfRule>
  </conditionalFormatting>
  <conditionalFormatting sqref="AI61">
    <cfRule type="expression" dxfId="19505" priority="540">
      <formula>AND(IF(OR($Q61=1,$Q61=2),1,0),IF($X61&lt;=20,1,0))</formula>
    </cfRule>
    <cfRule type="expression" dxfId="19504" priority="541">
      <formula>AND(IF($Q61=2,1,0),IF($X61&lt;30,1,0))</formula>
    </cfRule>
    <cfRule type="expression" dxfId="19503" priority="542">
      <formula>AND(IF($Q61=3,1,0),IF($X61&lt;30,1,0))</formula>
    </cfRule>
    <cfRule type="expression" dxfId="19502" priority="543">
      <formula>AND(IF($Q61=3,1,IF($Q61=4,1,0)),IF($F61&lt;=85,1,0))</formula>
    </cfRule>
  </conditionalFormatting>
  <conditionalFormatting sqref="AV62">
    <cfRule type="expression" dxfId="19501" priority="538">
      <formula>AV62="X"</formula>
    </cfRule>
    <cfRule type="expression" dxfId="19500" priority="539">
      <formula>AV62="후보"</formula>
    </cfRule>
  </conditionalFormatting>
  <conditionalFormatting sqref="AC62">
    <cfRule type="cellIs" dxfId="19499" priority="535" operator="greaterThan">
      <formula>0.9</formula>
    </cfRule>
    <cfRule type="cellIs" dxfId="19498" priority="536" operator="greaterThan">
      <formula>0.85</formula>
    </cfRule>
  </conditionalFormatting>
  <conditionalFormatting sqref="N62">
    <cfRule type="cellIs" dxfId="19497" priority="533" operator="greaterThan">
      <formula>0.9</formula>
    </cfRule>
    <cfRule type="cellIs" dxfId="19496" priority="534" operator="greaterThan">
      <formula>0.85</formula>
    </cfRule>
  </conditionalFormatting>
  <conditionalFormatting sqref="E62">
    <cfRule type="expression" dxfId="19495" priority="529">
      <formula>AND(IF(OR($Q62=1,$Q62=2),1,0),IF($X62&lt;=20,1,0))</formula>
    </cfRule>
    <cfRule type="expression" dxfId="19494" priority="530">
      <formula>AND(IF($Q62=2,1,0),IF($X62&lt;30,1,0))</formula>
    </cfRule>
    <cfRule type="expression" dxfId="19493" priority="531">
      <formula>AND(IF($Q62=3,1,0),IF($X62&lt;30,1,0))</formula>
    </cfRule>
    <cfRule type="expression" dxfId="19492" priority="532">
      <formula>AND(IF($Q62=3,1,IF($Q62=4,1,0)),IF($F62&lt;=85,1,0))</formula>
    </cfRule>
  </conditionalFormatting>
  <conditionalFormatting sqref="X62">
    <cfRule type="expression" dxfId="19491" priority="525">
      <formula>AND(IF(OR($Q62=1,$Q62=2),1,0),IF($X62&lt;=20,1,0))</formula>
    </cfRule>
    <cfRule type="expression" dxfId="19490" priority="526">
      <formula>AND(IF($Q62=2,1,0),IF($X62&lt;30,1,0))</formula>
    </cfRule>
    <cfRule type="expression" dxfId="19489" priority="527">
      <formula>AND(IF($Q62=3,1,0),IF($X62&lt;30,1,0))</formula>
    </cfRule>
    <cfRule type="expression" dxfId="19488" priority="528">
      <formula>AND(IF($Q62=3,1,IF($Q62=4,1,0)),IF($F62&lt;=85,1,0))</formula>
    </cfRule>
  </conditionalFormatting>
  <conditionalFormatting sqref="AI62">
    <cfRule type="expression" dxfId="19487" priority="521">
      <formula>AND(IF(OR($Q62=1,$Q62=2),1,0),IF($X62&lt;=20,1,0))</formula>
    </cfRule>
    <cfRule type="expression" dxfId="19486" priority="522">
      <formula>AND(IF($Q62=2,1,0),IF($X62&lt;30,1,0))</formula>
    </cfRule>
    <cfRule type="expression" dxfId="19485" priority="523">
      <formula>AND(IF($Q62=3,1,0),IF($X62&lt;30,1,0))</formula>
    </cfRule>
    <cfRule type="expression" dxfId="19484" priority="524">
      <formula>AND(IF($Q62=3,1,IF($Q62=4,1,0)),IF($F62&lt;=85,1,0))</formula>
    </cfRule>
  </conditionalFormatting>
  <conditionalFormatting sqref="AV63">
    <cfRule type="expression" dxfId="19483" priority="519">
      <formula>AV63="X"</formula>
    </cfRule>
    <cfRule type="expression" dxfId="19482" priority="520">
      <formula>AV63="후보"</formula>
    </cfRule>
  </conditionalFormatting>
  <conditionalFormatting sqref="AC63">
    <cfRule type="cellIs" dxfId="19481" priority="516" operator="greaterThan">
      <formula>0.9</formula>
    </cfRule>
    <cfRule type="cellIs" dxfId="19480" priority="517" operator="greaterThan">
      <formula>0.85</formula>
    </cfRule>
  </conditionalFormatting>
  <conditionalFormatting sqref="N63">
    <cfRule type="cellIs" dxfId="19479" priority="514" operator="greaterThan">
      <formula>0.9</formula>
    </cfRule>
    <cfRule type="cellIs" dxfId="19478" priority="515" operator="greaterThan">
      <formula>0.85</formula>
    </cfRule>
  </conditionalFormatting>
  <conditionalFormatting sqref="E63">
    <cfRule type="expression" dxfId="19477" priority="510">
      <formula>AND(IF(OR($Q63=1,$Q63=2),1,0),IF($X63&lt;=20,1,0))</formula>
    </cfRule>
    <cfRule type="expression" dxfId="19476" priority="511">
      <formula>AND(IF($Q63=2,1,0),IF($X63&lt;30,1,0))</formula>
    </cfRule>
    <cfRule type="expression" dxfId="19475" priority="512">
      <formula>AND(IF($Q63=3,1,0),IF($X63&lt;30,1,0))</formula>
    </cfRule>
    <cfRule type="expression" dxfId="19474" priority="513">
      <formula>AND(IF($Q63=3,1,IF($Q63=4,1,0)),IF($F63&lt;=85,1,0))</formula>
    </cfRule>
  </conditionalFormatting>
  <conditionalFormatting sqref="X63">
    <cfRule type="expression" dxfId="19473" priority="506">
      <formula>AND(IF(OR($Q63=1,$Q63=2),1,0),IF($X63&lt;=20,1,0))</formula>
    </cfRule>
    <cfRule type="expression" dxfId="19472" priority="507">
      <formula>AND(IF($Q63=2,1,0),IF($X63&lt;30,1,0))</formula>
    </cfRule>
    <cfRule type="expression" dxfId="19471" priority="508">
      <formula>AND(IF($Q63=3,1,0),IF($X63&lt;30,1,0))</formula>
    </cfRule>
    <cfRule type="expression" dxfId="19470" priority="509">
      <formula>AND(IF($Q63=3,1,IF($Q63=4,1,0)),IF($F63&lt;=85,1,0))</formula>
    </cfRule>
  </conditionalFormatting>
  <conditionalFormatting sqref="AI63">
    <cfRule type="expression" dxfId="19469" priority="502">
      <formula>AND(IF(OR($Q63=1,$Q63=2),1,0),IF($X63&lt;=20,1,0))</formula>
    </cfRule>
    <cfRule type="expression" dxfId="19468" priority="503">
      <formula>AND(IF($Q63=2,1,0),IF($X63&lt;30,1,0))</formula>
    </cfRule>
    <cfRule type="expression" dxfId="19467" priority="504">
      <formula>AND(IF($Q63=3,1,0),IF($X63&lt;30,1,0))</formula>
    </cfRule>
    <cfRule type="expression" dxfId="19466" priority="505">
      <formula>AND(IF($Q63=3,1,IF($Q63=4,1,0)),IF($F63&lt;=85,1,0))</formula>
    </cfRule>
  </conditionalFormatting>
  <conditionalFormatting sqref="AV64">
    <cfRule type="expression" dxfId="19465" priority="500">
      <formula>AV64="X"</formula>
    </cfRule>
    <cfRule type="expression" dxfId="19464" priority="501">
      <formula>AV64="후보"</formula>
    </cfRule>
  </conditionalFormatting>
  <conditionalFormatting sqref="AC64 N64">
    <cfRule type="cellIs" dxfId="19463" priority="497" operator="greaterThan">
      <formula>0.9</formula>
    </cfRule>
    <cfRule type="cellIs" dxfId="19462" priority="498" operator="greaterThan">
      <formula>0.85</formula>
    </cfRule>
  </conditionalFormatting>
  <conditionalFormatting sqref="AV65">
    <cfRule type="expression" dxfId="19461" priority="495">
      <formula>AV65="X"</formula>
    </cfRule>
    <cfRule type="expression" dxfId="19460" priority="496">
      <formula>AV65="후보"</formula>
    </cfRule>
  </conditionalFormatting>
  <conditionalFormatting sqref="AC65">
    <cfRule type="cellIs" dxfId="19459" priority="492" operator="greaterThan">
      <formula>0.9</formula>
    </cfRule>
    <cfRule type="cellIs" dxfId="19458" priority="493" operator="greaterThan">
      <formula>0.85</formula>
    </cfRule>
  </conditionalFormatting>
  <conditionalFormatting sqref="N65">
    <cfRule type="cellIs" dxfId="19457" priority="490" operator="greaterThan">
      <formula>0.9</formula>
    </cfRule>
    <cfRule type="cellIs" dxfId="19456" priority="491" operator="greaterThan">
      <formula>0.85</formula>
    </cfRule>
  </conditionalFormatting>
  <conditionalFormatting sqref="E65">
    <cfRule type="expression" dxfId="19455" priority="486">
      <formula>AND(IF(OR($Q65=1,$Q65=2),1,0),IF($X65&lt;=20,1,0))</formula>
    </cfRule>
    <cfRule type="expression" dxfId="19454" priority="487">
      <formula>AND(IF($Q65=2,1,0),IF($X65&lt;30,1,0))</formula>
    </cfRule>
    <cfRule type="expression" dxfId="19453" priority="488">
      <formula>AND(IF($Q65=3,1,0),IF($X65&lt;30,1,0))</formula>
    </cfRule>
    <cfRule type="expression" dxfId="19452" priority="489">
      <formula>AND(IF($Q65=3,1,IF($Q65=4,1,0)),IF($F65&lt;=85,1,0))</formula>
    </cfRule>
  </conditionalFormatting>
  <conditionalFormatting sqref="X65">
    <cfRule type="expression" dxfId="19451" priority="482">
      <formula>AND(IF(OR($Q65=1,$Q65=2),1,0),IF($X65&lt;=20,1,0))</formula>
    </cfRule>
    <cfRule type="expression" dxfId="19450" priority="483">
      <formula>AND(IF($Q65=2,1,0),IF($X65&lt;30,1,0))</formula>
    </cfRule>
    <cfRule type="expression" dxfId="19449" priority="484">
      <formula>AND(IF($Q65=3,1,0),IF($X65&lt;30,1,0))</formula>
    </cfRule>
    <cfRule type="expression" dxfId="19448" priority="485">
      <formula>AND(IF($Q65=3,1,IF($Q65=4,1,0)),IF($F65&lt;=85,1,0))</formula>
    </cfRule>
  </conditionalFormatting>
  <conditionalFormatting sqref="AI65">
    <cfRule type="expression" dxfId="19447" priority="478">
      <formula>AND(IF(OR($Q65=1,$Q65=2),1,0),IF($X65&lt;=20,1,0))</formula>
    </cfRule>
    <cfRule type="expression" dxfId="19446" priority="479">
      <formula>AND(IF($Q65=2,1,0),IF($X65&lt;30,1,0))</formula>
    </cfRule>
    <cfRule type="expression" dxfId="19445" priority="480">
      <formula>AND(IF($Q65=3,1,0),IF($X65&lt;30,1,0))</formula>
    </cfRule>
    <cfRule type="expression" dxfId="19444" priority="481">
      <formula>AND(IF($Q65=3,1,IF($Q65=4,1,0)),IF($F65&lt;=85,1,0))</formula>
    </cfRule>
  </conditionalFormatting>
  <conditionalFormatting sqref="AV66">
    <cfRule type="expression" dxfId="19443" priority="476">
      <formula>AV66="X"</formula>
    </cfRule>
    <cfRule type="expression" dxfId="19442" priority="477">
      <formula>AV66="후보"</formula>
    </cfRule>
  </conditionalFormatting>
  <conditionalFormatting sqref="AC66">
    <cfRule type="cellIs" dxfId="19441" priority="473" operator="greaterThan">
      <formula>0.9</formula>
    </cfRule>
    <cfRule type="cellIs" dxfId="19440" priority="474" operator="greaterThan">
      <formula>0.85</formula>
    </cfRule>
  </conditionalFormatting>
  <conditionalFormatting sqref="N66">
    <cfRule type="cellIs" dxfId="19439" priority="471" operator="greaterThan">
      <formula>0.9</formula>
    </cfRule>
    <cfRule type="cellIs" dxfId="19438" priority="472" operator="greaterThan">
      <formula>0.85</formula>
    </cfRule>
  </conditionalFormatting>
  <conditionalFormatting sqref="E66">
    <cfRule type="expression" dxfId="19437" priority="467">
      <formula>AND(IF(OR($Q66=1,$Q66=2),1,0),IF($X66&lt;=20,1,0))</formula>
    </cfRule>
    <cfRule type="expression" dxfId="19436" priority="468">
      <formula>AND(IF($Q66=2,1,0),IF($X66&lt;30,1,0))</formula>
    </cfRule>
    <cfRule type="expression" dxfId="19435" priority="469">
      <formula>AND(IF($Q66=3,1,0),IF($X66&lt;30,1,0))</formula>
    </cfRule>
    <cfRule type="expression" dxfId="19434" priority="470">
      <formula>AND(IF($Q66=3,1,IF($Q66=4,1,0)),IF($F66&lt;=85,1,0))</formula>
    </cfRule>
  </conditionalFormatting>
  <conditionalFormatting sqref="X66">
    <cfRule type="expression" dxfId="19433" priority="463">
      <formula>AND(IF(OR($Q66=1,$Q66=2),1,0),IF($X66&lt;=20,1,0))</formula>
    </cfRule>
    <cfRule type="expression" dxfId="19432" priority="464">
      <formula>AND(IF($Q66=2,1,0),IF($X66&lt;30,1,0))</formula>
    </cfRule>
    <cfRule type="expression" dxfId="19431" priority="465">
      <formula>AND(IF($Q66=3,1,0),IF($X66&lt;30,1,0))</formula>
    </cfRule>
    <cfRule type="expression" dxfId="19430" priority="466">
      <formula>AND(IF($Q66=3,1,IF($Q66=4,1,0)),IF($F66&lt;=85,1,0))</formula>
    </cfRule>
  </conditionalFormatting>
  <conditionalFormatting sqref="AI66">
    <cfRule type="expression" dxfId="19429" priority="459">
      <formula>AND(IF(OR($Q66=1,$Q66=2),1,0),IF($X66&lt;=20,1,0))</formula>
    </cfRule>
    <cfRule type="expression" dxfId="19428" priority="460">
      <formula>AND(IF($Q66=2,1,0),IF($X66&lt;30,1,0))</formula>
    </cfRule>
    <cfRule type="expression" dxfId="19427" priority="461">
      <formula>AND(IF($Q66=3,1,0),IF($X66&lt;30,1,0))</formula>
    </cfRule>
    <cfRule type="expression" dxfId="19426" priority="462">
      <formula>AND(IF($Q66=3,1,IF($Q66=4,1,0)),IF($F66&lt;=85,1,0))</formula>
    </cfRule>
  </conditionalFormatting>
  <conditionalFormatting sqref="AV67">
    <cfRule type="expression" dxfId="19425" priority="457">
      <formula>AV67="X"</formula>
    </cfRule>
    <cfRule type="expression" dxfId="19424" priority="458">
      <formula>AV67="후보"</formula>
    </cfRule>
  </conditionalFormatting>
  <conditionalFormatting sqref="AC67">
    <cfRule type="cellIs" dxfId="19423" priority="454" operator="greaterThan">
      <formula>0.9</formula>
    </cfRule>
    <cfRule type="cellIs" dxfId="19422" priority="455" operator="greaterThan">
      <formula>0.85</formula>
    </cfRule>
  </conditionalFormatting>
  <conditionalFormatting sqref="N67">
    <cfRule type="cellIs" dxfId="19421" priority="452" operator="greaterThan">
      <formula>0.9</formula>
    </cfRule>
    <cfRule type="cellIs" dxfId="19420" priority="453" operator="greaterThan">
      <formula>0.85</formula>
    </cfRule>
  </conditionalFormatting>
  <conditionalFormatting sqref="E67">
    <cfRule type="expression" dxfId="19419" priority="448">
      <formula>AND(IF(OR($Q67=1,$Q67=2),1,0),IF($X67&lt;=20,1,0))</formula>
    </cfRule>
    <cfRule type="expression" dxfId="19418" priority="449">
      <formula>AND(IF($Q67=2,1,0),IF($X67&lt;30,1,0))</formula>
    </cfRule>
    <cfRule type="expression" dxfId="19417" priority="450">
      <formula>AND(IF($Q67=3,1,0),IF($X67&lt;30,1,0))</formula>
    </cfRule>
    <cfRule type="expression" dxfId="19416" priority="451">
      <formula>AND(IF($Q67=3,1,IF($Q67=4,1,0)),IF($F67&lt;=85,1,0))</formula>
    </cfRule>
  </conditionalFormatting>
  <conditionalFormatting sqref="X67">
    <cfRule type="expression" dxfId="19415" priority="444">
      <formula>AND(IF(OR($Q67=1,$Q67=2),1,0),IF($X67&lt;=20,1,0))</formula>
    </cfRule>
    <cfRule type="expression" dxfId="19414" priority="445">
      <formula>AND(IF($Q67=2,1,0),IF($X67&lt;30,1,0))</formula>
    </cfRule>
    <cfRule type="expression" dxfId="19413" priority="446">
      <formula>AND(IF($Q67=3,1,0),IF($X67&lt;30,1,0))</formula>
    </cfRule>
    <cfRule type="expression" dxfId="19412" priority="447">
      <formula>AND(IF($Q67=3,1,IF($Q67=4,1,0)),IF($F67&lt;=85,1,0))</formula>
    </cfRule>
  </conditionalFormatting>
  <conditionalFormatting sqref="AI67">
    <cfRule type="expression" dxfId="19411" priority="440">
      <formula>AND(IF(OR($Q67=1,$Q67=2),1,0),IF($X67&lt;=20,1,0))</formula>
    </cfRule>
    <cfRule type="expression" dxfId="19410" priority="441">
      <formula>AND(IF($Q67=2,1,0),IF($X67&lt;30,1,0))</formula>
    </cfRule>
    <cfRule type="expression" dxfId="19409" priority="442">
      <formula>AND(IF($Q67=3,1,0),IF($X67&lt;30,1,0))</formula>
    </cfRule>
    <cfRule type="expression" dxfId="19408" priority="443">
      <formula>AND(IF($Q67=3,1,IF($Q67=4,1,0)),IF($F67&lt;=85,1,0))</formula>
    </cfRule>
  </conditionalFormatting>
  <conditionalFormatting sqref="AV68">
    <cfRule type="expression" dxfId="19407" priority="438">
      <formula>AV68="X"</formula>
    </cfRule>
    <cfRule type="expression" dxfId="19406" priority="439">
      <formula>AV68="후보"</formula>
    </cfRule>
  </conditionalFormatting>
  <conditionalFormatting sqref="AC68">
    <cfRule type="cellIs" dxfId="19405" priority="435" operator="greaterThan">
      <formula>0.9</formula>
    </cfRule>
    <cfRule type="cellIs" dxfId="19404" priority="436" operator="greaterThan">
      <formula>0.85</formula>
    </cfRule>
  </conditionalFormatting>
  <conditionalFormatting sqref="N68">
    <cfRule type="cellIs" dxfId="19403" priority="433" operator="greaterThan">
      <formula>0.9</formula>
    </cfRule>
    <cfRule type="cellIs" dxfId="19402" priority="434" operator="greaterThan">
      <formula>0.85</formula>
    </cfRule>
  </conditionalFormatting>
  <conditionalFormatting sqref="E68">
    <cfRule type="expression" dxfId="19401" priority="429">
      <formula>AND(IF(OR($Q68=1,$Q68=2),1,0),IF($X68&lt;=20,1,0))</formula>
    </cfRule>
    <cfRule type="expression" dxfId="19400" priority="430">
      <formula>AND(IF($Q68=2,1,0),IF($X68&lt;30,1,0))</formula>
    </cfRule>
    <cfRule type="expression" dxfId="19399" priority="431">
      <formula>AND(IF($Q68=3,1,0),IF($X68&lt;30,1,0))</formula>
    </cfRule>
    <cfRule type="expression" dxfId="19398" priority="432">
      <formula>AND(IF($Q68=3,1,IF($Q68=4,1,0)),IF($F68&lt;=85,1,0))</formula>
    </cfRule>
  </conditionalFormatting>
  <conditionalFormatting sqref="X68">
    <cfRule type="expression" dxfId="19397" priority="425">
      <formula>AND(IF(OR($Q68=1,$Q68=2),1,0),IF($X68&lt;=20,1,0))</formula>
    </cfRule>
    <cfRule type="expression" dxfId="19396" priority="426">
      <formula>AND(IF($Q68=2,1,0),IF($X68&lt;30,1,0))</formula>
    </cfRule>
    <cfRule type="expression" dxfId="19395" priority="427">
      <formula>AND(IF($Q68=3,1,0),IF($X68&lt;30,1,0))</formula>
    </cfRule>
    <cfRule type="expression" dxfId="19394" priority="428">
      <formula>AND(IF($Q68=3,1,IF($Q68=4,1,0)),IF($F68&lt;=85,1,0))</formula>
    </cfRule>
  </conditionalFormatting>
  <conditionalFormatting sqref="AI68">
    <cfRule type="expression" dxfId="19393" priority="421">
      <formula>AND(IF(OR($Q68=1,$Q68=2),1,0),IF($X68&lt;=20,1,0))</formula>
    </cfRule>
    <cfRule type="expression" dxfId="19392" priority="422">
      <formula>AND(IF($Q68=2,1,0),IF($X68&lt;30,1,0))</formula>
    </cfRule>
    <cfRule type="expression" dxfId="19391" priority="423">
      <formula>AND(IF($Q68=3,1,0),IF($X68&lt;30,1,0))</formula>
    </cfRule>
    <cfRule type="expression" dxfId="19390" priority="424">
      <formula>AND(IF($Q68=3,1,IF($Q68=4,1,0)),IF($F68&lt;=85,1,0))</formula>
    </cfRule>
  </conditionalFormatting>
  <conditionalFormatting sqref="AV69">
    <cfRule type="expression" dxfId="19389" priority="419">
      <formula>AV69="X"</formula>
    </cfRule>
    <cfRule type="expression" dxfId="19388" priority="420">
      <formula>AV69="후보"</formula>
    </cfRule>
  </conditionalFormatting>
  <conditionalFormatting sqref="AC69">
    <cfRule type="cellIs" dxfId="19387" priority="416" operator="greaterThan">
      <formula>0.9</formula>
    </cfRule>
    <cfRule type="cellIs" dxfId="19386" priority="417" operator="greaterThan">
      <formula>0.85</formula>
    </cfRule>
  </conditionalFormatting>
  <conditionalFormatting sqref="N69">
    <cfRule type="cellIs" dxfId="19385" priority="414" operator="greaterThan">
      <formula>0.9</formula>
    </cfRule>
    <cfRule type="cellIs" dxfId="19384" priority="415" operator="greaterThan">
      <formula>0.85</formula>
    </cfRule>
  </conditionalFormatting>
  <conditionalFormatting sqref="E69">
    <cfRule type="expression" dxfId="19383" priority="410">
      <formula>AND(IF(OR($Q69=1,$Q69=2),1,0),IF($X69&lt;=20,1,0))</formula>
    </cfRule>
    <cfRule type="expression" dxfId="19382" priority="411">
      <formula>AND(IF($Q69=2,1,0),IF($X69&lt;30,1,0))</formula>
    </cfRule>
    <cfRule type="expression" dxfId="19381" priority="412">
      <formula>AND(IF($Q69=3,1,0),IF($X69&lt;30,1,0))</formula>
    </cfRule>
    <cfRule type="expression" dxfId="19380" priority="413">
      <formula>AND(IF($Q69=3,1,IF($Q69=4,1,0)),IF($F69&lt;=85,1,0))</formula>
    </cfRule>
  </conditionalFormatting>
  <conditionalFormatting sqref="X69">
    <cfRule type="expression" dxfId="19379" priority="406">
      <formula>AND(IF(OR($Q69=1,$Q69=2),1,0),IF($X69&lt;=20,1,0))</formula>
    </cfRule>
    <cfRule type="expression" dxfId="19378" priority="407">
      <formula>AND(IF($Q69=2,1,0),IF($X69&lt;30,1,0))</formula>
    </cfRule>
    <cfRule type="expression" dxfId="19377" priority="408">
      <formula>AND(IF($Q69=3,1,0),IF($X69&lt;30,1,0))</formula>
    </cfRule>
    <cfRule type="expression" dxfId="19376" priority="409">
      <formula>AND(IF($Q69=3,1,IF($Q69=4,1,0)),IF($F69&lt;=85,1,0))</formula>
    </cfRule>
  </conditionalFormatting>
  <conditionalFormatting sqref="AI69">
    <cfRule type="expression" dxfId="19375" priority="402">
      <formula>AND(IF(OR($Q69=1,$Q69=2),1,0),IF($X69&lt;=20,1,0))</formula>
    </cfRule>
    <cfRule type="expression" dxfId="19374" priority="403">
      <formula>AND(IF($Q69=2,1,0),IF($X69&lt;30,1,0))</formula>
    </cfRule>
    <cfRule type="expression" dxfId="19373" priority="404">
      <formula>AND(IF($Q69=3,1,0),IF($X69&lt;30,1,0))</formula>
    </cfRule>
    <cfRule type="expression" dxfId="19372" priority="405">
      <formula>AND(IF($Q69=3,1,IF($Q69=4,1,0)),IF($F69&lt;=85,1,0))</formula>
    </cfRule>
  </conditionalFormatting>
  <conditionalFormatting sqref="AV70">
    <cfRule type="expression" dxfId="19371" priority="400">
      <formula>AV70="X"</formula>
    </cfRule>
    <cfRule type="expression" dxfId="19370" priority="401">
      <formula>AV70="후보"</formula>
    </cfRule>
  </conditionalFormatting>
  <conditionalFormatting sqref="AC70">
    <cfRule type="cellIs" dxfId="19369" priority="397" operator="greaterThan">
      <formula>0.9</formula>
    </cfRule>
    <cfRule type="cellIs" dxfId="19368" priority="398" operator="greaterThan">
      <formula>0.85</formula>
    </cfRule>
  </conditionalFormatting>
  <conditionalFormatting sqref="N70">
    <cfRule type="cellIs" dxfId="19367" priority="395" operator="greaterThan">
      <formula>0.9</formula>
    </cfRule>
    <cfRule type="cellIs" dxfId="19366" priority="396" operator="greaterThan">
      <formula>0.85</formula>
    </cfRule>
  </conditionalFormatting>
  <conditionalFormatting sqref="E70">
    <cfRule type="expression" dxfId="19365" priority="391">
      <formula>AND(IF(OR($Q70=1,$Q70=2),1,0),IF($X70&lt;=20,1,0))</formula>
    </cfRule>
    <cfRule type="expression" dxfId="19364" priority="392">
      <formula>AND(IF($Q70=2,1,0),IF($X70&lt;30,1,0))</formula>
    </cfRule>
    <cfRule type="expression" dxfId="19363" priority="393">
      <formula>AND(IF($Q70=3,1,0),IF($X70&lt;30,1,0))</formula>
    </cfRule>
    <cfRule type="expression" dxfId="19362" priority="394">
      <formula>AND(IF($Q70=3,1,IF($Q70=4,1,0)),IF($F70&lt;=85,1,0))</formula>
    </cfRule>
  </conditionalFormatting>
  <conditionalFormatting sqref="X70">
    <cfRule type="expression" dxfId="19361" priority="387">
      <formula>AND(IF(OR($Q70=1,$Q70=2),1,0),IF($X70&lt;=20,1,0))</formula>
    </cfRule>
    <cfRule type="expression" dxfId="19360" priority="388">
      <formula>AND(IF($Q70=2,1,0),IF($X70&lt;30,1,0))</formula>
    </cfRule>
    <cfRule type="expression" dxfId="19359" priority="389">
      <formula>AND(IF($Q70=3,1,0),IF($X70&lt;30,1,0))</formula>
    </cfRule>
    <cfRule type="expression" dxfId="19358" priority="390">
      <formula>AND(IF($Q70=3,1,IF($Q70=4,1,0)),IF($F70&lt;=85,1,0))</formula>
    </cfRule>
  </conditionalFormatting>
  <conditionalFormatting sqref="AI70">
    <cfRule type="expression" dxfId="19357" priority="383">
      <formula>AND(IF(OR($Q70=1,$Q70=2),1,0),IF($X70&lt;=20,1,0))</formula>
    </cfRule>
    <cfRule type="expression" dxfId="19356" priority="384">
      <formula>AND(IF($Q70=2,1,0),IF($X70&lt;30,1,0))</formula>
    </cfRule>
    <cfRule type="expression" dxfId="19355" priority="385">
      <formula>AND(IF($Q70=3,1,0),IF($X70&lt;30,1,0))</formula>
    </cfRule>
    <cfRule type="expression" dxfId="19354" priority="386">
      <formula>AND(IF($Q70=3,1,IF($Q70=4,1,0)),IF($F70&lt;=85,1,0))</formula>
    </cfRule>
  </conditionalFormatting>
  <conditionalFormatting sqref="AV71">
    <cfRule type="expression" dxfId="19353" priority="381">
      <formula>AV71="X"</formula>
    </cfRule>
    <cfRule type="expression" dxfId="19352" priority="382">
      <formula>AV71="후보"</formula>
    </cfRule>
  </conditionalFormatting>
  <conditionalFormatting sqref="AC71">
    <cfRule type="cellIs" dxfId="19351" priority="378" operator="greaterThan">
      <formula>0.9</formula>
    </cfRule>
    <cfRule type="cellIs" dxfId="19350" priority="379" operator="greaterThan">
      <formula>0.85</formula>
    </cfRule>
  </conditionalFormatting>
  <conditionalFormatting sqref="N71">
    <cfRule type="cellIs" dxfId="19349" priority="376" operator="greaterThan">
      <formula>0.9</formula>
    </cfRule>
    <cfRule type="cellIs" dxfId="19348" priority="377" operator="greaterThan">
      <formula>0.85</formula>
    </cfRule>
  </conditionalFormatting>
  <conditionalFormatting sqref="E71">
    <cfRule type="expression" dxfId="19347" priority="372">
      <formula>AND(IF(OR($Q71=1,$Q71=2),1,0),IF($X71&lt;=20,1,0))</formula>
    </cfRule>
    <cfRule type="expression" dxfId="19346" priority="373">
      <formula>AND(IF($Q71=2,1,0),IF($X71&lt;30,1,0))</formula>
    </cfRule>
    <cfRule type="expression" dxfId="19345" priority="374">
      <formula>AND(IF($Q71=3,1,0),IF($X71&lt;30,1,0))</formula>
    </cfRule>
    <cfRule type="expression" dxfId="19344" priority="375">
      <formula>AND(IF($Q71=3,1,IF($Q71=4,1,0)),IF($F71&lt;=85,1,0))</formula>
    </cfRule>
  </conditionalFormatting>
  <conditionalFormatting sqref="X71">
    <cfRule type="expression" dxfId="19343" priority="368">
      <formula>AND(IF(OR($Q71=1,$Q71=2),1,0),IF($X71&lt;=20,1,0))</formula>
    </cfRule>
    <cfRule type="expression" dxfId="19342" priority="369">
      <formula>AND(IF($Q71=2,1,0),IF($X71&lt;30,1,0))</formula>
    </cfRule>
    <cfRule type="expression" dxfId="19341" priority="370">
      <formula>AND(IF($Q71=3,1,0),IF($X71&lt;30,1,0))</formula>
    </cfRule>
    <cfRule type="expression" dxfId="19340" priority="371">
      <formula>AND(IF($Q71=3,1,IF($Q71=4,1,0)),IF($F71&lt;=85,1,0))</formula>
    </cfRule>
  </conditionalFormatting>
  <conditionalFormatting sqref="AI71">
    <cfRule type="expression" dxfId="19339" priority="364">
      <formula>AND(IF(OR($Q71=1,$Q71=2),1,0),IF($X71&lt;=20,1,0))</formula>
    </cfRule>
    <cfRule type="expression" dxfId="19338" priority="365">
      <formula>AND(IF($Q71=2,1,0),IF($X71&lt;30,1,0))</formula>
    </cfRule>
    <cfRule type="expression" dxfId="19337" priority="366">
      <formula>AND(IF($Q71=3,1,0),IF($X71&lt;30,1,0))</formula>
    </cfRule>
    <cfRule type="expression" dxfId="19336" priority="367">
      <formula>AND(IF($Q71=3,1,IF($Q71=4,1,0)),IF($F71&lt;=85,1,0))</formula>
    </cfRule>
  </conditionalFormatting>
  <conditionalFormatting sqref="AV72">
    <cfRule type="expression" dxfId="19335" priority="362">
      <formula>AV72="X"</formula>
    </cfRule>
    <cfRule type="expression" dxfId="19334" priority="363">
      <formula>AV72="후보"</formula>
    </cfRule>
  </conditionalFormatting>
  <conditionalFormatting sqref="AC72 N72">
    <cfRule type="cellIs" dxfId="19333" priority="359" operator="greaterThan">
      <formula>0.9</formula>
    </cfRule>
    <cfRule type="cellIs" dxfId="19332" priority="360" operator="greaterThan">
      <formula>0.85</formula>
    </cfRule>
  </conditionalFormatting>
  <conditionalFormatting sqref="AV73">
    <cfRule type="expression" dxfId="19331" priority="357">
      <formula>AV73="X"</formula>
    </cfRule>
    <cfRule type="expression" dxfId="19330" priority="358">
      <formula>AV73="후보"</formula>
    </cfRule>
  </conditionalFormatting>
  <conditionalFormatting sqref="AC73">
    <cfRule type="cellIs" dxfId="19329" priority="354" operator="greaterThan">
      <formula>0.9</formula>
    </cfRule>
    <cfRule type="cellIs" dxfId="19328" priority="355" operator="greaterThan">
      <formula>0.85</formula>
    </cfRule>
  </conditionalFormatting>
  <conditionalFormatting sqref="N73">
    <cfRule type="cellIs" dxfId="19327" priority="352" operator="greaterThan">
      <formula>0.9</formula>
    </cfRule>
    <cfRule type="cellIs" dxfId="19326" priority="353" operator="greaterThan">
      <formula>0.85</formula>
    </cfRule>
  </conditionalFormatting>
  <conditionalFormatting sqref="E73">
    <cfRule type="expression" dxfId="19325" priority="348">
      <formula>AND(IF(OR($Q73=1,$Q73=2),1,0),IF($X73&lt;=20,1,0))</formula>
    </cfRule>
    <cfRule type="expression" dxfId="19324" priority="349">
      <formula>AND(IF($Q73=2,1,0),IF($X73&lt;30,1,0))</formula>
    </cfRule>
    <cfRule type="expression" dxfId="19323" priority="350">
      <formula>AND(IF($Q73=3,1,0),IF($X73&lt;30,1,0))</formula>
    </cfRule>
    <cfRule type="expression" dxfId="19322" priority="351">
      <formula>AND(IF($Q73=3,1,IF($Q73=4,1,0)),IF($F73&lt;=85,1,0))</formula>
    </cfRule>
  </conditionalFormatting>
  <conditionalFormatting sqref="X73">
    <cfRule type="expression" dxfId="19321" priority="344">
      <formula>AND(IF(OR($Q73=1,$Q73=2),1,0),IF($X73&lt;=20,1,0))</formula>
    </cfRule>
    <cfRule type="expression" dxfId="19320" priority="345">
      <formula>AND(IF($Q73=2,1,0),IF($X73&lt;30,1,0))</formula>
    </cfRule>
    <cfRule type="expression" dxfId="19319" priority="346">
      <formula>AND(IF($Q73=3,1,0),IF($X73&lt;30,1,0))</formula>
    </cfRule>
    <cfRule type="expression" dxfId="19318" priority="347">
      <formula>AND(IF($Q73=3,1,IF($Q73=4,1,0)),IF($F73&lt;=85,1,0))</formula>
    </cfRule>
  </conditionalFormatting>
  <conditionalFormatting sqref="AI73">
    <cfRule type="expression" dxfId="19317" priority="340">
      <formula>AND(IF(OR($Q73=1,$Q73=2),1,0),IF($X73&lt;=20,1,0))</formula>
    </cfRule>
    <cfRule type="expression" dxfId="19316" priority="341">
      <formula>AND(IF($Q73=2,1,0),IF($X73&lt;30,1,0))</formula>
    </cfRule>
    <cfRule type="expression" dxfId="19315" priority="342">
      <formula>AND(IF($Q73=3,1,0),IF($X73&lt;30,1,0))</formula>
    </cfRule>
    <cfRule type="expression" dxfId="19314" priority="343">
      <formula>AND(IF($Q73=3,1,IF($Q73=4,1,0)),IF($F73&lt;=85,1,0))</formula>
    </cfRule>
  </conditionalFormatting>
  <conditionalFormatting sqref="AV74">
    <cfRule type="expression" dxfId="19313" priority="338">
      <formula>AV74="X"</formula>
    </cfRule>
    <cfRule type="expression" dxfId="19312" priority="339">
      <formula>AV74="후보"</formula>
    </cfRule>
  </conditionalFormatting>
  <conditionalFormatting sqref="AC74 N74">
    <cfRule type="cellIs" dxfId="19311" priority="335" operator="greaterThan">
      <formula>0.9</formula>
    </cfRule>
    <cfRule type="cellIs" dxfId="19310" priority="336" operator="greaterThan">
      <formula>0.85</formula>
    </cfRule>
  </conditionalFormatting>
  <conditionalFormatting sqref="AV75">
    <cfRule type="expression" dxfId="19309" priority="333">
      <formula>AV75="X"</formula>
    </cfRule>
    <cfRule type="expression" dxfId="19308" priority="334">
      <formula>AV75="후보"</formula>
    </cfRule>
  </conditionalFormatting>
  <conditionalFormatting sqref="AC75">
    <cfRule type="cellIs" dxfId="19307" priority="330" operator="greaterThan">
      <formula>0.9</formula>
    </cfRule>
    <cfRule type="cellIs" dxfId="19306" priority="331" operator="greaterThan">
      <formula>0.85</formula>
    </cfRule>
  </conditionalFormatting>
  <conditionalFormatting sqref="N75">
    <cfRule type="cellIs" dxfId="19305" priority="328" operator="greaterThan">
      <formula>0.9</formula>
    </cfRule>
    <cfRule type="cellIs" dxfId="19304" priority="329" operator="greaterThan">
      <formula>0.85</formula>
    </cfRule>
  </conditionalFormatting>
  <conditionalFormatting sqref="E75">
    <cfRule type="expression" dxfId="19303" priority="324">
      <formula>AND(IF(OR($Q75=1,$Q75=2),1,0),IF($X75&lt;=20,1,0))</formula>
    </cfRule>
    <cfRule type="expression" dxfId="19302" priority="325">
      <formula>AND(IF($Q75=2,1,0),IF($X75&lt;30,1,0))</formula>
    </cfRule>
    <cfRule type="expression" dxfId="19301" priority="326">
      <formula>AND(IF($Q75=3,1,0),IF($X75&lt;30,1,0))</formula>
    </cfRule>
    <cfRule type="expression" dxfId="19300" priority="327">
      <formula>AND(IF($Q75=3,1,IF($Q75=4,1,0)),IF($F75&lt;=85,1,0))</formula>
    </cfRule>
  </conditionalFormatting>
  <conditionalFormatting sqref="X75">
    <cfRule type="expression" dxfId="19299" priority="320">
      <formula>AND(IF(OR($Q75=1,$Q75=2),1,0),IF($X75&lt;=20,1,0))</formula>
    </cfRule>
    <cfRule type="expression" dxfId="19298" priority="321">
      <formula>AND(IF($Q75=2,1,0),IF($X75&lt;30,1,0))</formula>
    </cfRule>
    <cfRule type="expression" dxfId="19297" priority="322">
      <formula>AND(IF($Q75=3,1,0),IF($X75&lt;30,1,0))</formula>
    </cfRule>
    <cfRule type="expression" dxfId="19296" priority="323">
      <formula>AND(IF($Q75=3,1,IF($Q75=4,1,0)),IF($F75&lt;=85,1,0))</formula>
    </cfRule>
  </conditionalFormatting>
  <conditionalFormatting sqref="AI75">
    <cfRule type="expression" dxfId="19295" priority="316">
      <formula>AND(IF(OR($Q75=1,$Q75=2),1,0),IF($X75&lt;=20,1,0))</formula>
    </cfRule>
    <cfRule type="expression" dxfId="19294" priority="317">
      <formula>AND(IF($Q75=2,1,0),IF($X75&lt;30,1,0))</formula>
    </cfRule>
    <cfRule type="expression" dxfId="19293" priority="318">
      <formula>AND(IF($Q75=3,1,0),IF($X75&lt;30,1,0))</formula>
    </cfRule>
    <cfRule type="expression" dxfId="19292" priority="319">
      <formula>AND(IF($Q75=3,1,IF($Q75=4,1,0)),IF($F75&lt;=85,1,0))</formula>
    </cfRule>
  </conditionalFormatting>
  <conditionalFormatting sqref="AV76">
    <cfRule type="expression" dxfId="19291" priority="314">
      <formula>AV76="X"</formula>
    </cfRule>
    <cfRule type="expression" dxfId="19290" priority="315">
      <formula>AV76="후보"</formula>
    </cfRule>
  </conditionalFormatting>
  <conditionalFormatting sqref="AC76">
    <cfRule type="cellIs" dxfId="19289" priority="311" operator="greaterThan">
      <formula>0.9</formula>
    </cfRule>
    <cfRule type="cellIs" dxfId="19288" priority="312" operator="greaterThan">
      <formula>0.85</formula>
    </cfRule>
  </conditionalFormatting>
  <conditionalFormatting sqref="N76">
    <cfRule type="cellIs" dxfId="19287" priority="309" operator="greaterThan">
      <formula>0.9</formula>
    </cfRule>
    <cfRule type="cellIs" dxfId="19286" priority="310" operator="greaterThan">
      <formula>0.85</formula>
    </cfRule>
  </conditionalFormatting>
  <conditionalFormatting sqref="E76">
    <cfRule type="expression" dxfId="19285" priority="305">
      <formula>AND(IF(OR($Q76=1,$Q76=2),1,0),IF($X76&lt;=20,1,0))</formula>
    </cfRule>
    <cfRule type="expression" dxfId="19284" priority="306">
      <formula>AND(IF($Q76=2,1,0),IF($X76&lt;30,1,0))</formula>
    </cfRule>
    <cfRule type="expression" dxfId="19283" priority="307">
      <formula>AND(IF($Q76=3,1,0),IF($X76&lt;30,1,0))</formula>
    </cfRule>
    <cfRule type="expression" dxfId="19282" priority="308">
      <formula>AND(IF($Q76=3,1,IF($Q76=4,1,0)),IF($F76&lt;=85,1,0))</formula>
    </cfRule>
  </conditionalFormatting>
  <conditionalFormatting sqref="X76">
    <cfRule type="expression" dxfId="19281" priority="301">
      <formula>AND(IF(OR($Q76=1,$Q76=2),1,0),IF($X76&lt;=20,1,0))</formula>
    </cfRule>
    <cfRule type="expression" dxfId="19280" priority="302">
      <formula>AND(IF($Q76=2,1,0),IF($X76&lt;30,1,0))</formula>
    </cfRule>
    <cfRule type="expression" dxfId="19279" priority="303">
      <formula>AND(IF($Q76=3,1,0),IF($X76&lt;30,1,0))</formula>
    </cfRule>
    <cfRule type="expression" dxfId="19278" priority="304">
      <formula>AND(IF($Q76=3,1,IF($Q76=4,1,0)),IF($F76&lt;=85,1,0))</formula>
    </cfRule>
  </conditionalFormatting>
  <conditionalFormatting sqref="AI76">
    <cfRule type="expression" dxfId="19277" priority="297">
      <formula>AND(IF(OR($Q76=1,$Q76=2),1,0),IF($X76&lt;=20,1,0))</formula>
    </cfRule>
    <cfRule type="expression" dxfId="19276" priority="298">
      <formula>AND(IF($Q76=2,1,0),IF($X76&lt;30,1,0))</formula>
    </cfRule>
    <cfRule type="expression" dxfId="19275" priority="299">
      <formula>AND(IF($Q76=3,1,0),IF($X76&lt;30,1,0))</formula>
    </cfRule>
    <cfRule type="expression" dxfId="19274" priority="300">
      <formula>AND(IF($Q76=3,1,IF($Q76=4,1,0)),IF($F76&lt;=85,1,0))</formula>
    </cfRule>
  </conditionalFormatting>
  <conditionalFormatting sqref="AV77">
    <cfRule type="expression" dxfId="19273" priority="295">
      <formula>AV77="X"</formula>
    </cfRule>
    <cfRule type="expression" dxfId="19272" priority="296">
      <formula>AV77="후보"</formula>
    </cfRule>
  </conditionalFormatting>
  <conditionalFormatting sqref="AC77 N77">
    <cfRule type="cellIs" dxfId="19271" priority="292" operator="greaterThan">
      <formula>0.9</formula>
    </cfRule>
    <cfRule type="cellIs" dxfId="19270" priority="293" operator="greaterThan">
      <formula>0.85</formula>
    </cfRule>
  </conditionalFormatting>
  <conditionalFormatting sqref="AV78">
    <cfRule type="expression" dxfId="19269" priority="290">
      <formula>AV78="X"</formula>
    </cfRule>
    <cfRule type="expression" dxfId="19268" priority="291">
      <formula>AV78="후보"</formula>
    </cfRule>
  </conditionalFormatting>
  <conditionalFormatting sqref="AC78">
    <cfRule type="cellIs" dxfId="19267" priority="287" operator="greaterThan">
      <formula>0.9</formula>
    </cfRule>
    <cfRule type="cellIs" dxfId="19266" priority="288" operator="greaterThan">
      <formula>0.85</formula>
    </cfRule>
  </conditionalFormatting>
  <conditionalFormatting sqref="N78">
    <cfRule type="cellIs" dxfId="19265" priority="285" operator="greaterThan">
      <formula>0.9</formula>
    </cfRule>
    <cfRule type="cellIs" dxfId="19264" priority="286" operator="greaterThan">
      <formula>0.85</formula>
    </cfRule>
  </conditionalFormatting>
  <conditionalFormatting sqref="E78">
    <cfRule type="expression" dxfId="19263" priority="281">
      <formula>AND(IF(OR($Q78=1,$Q78=2),1,0),IF($X78&lt;=20,1,0))</formula>
    </cfRule>
    <cfRule type="expression" dxfId="19262" priority="282">
      <formula>AND(IF($Q78=2,1,0),IF($X78&lt;30,1,0))</formula>
    </cfRule>
    <cfRule type="expression" dxfId="19261" priority="283">
      <formula>AND(IF($Q78=3,1,0),IF($X78&lt;30,1,0))</formula>
    </cfRule>
    <cfRule type="expression" dxfId="19260" priority="284">
      <formula>AND(IF($Q78=3,1,IF($Q78=4,1,0)),IF($F78&lt;=85,1,0))</formula>
    </cfRule>
  </conditionalFormatting>
  <conditionalFormatting sqref="X78">
    <cfRule type="expression" dxfId="19259" priority="277">
      <formula>AND(IF(OR($Q78=1,$Q78=2),1,0),IF($X78&lt;=20,1,0))</formula>
    </cfRule>
    <cfRule type="expression" dxfId="19258" priority="278">
      <formula>AND(IF($Q78=2,1,0),IF($X78&lt;30,1,0))</formula>
    </cfRule>
    <cfRule type="expression" dxfId="19257" priority="279">
      <formula>AND(IF($Q78=3,1,0),IF($X78&lt;30,1,0))</formula>
    </cfRule>
    <cfRule type="expression" dxfId="19256" priority="280">
      <formula>AND(IF($Q78=3,1,IF($Q78=4,1,0)),IF($F78&lt;=85,1,0))</formula>
    </cfRule>
  </conditionalFormatting>
  <conditionalFormatting sqref="AI78">
    <cfRule type="expression" dxfId="19255" priority="273">
      <formula>AND(IF(OR($Q78=1,$Q78=2),1,0),IF($X78&lt;=20,1,0))</formula>
    </cfRule>
    <cfRule type="expression" dxfId="19254" priority="274">
      <formula>AND(IF($Q78=2,1,0),IF($X78&lt;30,1,0))</formula>
    </cfRule>
    <cfRule type="expression" dxfId="19253" priority="275">
      <formula>AND(IF($Q78=3,1,0),IF($X78&lt;30,1,0))</formula>
    </cfRule>
    <cfRule type="expression" dxfId="19252" priority="276">
      <formula>AND(IF($Q78=3,1,IF($Q78=4,1,0)),IF($F78&lt;=85,1,0))</formula>
    </cfRule>
  </conditionalFormatting>
  <conditionalFormatting sqref="AV79">
    <cfRule type="expression" dxfId="19251" priority="271">
      <formula>AV79="X"</formula>
    </cfRule>
    <cfRule type="expression" dxfId="19250" priority="272">
      <formula>AV79="후보"</formula>
    </cfRule>
  </conditionalFormatting>
  <conditionalFormatting sqref="AC79 N79">
    <cfRule type="cellIs" dxfId="19249" priority="268" operator="greaterThan">
      <formula>0.9</formula>
    </cfRule>
    <cfRule type="cellIs" dxfId="19248" priority="269" operator="greaterThan">
      <formula>0.85</formula>
    </cfRule>
  </conditionalFormatting>
  <conditionalFormatting sqref="AV80">
    <cfRule type="expression" dxfId="19247" priority="266">
      <formula>AV80="X"</formula>
    </cfRule>
    <cfRule type="expression" dxfId="19246" priority="267">
      <formula>AV80="후보"</formula>
    </cfRule>
  </conditionalFormatting>
  <conditionalFormatting sqref="AC80">
    <cfRule type="cellIs" dxfId="19245" priority="263" operator="greaterThan">
      <formula>0.9</formula>
    </cfRule>
    <cfRule type="cellIs" dxfId="19244" priority="264" operator="greaterThan">
      <formula>0.85</formula>
    </cfRule>
  </conditionalFormatting>
  <conditionalFormatting sqref="N80">
    <cfRule type="cellIs" dxfId="19243" priority="261" operator="greaterThan">
      <formula>0.9</formula>
    </cfRule>
    <cfRule type="cellIs" dxfId="19242" priority="262" operator="greaterThan">
      <formula>0.85</formula>
    </cfRule>
  </conditionalFormatting>
  <conditionalFormatting sqref="E80">
    <cfRule type="expression" dxfId="19241" priority="257">
      <formula>AND(IF(OR($Q80=1,$Q80=2),1,0),IF($X80&lt;=20,1,0))</formula>
    </cfRule>
    <cfRule type="expression" dxfId="19240" priority="258">
      <formula>AND(IF($Q80=2,1,0),IF($X80&lt;30,1,0))</formula>
    </cfRule>
    <cfRule type="expression" dxfId="19239" priority="259">
      <formula>AND(IF($Q80=3,1,0),IF($X80&lt;30,1,0))</formula>
    </cfRule>
    <cfRule type="expression" dxfId="19238" priority="260">
      <formula>AND(IF($Q80=3,1,IF($Q80=4,1,0)),IF($F80&lt;=85,1,0))</formula>
    </cfRule>
  </conditionalFormatting>
  <conditionalFormatting sqref="X80">
    <cfRule type="expression" dxfId="19237" priority="253">
      <formula>AND(IF(OR($Q80=1,$Q80=2),1,0),IF($X80&lt;=20,1,0))</formula>
    </cfRule>
    <cfRule type="expression" dxfId="19236" priority="254">
      <formula>AND(IF($Q80=2,1,0),IF($X80&lt;30,1,0))</formula>
    </cfRule>
    <cfRule type="expression" dxfId="19235" priority="255">
      <formula>AND(IF($Q80=3,1,0),IF($X80&lt;30,1,0))</formula>
    </cfRule>
    <cfRule type="expression" dxfId="19234" priority="256">
      <formula>AND(IF($Q80=3,1,IF($Q80=4,1,0)),IF($F80&lt;=85,1,0))</formula>
    </cfRule>
  </conditionalFormatting>
  <conditionalFormatting sqref="AI80">
    <cfRule type="expression" dxfId="19233" priority="249">
      <formula>AND(IF(OR($Q80=1,$Q80=2),1,0),IF($X80&lt;=20,1,0))</formula>
    </cfRule>
    <cfRule type="expression" dxfId="19232" priority="250">
      <formula>AND(IF($Q80=2,1,0),IF($X80&lt;30,1,0))</formula>
    </cfRule>
    <cfRule type="expression" dxfId="19231" priority="251">
      <formula>AND(IF($Q80=3,1,0),IF($X80&lt;30,1,0))</formula>
    </cfRule>
    <cfRule type="expression" dxfId="19230" priority="252">
      <formula>AND(IF($Q80=3,1,IF($Q80=4,1,0)),IF($F80&lt;=85,1,0))</formula>
    </cfRule>
  </conditionalFormatting>
  <conditionalFormatting sqref="AV81">
    <cfRule type="expression" dxfId="19229" priority="247">
      <formula>AV81="X"</formula>
    </cfRule>
    <cfRule type="expression" dxfId="19228" priority="248">
      <formula>AV81="후보"</formula>
    </cfRule>
  </conditionalFormatting>
  <conditionalFormatting sqref="AC81">
    <cfRule type="cellIs" dxfId="19227" priority="244" operator="greaterThan">
      <formula>0.9</formula>
    </cfRule>
    <cfRule type="cellIs" dxfId="19226" priority="245" operator="greaterThan">
      <formula>0.85</formula>
    </cfRule>
  </conditionalFormatting>
  <conditionalFormatting sqref="N81">
    <cfRule type="cellIs" dxfId="19225" priority="242" operator="greaterThan">
      <formula>0.9</formula>
    </cfRule>
    <cfRule type="cellIs" dxfId="19224" priority="243" operator="greaterThan">
      <formula>0.85</formula>
    </cfRule>
  </conditionalFormatting>
  <conditionalFormatting sqref="E81">
    <cfRule type="expression" dxfId="19223" priority="238">
      <formula>AND(IF(OR($Q81=1,$Q81=2),1,0),IF($X81&lt;=20,1,0))</formula>
    </cfRule>
    <cfRule type="expression" dxfId="19222" priority="239">
      <formula>AND(IF($Q81=2,1,0),IF($X81&lt;30,1,0))</formula>
    </cfRule>
    <cfRule type="expression" dxfId="19221" priority="240">
      <formula>AND(IF($Q81=3,1,0),IF($X81&lt;30,1,0))</formula>
    </cfRule>
    <cfRule type="expression" dxfId="19220" priority="241">
      <formula>AND(IF($Q81=3,1,IF($Q81=4,1,0)),IF($F81&lt;=85,1,0))</formula>
    </cfRule>
  </conditionalFormatting>
  <conditionalFormatting sqref="X81">
    <cfRule type="expression" dxfId="19219" priority="234">
      <formula>AND(IF(OR($Q81=1,$Q81=2),1,0),IF($X81&lt;=20,1,0))</formula>
    </cfRule>
    <cfRule type="expression" dxfId="19218" priority="235">
      <formula>AND(IF($Q81=2,1,0),IF($X81&lt;30,1,0))</formula>
    </cfRule>
    <cfRule type="expression" dxfId="19217" priority="236">
      <formula>AND(IF($Q81=3,1,0),IF($X81&lt;30,1,0))</formula>
    </cfRule>
    <cfRule type="expression" dxfId="19216" priority="237">
      <formula>AND(IF($Q81=3,1,IF($Q81=4,1,0)),IF($F81&lt;=85,1,0))</formula>
    </cfRule>
  </conditionalFormatting>
  <conditionalFormatting sqref="AI81">
    <cfRule type="expression" dxfId="19215" priority="230">
      <formula>AND(IF(OR($Q81=1,$Q81=2),1,0),IF($X81&lt;=20,1,0))</formula>
    </cfRule>
    <cfRule type="expression" dxfId="19214" priority="231">
      <formula>AND(IF($Q81=2,1,0),IF($X81&lt;30,1,0))</formula>
    </cfRule>
    <cfRule type="expression" dxfId="19213" priority="232">
      <formula>AND(IF($Q81=3,1,0),IF($X81&lt;30,1,0))</formula>
    </cfRule>
    <cfRule type="expression" dxfId="19212" priority="233">
      <formula>AND(IF($Q81=3,1,IF($Q81=4,1,0)),IF($F81&lt;=85,1,0))</formula>
    </cfRule>
  </conditionalFormatting>
  <conditionalFormatting sqref="AV82">
    <cfRule type="expression" dxfId="19211" priority="228">
      <formula>AV82="X"</formula>
    </cfRule>
    <cfRule type="expression" dxfId="19210" priority="229">
      <formula>AV82="후보"</formula>
    </cfRule>
  </conditionalFormatting>
  <conditionalFormatting sqref="AC82">
    <cfRule type="cellIs" dxfId="19209" priority="225" operator="greaterThan">
      <formula>0.9</formula>
    </cfRule>
    <cfRule type="cellIs" dxfId="19208" priority="226" operator="greaterThan">
      <formula>0.85</formula>
    </cfRule>
  </conditionalFormatting>
  <conditionalFormatting sqref="N82">
    <cfRule type="cellIs" dxfId="19207" priority="223" operator="greaterThan">
      <formula>0.9</formula>
    </cfRule>
    <cfRule type="cellIs" dxfId="19206" priority="224" operator="greaterThan">
      <formula>0.85</formula>
    </cfRule>
  </conditionalFormatting>
  <conditionalFormatting sqref="E82">
    <cfRule type="expression" dxfId="19205" priority="219">
      <formula>AND(IF(OR($Q82=1,$Q82=2),1,0),IF($X82&lt;=20,1,0))</formula>
    </cfRule>
    <cfRule type="expression" dxfId="19204" priority="220">
      <formula>AND(IF($Q82=2,1,0),IF($X82&lt;30,1,0))</formula>
    </cfRule>
    <cfRule type="expression" dxfId="19203" priority="221">
      <formula>AND(IF($Q82=3,1,0),IF($X82&lt;30,1,0))</formula>
    </cfRule>
    <cfRule type="expression" dxfId="19202" priority="222">
      <formula>AND(IF($Q82=3,1,IF($Q82=4,1,0)),IF($F82&lt;=85,1,0))</formula>
    </cfRule>
  </conditionalFormatting>
  <conditionalFormatting sqref="X82">
    <cfRule type="expression" dxfId="19201" priority="215">
      <formula>AND(IF(OR($Q82=1,$Q82=2),1,0),IF($X82&lt;=20,1,0))</formula>
    </cfRule>
    <cfRule type="expression" dxfId="19200" priority="216">
      <formula>AND(IF($Q82=2,1,0),IF($X82&lt;30,1,0))</formula>
    </cfRule>
    <cfRule type="expression" dxfId="19199" priority="217">
      <formula>AND(IF($Q82=3,1,0),IF($X82&lt;30,1,0))</formula>
    </cfRule>
    <cfRule type="expression" dxfId="19198" priority="218">
      <formula>AND(IF($Q82=3,1,IF($Q82=4,1,0)),IF($F82&lt;=85,1,0))</formula>
    </cfRule>
  </conditionalFormatting>
  <conditionalFormatting sqref="AI82">
    <cfRule type="expression" dxfId="19197" priority="211">
      <formula>AND(IF(OR($Q82=1,$Q82=2),1,0),IF($X82&lt;=20,1,0))</formula>
    </cfRule>
    <cfRule type="expression" dxfId="19196" priority="212">
      <formula>AND(IF($Q82=2,1,0),IF($X82&lt;30,1,0))</formula>
    </cfRule>
    <cfRule type="expression" dxfId="19195" priority="213">
      <formula>AND(IF($Q82=3,1,0),IF($X82&lt;30,1,0))</formula>
    </cfRule>
    <cfRule type="expression" dxfId="19194" priority="214">
      <formula>AND(IF($Q82=3,1,IF($Q82=4,1,0)),IF($F82&lt;=85,1,0))</formula>
    </cfRule>
  </conditionalFormatting>
  <conditionalFormatting sqref="AV83">
    <cfRule type="expression" dxfId="19193" priority="209">
      <formula>AV83="X"</formula>
    </cfRule>
    <cfRule type="expression" dxfId="19192" priority="210">
      <formula>AV83="후보"</formula>
    </cfRule>
  </conditionalFormatting>
  <conditionalFormatting sqref="AC83 N83">
    <cfRule type="cellIs" dxfId="19191" priority="206" operator="greaterThan">
      <formula>0.9</formula>
    </cfRule>
    <cfRule type="cellIs" dxfId="19190" priority="207" operator="greaterThan">
      <formula>0.85</formula>
    </cfRule>
  </conditionalFormatting>
  <conditionalFormatting sqref="AV84">
    <cfRule type="expression" dxfId="19189" priority="204">
      <formula>AV84="X"</formula>
    </cfRule>
    <cfRule type="expression" dxfId="19188" priority="205">
      <formula>AV84="후보"</formula>
    </cfRule>
  </conditionalFormatting>
  <conditionalFormatting sqref="AC84">
    <cfRule type="cellIs" dxfId="19187" priority="201" operator="greaterThan">
      <formula>0.9</formula>
    </cfRule>
    <cfRule type="cellIs" dxfId="19186" priority="202" operator="greaterThan">
      <formula>0.85</formula>
    </cfRule>
  </conditionalFormatting>
  <conditionalFormatting sqref="N84">
    <cfRule type="cellIs" dxfId="19185" priority="199" operator="greaterThan">
      <formula>0.9</formula>
    </cfRule>
    <cfRule type="cellIs" dxfId="19184" priority="200" operator="greaterThan">
      <formula>0.85</formula>
    </cfRule>
  </conditionalFormatting>
  <conditionalFormatting sqref="E84">
    <cfRule type="expression" dxfId="19183" priority="195">
      <formula>AND(IF(OR($Q84=1,$Q84=2),1,0),IF($X84&lt;=20,1,0))</formula>
    </cfRule>
    <cfRule type="expression" dxfId="19182" priority="196">
      <formula>AND(IF($Q84=2,1,0),IF($X84&lt;30,1,0))</formula>
    </cfRule>
    <cfRule type="expression" dxfId="19181" priority="197">
      <formula>AND(IF($Q84=3,1,0),IF($X84&lt;30,1,0))</formula>
    </cfRule>
    <cfRule type="expression" dxfId="19180" priority="198">
      <formula>AND(IF($Q84=3,1,IF($Q84=4,1,0)),IF($F84&lt;=85,1,0))</formula>
    </cfRule>
  </conditionalFormatting>
  <conditionalFormatting sqref="X84">
    <cfRule type="expression" dxfId="19179" priority="191">
      <formula>AND(IF(OR($Q84=1,$Q84=2),1,0),IF($X84&lt;=20,1,0))</formula>
    </cfRule>
    <cfRule type="expression" dxfId="19178" priority="192">
      <formula>AND(IF($Q84=2,1,0),IF($X84&lt;30,1,0))</formula>
    </cfRule>
    <cfRule type="expression" dxfId="19177" priority="193">
      <formula>AND(IF($Q84=3,1,0),IF($X84&lt;30,1,0))</formula>
    </cfRule>
    <cfRule type="expression" dxfId="19176" priority="194">
      <formula>AND(IF($Q84=3,1,IF($Q84=4,1,0)),IF($F84&lt;=85,1,0))</formula>
    </cfRule>
  </conditionalFormatting>
  <conditionalFormatting sqref="AI84">
    <cfRule type="expression" dxfId="19175" priority="187">
      <formula>AND(IF(OR($Q84=1,$Q84=2),1,0),IF($X84&lt;=20,1,0))</formula>
    </cfRule>
    <cfRule type="expression" dxfId="19174" priority="188">
      <formula>AND(IF($Q84=2,1,0),IF($X84&lt;30,1,0))</formula>
    </cfRule>
    <cfRule type="expression" dxfId="19173" priority="189">
      <formula>AND(IF($Q84=3,1,0),IF($X84&lt;30,1,0))</formula>
    </cfRule>
    <cfRule type="expression" dxfId="19172" priority="190">
      <formula>AND(IF($Q84=3,1,IF($Q84=4,1,0)),IF($F84&lt;=85,1,0))</formula>
    </cfRule>
  </conditionalFormatting>
  <conditionalFormatting sqref="AV85">
    <cfRule type="expression" dxfId="19171" priority="185">
      <formula>AV85="X"</formula>
    </cfRule>
    <cfRule type="expression" dxfId="19170" priority="186">
      <formula>AV85="후보"</formula>
    </cfRule>
  </conditionalFormatting>
  <conditionalFormatting sqref="AC85">
    <cfRule type="cellIs" dxfId="19169" priority="182" operator="greaterThan">
      <formula>0.9</formula>
    </cfRule>
    <cfRule type="cellIs" dxfId="19168" priority="183" operator="greaterThan">
      <formula>0.85</formula>
    </cfRule>
  </conditionalFormatting>
  <conditionalFormatting sqref="N85">
    <cfRule type="cellIs" dxfId="19167" priority="180" operator="greaterThan">
      <formula>0.9</formula>
    </cfRule>
    <cfRule type="cellIs" dxfId="19166" priority="181" operator="greaterThan">
      <formula>0.85</formula>
    </cfRule>
  </conditionalFormatting>
  <conditionalFormatting sqref="E85">
    <cfRule type="expression" dxfId="19165" priority="176">
      <formula>AND(IF(OR($Q85=1,$Q85=2),1,0),IF($X85&lt;=20,1,0))</formula>
    </cfRule>
    <cfRule type="expression" dxfId="19164" priority="177">
      <formula>AND(IF($Q85=2,1,0),IF($X85&lt;30,1,0))</formula>
    </cfRule>
    <cfRule type="expression" dxfId="19163" priority="178">
      <formula>AND(IF($Q85=3,1,0),IF($X85&lt;30,1,0))</formula>
    </cfRule>
    <cfRule type="expression" dxfId="19162" priority="179">
      <formula>AND(IF($Q85=3,1,IF($Q85=4,1,0)),IF($F85&lt;=85,1,0))</formula>
    </cfRule>
  </conditionalFormatting>
  <conditionalFormatting sqref="X85">
    <cfRule type="expression" dxfId="19161" priority="172">
      <formula>AND(IF(OR($Q85=1,$Q85=2),1,0),IF($X85&lt;=20,1,0))</formula>
    </cfRule>
    <cfRule type="expression" dxfId="19160" priority="173">
      <formula>AND(IF($Q85=2,1,0),IF($X85&lt;30,1,0))</formula>
    </cfRule>
    <cfRule type="expression" dxfId="19159" priority="174">
      <formula>AND(IF($Q85=3,1,0),IF($X85&lt;30,1,0))</formula>
    </cfRule>
    <cfRule type="expression" dxfId="19158" priority="175">
      <formula>AND(IF($Q85=3,1,IF($Q85=4,1,0)),IF($F85&lt;=85,1,0))</formula>
    </cfRule>
  </conditionalFormatting>
  <conditionalFormatting sqref="AI85">
    <cfRule type="expression" dxfId="19157" priority="168">
      <formula>AND(IF(OR($Q85=1,$Q85=2),1,0),IF($X85&lt;=20,1,0))</formula>
    </cfRule>
    <cfRule type="expression" dxfId="19156" priority="169">
      <formula>AND(IF($Q85=2,1,0),IF($X85&lt;30,1,0))</formula>
    </cfRule>
    <cfRule type="expression" dxfId="19155" priority="170">
      <formula>AND(IF($Q85=3,1,0),IF($X85&lt;30,1,0))</formula>
    </cfRule>
    <cfRule type="expression" dxfId="19154" priority="171">
      <formula>AND(IF($Q85=3,1,IF($Q85=4,1,0)),IF($F85&lt;=85,1,0))</formula>
    </cfRule>
  </conditionalFormatting>
  <conditionalFormatting sqref="AV86">
    <cfRule type="expression" dxfId="19153" priority="166">
      <formula>AV86="X"</formula>
    </cfRule>
    <cfRule type="expression" dxfId="19152" priority="167">
      <formula>AV86="후보"</formula>
    </cfRule>
  </conditionalFormatting>
  <conditionalFormatting sqref="AC86">
    <cfRule type="cellIs" dxfId="19151" priority="163" operator="greaterThan">
      <formula>0.9</formula>
    </cfRule>
    <cfRule type="cellIs" dxfId="19150" priority="164" operator="greaterThan">
      <formula>0.85</formula>
    </cfRule>
  </conditionalFormatting>
  <conditionalFormatting sqref="N86">
    <cfRule type="cellIs" dxfId="19149" priority="161" operator="greaterThan">
      <formula>0.9</formula>
    </cfRule>
    <cfRule type="cellIs" dxfId="19148" priority="162" operator="greaterThan">
      <formula>0.85</formula>
    </cfRule>
  </conditionalFormatting>
  <conditionalFormatting sqref="E86">
    <cfRule type="expression" dxfId="19147" priority="157">
      <formula>AND(IF(OR($Q86=1,$Q86=2),1,0),IF($X86&lt;=20,1,0))</formula>
    </cfRule>
    <cfRule type="expression" dxfId="19146" priority="158">
      <formula>AND(IF($Q86=2,1,0),IF($X86&lt;30,1,0))</formula>
    </cfRule>
    <cfRule type="expression" dxfId="19145" priority="159">
      <formula>AND(IF($Q86=3,1,0),IF($X86&lt;30,1,0))</formula>
    </cfRule>
    <cfRule type="expression" dxfId="19144" priority="160">
      <formula>AND(IF($Q86=3,1,IF($Q86=4,1,0)),IF($F86&lt;=85,1,0))</formula>
    </cfRule>
  </conditionalFormatting>
  <conditionalFormatting sqref="X86">
    <cfRule type="expression" dxfId="19143" priority="153">
      <formula>AND(IF(OR($Q86=1,$Q86=2),1,0),IF($X86&lt;=20,1,0))</formula>
    </cfRule>
    <cfRule type="expression" dxfId="19142" priority="154">
      <formula>AND(IF($Q86=2,1,0),IF($X86&lt;30,1,0))</formula>
    </cfRule>
    <cfRule type="expression" dxfId="19141" priority="155">
      <formula>AND(IF($Q86=3,1,0),IF($X86&lt;30,1,0))</formula>
    </cfRule>
    <cfRule type="expression" dxfId="19140" priority="156">
      <formula>AND(IF($Q86=3,1,IF($Q86=4,1,0)),IF($F86&lt;=85,1,0))</formula>
    </cfRule>
  </conditionalFormatting>
  <conditionalFormatting sqref="AI86">
    <cfRule type="expression" dxfId="19139" priority="149">
      <formula>AND(IF(OR($Q86=1,$Q86=2),1,0),IF($X86&lt;=20,1,0))</formula>
    </cfRule>
    <cfRule type="expression" dxfId="19138" priority="150">
      <formula>AND(IF($Q86=2,1,0),IF($X86&lt;30,1,0))</formula>
    </cfRule>
    <cfRule type="expression" dxfId="19137" priority="151">
      <formula>AND(IF($Q86=3,1,0),IF($X86&lt;30,1,0))</formula>
    </cfRule>
    <cfRule type="expression" dxfId="19136" priority="152">
      <formula>AND(IF($Q86=3,1,IF($Q86=4,1,0)),IF($F86&lt;=85,1,0))</formula>
    </cfRule>
  </conditionalFormatting>
  <conditionalFormatting sqref="AV87">
    <cfRule type="expression" dxfId="19135" priority="147">
      <formula>AV87="X"</formula>
    </cfRule>
    <cfRule type="expression" dxfId="19134" priority="148">
      <formula>AV87="후보"</formula>
    </cfRule>
  </conditionalFormatting>
  <conditionalFormatting sqref="AC87 N87">
    <cfRule type="cellIs" dxfId="19133" priority="144" operator="greaterThan">
      <formula>0.9</formula>
    </cfRule>
    <cfRule type="cellIs" dxfId="19132" priority="145" operator="greaterThan">
      <formula>0.85</formula>
    </cfRule>
  </conditionalFormatting>
  <conditionalFormatting sqref="AV88">
    <cfRule type="expression" dxfId="19131" priority="142">
      <formula>AV88="X"</formula>
    </cfRule>
    <cfRule type="expression" dxfId="19130" priority="143">
      <formula>AV88="후보"</formula>
    </cfRule>
  </conditionalFormatting>
  <conditionalFormatting sqref="AC88">
    <cfRule type="cellIs" dxfId="19129" priority="139" operator="greaterThan">
      <formula>0.9</formula>
    </cfRule>
    <cfRule type="cellIs" dxfId="19128" priority="140" operator="greaterThan">
      <formula>0.85</formula>
    </cfRule>
  </conditionalFormatting>
  <conditionalFormatting sqref="N88">
    <cfRule type="cellIs" dxfId="19127" priority="137" operator="greaterThan">
      <formula>0.9</formula>
    </cfRule>
    <cfRule type="cellIs" dxfId="19126" priority="138" operator="greaterThan">
      <formula>0.85</formula>
    </cfRule>
  </conditionalFormatting>
  <conditionalFormatting sqref="E88">
    <cfRule type="expression" dxfId="19125" priority="133">
      <formula>AND(IF(OR($Q88=1,$Q88=2),1,0),IF($X88&lt;=20,1,0))</formula>
    </cfRule>
    <cfRule type="expression" dxfId="19124" priority="134">
      <formula>AND(IF($Q88=2,1,0),IF($X88&lt;30,1,0))</formula>
    </cfRule>
    <cfRule type="expression" dxfId="19123" priority="135">
      <formula>AND(IF($Q88=3,1,0),IF($X88&lt;30,1,0))</formula>
    </cfRule>
    <cfRule type="expression" dxfId="19122" priority="136">
      <formula>AND(IF($Q88=3,1,IF($Q88=4,1,0)),IF($F88&lt;=85,1,0))</formula>
    </cfRule>
  </conditionalFormatting>
  <conditionalFormatting sqref="X88">
    <cfRule type="expression" dxfId="19121" priority="129">
      <formula>AND(IF(OR($Q88=1,$Q88=2),1,0),IF($X88&lt;=20,1,0))</formula>
    </cfRule>
    <cfRule type="expression" dxfId="19120" priority="130">
      <formula>AND(IF($Q88=2,1,0),IF($X88&lt;30,1,0))</formula>
    </cfRule>
    <cfRule type="expression" dxfId="19119" priority="131">
      <formula>AND(IF($Q88=3,1,0),IF($X88&lt;30,1,0))</formula>
    </cfRule>
    <cfRule type="expression" dxfId="19118" priority="132">
      <formula>AND(IF($Q88=3,1,IF($Q88=4,1,0)),IF($F88&lt;=85,1,0))</formula>
    </cfRule>
  </conditionalFormatting>
  <conditionalFormatting sqref="AI88">
    <cfRule type="expression" dxfId="19117" priority="125">
      <formula>AND(IF(OR($Q88=1,$Q88=2),1,0),IF($X88&lt;=20,1,0))</formula>
    </cfRule>
    <cfRule type="expression" dxfId="19116" priority="126">
      <formula>AND(IF($Q88=2,1,0),IF($X88&lt;30,1,0))</formula>
    </cfRule>
    <cfRule type="expression" dxfId="19115" priority="127">
      <formula>AND(IF($Q88=3,1,0),IF($X88&lt;30,1,0))</formula>
    </cfRule>
    <cfRule type="expression" dxfId="19114" priority="128">
      <formula>AND(IF($Q88=3,1,IF($Q88=4,1,0)),IF($F88&lt;=85,1,0))</formula>
    </cfRule>
  </conditionalFormatting>
  <conditionalFormatting sqref="AV89">
    <cfRule type="expression" dxfId="19113" priority="123">
      <formula>AV89="X"</formula>
    </cfRule>
    <cfRule type="expression" dxfId="19112" priority="124">
      <formula>AV89="후보"</formula>
    </cfRule>
  </conditionalFormatting>
  <conditionalFormatting sqref="AC89">
    <cfRule type="cellIs" dxfId="19111" priority="120" operator="greaterThan">
      <formula>0.9</formula>
    </cfRule>
    <cfRule type="cellIs" dxfId="19110" priority="121" operator="greaterThan">
      <formula>0.85</formula>
    </cfRule>
  </conditionalFormatting>
  <conditionalFormatting sqref="N89">
    <cfRule type="cellIs" dxfId="19109" priority="118" operator="greaterThan">
      <formula>0.9</formula>
    </cfRule>
    <cfRule type="cellIs" dxfId="19108" priority="119" operator="greaterThan">
      <formula>0.85</formula>
    </cfRule>
  </conditionalFormatting>
  <conditionalFormatting sqref="E89">
    <cfRule type="expression" dxfId="19107" priority="114">
      <formula>AND(IF(OR($Q89=1,$Q89=2),1,0),IF($X89&lt;=20,1,0))</formula>
    </cfRule>
    <cfRule type="expression" dxfId="19106" priority="115">
      <formula>AND(IF($Q89=2,1,0),IF($X89&lt;30,1,0))</formula>
    </cfRule>
    <cfRule type="expression" dxfId="19105" priority="116">
      <formula>AND(IF($Q89=3,1,0),IF($X89&lt;30,1,0))</formula>
    </cfRule>
    <cfRule type="expression" dxfId="19104" priority="117">
      <formula>AND(IF($Q89=3,1,IF($Q89=4,1,0)),IF($F89&lt;=85,1,0))</formula>
    </cfRule>
  </conditionalFormatting>
  <conditionalFormatting sqref="X89">
    <cfRule type="expression" dxfId="19103" priority="110">
      <formula>AND(IF(OR($Q89=1,$Q89=2),1,0),IF($X89&lt;=20,1,0))</formula>
    </cfRule>
    <cfRule type="expression" dxfId="19102" priority="111">
      <formula>AND(IF($Q89=2,1,0),IF($X89&lt;30,1,0))</formula>
    </cfRule>
    <cfRule type="expression" dxfId="19101" priority="112">
      <formula>AND(IF($Q89=3,1,0),IF($X89&lt;30,1,0))</formula>
    </cfRule>
    <cfRule type="expression" dxfId="19100" priority="113">
      <formula>AND(IF($Q89=3,1,IF($Q89=4,1,0)),IF($F89&lt;=85,1,0))</formula>
    </cfRule>
  </conditionalFormatting>
  <conditionalFormatting sqref="AI89">
    <cfRule type="expression" dxfId="19099" priority="106">
      <formula>AND(IF(OR($Q89=1,$Q89=2),1,0),IF($X89&lt;=20,1,0))</formula>
    </cfRule>
    <cfRule type="expression" dxfId="19098" priority="107">
      <formula>AND(IF($Q89=2,1,0),IF($X89&lt;30,1,0))</formula>
    </cfRule>
    <cfRule type="expression" dxfId="19097" priority="108">
      <formula>AND(IF($Q89=3,1,0),IF($X89&lt;30,1,0))</formula>
    </cfRule>
    <cfRule type="expression" dxfId="19096" priority="109">
      <formula>AND(IF($Q89=3,1,IF($Q89=4,1,0)),IF($F89&lt;=85,1,0))</formula>
    </cfRule>
  </conditionalFormatting>
  <conditionalFormatting sqref="AV90">
    <cfRule type="expression" dxfId="19095" priority="104">
      <formula>AV90="X"</formula>
    </cfRule>
    <cfRule type="expression" dxfId="19094" priority="105">
      <formula>AV90="후보"</formula>
    </cfRule>
  </conditionalFormatting>
  <conditionalFormatting sqref="AC90 N90">
    <cfRule type="cellIs" dxfId="19093" priority="101" operator="greaterThan">
      <formula>0.9</formula>
    </cfRule>
    <cfRule type="cellIs" dxfId="19092" priority="102" operator="greaterThan">
      <formula>0.85</formula>
    </cfRule>
  </conditionalFormatting>
  <conditionalFormatting sqref="AV91">
    <cfRule type="expression" dxfId="19091" priority="99">
      <formula>AV91="X"</formula>
    </cfRule>
    <cfRule type="expression" dxfId="19090" priority="100">
      <formula>AV91="후보"</formula>
    </cfRule>
  </conditionalFormatting>
  <conditionalFormatting sqref="AC91">
    <cfRule type="cellIs" dxfId="19089" priority="96" operator="greaterThan">
      <formula>0.9</formula>
    </cfRule>
    <cfRule type="cellIs" dxfId="19088" priority="97" operator="greaterThan">
      <formula>0.85</formula>
    </cfRule>
  </conditionalFormatting>
  <conditionalFormatting sqref="N91">
    <cfRule type="cellIs" dxfId="19087" priority="94" operator="greaterThan">
      <formula>0.9</formula>
    </cfRule>
    <cfRule type="cellIs" dxfId="19086" priority="95" operator="greaterThan">
      <formula>0.85</formula>
    </cfRule>
  </conditionalFormatting>
  <conditionalFormatting sqref="E91">
    <cfRule type="expression" dxfId="19085" priority="90">
      <formula>AND(IF(OR($Q91=1,$Q91=2),1,0),IF($X91&lt;=20,1,0))</formula>
    </cfRule>
    <cfRule type="expression" dxfId="19084" priority="91">
      <formula>AND(IF($Q91=2,1,0),IF($X91&lt;30,1,0))</formula>
    </cfRule>
    <cfRule type="expression" dxfId="19083" priority="92">
      <formula>AND(IF($Q91=3,1,0),IF($X91&lt;30,1,0))</formula>
    </cfRule>
    <cfRule type="expression" dxfId="19082" priority="93">
      <formula>AND(IF($Q91=3,1,IF($Q91=4,1,0)),IF($F91&lt;=85,1,0))</formula>
    </cfRule>
  </conditionalFormatting>
  <conditionalFormatting sqref="X91">
    <cfRule type="expression" dxfId="19081" priority="86">
      <formula>AND(IF(OR($Q91=1,$Q91=2),1,0),IF($X91&lt;=20,1,0))</formula>
    </cfRule>
    <cfRule type="expression" dxfId="19080" priority="87">
      <formula>AND(IF($Q91=2,1,0),IF($X91&lt;30,1,0))</formula>
    </cfRule>
    <cfRule type="expression" dxfId="19079" priority="88">
      <formula>AND(IF($Q91=3,1,0),IF($X91&lt;30,1,0))</formula>
    </cfRule>
    <cfRule type="expression" dxfId="19078" priority="89">
      <formula>AND(IF($Q91=3,1,IF($Q91=4,1,0)),IF($F91&lt;=85,1,0))</formula>
    </cfRule>
  </conditionalFormatting>
  <conditionalFormatting sqref="AI91">
    <cfRule type="expression" dxfId="19077" priority="82">
      <formula>AND(IF(OR($Q91=1,$Q91=2),1,0),IF($X91&lt;=20,1,0))</formula>
    </cfRule>
    <cfRule type="expression" dxfId="19076" priority="83">
      <formula>AND(IF($Q91=2,1,0),IF($X91&lt;30,1,0))</formula>
    </cfRule>
    <cfRule type="expression" dxfId="19075" priority="84">
      <formula>AND(IF($Q91=3,1,0),IF($X91&lt;30,1,0))</formula>
    </cfRule>
    <cfRule type="expression" dxfId="19074" priority="85">
      <formula>AND(IF($Q91=3,1,IF($Q91=4,1,0)),IF($F91&lt;=85,1,0))</formula>
    </cfRule>
  </conditionalFormatting>
  <conditionalFormatting sqref="AV92">
    <cfRule type="expression" dxfId="19073" priority="80">
      <formula>AV92="X"</formula>
    </cfRule>
    <cfRule type="expression" dxfId="19072" priority="81">
      <formula>AV92="후보"</formula>
    </cfRule>
  </conditionalFormatting>
  <conditionalFormatting sqref="AC92">
    <cfRule type="cellIs" dxfId="19071" priority="77" operator="greaterThan">
      <formula>0.9</formula>
    </cfRule>
    <cfRule type="cellIs" dxfId="19070" priority="78" operator="greaterThan">
      <formula>0.85</formula>
    </cfRule>
  </conditionalFormatting>
  <conditionalFormatting sqref="N92">
    <cfRule type="cellIs" dxfId="19069" priority="75" operator="greaterThan">
      <formula>0.9</formula>
    </cfRule>
    <cfRule type="cellIs" dxfId="19068" priority="76" operator="greaterThan">
      <formula>0.85</formula>
    </cfRule>
  </conditionalFormatting>
  <conditionalFormatting sqref="E92">
    <cfRule type="expression" dxfId="19067" priority="71">
      <formula>AND(IF(OR($Q92=1,$Q92=2),1,0),IF($X92&lt;=20,1,0))</formula>
    </cfRule>
    <cfRule type="expression" dxfId="19066" priority="72">
      <formula>AND(IF($Q92=2,1,0),IF($X92&lt;30,1,0))</formula>
    </cfRule>
    <cfRule type="expression" dxfId="19065" priority="73">
      <formula>AND(IF($Q92=3,1,0),IF($X92&lt;30,1,0))</formula>
    </cfRule>
    <cfRule type="expression" dxfId="19064" priority="74">
      <formula>AND(IF($Q92=3,1,IF($Q92=4,1,0)),IF($F92&lt;=85,1,0))</formula>
    </cfRule>
  </conditionalFormatting>
  <conditionalFormatting sqref="X92">
    <cfRule type="expression" dxfId="19063" priority="67">
      <formula>AND(IF(OR($Q92=1,$Q92=2),1,0),IF($X92&lt;=20,1,0))</formula>
    </cfRule>
    <cfRule type="expression" dxfId="19062" priority="68">
      <formula>AND(IF($Q92=2,1,0),IF($X92&lt;30,1,0))</formula>
    </cfRule>
    <cfRule type="expression" dxfId="19061" priority="69">
      <formula>AND(IF($Q92=3,1,0),IF($X92&lt;30,1,0))</formula>
    </cfRule>
    <cfRule type="expression" dxfId="19060" priority="70">
      <formula>AND(IF($Q92=3,1,IF($Q92=4,1,0)),IF($F92&lt;=85,1,0))</formula>
    </cfRule>
  </conditionalFormatting>
  <conditionalFormatting sqref="AI92">
    <cfRule type="expression" dxfId="19059" priority="63">
      <formula>AND(IF(OR($Q92=1,$Q92=2),1,0),IF($X92&lt;=20,1,0))</formula>
    </cfRule>
    <cfRule type="expression" dxfId="19058" priority="64">
      <formula>AND(IF($Q92=2,1,0),IF($X92&lt;30,1,0))</formula>
    </cfRule>
    <cfRule type="expression" dxfId="19057" priority="65">
      <formula>AND(IF($Q92=3,1,0),IF($X92&lt;30,1,0))</formula>
    </cfRule>
    <cfRule type="expression" dxfId="19056" priority="66">
      <formula>AND(IF($Q92=3,1,IF($Q92=4,1,0)),IF($F92&lt;=85,1,0))</formula>
    </cfRule>
  </conditionalFormatting>
  <conditionalFormatting sqref="AV93">
    <cfRule type="expression" dxfId="19055" priority="61">
      <formula>AV93="X"</formula>
    </cfRule>
    <cfRule type="expression" dxfId="19054" priority="62">
      <formula>AV93="후보"</formula>
    </cfRule>
  </conditionalFormatting>
  <conditionalFormatting sqref="AC93 N93">
    <cfRule type="cellIs" dxfId="19053" priority="58" operator="greaterThan">
      <formula>0.9</formula>
    </cfRule>
    <cfRule type="cellIs" dxfId="19052" priority="59" operator="greaterThan">
      <formula>0.85</formula>
    </cfRule>
  </conditionalFormatting>
  <conditionalFormatting sqref="AV94">
    <cfRule type="expression" dxfId="19051" priority="56">
      <formula>AV94="X"</formula>
    </cfRule>
    <cfRule type="expression" dxfId="19050" priority="57">
      <formula>AV94="후보"</formula>
    </cfRule>
  </conditionalFormatting>
  <conditionalFormatting sqref="AC94">
    <cfRule type="cellIs" dxfId="19049" priority="53" operator="greaterThan">
      <formula>0.9</formula>
    </cfRule>
    <cfRule type="cellIs" dxfId="19048" priority="54" operator="greaterThan">
      <formula>0.85</formula>
    </cfRule>
  </conditionalFormatting>
  <conditionalFormatting sqref="N94">
    <cfRule type="cellIs" dxfId="19047" priority="51" operator="greaterThan">
      <formula>0.9</formula>
    </cfRule>
    <cfRule type="cellIs" dxfId="19046" priority="52" operator="greaterThan">
      <formula>0.85</formula>
    </cfRule>
  </conditionalFormatting>
  <conditionalFormatting sqref="E94">
    <cfRule type="expression" dxfId="19045" priority="47">
      <formula>AND(IF(OR($Q94=1,$Q94=2),1,0),IF($X94&lt;=20,1,0))</formula>
    </cfRule>
    <cfRule type="expression" dxfId="19044" priority="48">
      <formula>AND(IF($Q94=2,1,0),IF($X94&lt;30,1,0))</formula>
    </cfRule>
    <cfRule type="expression" dxfId="19043" priority="49">
      <formula>AND(IF($Q94=3,1,0),IF($X94&lt;30,1,0))</formula>
    </cfRule>
    <cfRule type="expression" dxfId="19042" priority="50">
      <formula>AND(IF($Q94=3,1,IF($Q94=4,1,0)),IF($F94&lt;=85,1,0))</formula>
    </cfRule>
  </conditionalFormatting>
  <conditionalFormatting sqref="X94">
    <cfRule type="expression" dxfId="19041" priority="43">
      <formula>AND(IF(OR($Q94=1,$Q94=2),1,0),IF($X94&lt;=20,1,0))</formula>
    </cfRule>
    <cfRule type="expression" dxfId="19040" priority="44">
      <formula>AND(IF($Q94=2,1,0),IF($X94&lt;30,1,0))</formula>
    </cfRule>
    <cfRule type="expression" dxfId="19039" priority="45">
      <formula>AND(IF($Q94=3,1,0),IF($X94&lt;30,1,0))</formula>
    </cfRule>
    <cfRule type="expression" dxfId="19038" priority="46">
      <formula>AND(IF($Q94=3,1,IF($Q94=4,1,0)),IF($F94&lt;=85,1,0))</formula>
    </cfRule>
  </conditionalFormatting>
  <conditionalFormatting sqref="AI94">
    <cfRule type="expression" dxfId="19037" priority="39">
      <formula>AND(IF(OR($Q94=1,$Q94=2),1,0),IF($X94&lt;=20,1,0))</formula>
    </cfRule>
    <cfRule type="expression" dxfId="19036" priority="40">
      <formula>AND(IF($Q94=2,1,0),IF($X94&lt;30,1,0))</formula>
    </cfRule>
    <cfRule type="expression" dxfId="19035" priority="41">
      <formula>AND(IF($Q94=3,1,0),IF($X94&lt;30,1,0))</formula>
    </cfRule>
    <cfRule type="expression" dxfId="19034" priority="42">
      <formula>AND(IF($Q94=3,1,IF($Q94=4,1,0)),IF($F94&lt;=85,1,0))</formula>
    </cfRule>
  </conditionalFormatting>
  <conditionalFormatting sqref="AV95">
    <cfRule type="expression" dxfId="19033" priority="37">
      <formula>AV95="X"</formula>
    </cfRule>
    <cfRule type="expression" dxfId="19032" priority="38">
      <formula>AV95="후보"</formula>
    </cfRule>
  </conditionalFormatting>
  <conditionalFormatting sqref="AC95">
    <cfRule type="cellIs" dxfId="19031" priority="34" operator="greaterThan">
      <formula>0.9</formula>
    </cfRule>
    <cfRule type="cellIs" dxfId="19030" priority="35" operator="greaterThan">
      <formula>0.85</formula>
    </cfRule>
  </conditionalFormatting>
  <conditionalFormatting sqref="N95">
    <cfRule type="cellIs" dxfId="19029" priority="32" operator="greaterThan">
      <formula>0.9</formula>
    </cfRule>
    <cfRule type="cellIs" dxfId="19028" priority="33" operator="greaterThan">
      <formula>0.85</formula>
    </cfRule>
  </conditionalFormatting>
  <conditionalFormatting sqref="E95">
    <cfRule type="expression" dxfId="19027" priority="28">
      <formula>AND(IF(OR($Q95=1,$Q95=2),1,0),IF($X95&lt;=20,1,0))</formula>
    </cfRule>
    <cfRule type="expression" dxfId="19026" priority="29">
      <formula>AND(IF($Q95=2,1,0),IF($X95&lt;30,1,0))</formula>
    </cfRule>
    <cfRule type="expression" dxfId="19025" priority="30">
      <formula>AND(IF($Q95=3,1,0),IF($X95&lt;30,1,0))</formula>
    </cfRule>
    <cfRule type="expression" dxfId="19024" priority="31">
      <formula>AND(IF($Q95=3,1,IF($Q95=4,1,0)),IF($F95&lt;=85,1,0))</formula>
    </cfRule>
  </conditionalFormatting>
  <conditionalFormatting sqref="X95">
    <cfRule type="expression" dxfId="19023" priority="24">
      <formula>AND(IF(OR($Q95=1,$Q95=2),1,0),IF($X95&lt;=20,1,0))</formula>
    </cfRule>
    <cfRule type="expression" dxfId="19022" priority="25">
      <formula>AND(IF($Q95=2,1,0),IF($X95&lt;30,1,0))</formula>
    </cfRule>
    <cfRule type="expression" dxfId="19021" priority="26">
      <formula>AND(IF($Q95=3,1,0),IF($X95&lt;30,1,0))</formula>
    </cfRule>
    <cfRule type="expression" dxfId="19020" priority="27">
      <formula>AND(IF($Q95=3,1,IF($Q95=4,1,0)),IF($F95&lt;=85,1,0))</formula>
    </cfRule>
  </conditionalFormatting>
  <conditionalFormatting sqref="AI95">
    <cfRule type="expression" dxfId="19019" priority="20">
      <formula>AND(IF(OR($Q95=1,$Q95=2),1,0),IF($X95&lt;=20,1,0))</formula>
    </cfRule>
    <cfRule type="expression" dxfId="19018" priority="21">
      <formula>AND(IF($Q95=2,1,0),IF($X95&lt;30,1,0))</formula>
    </cfRule>
    <cfRule type="expression" dxfId="19017" priority="22">
      <formula>AND(IF($Q95=3,1,0),IF($X95&lt;30,1,0))</formula>
    </cfRule>
    <cfRule type="expression" dxfId="19016" priority="23">
      <formula>AND(IF($Q95=3,1,IF($Q95=4,1,0)),IF($F95&lt;=85,1,0))</formula>
    </cfRule>
  </conditionalFormatting>
  <conditionalFormatting sqref="AV96">
    <cfRule type="expression" dxfId="19015" priority="18">
      <formula>AV96="X"</formula>
    </cfRule>
    <cfRule type="expression" dxfId="19014" priority="19">
      <formula>AV96="후보"</formula>
    </cfRule>
  </conditionalFormatting>
  <conditionalFormatting sqref="AC96">
    <cfRule type="cellIs" dxfId="19013" priority="15" operator="greaterThan">
      <formula>0.9</formula>
    </cfRule>
    <cfRule type="cellIs" dxfId="19012" priority="16" operator="greaterThan">
      <formula>0.85</formula>
    </cfRule>
  </conditionalFormatting>
  <conditionalFormatting sqref="N96">
    <cfRule type="cellIs" dxfId="19011" priority="13" operator="greaterThan">
      <formula>0.9</formula>
    </cfRule>
    <cfRule type="cellIs" dxfId="19010" priority="14" operator="greaterThan">
      <formula>0.85</formula>
    </cfRule>
  </conditionalFormatting>
  <conditionalFormatting sqref="E96">
    <cfRule type="expression" dxfId="19009" priority="9">
      <formula>AND(IF(OR($Q96=1,$Q96=2),1,0),IF($X96&lt;=20,1,0))</formula>
    </cfRule>
    <cfRule type="expression" dxfId="19008" priority="10">
      <formula>AND(IF($Q96=2,1,0),IF($X96&lt;30,1,0))</formula>
    </cfRule>
    <cfRule type="expression" dxfId="19007" priority="11">
      <formula>AND(IF($Q96=3,1,0),IF($X96&lt;30,1,0))</formula>
    </cfRule>
    <cfRule type="expression" dxfId="19006" priority="12">
      <formula>AND(IF($Q96=3,1,IF($Q96=4,1,0)),IF($F96&lt;=85,1,0))</formula>
    </cfRule>
  </conditionalFormatting>
  <conditionalFormatting sqref="X96">
    <cfRule type="expression" dxfId="19005" priority="5">
      <formula>AND(IF(OR($Q96=1,$Q96=2),1,0),IF($X96&lt;=20,1,0))</formula>
    </cfRule>
    <cfRule type="expression" dxfId="19004" priority="6">
      <formula>AND(IF($Q96=2,1,0),IF($X96&lt;30,1,0))</formula>
    </cfRule>
    <cfRule type="expression" dxfId="19003" priority="7">
      <formula>AND(IF($Q96=3,1,0),IF($X96&lt;30,1,0))</formula>
    </cfRule>
    <cfRule type="expression" dxfId="19002" priority="8">
      <formula>AND(IF($Q96=3,1,IF($Q96=4,1,0)),IF($F96&lt;=85,1,0))</formula>
    </cfRule>
  </conditionalFormatting>
  <conditionalFormatting sqref="AI96">
    <cfRule type="expression" dxfId="19001" priority="1">
      <formula>AND(IF(OR($Q96=1,$Q96=2),1,0),IF($X96&lt;=20,1,0))</formula>
    </cfRule>
    <cfRule type="expression" dxfId="19000" priority="2">
      <formula>AND(IF($Q96=2,1,0),IF($X96&lt;30,1,0))</formula>
    </cfRule>
    <cfRule type="expression" dxfId="18999" priority="3">
      <formula>AND(IF($Q96=3,1,0),IF($X96&lt;30,1,0))</formula>
    </cfRule>
    <cfRule type="expression" dxfId="18998" priority="4">
      <formula>AND(IF($Q96=3,1,IF($Q96=4,1,0)),IF($F96&lt;=85,1,0))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pageSetUpPr fitToPage="1"/>
  </sheetPr>
  <dimension ref="A1:AV2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0" sqref="A20:XFD20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5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0" width="9" style="37" customWidth="1"/>
    <col min="51" max="16384" width="9" style="37"/>
  </cols>
  <sheetData>
    <row r="1" spans="1:48" ht="17.25" customHeight="1" x14ac:dyDescent="0.3">
      <c r="A1" s="7" t="str">
        <f>단지추출!A1</f>
        <v>인천광역시 연수구</v>
      </c>
      <c r="I1" s="42" t="s">
        <v>1827</v>
      </c>
      <c r="X1" s="37" t="s">
        <v>5</v>
      </c>
      <c r="Y1" s="37"/>
      <c r="AA1" s="39">
        <f>단지추출!AA1</f>
        <v>70000</v>
      </c>
      <c r="AH1" s="7" t="str">
        <f>A1</f>
        <v>인천광역시 연수구</v>
      </c>
      <c r="AJ1" s="117" t="str">
        <f>A1&amp;" 전체 등급"</f>
        <v>인천광역시 연수구 전체 등급</v>
      </c>
      <c r="AK1" s="118"/>
      <c r="AL1" s="118"/>
      <c r="AM1" s="118"/>
      <c r="AN1" s="119"/>
      <c r="AO1" s="22">
        <f>단지추출!AO1</f>
        <v>80</v>
      </c>
      <c r="AP1" s="22">
        <f>단지추출!AP1</f>
        <v>50000</v>
      </c>
      <c r="AQ1" s="22">
        <f>단지추출!AQ1</f>
        <v>15000</v>
      </c>
      <c r="AR1" s="22">
        <f>단지추출!AR1</f>
        <v>5000</v>
      </c>
      <c r="AS1" s="2"/>
      <c r="AT1" s="2"/>
      <c r="AU1" s="22">
        <f>단지추출!AU1</f>
        <v>300</v>
      </c>
    </row>
    <row r="2" spans="1:48" x14ac:dyDescent="0.3">
      <c r="A2" s="80">
        <f>단지추출!A2</f>
        <v>44197</v>
      </c>
      <c r="W2" s="38"/>
      <c r="X2" s="38" t="s">
        <v>10</v>
      </c>
      <c r="Y2" s="38"/>
      <c r="AA2" s="39">
        <f>단지추출!AA2</f>
        <v>10000</v>
      </c>
      <c r="AH2" s="18" t="str">
        <f>AH1 &amp;" " &amp;A4</f>
        <v>인천광역시 연수구 서서학동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4" t="s">
        <v>15</v>
      </c>
      <c r="AP2" s="65"/>
      <c r="AQ2" s="66"/>
      <c r="AR2" s="64" t="s">
        <v>16</v>
      </c>
      <c r="AS2" s="66"/>
      <c r="AT2" s="64" t="s">
        <v>17</v>
      </c>
      <c r="AU2" s="66"/>
      <c r="AV2" s="40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1828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106" t="s">
        <v>27</v>
      </c>
      <c r="Z3" s="12" t="s">
        <v>41</v>
      </c>
      <c r="AA3" s="12" t="s">
        <v>42</v>
      </c>
      <c r="AB3" s="12" t="s">
        <v>1828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20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(5억↓)</v>
      </c>
      <c r="AQ3" s="11" t="str">
        <f>"지역평단가
("&amp;AQ1&amp;"↓)"</f>
        <v>지역평단가
(15000↓)</v>
      </c>
      <c r="AR3" s="11" t="str">
        <f>"투자규모★
(갭"&amp;AR1/1000&amp;"천↓)"</f>
        <v>투자규모★
(갭5천↓)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1" t="s">
        <v>18</v>
      </c>
    </row>
    <row r="4" spans="1:48" x14ac:dyDescent="0.3">
      <c r="A4" s="8" t="s">
        <v>757</v>
      </c>
      <c r="B4" s="76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07"/>
      <c r="R4" s="107"/>
      <c r="S4" s="76"/>
      <c r="T4" s="5"/>
      <c r="U4" s="9"/>
      <c r="W4" s="9"/>
      <c r="X4" s="9"/>
      <c r="Y4" s="91"/>
      <c r="Z4" s="9"/>
      <c r="AA4" s="9"/>
      <c r="AB4" s="9"/>
      <c r="AC4" s="9"/>
      <c r="AD4" s="9"/>
      <c r="AE4" s="76"/>
      <c r="AF4" s="5"/>
      <c r="AH4" s="20"/>
      <c r="AI4" s="108" t="str">
        <f t="shared" si="0"/>
        <v/>
      </c>
      <c r="AJ4" s="76"/>
      <c r="AK4" s="76"/>
      <c r="AL4" s="76"/>
      <c r="AM4" s="76"/>
      <c r="AN4" s="76"/>
      <c r="AO4" s="76"/>
      <c r="AP4" s="76"/>
      <c r="AQ4" s="76"/>
      <c r="AR4" s="76"/>
      <c r="AS4" s="76"/>
      <c r="AT4" s="76"/>
      <c r="AU4" s="76"/>
      <c r="AV4" s="76"/>
    </row>
    <row r="5" spans="1:48" x14ac:dyDescent="0.3">
      <c r="A5" s="9"/>
      <c r="B5" s="76"/>
      <c r="C5" s="6"/>
      <c r="D5" s="9"/>
      <c r="E5" s="14"/>
      <c r="F5" s="85"/>
      <c r="G5" s="9"/>
      <c r="H5" s="9"/>
      <c r="I5" s="9"/>
      <c r="J5" s="9"/>
      <c r="K5" s="9"/>
      <c r="L5" s="9"/>
      <c r="M5" s="9"/>
      <c r="N5" s="9"/>
      <c r="O5" s="90"/>
      <c r="P5" s="90"/>
      <c r="Q5" s="86"/>
      <c r="R5" s="86"/>
      <c r="S5" s="9"/>
      <c r="T5" s="47"/>
      <c r="U5" s="9"/>
      <c r="W5" s="67" t="str">
        <f>$A$4&amp;" "&amp;A6&amp;"("&amp;B6&amp;","&amp;C6&amp;"^)"</f>
        <v>서서학동 광진산업('00.05.,432^)</v>
      </c>
      <c r="X5" s="68"/>
      <c r="Y5" s="68"/>
      <c r="Z5" s="68"/>
      <c r="AA5" s="68"/>
      <c r="AB5" s="68"/>
      <c r="AC5" s="68"/>
      <c r="AD5" s="68"/>
      <c r="AE5" s="68"/>
      <c r="AF5" s="69"/>
      <c r="AH5" s="20" t="str">
        <f t="shared" ref="AH5:AH20" si="1">IF(A5="","",A5)</f>
        <v/>
      </c>
      <c r="AI5" s="108" t="str">
        <f t="shared" si="0"/>
        <v/>
      </c>
      <c r="AJ5" s="76"/>
      <c r="AK5" s="76"/>
      <c r="AL5" s="76"/>
      <c r="AM5" s="76"/>
      <c r="AN5" s="76"/>
      <c r="AO5" s="76"/>
      <c r="AP5" s="76"/>
      <c r="AQ5" s="76"/>
      <c r="AR5" s="76"/>
      <c r="AS5" s="76"/>
      <c r="AT5" s="76"/>
      <c r="AU5" s="76"/>
      <c r="AV5" s="76"/>
    </row>
    <row r="6" spans="1:48" x14ac:dyDescent="0.3">
      <c r="A6" s="9" t="s">
        <v>753</v>
      </c>
      <c r="B6" s="10" t="s">
        <v>1855</v>
      </c>
      <c r="C6" s="87">
        <v>432</v>
      </c>
      <c r="D6" s="85">
        <v>87.4</v>
      </c>
      <c r="E6" s="86">
        <v>26</v>
      </c>
      <c r="F6" s="85">
        <v>59.1</v>
      </c>
      <c r="G6" s="17">
        <v>18</v>
      </c>
      <c r="H6" s="87">
        <v>299</v>
      </c>
      <c r="I6" s="88"/>
      <c r="J6" s="88"/>
      <c r="K6" s="88"/>
      <c r="L6" s="88"/>
      <c r="M6" s="89">
        <f>I6-K6</f>
        <v>0</v>
      </c>
      <c r="N6" s="4" t="str">
        <f>IF(ISERROR(K6/I6),"",K6/I6)</f>
        <v/>
      </c>
      <c r="O6" s="90">
        <f>I6/E6</f>
        <v>0</v>
      </c>
      <c r="P6" s="90">
        <f>K6/E6</f>
        <v>0</v>
      </c>
      <c r="Q6" s="76">
        <v>3</v>
      </c>
      <c r="R6" s="76">
        <v>1</v>
      </c>
      <c r="S6" s="76" t="s">
        <v>61</v>
      </c>
      <c r="T6" s="5">
        <v>87</v>
      </c>
      <c r="U6" s="9"/>
      <c r="W6" s="85">
        <f t="shared" ref="W6:X9" si="2">D6</f>
        <v>87.4</v>
      </c>
      <c r="X6" s="86">
        <f t="shared" si="2"/>
        <v>26</v>
      </c>
      <c r="Y6" s="91">
        <f t="shared" ref="Y6:Z9" si="3">H6</f>
        <v>299</v>
      </c>
      <c r="Z6" s="89">
        <f t="shared" si="3"/>
        <v>0</v>
      </c>
      <c r="AA6" s="89">
        <f>K6</f>
        <v>0</v>
      </c>
      <c r="AB6" s="89">
        <f t="shared" ref="AB6:AD9" si="4">M6</f>
        <v>0</v>
      </c>
      <c r="AC6" s="4" t="str">
        <f t="shared" si="4"/>
        <v/>
      </c>
      <c r="AD6" s="90">
        <f t="shared" si="4"/>
        <v>0</v>
      </c>
      <c r="AE6" s="76" t="str">
        <f>S6</f>
        <v>계</v>
      </c>
      <c r="AF6" s="76" t="str">
        <f>Q6&amp;"/"&amp;R6</f>
        <v>3/1</v>
      </c>
      <c r="AH6" s="20" t="str">
        <f t="shared" si="1"/>
        <v>광진산업</v>
      </c>
      <c r="AI6" s="86">
        <f t="shared" si="0"/>
        <v>26</v>
      </c>
      <c r="AJ6" s="76" t="str">
        <f>IF(AI6="","",$AJ$2)</f>
        <v>A-</v>
      </c>
      <c r="AK6" s="76" t="s">
        <v>13</v>
      </c>
      <c r="AL6" s="76" t="s">
        <v>62</v>
      </c>
      <c r="AM6" s="76" t="s">
        <v>63</v>
      </c>
      <c r="AN6" s="76" t="str">
        <f>IF(AI6="","",$AN$2)</f>
        <v>C</v>
      </c>
      <c r="AO6" s="76" t="str">
        <f>IF(N6="","",IF(N6&gt;=$AO$1/100,"O","X"))</f>
        <v/>
      </c>
      <c r="AP6" s="76" t="str">
        <f>IF(I6="","",IF(I6&lt;=$AP$1,"O","X"))</f>
        <v/>
      </c>
      <c r="AQ6" s="76" t="str">
        <f>IF(O6="","",IF(O6&lt;=$AQ$1,"O","X"))</f>
        <v>O</v>
      </c>
      <c r="AR6" s="76" t="str">
        <f>IF(M6="","",IF(M6&lt;=$AR$1,"O","X"))</f>
        <v>O</v>
      </c>
      <c r="AS6" s="76" t="s">
        <v>2</v>
      </c>
      <c r="AT6" s="76" t="str">
        <f>IF(OR(F6="",AI6=""),"",IF(AND((F6&lt;=85),(AI6&gt;=15)),"O","X"))</f>
        <v>O</v>
      </c>
      <c r="AU6" s="76" t="str">
        <f>IF(C6="","",IF(C6&gt;=$AU$1,"O","X"))</f>
        <v>O</v>
      </c>
      <c r="AV6" s="76" t="str">
        <f>IF(AO6="","",IF(AND(AO6="O",AP6="O",AR6="O",AT6="O",AU6="O"),"후보","X"))</f>
        <v/>
      </c>
    </row>
    <row r="7" spans="1:48" x14ac:dyDescent="0.3">
      <c r="A7" s="9" t="s">
        <v>753</v>
      </c>
      <c r="B7" s="10" t="s">
        <v>1855</v>
      </c>
      <c r="C7" s="87">
        <v>432</v>
      </c>
      <c r="D7" s="85">
        <v>88.1</v>
      </c>
      <c r="E7" s="86">
        <v>27</v>
      </c>
      <c r="F7" s="85">
        <v>59.5</v>
      </c>
      <c r="G7" s="17">
        <v>18</v>
      </c>
      <c r="H7" s="87">
        <v>125</v>
      </c>
      <c r="I7" s="88">
        <v>9500</v>
      </c>
      <c r="J7" s="88" t="s">
        <v>111</v>
      </c>
      <c r="K7" s="88"/>
      <c r="L7" s="88"/>
      <c r="M7" s="89">
        <f>I7-K7</f>
        <v>9500</v>
      </c>
      <c r="N7" s="4">
        <f>IF(ISERROR(K7/I7),"",K7/I7)</f>
        <v>0</v>
      </c>
      <c r="O7" s="90">
        <f>I7/E7</f>
        <v>351.85185185185185</v>
      </c>
      <c r="P7" s="90">
        <f>K7/E7</f>
        <v>0</v>
      </c>
      <c r="Q7" s="76">
        <v>3</v>
      </c>
      <c r="R7" s="76">
        <v>1</v>
      </c>
      <c r="S7" s="76" t="s">
        <v>61</v>
      </c>
      <c r="T7" s="5" t="s">
        <v>148</v>
      </c>
      <c r="U7" s="9"/>
      <c r="W7" s="85">
        <f t="shared" si="2"/>
        <v>88.1</v>
      </c>
      <c r="X7" s="86">
        <f t="shared" si="2"/>
        <v>27</v>
      </c>
      <c r="Y7" s="91">
        <f t="shared" si="3"/>
        <v>125</v>
      </c>
      <c r="Z7" s="89">
        <f t="shared" si="3"/>
        <v>9500</v>
      </c>
      <c r="AA7" s="89">
        <f>K7</f>
        <v>0</v>
      </c>
      <c r="AB7" s="89">
        <f t="shared" si="4"/>
        <v>9500</v>
      </c>
      <c r="AC7" s="4">
        <f t="shared" si="4"/>
        <v>0</v>
      </c>
      <c r="AD7" s="90">
        <f t="shared" si="4"/>
        <v>351.85185185185185</v>
      </c>
      <c r="AE7" s="76" t="str">
        <f>S7</f>
        <v>계</v>
      </c>
      <c r="AF7" s="76" t="str">
        <f>Q7&amp;"/"&amp;R7</f>
        <v>3/1</v>
      </c>
      <c r="AH7" s="20" t="str">
        <f t="shared" si="1"/>
        <v>광진산업</v>
      </c>
      <c r="AI7" s="86">
        <f t="shared" si="0"/>
        <v>27</v>
      </c>
      <c r="AJ7" s="76" t="str">
        <f>IF(AI7="","",$AJ$2)</f>
        <v>A-</v>
      </c>
      <c r="AK7" s="76" t="s">
        <v>13</v>
      </c>
      <c r="AL7" s="76" t="s">
        <v>62</v>
      </c>
      <c r="AM7" s="76" t="s">
        <v>63</v>
      </c>
      <c r="AN7" s="76" t="str">
        <f>IF(AI7="","",$AN$2)</f>
        <v>C</v>
      </c>
      <c r="AO7" s="76" t="str">
        <f>IF(N7="","",IF(N7&gt;=$AO$1/100,"O","X"))</f>
        <v>X</v>
      </c>
      <c r="AP7" s="76" t="str">
        <f>IF(I7="","",IF(I7&lt;=$AP$1,"O","X"))</f>
        <v>O</v>
      </c>
      <c r="AQ7" s="76" t="str">
        <f>IF(O7="","",IF(O7&lt;=$AQ$1,"O","X"))</f>
        <v>O</v>
      </c>
      <c r="AR7" s="76" t="str">
        <f>IF(M7="","",IF(M7&lt;=$AR$1,"O","X"))</f>
        <v>X</v>
      </c>
      <c r="AS7" s="76" t="s">
        <v>2</v>
      </c>
      <c r="AT7" s="76" t="str">
        <f>IF(OR(F7="",AI7=""),"",IF(AND((F7&lt;=85),(AI7&gt;=15)),"O","X"))</f>
        <v>O</v>
      </c>
      <c r="AU7" s="76" t="str">
        <f>IF(C7="","",IF(C7&gt;=$AU$1,"O","X"))</f>
        <v>O</v>
      </c>
      <c r="AV7" s="76" t="str">
        <f>IF(AO7="","",IF(AND(AO7="O",AP7="O",AR7="O",AT7="O",AU7="O"),"후보","X"))</f>
        <v>X</v>
      </c>
    </row>
    <row r="8" spans="1:48" x14ac:dyDescent="0.3">
      <c r="A8" s="9" t="s">
        <v>753</v>
      </c>
      <c r="B8" s="10" t="s">
        <v>1855</v>
      </c>
      <c r="C8" s="87">
        <v>432</v>
      </c>
      <c r="D8" s="85">
        <v>88.2</v>
      </c>
      <c r="E8" s="86">
        <v>27</v>
      </c>
      <c r="F8" s="85">
        <v>59.5</v>
      </c>
      <c r="G8" s="17">
        <v>18</v>
      </c>
      <c r="H8" s="87">
        <v>1</v>
      </c>
      <c r="I8" s="88"/>
      <c r="J8" s="88"/>
      <c r="K8" s="88"/>
      <c r="L8" s="88"/>
      <c r="M8" s="89">
        <f>I8-K8</f>
        <v>0</v>
      </c>
      <c r="N8" s="4" t="str">
        <f>IF(ISERROR(K8/I8),"",K8/I8)</f>
        <v/>
      </c>
      <c r="O8" s="90">
        <f>I8/E8</f>
        <v>0</v>
      </c>
      <c r="P8" s="90">
        <f>K8/E8</f>
        <v>0</v>
      </c>
      <c r="Q8" s="76">
        <v>3</v>
      </c>
      <c r="R8" s="76">
        <v>1</v>
      </c>
      <c r="S8" s="76" t="s">
        <v>61</v>
      </c>
      <c r="T8" s="5" t="s">
        <v>149</v>
      </c>
      <c r="U8" s="9"/>
      <c r="W8" s="85">
        <f t="shared" si="2"/>
        <v>88.2</v>
      </c>
      <c r="X8" s="86">
        <f t="shared" si="2"/>
        <v>27</v>
      </c>
      <c r="Y8" s="91">
        <f t="shared" si="3"/>
        <v>1</v>
      </c>
      <c r="Z8" s="89">
        <f t="shared" si="3"/>
        <v>0</v>
      </c>
      <c r="AA8" s="89">
        <f>K8</f>
        <v>0</v>
      </c>
      <c r="AB8" s="89">
        <f t="shared" si="4"/>
        <v>0</v>
      </c>
      <c r="AC8" s="4" t="str">
        <f t="shared" si="4"/>
        <v/>
      </c>
      <c r="AD8" s="90">
        <f t="shared" si="4"/>
        <v>0</v>
      </c>
      <c r="AE8" s="76" t="str">
        <f>S8</f>
        <v>계</v>
      </c>
      <c r="AF8" s="76" t="str">
        <f>Q8&amp;"/"&amp;R8</f>
        <v>3/1</v>
      </c>
      <c r="AH8" s="20" t="str">
        <f t="shared" si="1"/>
        <v>광진산업</v>
      </c>
      <c r="AI8" s="86">
        <f t="shared" si="0"/>
        <v>27</v>
      </c>
      <c r="AJ8" s="76" t="str">
        <f>IF(AI8="","",$AJ$2)</f>
        <v>A-</v>
      </c>
      <c r="AK8" s="76" t="s">
        <v>13</v>
      </c>
      <c r="AL8" s="76" t="s">
        <v>62</v>
      </c>
      <c r="AM8" s="76" t="s">
        <v>63</v>
      </c>
      <c r="AN8" s="76" t="str">
        <f>IF(AI8="","",$AN$2)</f>
        <v>C</v>
      </c>
      <c r="AO8" s="76" t="str">
        <f>IF(N8="","",IF(N8&gt;=$AO$1/100,"O","X"))</f>
        <v/>
      </c>
      <c r="AP8" s="76" t="str">
        <f>IF(I8="","",IF(I8&lt;=$AP$1,"O","X"))</f>
        <v/>
      </c>
      <c r="AQ8" s="76" t="str">
        <f>IF(O8="","",IF(O8&lt;=$AQ$1,"O","X"))</f>
        <v>O</v>
      </c>
      <c r="AR8" s="76" t="str">
        <f>IF(M8="","",IF(M8&lt;=$AR$1,"O","X"))</f>
        <v>O</v>
      </c>
      <c r="AS8" s="76" t="s">
        <v>2</v>
      </c>
      <c r="AT8" s="76" t="str">
        <f>IF(OR(F8="",AI8=""),"",IF(AND((F8&lt;=85),(AI8&gt;=15)),"O","X"))</f>
        <v>O</v>
      </c>
      <c r="AU8" s="76" t="str">
        <f>IF(C8="","",IF(C8&gt;=$AU$1,"O","X"))</f>
        <v>O</v>
      </c>
      <c r="AV8" s="76" t="str">
        <f>IF(AO8="","",IF(AND(AO8="O",AP8="O",AR8="O",AT8="O",AU8="O"),"후보","X"))</f>
        <v/>
      </c>
    </row>
    <row r="9" spans="1:48" x14ac:dyDescent="0.3">
      <c r="A9" s="9" t="s">
        <v>753</v>
      </c>
      <c r="B9" s="10" t="s">
        <v>1855</v>
      </c>
      <c r="C9" s="87">
        <v>432</v>
      </c>
      <c r="D9" s="85">
        <v>102</v>
      </c>
      <c r="E9" s="86">
        <v>31</v>
      </c>
      <c r="F9" s="85">
        <v>60</v>
      </c>
      <c r="G9" s="17">
        <v>18</v>
      </c>
      <c r="H9" s="87">
        <v>7</v>
      </c>
      <c r="I9" s="88"/>
      <c r="J9" s="88"/>
      <c r="K9" s="88"/>
      <c r="L9" s="88"/>
      <c r="M9" s="89">
        <f>I9-K9</f>
        <v>0</v>
      </c>
      <c r="N9" s="4" t="str">
        <f>IF(ISERROR(K9/I9),"",K9/I9)</f>
        <v/>
      </c>
      <c r="O9" s="90">
        <f>I9/E9</f>
        <v>0</v>
      </c>
      <c r="P9" s="90">
        <f>K9/E9</f>
        <v>0</v>
      </c>
      <c r="Q9" s="76">
        <v>3</v>
      </c>
      <c r="R9" s="76">
        <v>1</v>
      </c>
      <c r="S9" s="76" t="s">
        <v>61</v>
      </c>
      <c r="T9" s="5">
        <v>101</v>
      </c>
      <c r="U9" s="9"/>
      <c r="W9" s="85">
        <f t="shared" si="2"/>
        <v>102</v>
      </c>
      <c r="X9" s="86">
        <f t="shared" si="2"/>
        <v>31</v>
      </c>
      <c r="Y9" s="91">
        <f t="shared" si="3"/>
        <v>7</v>
      </c>
      <c r="Z9" s="89">
        <f t="shared" si="3"/>
        <v>0</v>
      </c>
      <c r="AA9" s="89">
        <f>K9</f>
        <v>0</v>
      </c>
      <c r="AB9" s="89">
        <f t="shared" si="4"/>
        <v>0</v>
      </c>
      <c r="AC9" s="4" t="str">
        <f t="shared" si="4"/>
        <v/>
      </c>
      <c r="AD9" s="90">
        <f t="shared" si="4"/>
        <v>0</v>
      </c>
      <c r="AE9" s="76" t="str">
        <f>S9</f>
        <v>계</v>
      </c>
      <c r="AF9" s="76" t="str">
        <f>Q9&amp;"/"&amp;R9</f>
        <v>3/1</v>
      </c>
      <c r="AH9" s="20" t="str">
        <f t="shared" si="1"/>
        <v>광진산업</v>
      </c>
      <c r="AI9" s="86">
        <f t="shared" si="0"/>
        <v>31</v>
      </c>
      <c r="AJ9" s="76" t="str">
        <f>IF(AI9="","",$AJ$2)</f>
        <v>A-</v>
      </c>
      <c r="AK9" s="76" t="s">
        <v>13</v>
      </c>
      <c r="AL9" s="76" t="s">
        <v>62</v>
      </c>
      <c r="AM9" s="76" t="s">
        <v>63</v>
      </c>
      <c r="AN9" s="76" t="str">
        <f>IF(AI9="","",$AN$2)</f>
        <v>C</v>
      </c>
      <c r="AO9" s="76" t="str">
        <f>IF(N9="","",IF(N9&gt;=$AO$1/100,"O","X"))</f>
        <v/>
      </c>
      <c r="AP9" s="76" t="str">
        <f>IF(I9="","",IF(I9&lt;=$AP$1,"O","X"))</f>
        <v/>
      </c>
      <c r="AQ9" s="76" t="str">
        <f>IF(O9="","",IF(O9&lt;=$AQ$1,"O","X"))</f>
        <v>O</v>
      </c>
      <c r="AR9" s="76" t="str">
        <f>IF(M9="","",IF(M9&lt;=$AR$1,"O","X"))</f>
        <v>O</v>
      </c>
      <c r="AS9" s="76" t="s">
        <v>2</v>
      </c>
      <c r="AT9" s="76" t="str">
        <f>IF(OR(F9="",AI9=""),"",IF(AND((F9&lt;=85),(AI9&gt;=15)),"O","X"))</f>
        <v>O</v>
      </c>
      <c r="AU9" s="76" t="str">
        <f>IF(C9="","",IF(C9&gt;=$AU$1,"O","X"))</f>
        <v>O</v>
      </c>
      <c r="AV9" s="76" t="str">
        <f>IF(AO9="","",IF(AND(AO9="O",AP9="O",AR9="O",AT9="O",AU9="O"),"후보","X"))</f>
        <v/>
      </c>
    </row>
    <row r="10" spans="1:48" x14ac:dyDescent="0.3">
      <c r="A10" s="9"/>
      <c r="B10" s="76"/>
      <c r="C10" s="6"/>
      <c r="D10" s="9"/>
      <c r="E10" s="14"/>
      <c r="F10" s="85"/>
      <c r="G10" s="9"/>
      <c r="H10" s="9"/>
      <c r="I10" s="9"/>
      <c r="J10" s="9"/>
      <c r="K10" s="9"/>
      <c r="L10" s="9"/>
      <c r="M10" s="9"/>
      <c r="N10" s="9"/>
      <c r="O10" s="90"/>
      <c r="P10" s="90"/>
      <c r="Q10" s="86"/>
      <c r="R10" s="86"/>
      <c r="S10" s="9"/>
      <c r="T10" s="47"/>
      <c r="U10" s="9"/>
      <c r="W10" s="67" t="str">
        <f>$A$4&amp;" "&amp;A11&amp;"("&amp;B11&amp;","&amp;C11&amp;"^)"</f>
        <v>서서학동 신세계블루타운('97.03.,252^)</v>
      </c>
      <c r="X10" s="68"/>
      <c r="Y10" s="68"/>
      <c r="Z10" s="68"/>
      <c r="AA10" s="68"/>
      <c r="AB10" s="68"/>
      <c r="AC10" s="68"/>
      <c r="AD10" s="68"/>
      <c r="AE10" s="68"/>
      <c r="AF10" s="69"/>
      <c r="AH10" s="20" t="str">
        <f t="shared" si="1"/>
        <v/>
      </c>
      <c r="AI10" s="108" t="str">
        <f t="shared" si="0"/>
        <v/>
      </c>
      <c r="AJ10" s="76"/>
      <c r="AK10" s="76"/>
      <c r="AL10" s="76"/>
      <c r="AM10" s="76"/>
      <c r="AN10" s="76"/>
      <c r="AO10" s="76"/>
      <c r="AP10" s="76"/>
      <c r="AQ10" s="76"/>
      <c r="AR10" s="76"/>
      <c r="AS10" s="76"/>
      <c r="AT10" s="76"/>
      <c r="AU10" s="76"/>
      <c r="AV10" s="76"/>
    </row>
    <row r="11" spans="1:48" x14ac:dyDescent="0.3">
      <c r="A11" s="9" t="s">
        <v>765</v>
      </c>
      <c r="B11" s="10" t="s">
        <v>1856</v>
      </c>
      <c r="C11" s="87">
        <v>252</v>
      </c>
      <c r="D11" s="85">
        <v>25.7</v>
      </c>
      <c r="E11" s="86">
        <v>8</v>
      </c>
      <c r="F11" s="85">
        <v>25.7</v>
      </c>
      <c r="G11" s="17">
        <v>8</v>
      </c>
      <c r="H11" s="87">
        <v>66</v>
      </c>
      <c r="I11" s="88"/>
      <c r="J11" s="88"/>
      <c r="K11" s="88"/>
      <c r="L11" s="88"/>
      <c r="M11" s="89">
        <f>I11-K11</f>
        <v>0</v>
      </c>
      <c r="N11" s="4" t="str">
        <f>IF(ISERROR(K11/I11),"",K11/I11)</f>
        <v/>
      </c>
      <c r="O11" s="90">
        <f>I11/E11</f>
        <v>0</v>
      </c>
      <c r="P11" s="90">
        <f>K11/E11</f>
        <v>0</v>
      </c>
      <c r="Q11" s="76">
        <v>1</v>
      </c>
      <c r="R11" s="76">
        <v>1</v>
      </c>
      <c r="S11" s="76" t="s">
        <v>61</v>
      </c>
      <c r="T11" s="5" t="s">
        <v>152</v>
      </c>
      <c r="U11" s="9"/>
      <c r="W11" s="85">
        <f t="shared" ref="W11:X14" si="5">D11</f>
        <v>25.7</v>
      </c>
      <c r="X11" s="86">
        <f t="shared" si="5"/>
        <v>8</v>
      </c>
      <c r="Y11" s="91">
        <f t="shared" ref="Y11:Z14" si="6">H11</f>
        <v>66</v>
      </c>
      <c r="Z11" s="89">
        <f t="shared" si="6"/>
        <v>0</v>
      </c>
      <c r="AA11" s="89">
        <f>K11</f>
        <v>0</v>
      </c>
      <c r="AB11" s="89">
        <f t="shared" ref="AB11:AD14" si="7">M11</f>
        <v>0</v>
      </c>
      <c r="AC11" s="4" t="str">
        <f t="shared" si="7"/>
        <v/>
      </c>
      <c r="AD11" s="90">
        <f t="shared" si="7"/>
        <v>0</v>
      </c>
      <c r="AE11" s="76" t="str">
        <f>S11</f>
        <v>계</v>
      </c>
      <c r="AF11" s="76" t="str">
        <f>Q11&amp;"/"&amp;R11</f>
        <v>1/1</v>
      </c>
      <c r="AH11" s="20" t="str">
        <f t="shared" si="1"/>
        <v>신세계블루타운</v>
      </c>
      <c r="AI11" s="86">
        <f t="shared" si="0"/>
        <v>8</v>
      </c>
      <c r="AJ11" s="76" t="str">
        <f>IF(AI11="","",$AJ$2)</f>
        <v>A-</v>
      </c>
      <c r="AK11" s="76" t="s">
        <v>13</v>
      </c>
      <c r="AL11" s="76" t="s">
        <v>62</v>
      </c>
      <c r="AM11" s="76" t="s">
        <v>63</v>
      </c>
      <c r="AN11" s="76" t="str">
        <f>IF(AI11="","",$AN$2)</f>
        <v>C</v>
      </c>
      <c r="AO11" s="76" t="str">
        <f>IF(N11="","",IF(N11&gt;=$AO$1/100,"O","X"))</f>
        <v/>
      </c>
      <c r="AP11" s="76" t="str">
        <f>IF(I11="","",IF(I11&lt;=$AP$1,"O","X"))</f>
        <v/>
      </c>
      <c r="AQ11" s="76" t="str">
        <f>IF(O11="","",IF(O11&lt;=$AQ$1,"O","X"))</f>
        <v>O</v>
      </c>
      <c r="AR11" s="76" t="str">
        <f>IF(M11="","",IF(M11&lt;=$AR$1,"O","X"))</f>
        <v>O</v>
      </c>
      <c r="AS11" s="76" t="s">
        <v>2</v>
      </c>
      <c r="AT11" s="76" t="str">
        <f>IF(OR(F11="",AI11=""),"",IF(AND((F11&lt;=85),(AI11&gt;=15)),"O","X"))</f>
        <v>X</v>
      </c>
      <c r="AU11" s="76" t="str">
        <f>IF(C11="","",IF(C11&gt;=$AU$1,"O","X"))</f>
        <v>X</v>
      </c>
      <c r="AV11" s="76" t="str">
        <f>IF(AO11="","",IF(AND(AO11="O",AP11="O",AR11="O",AT11="O",AU11="O"),"후보","X"))</f>
        <v/>
      </c>
    </row>
    <row r="12" spans="1:48" x14ac:dyDescent="0.3">
      <c r="A12" s="9" t="s">
        <v>765</v>
      </c>
      <c r="B12" s="10" t="s">
        <v>1856</v>
      </c>
      <c r="C12" s="87">
        <v>252</v>
      </c>
      <c r="D12" s="85">
        <v>27.4</v>
      </c>
      <c r="E12" s="86">
        <v>8</v>
      </c>
      <c r="F12" s="85">
        <v>27.4</v>
      </c>
      <c r="G12" s="17">
        <v>8</v>
      </c>
      <c r="H12" s="87">
        <v>4</v>
      </c>
      <c r="I12" s="88"/>
      <c r="J12" s="88"/>
      <c r="K12" s="88"/>
      <c r="L12" s="88"/>
      <c r="M12" s="89">
        <f>I12-K12</f>
        <v>0</v>
      </c>
      <c r="N12" s="4" t="str">
        <f>IF(ISERROR(K12/I12),"",K12/I12)</f>
        <v/>
      </c>
      <c r="O12" s="90">
        <f>I12/E12</f>
        <v>0</v>
      </c>
      <c r="P12" s="90">
        <f>K12/E12</f>
        <v>0</v>
      </c>
      <c r="Q12" s="76">
        <v>1</v>
      </c>
      <c r="R12" s="76">
        <v>1</v>
      </c>
      <c r="S12" s="76" t="s">
        <v>61</v>
      </c>
      <c r="T12" s="5" t="s">
        <v>153</v>
      </c>
      <c r="U12" s="9"/>
      <c r="W12" s="85">
        <f t="shared" si="5"/>
        <v>27.4</v>
      </c>
      <c r="X12" s="86">
        <f t="shared" si="5"/>
        <v>8</v>
      </c>
      <c r="Y12" s="91">
        <f t="shared" si="6"/>
        <v>4</v>
      </c>
      <c r="Z12" s="89">
        <f t="shared" si="6"/>
        <v>0</v>
      </c>
      <c r="AA12" s="89">
        <f>K12</f>
        <v>0</v>
      </c>
      <c r="AB12" s="89">
        <f t="shared" si="7"/>
        <v>0</v>
      </c>
      <c r="AC12" s="4" t="str">
        <f t="shared" si="7"/>
        <v/>
      </c>
      <c r="AD12" s="90">
        <f t="shared" si="7"/>
        <v>0</v>
      </c>
      <c r="AE12" s="76" t="str">
        <f>S12</f>
        <v>계</v>
      </c>
      <c r="AF12" s="76" t="str">
        <f>Q12&amp;"/"&amp;R12</f>
        <v>1/1</v>
      </c>
      <c r="AH12" s="20" t="str">
        <f t="shared" si="1"/>
        <v>신세계블루타운</v>
      </c>
      <c r="AI12" s="86">
        <f t="shared" si="0"/>
        <v>8</v>
      </c>
      <c r="AJ12" s="76" t="str">
        <f>IF(AI12="","",$AJ$2)</f>
        <v>A-</v>
      </c>
      <c r="AK12" s="76" t="s">
        <v>13</v>
      </c>
      <c r="AL12" s="76" t="s">
        <v>62</v>
      </c>
      <c r="AM12" s="76" t="s">
        <v>63</v>
      </c>
      <c r="AN12" s="76" t="str">
        <f>IF(AI12="","",$AN$2)</f>
        <v>C</v>
      </c>
      <c r="AO12" s="76" t="str">
        <f>IF(N12="","",IF(N12&gt;=$AO$1/100,"O","X"))</f>
        <v/>
      </c>
      <c r="AP12" s="76" t="str">
        <f>IF(I12="","",IF(I12&lt;=$AP$1,"O","X"))</f>
        <v/>
      </c>
      <c r="AQ12" s="76" t="str">
        <f>IF(O12="","",IF(O12&lt;=$AQ$1,"O","X"))</f>
        <v>O</v>
      </c>
      <c r="AR12" s="76" t="str">
        <f>IF(M12="","",IF(M12&lt;=$AR$1,"O","X"))</f>
        <v>O</v>
      </c>
      <c r="AS12" s="76" t="s">
        <v>2</v>
      </c>
      <c r="AT12" s="76" t="str">
        <f>IF(OR(F12="",AI12=""),"",IF(AND((F12&lt;=85),(AI12&gt;=15)),"O","X"))</f>
        <v>X</v>
      </c>
      <c r="AU12" s="76" t="str">
        <f>IF(C12="","",IF(C12&gt;=$AU$1,"O","X"))</f>
        <v>X</v>
      </c>
      <c r="AV12" s="76" t="str">
        <f>IF(AO12="","",IF(AND(AO12="O",AP12="O",AR12="O",AT12="O",AU12="O"),"후보","X"))</f>
        <v/>
      </c>
    </row>
    <row r="13" spans="1:48" x14ac:dyDescent="0.3">
      <c r="A13" s="9" t="s">
        <v>765</v>
      </c>
      <c r="B13" s="10" t="s">
        <v>1856</v>
      </c>
      <c r="C13" s="87">
        <v>252</v>
      </c>
      <c r="D13" s="85">
        <v>35</v>
      </c>
      <c r="E13" s="86">
        <v>11</v>
      </c>
      <c r="F13" s="85">
        <v>35</v>
      </c>
      <c r="G13" s="17">
        <v>11</v>
      </c>
      <c r="H13" s="87">
        <v>1</v>
      </c>
      <c r="I13" s="88"/>
      <c r="J13" s="88"/>
      <c r="K13" s="88"/>
      <c r="L13" s="88"/>
      <c r="M13" s="89">
        <f>I13-K13</f>
        <v>0</v>
      </c>
      <c r="N13" s="4" t="str">
        <f>IF(ISERROR(K13/I13),"",K13/I13)</f>
        <v/>
      </c>
      <c r="O13" s="90">
        <f>I13/E13</f>
        <v>0</v>
      </c>
      <c r="P13" s="90">
        <f>K13/E13</f>
        <v>0</v>
      </c>
      <c r="Q13" s="76">
        <v>1</v>
      </c>
      <c r="R13" s="76">
        <v>1</v>
      </c>
      <c r="S13" s="76" t="s">
        <v>68</v>
      </c>
      <c r="T13" s="5">
        <v>35</v>
      </c>
      <c r="U13" s="9"/>
      <c r="W13" s="85">
        <f t="shared" si="5"/>
        <v>35</v>
      </c>
      <c r="X13" s="86">
        <f t="shared" si="5"/>
        <v>11</v>
      </c>
      <c r="Y13" s="91">
        <f t="shared" si="6"/>
        <v>1</v>
      </c>
      <c r="Z13" s="89">
        <f t="shared" si="6"/>
        <v>0</v>
      </c>
      <c r="AA13" s="89">
        <f>K13</f>
        <v>0</v>
      </c>
      <c r="AB13" s="89">
        <f t="shared" si="7"/>
        <v>0</v>
      </c>
      <c r="AC13" s="4" t="str">
        <f t="shared" si="7"/>
        <v/>
      </c>
      <c r="AD13" s="90">
        <f t="shared" si="7"/>
        <v>0</v>
      </c>
      <c r="AE13" s="76" t="str">
        <f>S13</f>
        <v>복</v>
      </c>
      <c r="AF13" s="76" t="str">
        <f>Q13&amp;"/"&amp;R13</f>
        <v>1/1</v>
      </c>
      <c r="AH13" s="20" t="str">
        <f t="shared" si="1"/>
        <v>신세계블루타운</v>
      </c>
      <c r="AI13" s="86">
        <f t="shared" si="0"/>
        <v>11</v>
      </c>
      <c r="AJ13" s="76" t="str">
        <f>IF(AI13="","",$AJ$2)</f>
        <v>A-</v>
      </c>
      <c r="AK13" s="76" t="s">
        <v>13</v>
      </c>
      <c r="AL13" s="76" t="s">
        <v>62</v>
      </c>
      <c r="AM13" s="76" t="s">
        <v>63</v>
      </c>
      <c r="AN13" s="76" t="str">
        <f>IF(AI13="","",$AN$2)</f>
        <v>C</v>
      </c>
      <c r="AO13" s="76" t="str">
        <f>IF(N13="","",IF(N13&gt;=$AO$1/100,"O","X"))</f>
        <v/>
      </c>
      <c r="AP13" s="76" t="str">
        <f>IF(I13="","",IF(I13&lt;=$AP$1,"O","X"))</f>
        <v/>
      </c>
      <c r="AQ13" s="76" t="str">
        <f>IF(O13="","",IF(O13&lt;=$AQ$1,"O","X"))</f>
        <v>O</v>
      </c>
      <c r="AR13" s="76" t="str">
        <f>IF(M13="","",IF(M13&lt;=$AR$1,"O","X"))</f>
        <v>O</v>
      </c>
      <c r="AS13" s="76" t="s">
        <v>2</v>
      </c>
      <c r="AT13" s="76" t="str">
        <f>IF(OR(F13="",AI13=""),"",IF(AND((F13&lt;=85),(AI13&gt;=15)),"O","X"))</f>
        <v>X</v>
      </c>
      <c r="AU13" s="76" t="str">
        <f>IF(C13="","",IF(C13&gt;=$AU$1,"O","X"))</f>
        <v>X</v>
      </c>
      <c r="AV13" s="76" t="str">
        <f>IF(AO13="","",IF(AND(AO13="O",AP13="O",AR13="O",AT13="O",AU13="O"),"후보","X"))</f>
        <v/>
      </c>
    </row>
    <row r="14" spans="1:48" x14ac:dyDescent="0.3">
      <c r="A14" s="9" t="s">
        <v>765</v>
      </c>
      <c r="B14" s="10" t="s">
        <v>1856</v>
      </c>
      <c r="C14" s="87">
        <v>252</v>
      </c>
      <c r="D14" s="85">
        <v>38.9</v>
      </c>
      <c r="E14" s="86">
        <v>12</v>
      </c>
      <c r="F14" s="85">
        <v>38.9</v>
      </c>
      <c r="G14" s="17">
        <v>12</v>
      </c>
      <c r="H14" s="87">
        <v>181</v>
      </c>
      <c r="I14" s="88"/>
      <c r="J14" s="88"/>
      <c r="K14" s="88"/>
      <c r="L14" s="88"/>
      <c r="M14" s="89">
        <f>I14-K14</f>
        <v>0</v>
      </c>
      <c r="N14" s="4" t="str">
        <f>IF(ISERROR(K14/I14),"",K14/I14)</f>
        <v/>
      </c>
      <c r="O14" s="90">
        <f>I14/E14</f>
        <v>0</v>
      </c>
      <c r="P14" s="90">
        <f>K14/E14</f>
        <v>0</v>
      </c>
      <c r="Q14" s="76">
        <v>2</v>
      </c>
      <c r="R14" s="76">
        <v>1</v>
      </c>
      <c r="S14" s="76" t="s">
        <v>61</v>
      </c>
      <c r="T14" s="5">
        <v>38</v>
      </c>
      <c r="U14" s="9"/>
      <c r="W14" s="85">
        <f t="shared" si="5"/>
        <v>38.9</v>
      </c>
      <c r="X14" s="86">
        <f t="shared" si="5"/>
        <v>12</v>
      </c>
      <c r="Y14" s="91">
        <f t="shared" si="6"/>
        <v>181</v>
      </c>
      <c r="Z14" s="89">
        <f t="shared" si="6"/>
        <v>0</v>
      </c>
      <c r="AA14" s="89">
        <f>K14</f>
        <v>0</v>
      </c>
      <c r="AB14" s="89">
        <f t="shared" si="7"/>
        <v>0</v>
      </c>
      <c r="AC14" s="4" t="str">
        <f t="shared" si="7"/>
        <v/>
      </c>
      <c r="AD14" s="90">
        <f t="shared" si="7"/>
        <v>0</v>
      </c>
      <c r="AE14" s="76" t="str">
        <f>S14</f>
        <v>계</v>
      </c>
      <c r="AF14" s="76" t="str">
        <f>Q14&amp;"/"&amp;R14</f>
        <v>2/1</v>
      </c>
      <c r="AH14" s="20" t="str">
        <f t="shared" si="1"/>
        <v>신세계블루타운</v>
      </c>
      <c r="AI14" s="86">
        <f t="shared" si="0"/>
        <v>12</v>
      </c>
      <c r="AJ14" s="76" t="str">
        <f>IF(AI14="","",$AJ$2)</f>
        <v>A-</v>
      </c>
      <c r="AK14" s="76" t="s">
        <v>13</v>
      </c>
      <c r="AL14" s="76" t="s">
        <v>62</v>
      </c>
      <c r="AM14" s="76" t="s">
        <v>63</v>
      </c>
      <c r="AN14" s="76" t="str">
        <f>IF(AI14="","",$AN$2)</f>
        <v>C</v>
      </c>
      <c r="AO14" s="76" t="str">
        <f>IF(N14="","",IF(N14&gt;=$AO$1/100,"O","X"))</f>
        <v/>
      </c>
      <c r="AP14" s="76" t="str">
        <f>IF(I14="","",IF(I14&lt;=$AP$1,"O","X"))</f>
        <v/>
      </c>
      <c r="AQ14" s="76" t="str">
        <f>IF(O14="","",IF(O14&lt;=$AQ$1,"O","X"))</f>
        <v>O</v>
      </c>
      <c r="AR14" s="76" t="str">
        <f>IF(M14="","",IF(M14&lt;=$AR$1,"O","X"))</f>
        <v>O</v>
      </c>
      <c r="AS14" s="76" t="s">
        <v>2</v>
      </c>
      <c r="AT14" s="76" t="str">
        <f>IF(OR(F14="",AI14=""),"",IF(AND((F14&lt;=85),(AI14&gt;=15)),"O","X"))</f>
        <v>X</v>
      </c>
      <c r="AU14" s="76" t="str">
        <f>IF(C14="","",IF(C14&gt;=$AU$1,"O","X"))</f>
        <v>X</v>
      </c>
      <c r="AV14" s="76" t="str">
        <f>IF(AO14="","",IF(AND(AO14="O",AP14="O",AR14="O",AT14="O",AU14="O"),"후보","X"))</f>
        <v/>
      </c>
    </row>
    <row r="15" spans="1:48" x14ac:dyDescent="0.3">
      <c r="A15" s="9"/>
      <c r="B15" s="76"/>
      <c r="C15" s="6"/>
      <c r="D15" s="9"/>
      <c r="E15" s="14"/>
      <c r="F15" s="85"/>
      <c r="G15" s="9"/>
      <c r="H15" s="9"/>
      <c r="I15" s="9"/>
      <c r="J15" s="9"/>
      <c r="K15" s="9"/>
      <c r="L15" s="9"/>
      <c r="M15" s="9"/>
      <c r="N15" s="9"/>
      <c r="O15" s="90"/>
      <c r="P15" s="90"/>
      <c r="Q15" s="86"/>
      <c r="R15" s="86"/>
      <c r="S15" s="9"/>
      <c r="T15" s="47"/>
      <c r="U15" s="9"/>
      <c r="W15" s="67" t="str">
        <f>$A$4&amp;" "&amp;A16&amp;"("&amp;B16&amp;","&amp;C16&amp;"^)"</f>
        <v>서서학동 우정목련('93.03.,244^)</v>
      </c>
      <c r="X15" s="68"/>
      <c r="Y15" s="68"/>
      <c r="Z15" s="68"/>
      <c r="AA15" s="68"/>
      <c r="AB15" s="68"/>
      <c r="AC15" s="68"/>
      <c r="AD15" s="68"/>
      <c r="AE15" s="68"/>
      <c r="AF15" s="69"/>
      <c r="AH15" s="20" t="str">
        <f t="shared" si="1"/>
        <v/>
      </c>
      <c r="AI15" s="108" t="str">
        <f t="shared" si="0"/>
        <v/>
      </c>
      <c r="AJ15" s="76"/>
      <c r="AK15" s="76"/>
      <c r="AL15" s="76"/>
      <c r="AM15" s="76"/>
      <c r="AN15" s="76"/>
      <c r="AO15" s="76"/>
      <c r="AP15" s="76"/>
      <c r="AQ15" s="76"/>
      <c r="AR15" s="76"/>
      <c r="AS15" s="76"/>
      <c r="AT15" s="76"/>
      <c r="AU15" s="76"/>
      <c r="AV15" s="76"/>
    </row>
    <row r="16" spans="1:48" x14ac:dyDescent="0.3">
      <c r="A16" s="9" t="s">
        <v>813</v>
      </c>
      <c r="B16" s="10" t="s">
        <v>1844</v>
      </c>
      <c r="C16" s="87">
        <v>244</v>
      </c>
      <c r="D16" s="85">
        <v>78.900000000000006</v>
      </c>
      <c r="E16" s="86">
        <v>24</v>
      </c>
      <c r="F16" s="85">
        <v>59.7</v>
      </c>
      <c r="G16" s="17">
        <v>18</v>
      </c>
      <c r="H16" s="87">
        <v>162</v>
      </c>
      <c r="I16" s="88"/>
      <c r="J16" s="88"/>
      <c r="K16" s="88"/>
      <c r="L16" s="88"/>
      <c r="M16" s="89">
        <f>I16-K16</f>
        <v>0</v>
      </c>
      <c r="N16" s="4" t="str">
        <f>IF(ISERROR(K16/I16),"",K16/I16)</f>
        <v/>
      </c>
      <c r="O16" s="90">
        <f>I16/E16</f>
        <v>0</v>
      </c>
      <c r="P16" s="90">
        <f>K16/E16</f>
        <v>0</v>
      </c>
      <c r="Q16" s="76">
        <v>2</v>
      </c>
      <c r="R16" s="76">
        <v>1</v>
      </c>
      <c r="S16" s="76" t="s">
        <v>68</v>
      </c>
      <c r="T16" s="5">
        <v>78</v>
      </c>
      <c r="U16" s="9"/>
      <c r="W16" s="85">
        <f>D16</f>
        <v>78.900000000000006</v>
      </c>
      <c r="X16" s="86">
        <f>E16</f>
        <v>24</v>
      </c>
      <c r="Y16" s="91">
        <f>H16</f>
        <v>162</v>
      </c>
      <c r="Z16" s="89">
        <f>I16</f>
        <v>0</v>
      </c>
      <c r="AA16" s="89">
        <f>K16</f>
        <v>0</v>
      </c>
      <c r="AB16" s="89">
        <f t="shared" ref="AB16:AD17" si="8">M16</f>
        <v>0</v>
      </c>
      <c r="AC16" s="4" t="str">
        <f t="shared" si="8"/>
        <v/>
      </c>
      <c r="AD16" s="90">
        <f t="shared" si="8"/>
        <v>0</v>
      </c>
      <c r="AE16" s="76" t="str">
        <f>S16</f>
        <v>복</v>
      </c>
      <c r="AF16" s="76" t="str">
        <f>Q16&amp;"/"&amp;R16</f>
        <v>2/1</v>
      </c>
      <c r="AH16" s="20" t="str">
        <f t="shared" si="1"/>
        <v>우정목련</v>
      </c>
      <c r="AI16" s="86">
        <f t="shared" si="0"/>
        <v>24</v>
      </c>
      <c r="AJ16" s="76" t="str">
        <f>IF(AI16="","",$AJ$2)</f>
        <v>A-</v>
      </c>
      <c r="AK16" s="76" t="s">
        <v>13</v>
      </c>
      <c r="AL16" s="76" t="s">
        <v>62</v>
      </c>
      <c r="AM16" s="76" t="s">
        <v>63</v>
      </c>
      <c r="AN16" s="76" t="str">
        <f>IF(AI16="","",$AN$2)</f>
        <v>C</v>
      </c>
      <c r="AO16" s="76" t="str">
        <f>IF(N16="","",IF(N16&gt;=$AO$1/100,"O","X"))</f>
        <v/>
      </c>
      <c r="AP16" s="76" t="str">
        <f>IF(I16="","",IF(I16&lt;=$AP$1,"O","X"))</f>
        <v/>
      </c>
      <c r="AQ16" s="76" t="str">
        <f>IF(O16="","",IF(O16&lt;=$AQ$1,"O","X"))</f>
        <v>O</v>
      </c>
      <c r="AR16" s="76" t="str">
        <f>IF(M16="","",IF(M16&lt;=$AR$1,"O","X"))</f>
        <v>O</v>
      </c>
      <c r="AS16" s="76" t="s">
        <v>2</v>
      </c>
      <c r="AT16" s="76" t="str">
        <f>IF(OR(F16="",AI16=""),"",IF(AND((F16&lt;=85),(AI16&gt;=15)),"O","X"))</f>
        <v>O</v>
      </c>
      <c r="AU16" s="76" t="str">
        <f>IF(C16="","",IF(C16&gt;=$AU$1,"O","X"))</f>
        <v>X</v>
      </c>
      <c r="AV16" s="76" t="str">
        <f>IF(AO16="","",IF(AND(AO16="O",AP16="O",AR16="O",AT16="O",AU16="O"),"후보","X"))</f>
        <v/>
      </c>
    </row>
    <row r="17" spans="1:48" x14ac:dyDescent="0.3">
      <c r="A17" s="9" t="s">
        <v>813</v>
      </c>
      <c r="B17" s="10" t="s">
        <v>1844</v>
      </c>
      <c r="C17" s="87">
        <v>244</v>
      </c>
      <c r="D17" s="85">
        <v>111.8</v>
      </c>
      <c r="E17" s="86">
        <v>34</v>
      </c>
      <c r="F17" s="85">
        <v>84.7</v>
      </c>
      <c r="G17" s="17">
        <v>26</v>
      </c>
      <c r="H17" s="87">
        <v>82</v>
      </c>
      <c r="I17" s="88"/>
      <c r="J17" s="88"/>
      <c r="K17" s="88"/>
      <c r="L17" s="88"/>
      <c r="M17" s="89">
        <f>I17-K17</f>
        <v>0</v>
      </c>
      <c r="N17" s="4" t="str">
        <f>IF(ISERROR(K17/I17),"",K17/I17)</f>
        <v/>
      </c>
      <c r="O17" s="90">
        <f>I17/E17</f>
        <v>0</v>
      </c>
      <c r="P17" s="90">
        <f>K17/E17</f>
        <v>0</v>
      </c>
      <c r="Q17" s="76">
        <v>3</v>
      </c>
      <c r="R17" s="76">
        <v>2</v>
      </c>
      <c r="S17" s="76" t="s">
        <v>68</v>
      </c>
      <c r="T17" s="5">
        <v>111</v>
      </c>
      <c r="U17" s="9"/>
      <c r="W17" s="85">
        <f>D17</f>
        <v>111.8</v>
      </c>
      <c r="X17" s="86">
        <f>E17</f>
        <v>34</v>
      </c>
      <c r="Y17" s="91">
        <f>H17</f>
        <v>82</v>
      </c>
      <c r="Z17" s="89">
        <f>I17</f>
        <v>0</v>
      </c>
      <c r="AA17" s="89">
        <f>K17</f>
        <v>0</v>
      </c>
      <c r="AB17" s="89">
        <f t="shared" si="8"/>
        <v>0</v>
      </c>
      <c r="AC17" s="4" t="str">
        <f t="shared" si="8"/>
        <v/>
      </c>
      <c r="AD17" s="90">
        <f t="shared" si="8"/>
        <v>0</v>
      </c>
      <c r="AE17" s="76" t="str">
        <f>S17</f>
        <v>복</v>
      </c>
      <c r="AF17" s="76" t="str">
        <f>Q17&amp;"/"&amp;R17</f>
        <v>3/2</v>
      </c>
      <c r="AH17" s="20" t="str">
        <f t="shared" si="1"/>
        <v>우정목련</v>
      </c>
      <c r="AI17" s="86">
        <f t="shared" si="0"/>
        <v>34</v>
      </c>
      <c r="AJ17" s="76" t="str">
        <f>IF(AI17="","",$AJ$2)</f>
        <v>A-</v>
      </c>
      <c r="AK17" s="76" t="s">
        <v>13</v>
      </c>
      <c r="AL17" s="76" t="s">
        <v>62</v>
      </c>
      <c r="AM17" s="76" t="s">
        <v>63</v>
      </c>
      <c r="AN17" s="76" t="str">
        <f>IF(AI17="","",$AN$2)</f>
        <v>C</v>
      </c>
      <c r="AO17" s="76" t="str">
        <f>IF(N17="","",IF(N17&gt;=$AO$1/100,"O","X"))</f>
        <v/>
      </c>
      <c r="AP17" s="76" t="str">
        <f>IF(I17="","",IF(I17&lt;=$AP$1,"O","X"))</f>
        <v/>
      </c>
      <c r="AQ17" s="76" t="str">
        <f>IF(O17="","",IF(O17&lt;=$AQ$1,"O","X"))</f>
        <v>O</v>
      </c>
      <c r="AR17" s="76" t="str">
        <f>IF(M17="","",IF(M17&lt;=$AR$1,"O","X"))</f>
        <v>O</v>
      </c>
      <c r="AS17" s="76" t="s">
        <v>2</v>
      </c>
      <c r="AT17" s="76" t="str">
        <f>IF(OR(F17="",AI17=""),"",IF(AND((F17&lt;=85),(AI17&gt;=15)),"O","X"))</f>
        <v>O</v>
      </c>
      <c r="AU17" s="76" t="str">
        <f>IF(C17="","",IF(C17&gt;=$AU$1,"O","X"))</f>
        <v>X</v>
      </c>
      <c r="AV17" s="76" t="str">
        <f>IF(AO17="","",IF(AND(AO17="O",AP17="O",AR17="O",AT17="O",AU17="O"),"후보","X"))</f>
        <v/>
      </c>
    </row>
    <row r="18" spans="1:48" x14ac:dyDescent="0.3">
      <c r="A18" s="9"/>
      <c r="B18" s="76"/>
      <c r="C18" s="6"/>
      <c r="D18" s="9"/>
      <c r="E18" s="14"/>
      <c r="F18" s="85"/>
      <c r="G18" s="9"/>
      <c r="H18" s="9"/>
      <c r="I18" s="9"/>
      <c r="J18" s="9"/>
      <c r="K18" s="9"/>
      <c r="L18" s="9"/>
      <c r="M18" s="9"/>
      <c r="N18" s="9"/>
      <c r="O18" s="90"/>
      <c r="P18" s="90"/>
      <c r="Q18" s="86"/>
      <c r="R18" s="86"/>
      <c r="S18" s="9"/>
      <c r="T18" s="47"/>
      <c r="U18" s="9"/>
      <c r="W18" s="67" t="str">
        <f>$A$4&amp;" "&amp;A19&amp;"("&amp;B19&amp;","&amp;C19&amp;"^)"</f>
        <v>서서학동 푸른맨션('98.07.,223^)</v>
      </c>
      <c r="X18" s="68"/>
      <c r="Y18" s="68"/>
      <c r="Z18" s="68"/>
      <c r="AA18" s="68"/>
      <c r="AB18" s="68"/>
      <c r="AC18" s="68"/>
      <c r="AD18" s="68"/>
      <c r="AE18" s="68"/>
      <c r="AF18" s="69"/>
      <c r="AH18" s="20" t="str">
        <f t="shared" si="1"/>
        <v/>
      </c>
      <c r="AI18" s="108" t="str">
        <f t="shared" si="0"/>
        <v/>
      </c>
      <c r="AJ18" s="76"/>
      <c r="AK18" s="76"/>
      <c r="AL18" s="76"/>
      <c r="AM18" s="76"/>
      <c r="AN18" s="76"/>
      <c r="AO18" s="76"/>
      <c r="AP18" s="76"/>
      <c r="AQ18" s="76"/>
      <c r="AR18" s="76"/>
      <c r="AS18" s="76"/>
      <c r="AT18" s="76"/>
      <c r="AU18" s="76"/>
      <c r="AV18" s="76"/>
    </row>
    <row r="19" spans="1:48" x14ac:dyDescent="0.3">
      <c r="A19" s="9" t="s">
        <v>817</v>
      </c>
      <c r="B19" s="10" t="s">
        <v>1857</v>
      </c>
      <c r="C19" s="87">
        <v>223</v>
      </c>
      <c r="D19" s="85">
        <v>78.5</v>
      </c>
      <c r="E19" s="86">
        <v>24</v>
      </c>
      <c r="F19" s="85">
        <v>60</v>
      </c>
      <c r="G19" s="17">
        <v>18</v>
      </c>
      <c r="H19" s="87">
        <v>121</v>
      </c>
      <c r="I19" s="88"/>
      <c r="J19" s="88"/>
      <c r="K19" s="88"/>
      <c r="L19" s="88"/>
      <c r="M19" s="89">
        <f>I19-K19</f>
        <v>0</v>
      </c>
      <c r="N19" s="4" t="str">
        <f>IF(ISERROR(K19/I19),"",K19/I19)</f>
        <v/>
      </c>
      <c r="O19" s="90">
        <f>I19/E19</f>
        <v>0</v>
      </c>
      <c r="P19" s="90">
        <f>K19/E19</f>
        <v>0</v>
      </c>
      <c r="Q19" s="76">
        <v>3</v>
      </c>
      <c r="R19" s="76">
        <v>1</v>
      </c>
      <c r="S19" s="76" t="s">
        <v>68</v>
      </c>
      <c r="T19" s="5">
        <v>78</v>
      </c>
      <c r="U19" s="9"/>
      <c r="W19" s="85">
        <f>D19</f>
        <v>78.5</v>
      </c>
      <c r="X19" s="86">
        <f>E19</f>
        <v>24</v>
      </c>
      <c r="Y19" s="91">
        <f>H19</f>
        <v>121</v>
      </c>
      <c r="Z19" s="89">
        <f>I19</f>
        <v>0</v>
      </c>
      <c r="AA19" s="89">
        <f>K19</f>
        <v>0</v>
      </c>
      <c r="AB19" s="89">
        <f t="shared" ref="AB19:AD20" si="9">M19</f>
        <v>0</v>
      </c>
      <c r="AC19" s="4" t="str">
        <f t="shared" si="9"/>
        <v/>
      </c>
      <c r="AD19" s="90">
        <f t="shared" si="9"/>
        <v>0</v>
      </c>
      <c r="AE19" s="76" t="str">
        <f>S19</f>
        <v>복</v>
      </c>
      <c r="AF19" s="76" t="str">
        <f>Q19&amp;"/"&amp;R19</f>
        <v>3/1</v>
      </c>
      <c r="AH19" s="20" t="str">
        <f t="shared" si="1"/>
        <v>푸른맨션</v>
      </c>
      <c r="AI19" s="86">
        <f t="shared" si="0"/>
        <v>24</v>
      </c>
      <c r="AJ19" s="76" t="str">
        <f>IF(AI19="","",$AJ$2)</f>
        <v>A-</v>
      </c>
      <c r="AK19" s="76" t="s">
        <v>13</v>
      </c>
      <c r="AL19" s="76" t="s">
        <v>62</v>
      </c>
      <c r="AM19" s="76" t="s">
        <v>63</v>
      </c>
      <c r="AN19" s="76" t="str">
        <f>IF(AI19="","",$AN$2)</f>
        <v>C</v>
      </c>
      <c r="AO19" s="76" t="str">
        <f>IF(N19="","",IF(N19&gt;=$AO$1/100,"O","X"))</f>
        <v/>
      </c>
      <c r="AP19" s="76" t="str">
        <f>IF(I19="","",IF(I19&lt;=$AP$1,"O","X"))</f>
        <v/>
      </c>
      <c r="AQ19" s="76" t="str">
        <f>IF(O19="","",IF(O19&lt;=$AQ$1,"O","X"))</f>
        <v>O</v>
      </c>
      <c r="AR19" s="76" t="str">
        <f>IF(M19="","",IF(M19&lt;=$AR$1,"O","X"))</f>
        <v>O</v>
      </c>
      <c r="AS19" s="76" t="s">
        <v>2</v>
      </c>
      <c r="AT19" s="76" t="str">
        <f>IF(OR(F19="",AI19=""),"",IF(AND((F19&lt;=85),(AI19&gt;=15)),"O","X"))</f>
        <v>O</v>
      </c>
      <c r="AU19" s="76" t="str">
        <f>IF(C19="","",IF(C19&gt;=$AU$1,"O","X"))</f>
        <v>X</v>
      </c>
      <c r="AV19" s="76" t="str">
        <f>IF(AO19="","",IF(AND(AO19="O",AP19="O",AR19="O",AT19="O",AU19="O"),"후보","X"))</f>
        <v/>
      </c>
    </row>
    <row r="20" spans="1:48" x14ac:dyDescent="0.3">
      <c r="A20" s="9" t="s">
        <v>817</v>
      </c>
      <c r="B20" s="10" t="s">
        <v>1857</v>
      </c>
      <c r="C20" s="87">
        <v>223</v>
      </c>
      <c r="D20" s="85">
        <v>105.8</v>
      </c>
      <c r="E20" s="86">
        <v>32</v>
      </c>
      <c r="F20" s="85">
        <v>84.9</v>
      </c>
      <c r="G20" s="17">
        <v>26</v>
      </c>
      <c r="H20" s="87">
        <v>102</v>
      </c>
      <c r="I20" s="88"/>
      <c r="J20" s="88"/>
      <c r="K20" s="88"/>
      <c r="L20" s="88"/>
      <c r="M20" s="89">
        <f>I20-K20</f>
        <v>0</v>
      </c>
      <c r="N20" s="4" t="str">
        <f>IF(ISERROR(K20/I20),"",K20/I20)</f>
        <v/>
      </c>
      <c r="O20" s="90">
        <f>I20/E20</f>
        <v>0</v>
      </c>
      <c r="P20" s="90">
        <f>K20/E20</f>
        <v>0</v>
      </c>
      <c r="Q20" s="76">
        <v>3</v>
      </c>
      <c r="R20" s="76">
        <v>2</v>
      </c>
      <c r="S20" s="76" t="s">
        <v>68</v>
      </c>
      <c r="T20" s="5">
        <v>105</v>
      </c>
      <c r="U20" s="9"/>
      <c r="W20" s="85">
        <f>D20</f>
        <v>105.8</v>
      </c>
      <c r="X20" s="86">
        <f>E20</f>
        <v>32</v>
      </c>
      <c r="Y20" s="91">
        <f>H20</f>
        <v>102</v>
      </c>
      <c r="Z20" s="89">
        <f>I20</f>
        <v>0</v>
      </c>
      <c r="AA20" s="89">
        <f>K20</f>
        <v>0</v>
      </c>
      <c r="AB20" s="89">
        <f t="shared" si="9"/>
        <v>0</v>
      </c>
      <c r="AC20" s="4" t="str">
        <f t="shared" si="9"/>
        <v/>
      </c>
      <c r="AD20" s="90">
        <f t="shared" si="9"/>
        <v>0</v>
      </c>
      <c r="AE20" s="76" t="str">
        <f>S20</f>
        <v>복</v>
      </c>
      <c r="AF20" s="76" t="str">
        <f>Q20&amp;"/"&amp;R20</f>
        <v>3/2</v>
      </c>
      <c r="AH20" s="20" t="str">
        <f t="shared" si="1"/>
        <v>푸른맨션</v>
      </c>
      <c r="AI20" s="86">
        <f t="shared" si="0"/>
        <v>32</v>
      </c>
      <c r="AJ20" s="76" t="str">
        <f>IF(AI20="","",$AJ$2)</f>
        <v>A-</v>
      </c>
      <c r="AK20" s="76" t="s">
        <v>13</v>
      </c>
      <c r="AL20" s="76" t="s">
        <v>62</v>
      </c>
      <c r="AM20" s="76" t="s">
        <v>63</v>
      </c>
      <c r="AN20" s="76" t="str">
        <f>IF(AI20="","",$AN$2)</f>
        <v>C</v>
      </c>
      <c r="AO20" s="76" t="str">
        <f>IF(N20="","",IF(N20&gt;=$AO$1/100,"O","X"))</f>
        <v/>
      </c>
      <c r="AP20" s="76" t="str">
        <f>IF(I20="","",IF(I20&lt;=$AP$1,"O","X"))</f>
        <v/>
      </c>
      <c r="AQ20" s="76" t="str">
        <f>IF(O20="","",IF(O20&lt;=$AQ$1,"O","X"))</f>
        <v>O</v>
      </c>
      <c r="AR20" s="76" t="str">
        <f>IF(M20="","",IF(M20&lt;=$AR$1,"O","X"))</f>
        <v>O</v>
      </c>
      <c r="AS20" s="76" t="s">
        <v>2</v>
      </c>
      <c r="AT20" s="76" t="str">
        <f>IF(OR(F20="",AI20=""),"",IF(AND((F20&lt;=85),(AI20&gt;=15)),"O","X"))</f>
        <v>O</v>
      </c>
      <c r="AU20" s="76" t="str">
        <f>IF(C20="","",IF(C20&gt;=$AU$1,"O","X"))</f>
        <v>X</v>
      </c>
      <c r="AV20" s="76" t="str">
        <f>IF(AO20="","",IF(AND(AO20="O",AP20="O",AR20="O",AT20="O",AU20="O"),"후보","X"))</f>
        <v/>
      </c>
    </row>
  </sheetData>
  <mergeCells count="1">
    <mergeCell ref="AJ1:AN1"/>
  </mergeCells>
  <phoneticPr fontId="2" type="noConversion"/>
  <conditionalFormatting sqref="AV4:AV6">
    <cfRule type="expression" dxfId="18997" priority="244">
      <formula>AV4="X"</formula>
    </cfRule>
    <cfRule type="expression" dxfId="18996" priority="245">
      <formula>AV4="후보"</formula>
    </cfRule>
  </conditionalFormatting>
  <conditionalFormatting sqref="AC1:AC2 AC4:AC6 N4:N5">
    <cfRule type="cellIs" dxfId="18995" priority="241" operator="greaterThan">
      <formula>0.9</formula>
    </cfRule>
    <cfRule type="cellIs" dxfId="18994" priority="242" operator="greaterThan">
      <formula>0.85</formula>
    </cfRule>
  </conditionalFormatting>
  <conditionalFormatting sqref="N1:N2">
    <cfRule type="cellIs" dxfId="18993" priority="239" operator="greaterThan">
      <formula>0.9</formula>
    </cfRule>
    <cfRule type="cellIs" dxfId="18992" priority="240" operator="greaterThan">
      <formula>0.85</formula>
    </cfRule>
  </conditionalFormatting>
  <conditionalFormatting sqref="N6">
    <cfRule type="cellIs" dxfId="18991" priority="237" operator="greaterThan">
      <formula>0.9</formula>
    </cfRule>
    <cfRule type="cellIs" dxfId="18990" priority="238" operator="greaterThan">
      <formula>0.85</formula>
    </cfRule>
  </conditionalFormatting>
  <conditionalFormatting sqref="E6">
    <cfRule type="expression" dxfId="18989" priority="233">
      <formula>AND(IF(OR($Q6=1,$Q6=2),1,0),IF($X6&lt;=20,1,0))</formula>
    </cfRule>
    <cfRule type="expression" dxfId="18988" priority="234">
      <formula>AND(IF($Q6=2,1,0),IF($X6&lt;30,1,0))</formula>
    </cfRule>
    <cfRule type="expression" dxfId="18987" priority="235">
      <formula>AND(IF($Q6=3,1,0),IF($X6&lt;30,1,0))</formula>
    </cfRule>
    <cfRule type="expression" dxfId="18986" priority="236">
      <formula>AND(IF($Q6=3,1,IF($Q6=4,1,0)),IF($F6&lt;=85,1,0))</formula>
    </cfRule>
  </conditionalFormatting>
  <conditionalFormatting sqref="X6">
    <cfRule type="expression" dxfId="18985" priority="229">
      <formula>AND(IF(OR($Q6=1,$Q6=2),1,0),IF($X6&lt;=20,1,0))</formula>
    </cfRule>
    <cfRule type="expression" dxfId="18984" priority="230">
      <formula>AND(IF($Q6=2,1,0),IF($X6&lt;30,1,0))</formula>
    </cfRule>
    <cfRule type="expression" dxfId="18983" priority="231">
      <formula>AND(IF($Q6=3,1,0),IF($X6&lt;30,1,0))</formula>
    </cfRule>
    <cfRule type="expression" dxfId="18982" priority="232">
      <formula>AND(IF($Q6=3,1,IF($Q6=4,1,0)),IF($F6&lt;=85,1,0))</formula>
    </cfRule>
  </conditionalFormatting>
  <conditionalFormatting sqref="AI6">
    <cfRule type="expression" dxfId="18981" priority="225">
      <formula>AND(IF(OR($Q6=1,$Q6=2),1,0),IF($X6&lt;=20,1,0))</formula>
    </cfRule>
    <cfRule type="expression" dxfId="18980" priority="226">
      <formula>AND(IF($Q6=2,1,0),IF($X6&lt;30,1,0))</formula>
    </cfRule>
    <cfRule type="expression" dxfId="18979" priority="227">
      <formula>AND(IF($Q6=3,1,0),IF($X6&lt;30,1,0))</formula>
    </cfRule>
    <cfRule type="expression" dxfId="18978" priority="228">
      <formula>AND(IF($Q6=3,1,IF($Q6=4,1,0)),IF($F6&lt;=85,1,0))</formula>
    </cfRule>
  </conditionalFormatting>
  <conditionalFormatting sqref="AV7">
    <cfRule type="expression" dxfId="18977" priority="223">
      <formula>AV7="X"</formula>
    </cfRule>
    <cfRule type="expression" dxfId="18976" priority="224">
      <formula>AV7="후보"</formula>
    </cfRule>
  </conditionalFormatting>
  <conditionalFormatting sqref="AC7">
    <cfRule type="cellIs" dxfId="18975" priority="220" operator="greaterThan">
      <formula>0.9</formula>
    </cfRule>
    <cfRule type="cellIs" dxfId="18974" priority="221" operator="greaterThan">
      <formula>0.85</formula>
    </cfRule>
  </conditionalFormatting>
  <conditionalFormatting sqref="N7">
    <cfRule type="cellIs" dxfId="18973" priority="218" operator="greaterThan">
      <formula>0.9</formula>
    </cfRule>
    <cfRule type="cellIs" dxfId="18972" priority="219" operator="greaterThan">
      <formula>0.85</formula>
    </cfRule>
  </conditionalFormatting>
  <conditionalFormatting sqref="E7">
    <cfRule type="expression" dxfId="18971" priority="214">
      <formula>AND(IF(OR($Q7=1,$Q7=2),1,0),IF($X7&lt;=20,1,0))</formula>
    </cfRule>
    <cfRule type="expression" dxfId="18970" priority="215">
      <formula>AND(IF($Q7=2,1,0),IF($X7&lt;30,1,0))</formula>
    </cfRule>
    <cfRule type="expression" dxfId="18969" priority="216">
      <formula>AND(IF($Q7=3,1,0),IF($X7&lt;30,1,0))</formula>
    </cfRule>
    <cfRule type="expression" dxfId="18968" priority="217">
      <formula>AND(IF($Q7=3,1,IF($Q7=4,1,0)),IF($F7&lt;=85,1,0))</formula>
    </cfRule>
  </conditionalFormatting>
  <conditionalFormatting sqref="X7">
    <cfRule type="expression" dxfId="18967" priority="210">
      <formula>AND(IF(OR($Q7=1,$Q7=2),1,0),IF($X7&lt;=20,1,0))</formula>
    </cfRule>
    <cfRule type="expression" dxfId="18966" priority="211">
      <formula>AND(IF($Q7=2,1,0),IF($X7&lt;30,1,0))</formula>
    </cfRule>
    <cfRule type="expression" dxfId="18965" priority="212">
      <formula>AND(IF($Q7=3,1,0),IF($X7&lt;30,1,0))</formula>
    </cfRule>
    <cfRule type="expression" dxfId="18964" priority="213">
      <formula>AND(IF($Q7=3,1,IF($Q7=4,1,0)),IF($F7&lt;=85,1,0))</formula>
    </cfRule>
  </conditionalFormatting>
  <conditionalFormatting sqref="AI7">
    <cfRule type="expression" dxfId="18963" priority="206">
      <formula>AND(IF(OR($Q7=1,$Q7=2),1,0),IF($X7&lt;=20,1,0))</formula>
    </cfRule>
    <cfRule type="expression" dxfId="18962" priority="207">
      <formula>AND(IF($Q7=2,1,0),IF($X7&lt;30,1,0))</formula>
    </cfRule>
    <cfRule type="expression" dxfId="18961" priority="208">
      <formula>AND(IF($Q7=3,1,0),IF($X7&lt;30,1,0))</formula>
    </cfRule>
    <cfRule type="expression" dxfId="18960" priority="209">
      <formula>AND(IF($Q7=3,1,IF($Q7=4,1,0)),IF($F7&lt;=85,1,0))</formula>
    </cfRule>
  </conditionalFormatting>
  <conditionalFormatting sqref="AV8">
    <cfRule type="expression" dxfId="18959" priority="204">
      <formula>AV8="X"</formula>
    </cfRule>
    <cfRule type="expression" dxfId="18958" priority="205">
      <formula>AV8="후보"</formula>
    </cfRule>
  </conditionalFormatting>
  <conditionalFormatting sqref="AC8">
    <cfRule type="cellIs" dxfId="18957" priority="201" operator="greaterThan">
      <formula>0.9</formula>
    </cfRule>
    <cfRule type="cellIs" dxfId="18956" priority="202" operator="greaterThan">
      <formula>0.85</formula>
    </cfRule>
  </conditionalFormatting>
  <conditionalFormatting sqref="N8">
    <cfRule type="cellIs" dxfId="18955" priority="199" operator="greaterThan">
      <formula>0.9</formula>
    </cfRule>
    <cfRule type="cellIs" dxfId="18954" priority="200" operator="greaterThan">
      <formula>0.85</formula>
    </cfRule>
  </conditionalFormatting>
  <conditionalFormatting sqref="E8">
    <cfRule type="expression" dxfId="18953" priority="195">
      <formula>AND(IF(OR($Q8=1,$Q8=2),1,0),IF($X8&lt;=20,1,0))</formula>
    </cfRule>
    <cfRule type="expression" dxfId="18952" priority="196">
      <formula>AND(IF($Q8=2,1,0),IF($X8&lt;30,1,0))</formula>
    </cfRule>
    <cfRule type="expression" dxfId="18951" priority="197">
      <formula>AND(IF($Q8=3,1,0),IF($X8&lt;30,1,0))</formula>
    </cfRule>
    <cfRule type="expression" dxfId="18950" priority="198">
      <formula>AND(IF($Q8=3,1,IF($Q8=4,1,0)),IF($F8&lt;=85,1,0))</formula>
    </cfRule>
  </conditionalFormatting>
  <conditionalFormatting sqref="X8">
    <cfRule type="expression" dxfId="18949" priority="191">
      <formula>AND(IF(OR($Q8=1,$Q8=2),1,0),IF($X8&lt;=20,1,0))</formula>
    </cfRule>
    <cfRule type="expression" dxfId="18948" priority="192">
      <formula>AND(IF($Q8=2,1,0),IF($X8&lt;30,1,0))</formula>
    </cfRule>
    <cfRule type="expression" dxfId="18947" priority="193">
      <formula>AND(IF($Q8=3,1,0),IF($X8&lt;30,1,0))</formula>
    </cfRule>
    <cfRule type="expression" dxfId="18946" priority="194">
      <formula>AND(IF($Q8=3,1,IF($Q8=4,1,0)),IF($F8&lt;=85,1,0))</formula>
    </cfRule>
  </conditionalFormatting>
  <conditionalFormatting sqref="AI8">
    <cfRule type="expression" dxfId="18945" priority="187">
      <formula>AND(IF(OR($Q8=1,$Q8=2),1,0),IF($X8&lt;=20,1,0))</formula>
    </cfRule>
    <cfRule type="expression" dxfId="18944" priority="188">
      <formula>AND(IF($Q8=2,1,0),IF($X8&lt;30,1,0))</formula>
    </cfRule>
    <cfRule type="expression" dxfId="18943" priority="189">
      <formula>AND(IF($Q8=3,1,0),IF($X8&lt;30,1,0))</formula>
    </cfRule>
    <cfRule type="expression" dxfId="18942" priority="190">
      <formula>AND(IF($Q8=3,1,IF($Q8=4,1,0)),IF($F8&lt;=85,1,0))</formula>
    </cfRule>
  </conditionalFormatting>
  <conditionalFormatting sqref="AV9">
    <cfRule type="expression" dxfId="18941" priority="185">
      <formula>AV9="X"</formula>
    </cfRule>
    <cfRule type="expression" dxfId="18940" priority="186">
      <formula>AV9="후보"</formula>
    </cfRule>
  </conditionalFormatting>
  <conditionalFormatting sqref="AC9">
    <cfRule type="cellIs" dxfId="18939" priority="182" operator="greaterThan">
      <formula>0.9</formula>
    </cfRule>
    <cfRule type="cellIs" dxfId="18938" priority="183" operator="greaterThan">
      <formula>0.85</formula>
    </cfRule>
  </conditionalFormatting>
  <conditionalFormatting sqref="N9">
    <cfRule type="cellIs" dxfId="18937" priority="180" operator="greaterThan">
      <formula>0.9</formula>
    </cfRule>
    <cfRule type="cellIs" dxfId="18936" priority="181" operator="greaterThan">
      <formula>0.85</formula>
    </cfRule>
  </conditionalFormatting>
  <conditionalFormatting sqref="E9">
    <cfRule type="expression" dxfId="18935" priority="176">
      <formula>AND(IF(OR($Q9=1,$Q9=2),1,0),IF($X9&lt;=20,1,0))</formula>
    </cfRule>
    <cfRule type="expression" dxfId="18934" priority="177">
      <formula>AND(IF($Q9=2,1,0),IF($X9&lt;30,1,0))</formula>
    </cfRule>
    <cfRule type="expression" dxfId="18933" priority="178">
      <formula>AND(IF($Q9=3,1,0),IF($X9&lt;30,1,0))</formula>
    </cfRule>
    <cfRule type="expression" dxfId="18932" priority="179">
      <formula>AND(IF($Q9=3,1,IF($Q9=4,1,0)),IF($F9&lt;=85,1,0))</formula>
    </cfRule>
  </conditionalFormatting>
  <conditionalFormatting sqref="X9">
    <cfRule type="expression" dxfId="18931" priority="172">
      <formula>AND(IF(OR($Q9=1,$Q9=2),1,0),IF($X9&lt;=20,1,0))</formula>
    </cfRule>
    <cfRule type="expression" dxfId="18930" priority="173">
      <formula>AND(IF($Q9=2,1,0),IF($X9&lt;30,1,0))</formula>
    </cfRule>
    <cfRule type="expression" dxfId="18929" priority="174">
      <formula>AND(IF($Q9=3,1,0),IF($X9&lt;30,1,0))</formula>
    </cfRule>
    <cfRule type="expression" dxfId="18928" priority="175">
      <formula>AND(IF($Q9=3,1,IF($Q9=4,1,0)),IF($F9&lt;=85,1,0))</formula>
    </cfRule>
  </conditionalFormatting>
  <conditionalFormatting sqref="AI9">
    <cfRule type="expression" dxfId="18927" priority="168">
      <formula>AND(IF(OR($Q9=1,$Q9=2),1,0),IF($X9&lt;=20,1,0))</formula>
    </cfRule>
    <cfRule type="expression" dxfId="18926" priority="169">
      <formula>AND(IF($Q9=2,1,0),IF($X9&lt;30,1,0))</formula>
    </cfRule>
    <cfRule type="expression" dxfId="18925" priority="170">
      <formula>AND(IF($Q9=3,1,0),IF($X9&lt;30,1,0))</formula>
    </cfRule>
    <cfRule type="expression" dxfId="18924" priority="171">
      <formula>AND(IF($Q9=3,1,IF($Q9=4,1,0)),IF($F9&lt;=85,1,0))</formula>
    </cfRule>
  </conditionalFormatting>
  <conditionalFormatting sqref="AV10">
    <cfRule type="expression" dxfId="18923" priority="166">
      <formula>AV10="X"</formula>
    </cfRule>
    <cfRule type="expression" dxfId="18922" priority="167">
      <formula>AV10="후보"</formula>
    </cfRule>
  </conditionalFormatting>
  <conditionalFormatting sqref="AC10 N10">
    <cfRule type="cellIs" dxfId="18921" priority="163" operator="greaterThan">
      <formula>0.9</formula>
    </cfRule>
    <cfRule type="cellIs" dxfId="18920" priority="164" operator="greaterThan">
      <formula>0.85</formula>
    </cfRule>
  </conditionalFormatting>
  <conditionalFormatting sqref="AV11">
    <cfRule type="expression" dxfId="18919" priority="161">
      <formula>AV11="X"</formula>
    </cfRule>
    <cfRule type="expression" dxfId="18918" priority="162">
      <formula>AV11="후보"</formula>
    </cfRule>
  </conditionalFormatting>
  <conditionalFormatting sqref="AC11">
    <cfRule type="cellIs" dxfId="18917" priority="158" operator="greaterThan">
      <formula>0.9</formula>
    </cfRule>
    <cfRule type="cellIs" dxfId="18916" priority="159" operator="greaterThan">
      <formula>0.85</formula>
    </cfRule>
  </conditionalFormatting>
  <conditionalFormatting sqref="N11">
    <cfRule type="cellIs" dxfId="18915" priority="156" operator="greaterThan">
      <formula>0.9</formula>
    </cfRule>
    <cfRule type="cellIs" dxfId="18914" priority="157" operator="greaterThan">
      <formula>0.85</formula>
    </cfRule>
  </conditionalFormatting>
  <conditionalFormatting sqref="E11">
    <cfRule type="expression" dxfId="18913" priority="152">
      <formula>AND(IF(OR($Q11=1,$Q11=2),1,0),IF($X11&lt;=20,1,0))</formula>
    </cfRule>
    <cfRule type="expression" dxfId="18912" priority="153">
      <formula>AND(IF($Q11=2,1,0),IF($X11&lt;30,1,0))</formula>
    </cfRule>
    <cfRule type="expression" dxfId="18911" priority="154">
      <formula>AND(IF($Q11=3,1,0),IF($X11&lt;30,1,0))</formula>
    </cfRule>
    <cfRule type="expression" dxfId="18910" priority="155">
      <formula>AND(IF($Q11=3,1,IF($Q11=4,1,0)),IF($F11&lt;=85,1,0))</formula>
    </cfRule>
  </conditionalFormatting>
  <conditionalFormatting sqref="X11">
    <cfRule type="expression" dxfId="18909" priority="148">
      <formula>AND(IF(OR($Q11=1,$Q11=2),1,0),IF($X11&lt;=20,1,0))</formula>
    </cfRule>
    <cfRule type="expression" dxfId="18908" priority="149">
      <formula>AND(IF($Q11=2,1,0),IF($X11&lt;30,1,0))</formula>
    </cfRule>
    <cfRule type="expression" dxfId="18907" priority="150">
      <formula>AND(IF($Q11=3,1,0),IF($X11&lt;30,1,0))</formula>
    </cfRule>
    <cfRule type="expression" dxfId="18906" priority="151">
      <formula>AND(IF($Q11=3,1,IF($Q11=4,1,0)),IF($F11&lt;=85,1,0))</formula>
    </cfRule>
  </conditionalFormatting>
  <conditionalFormatting sqref="AI11">
    <cfRule type="expression" dxfId="18905" priority="144">
      <formula>AND(IF(OR($Q11=1,$Q11=2),1,0),IF($X11&lt;=20,1,0))</formula>
    </cfRule>
    <cfRule type="expression" dxfId="18904" priority="145">
      <formula>AND(IF($Q11=2,1,0),IF($X11&lt;30,1,0))</formula>
    </cfRule>
    <cfRule type="expression" dxfId="18903" priority="146">
      <formula>AND(IF($Q11=3,1,0),IF($X11&lt;30,1,0))</formula>
    </cfRule>
    <cfRule type="expression" dxfId="18902" priority="147">
      <formula>AND(IF($Q11=3,1,IF($Q11=4,1,0)),IF($F11&lt;=85,1,0))</formula>
    </cfRule>
  </conditionalFormatting>
  <conditionalFormatting sqref="AV12">
    <cfRule type="expression" dxfId="18901" priority="142">
      <formula>AV12="X"</formula>
    </cfRule>
    <cfRule type="expression" dxfId="18900" priority="143">
      <formula>AV12="후보"</formula>
    </cfRule>
  </conditionalFormatting>
  <conditionalFormatting sqref="AC12">
    <cfRule type="cellIs" dxfId="18899" priority="139" operator="greaterThan">
      <formula>0.9</formula>
    </cfRule>
    <cfRule type="cellIs" dxfId="18898" priority="140" operator="greaterThan">
      <formula>0.85</formula>
    </cfRule>
  </conditionalFormatting>
  <conditionalFormatting sqref="N12">
    <cfRule type="cellIs" dxfId="18897" priority="137" operator="greaterThan">
      <formula>0.9</formula>
    </cfRule>
    <cfRule type="cellIs" dxfId="18896" priority="138" operator="greaterThan">
      <formula>0.85</formula>
    </cfRule>
  </conditionalFormatting>
  <conditionalFormatting sqref="E12">
    <cfRule type="expression" dxfId="18895" priority="133">
      <formula>AND(IF(OR($Q12=1,$Q12=2),1,0),IF($X12&lt;=20,1,0))</formula>
    </cfRule>
    <cfRule type="expression" dxfId="18894" priority="134">
      <formula>AND(IF($Q12=2,1,0),IF($X12&lt;30,1,0))</formula>
    </cfRule>
    <cfRule type="expression" dxfId="18893" priority="135">
      <formula>AND(IF($Q12=3,1,0),IF($X12&lt;30,1,0))</formula>
    </cfRule>
    <cfRule type="expression" dxfId="18892" priority="136">
      <formula>AND(IF($Q12=3,1,IF($Q12=4,1,0)),IF($F12&lt;=85,1,0))</formula>
    </cfRule>
  </conditionalFormatting>
  <conditionalFormatting sqref="X12">
    <cfRule type="expression" dxfId="18891" priority="129">
      <formula>AND(IF(OR($Q12=1,$Q12=2),1,0),IF($X12&lt;=20,1,0))</formula>
    </cfRule>
    <cfRule type="expression" dxfId="18890" priority="130">
      <formula>AND(IF($Q12=2,1,0),IF($X12&lt;30,1,0))</formula>
    </cfRule>
    <cfRule type="expression" dxfId="18889" priority="131">
      <formula>AND(IF($Q12=3,1,0),IF($X12&lt;30,1,0))</formula>
    </cfRule>
    <cfRule type="expression" dxfId="18888" priority="132">
      <formula>AND(IF($Q12=3,1,IF($Q12=4,1,0)),IF($F12&lt;=85,1,0))</formula>
    </cfRule>
  </conditionalFormatting>
  <conditionalFormatting sqref="AI12">
    <cfRule type="expression" dxfId="18887" priority="125">
      <formula>AND(IF(OR($Q12=1,$Q12=2),1,0),IF($X12&lt;=20,1,0))</formula>
    </cfRule>
    <cfRule type="expression" dxfId="18886" priority="126">
      <formula>AND(IF($Q12=2,1,0),IF($X12&lt;30,1,0))</formula>
    </cfRule>
    <cfRule type="expression" dxfId="18885" priority="127">
      <formula>AND(IF($Q12=3,1,0),IF($X12&lt;30,1,0))</formula>
    </cfRule>
    <cfRule type="expression" dxfId="18884" priority="128">
      <formula>AND(IF($Q12=3,1,IF($Q12=4,1,0)),IF($F12&lt;=85,1,0))</formula>
    </cfRule>
  </conditionalFormatting>
  <conditionalFormatting sqref="AV13">
    <cfRule type="expression" dxfId="18883" priority="123">
      <formula>AV13="X"</formula>
    </cfRule>
    <cfRule type="expression" dxfId="18882" priority="124">
      <formula>AV13="후보"</formula>
    </cfRule>
  </conditionalFormatting>
  <conditionalFormatting sqref="AC13">
    <cfRule type="cellIs" dxfId="18881" priority="120" operator="greaterThan">
      <formula>0.9</formula>
    </cfRule>
    <cfRule type="cellIs" dxfId="18880" priority="121" operator="greaterThan">
      <formula>0.85</formula>
    </cfRule>
  </conditionalFormatting>
  <conditionalFormatting sqref="N13">
    <cfRule type="cellIs" dxfId="18879" priority="118" operator="greaterThan">
      <formula>0.9</formula>
    </cfRule>
    <cfRule type="cellIs" dxfId="18878" priority="119" operator="greaterThan">
      <formula>0.85</formula>
    </cfRule>
  </conditionalFormatting>
  <conditionalFormatting sqref="E13">
    <cfRule type="expression" dxfId="18877" priority="114">
      <formula>AND(IF(OR($Q13=1,$Q13=2),1,0),IF($X13&lt;=20,1,0))</formula>
    </cfRule>
    <cfRule type="expression" dxfId="18876" priority="115">
      <formula>AND(IF($Q13=2,1,0),IF($X13&lt;30,1,0))</formula>
    </cfRule>
    <cfRule type="expression" dxfId="18875" priority="116">
      <formula>AND(IF($Q13=3,1,0),IF($X13&lt;30,1,0))</formula>
    </cfRule>
    <cfRule type="expression" dxfId="18874" priority="117">
      <formula>AND(IF($Q13=3,1,IF($Q13=4,1,0)),IF($F13&lt;=85,1,0))</formula>
    </cfRule>
  </conditionalFormatting>
  <conditionalFormatting sqref="X13">
    <cfRule type="expression" dxfId="18873" priority="110">
      <formula>AND(IF(OR($Q13=1,$Q13=2),1,0),IF($X13&lt;=20,1,0))</formula>
    </cfRule>
    <cfRule type="expression" dxfId="18872" priority="111">
      <formula>AND(IF($Q13=2,1,0),IF($X13&lt;30,1,0))</formula>
    </cfRule>
    <cfRule type="expression" dxfId="18871" priority="112">
      <formula>AND(IF($Q13=3,1,0),IF($X13&lt;30,1,0))</formula>
    </cfRule>
    <cfRule type="expression" dxfId="18870" priority="113">
      <formula>AND(IF($Q13=3,1,IF($Q13=4,1,0)),IF($F13&lt;=85,1,0))</formula>
    </cfRule>
  </conditionalFormatting>
  <conditionalFormatting sqref="AI13">
    <cfRule type="expression" dxfId="18869" priority="106">
      <formula>AND(IF(OR($Q13=1,$Q13=2),1,0),IF($X13&lt;=20,1,0))</formula>
    </cfRule>
    <cfRule type="expression" dxfId="18868" priority="107">
      <formula>AND(IF($Q13=2,1,0),IF($X13&lt;30,1,0))</formula>
    </cfRule>
    <cfRule type="expression" dxfId="18867" priority="108">
      <formula>AND(IF($Q13=3,1,0),IF($X13&lt;30,1,0))</formula>
    </cfRule>
    <cfRule type="expression" dxfId="18866" priority="109">
      <formula>AND(IF($Q13=3,1,IF($Q13=4,1,0)),IF($F13&lt;=85,1,0))</formula>
    </cfRule>
  </conditionalFormatting>
  <conditionalFormatting sqref="AV14">
    <cfRule type="expression" dxfId="18865" priority="104">
      <formula>AV14="X"</formula>
    </cfRule>
    <cfRule type="expression" dxfId="18864" priority="105">
      <formula>AV14="후보"</formula>
    </cfRule>
  </conditionalFormatting>
  <conditionalFormatting sqref="AC14">
    <cfRule type="cellIs" dxfId="18863" priority="101" operator="greaterThan">
      <formula>0.9</formula>
    </cfRule>
    <cfRule type="cellIs" dxfId="18862" priority="102" operator="greaterThan">
      <formula>0.85</formula>
    </cfRule>
  </conditionalFormatting>
  <conditionalFormatting sqref="N14">
    <cfRule type="cellIs" dxfId="18861" priority="99" operator="greaterThan">
      <formula>0.9</formula>
    </cfRule>
    <cfRule type="cellIs" dxfId="18860" priority="100" operator="greaterThan">
      <formula>0.85</formula>
    </cfRule>
  </conditionalFormatting>
  <conditionalFormatting sqref="E14">
    <cfRule type="expression" dxfId="18859" priority="95">
      <formula>AND(IF(OR($Q14=1,$Q14=2),1,0),IF($X14&lt;=20,1,0))</formula>
    </cfRule>
    <cfRule type="expression" dxfId="18858" priority="96">
      <formula>AND(IF($Q14=2,1,0),IF($X14&lt;30,1,0))</formula>
    </cfRule>
    <cfRule type="expression" dxfId="18857" priority="97">
      <formula>AND(IF($Q14=3,1,0),IF($X14&lt;30,1,0))</formula>
    </cfRule>
    <cfRule type="expression" dxfId="18856" priority="98">
      <formula>AND(IF($Q14=3,1,IF($Q14=4,1,0)),IF($F14&lt;=85,1,0))</formula>
    </cfRule>
  </conditionalFormatting>
  <conditionalFormatting sqref="X14">
    <cfRule type="expression" dxfId="18855" priority="91">
      <formula>AND(IF(OR($Q14=1,$Q14=2),1,0),IF($X14&lt;=20,1,0))</formula>
    </cfRule>
    <cfRule type="expression" dxfId="18854" priority="92">
      <formula>AND(IF($Q14=2,1,0),IF($X14&lt;30,1,0))</formula>
    </cfRule>
    <cfRule type="expression" dxfId="18853" priority="93">
      <formula>AND(IF($Q14=3,1,0),IF($X14&lt;30,1,0))</formula>
    </cfRule>
    <cfRule type="expression" dxfId="18852" priority="94">
      <formula>AND(IF($Q14=3,1,IF($Q14=4,1,0)),IF($F14&lt;=85,1,0))</formula>
    </cfRule>
  </conditionalFormatting>
  <conditionalFormatting sqref="AI14">
    <cfRule type="expression" dxfId="18851" priority="87">
      <formula>AND(IF(OR($Q14=1,$Q14=2),1,0),IF($X14&lt;=20,1,0))</formula>
    </cfRule>
    <cfRule type="expression" dxfId="18850" priority="88">
      <formula>AND(IF($Q14=2,1,0),IF($X14&lt;30,1,0))</formula>
    </cfRule>
    <cfRule type="expression" dxfId="18849" priority="89">
      <formula>AND(IF($Q14=3,1,0),IF($X14&lt;30,1,0))</formula>
    </cfRule>
    <cfRule type="expression" dxfId="18848" priority="90">
      <formula>AND(IF($Q14=3,1,IF($Q14=4,1,0)),IF($F14&lt;=85,1,0))</formula>
    </cfRule>
  </conditionalFormatting>
  <conditionalFormatting sqref="AV15">
    <cfRule type="expression" dxfId="18847" priority="85">
      <formula>AV15="X"</formula>
    </cfRule>
    <cfRule type="expression" dxfId="18846" priority="86">
      <formula>AV15="후보"</formula>
    </cfRule>
  </conditionalFormatting>
  <conditionalFormatting sqref="AC15 N15">
    <cfRule type="cellIs" dxfId="18845" priority="82" operator="greaterThan">
      <formula>0.9</formula>
    </cfRule>
    <cfRule type="cellIs" dxfId="18844" priority="83" operator="greaterThan">
      <formula>0.85</formula>
    </cfRule>
  </conditionalFormatting>
  <conditionalFormatting sqref="AV16">
    <cfRule type="expression" dxfId="18843" priority="80">
      <formula>AV16="X"</formula>
    </cfRule>
    <cfRule type="expression" dxfId="18842" priority="81">
      <formula>AV16="후보"</formula>
    </cfRule>
  </conditionalFormatting>
  <conditionalFormatting sqref="AC16">
    <cfRule type="cellIs" dxfId="18841" priority="77" operator="greaterThan">
      <formula>0.9</formula>
    </cfRule>
    <cfRule type="cellIs" dxfId="18840" priority="78" operator="greaterThan">
      <formula>0.85</formula>
    </cfRule>
  </conditionalFormatting>
  <conditionalFormatting sqref="N16">
    <cfRule type="cellIs" dxfId="18839" priority="75" operator="greaterThan">
      <formula>0.9</formula>
    </cfRule>
    <cfRule type="cellIs" dxfId="18838" priority="76" operator="greaterThan">
      <formula>0.85</formula>
    </cfRule>
  </conditionalFormatting>
  <conditionalFormatting sqref="E16">
    <cfRule type="expression" dxfId="18837" priority="71">
      <formula>AND(IF(OR($Q16=1,$Q16=2),1,0),IF($X16&lt;=20,1,0))</formula>
    </cfRule>
    <cfRule type="expression" dxfId="18836" priority="72">
      <formula>AND(IF($Q16=2,1,0),IF($X16&lt;30,1,0))</formula>
    </cfRule>
    <cfRule type="expression" dxfId="18835" priority="73">
      <formula>AND(IF($Q16=3,1,0),IF($X16&lt;30,1,0))</formula>
    </cfRule>
    <cfRule type="expression" dxfId="18834" priority="74">
      <formula>AND(IF($Q16=3,1,IF($Q16=4,1,0)),IF($F16&lt;=85,1,0))</formula>
    </cfRule>
  </conditionalFormatting>
  <conditionalFormatting sqref="X16">
    <cfRule type="expression" dxfId="18833" priority="67">
      <formula>AND(IF(OR($Q16=1,$Q16=2),1,0),IF($X16&lt;=20,1,0))</formula>
    </cfRule>
    <cfRule type="expression" dxfId="18832" priority="68">
      <formula>AND(IF($Q16=2,1,0),IF($X16&lt;30,1,0))</formula>
    </cfRule>
    <cfRule type="expression" dxfId="18831" priority="69">
      <formula>AND(IF($Q16=3,1,0),IF($X16&lt;30,1,0))</formula>
    </cfRule>
    <cfRule type="expression" dxfId="18830" priority="70">
      <formula>AND(IF($Q16=3,1,IF($Q16=4,1,0)),IF($F16&lt;=85,1,0))</formula>
    </cfRule>
  </conditionalFormatting>
  <conditionalFormatting sqref="AI16">
    <cfRule type="expression" dxfId="18829" priority="63">
      <formula>AND(IF(OR($Q16=1,$Q16=2),1,0),IF($X16&lt;=20,1,0))</formula>
    </cfRule>
    <cfRule type="expression" dxfId="18828" priority="64">
      <formula>AND(IF($Q16=2,1,0),IF($X16&lt;30,1,0))</formula>
    </cfRule>
    <cfRule type="expression" dxfId="18827" priority="65">
      <formula>AND(IF($Q16=3,1,0),IF($X16&lt;30,1,0))</formula>
    </cfRule>
    <cfRule type="expression" dxfId="18826" priority="66">
      <formula>AND(IF($Q16=3,1,IF($Q16=4,1,0)),IF($F16&lt;=85,1,0))</formula>
    </cfRule>
  </conditionalFormatting>
  <conditionalFormatting sqref="AV17">
    <cfRule type="expression" dxfId="18825" priority="61">
      <formula>AV17="X"</formula>
    </cfRule>
    <cfRule type="expression" dxfId="18824" priority="62">
      <formula>AV17="후보"</formula>
    </cfRule>
  </conditionalFormatting>
  <conditionalFormatting sqref="AC17">
    <cfRule type="cellIs" dxfId="18823" priority="58" operator="greaterThan">
      <formula>0.9</formula>
    </cfRule>
    <cfRule type="cellIs" dxfId="18822" priority="59" operator="greaterThan">
      <formula>0.85</formula>
    </cfRule>
  </conditionalFormatting>
  <conditionalFormatting sqref="N17">
    <cfRule type="cellIs" dxfId="18821" priority="56" operator="greaterThan">
      <formula>0.9</formula>
    </cfRule>
    <cfRule type="cellIs" dxfId="18820" priority="57" operator="greaterThan">
      <formula>0.85</formula>
    </cfRule>
  </conditionalFormatting>
  <conditionalFormatting sqref="E17">
    <cfRule type="expression" dxfId="18819" priority="52">
      <formula>AND(IF(OR($Q17=1,$Q17=2),1,0),IF($X17&lt;=20,1,0))</formula>
    </cfRule>
    <cfRule type="expression" dxfId="18818" priority="53">
      <formula>AND(IF($Q17=2,1,0),IF($X17&lt;30,1,0))</formula>
    </cfRule>
    <cfRule type="expression" dxfId="18817" priority="54">
      <formula>AND(IF($Q17=3,1,0),IF($X17&lt;30,1,0))</formula>
    </cfRule>
    <cfRule type="expression" dxfId="18816" priority="55">
      <formula>AND(IF($Q17=3,1,IF($Q17=4,1,0)),IF($F17&lt;=85,1,0))</formula>
    </cfRule>
  </conditionalFormatting>
  <conditionalFormatting sqref="X17">
    <cfRule type="expression" dxfId="18815" priority="48">
      <formula>AND(IF(OR($Q17=1,$Q17=2),1,0),IF($X17&lt;=20,1,0))</formula>
    </cfRule>
    <cfRule type="expression" dxfId="18814" priority="49">
      <formula>AND(IF($Q17=2,1,0),IF($X17&lt;30,1,0))</formula>
    </cfRule>
    <cfRule type="expression" dxfId="18813" priority="50">
      <formula>AND(IF($Q17=3,1,0),IF($X17&lt;30,1,0))</formula>
    </cfRule>
    <cfRule type="expression" dxfId="18812" priority="51">
      <formula>AND(IF($Q17=3,1,IF($Q17=4,1,0)),IF($F17&lt;=85,1,0))</formula>
    </cfRule>
  </conditionalFormatting>
  <conditionalFormatting sqref="AI17">
    <cfRule type="expression" dxfId="18811" priority="44">
      <formula>AND(IF(OR($Q17=1,$Q17=2),1,0),IF($X17&lt;=20,1,0))</formula>
    </cfRule>
    <cfRule type="expression" dxfId="18810" priority="45">
      <formula>AND(IF($Q17=2,1,0),IF($X17&lt;30,1,0))</formula>
    </cfRule>
    <cfRule type="expression" dxfId="18809" priority="46">
      <formula>AND(IF($Q17=3,1,0),IF($X17&lt;30,1,0))</formula>
    </cfRule>
    <cfRule type="expression" dxfId="18808" priority="47">
      <formula>AND(IF($Q17=3,1,IF($Q17=4,1,0)),IF($F17&lt;=85,1,0))</formula>
    </cfRule>
  </conditionalFormatting>
  <conditionalFormatting sqref="AV18">
    <cfRule type="expression" dxfId="18807" priority="42">
      <formula>AV18="X"</formula>
    </cfRule>
    <cfRule type="expression" dxfId="18806" priority="43">
      <formula>AV18="후보"</formula>
    </cfRule>
  </conditionalFormatting>
  <conditionalFormatting sqref="AC18 N18">
    <cfRule type="cellIs" dxfId="18805" priority="39" operator="greaterThan">
      <formula>0.9</formula>
    </cfRule>
    <cfRule type="cellIs" dxfId="18804" priority="40" operator="greaterThan">
      <formula>0.85</formula>
    </cfRule>
  </conditionalFormatting>
  <conditionalFormatting sqref="AV19">
    <cfRule type="expression" dxfId="18803" priority="37">
      <formula>AV19="X"</formula>
    </cfRule>
    <cfRule type="expression" dxfId="18802" priority="38">
      <formula>AV19="후보"</formula>
    </cfRule>
  </conditionalFormatting>
  <conditionalFormatting sqref="AC19">
    <cfRule type="cellIs" dxfId="18801" priority="34" operator="greaterThan">
      <formula>0.9</formula>
    </cfRule>
    <cfRule type="cellIs" dxfId="18800" priority="35" operator="greaterThan">
      <formula>0.85</formula>
    </cfRule>
  </conditionalFormatting>
  <conditionalFormatting sqref="N19">
    <cfRule type="cellIs" dxfId="18799" priority="32" operator="greaterThan">
      <formula>0.9</formula>
    </cfRule>
    <cfRule type="cellIs" dxfId="18798" priority="33" operator="greaterThan">
      <formula>0.85</formula>
    </cfRule>
  </conditionalFormatting>
  <conditionalFormatting sqref="E19">
    <cfRule type="expression" dxfId="18797" priority="28">
      <formula>AND(IF(OR($Q19=1,$Q19=2),1,0),IF($X19&lt;=20,1,0))</formula>
    </cfRule>
    <cfRule type="expression" dxfId="18796" priority="29">
      <formula>AND(IF($Q19=2,1,0),IF($X19&lt;30,1,0))</formula>
    </cfRule>
    <cfRule type="expression" dxfId="18795" priority="30">
      <formula>AND(IF($Q19=3,1,0),IF($X19&lt;30,1,0))</formula>
    </cfRule>
    <cfRule type="expression" dxfId="18794" priority="31">
      <formula>AND(IF($Q19=3,1,IF($Q19=4,1,0)),IF($F19&lt;=85,1,0))</formula>
    </cfRule>
  </conditionalFormatting>
  <conditionalFormatting sqref="X19">
    <cfRule type="expression" dxfId="18793" priority="24">
      <formula>AND(IF(OR($Q19=1,$Q19=2),1,0),IF($X19&lt;=20,1,0))</formula>
    </cfRule>
    <cfRule type="expression" dxfId="18792" priority="25">
      <formula>AND(IF($Q19=2,1,0),IF($X19&lt;30,1,0))</formula>
    </cfRule>
    <cfRule type="expression" dxfId="18791" priority="26">
      <formula>AND(IF($Q19=3,1,0),IF($X19&lt;30,1,0))</formula>
    </cfRule>
    <cfRule type="expression" dxfId="18790" priority="27">
      <formula>AND(IF($Q19=3,1,IF($Q19=4,1,0)),IF($F19&lt;=85,1,0))</formula>
    </cfRule>
  </conditionalFormatting>
  <conditionalFormatting sqref="AI19">
    <cfRule type="expression" dxfId="18789" priority="20">
      <formula>AND(IF(OR($Q19=1,$Q19=2),1,0),IF($X19&lt;=20,1,0))</formula>
    </cfRule>
    <cfRule type="expression" dxfId="18788" priority="21">
      <formula>AND(IF($Q19=2,1,0),IF($X19&lt;30,1,0))</formula>
    </cfRule>
    <cfRule type="expression" dxfId="18787" priority="22">
      <formula>AND(IF($Q19=3,1,0),IF($X19&lt;30,1,0))</formula>
    </cfRule>
    <cfRule type="expression" dxfId="18786" priority="23">
      <formula>AND(IF($Q19=3,1,IF($Q19=4,1,0)),IF($F19&lt;=85,1,0))</formula>
    </cfRule>
  </conditionalFormatting>
  <conditionalFormatting sqref="AV20">
    <cfRule type="expression" dxfId="18785" priority="18">
      <formula>AV20="X"</formula>
    </cfRule>
    <cfRule type="expression" dxfId="18784" priority="19">
      <formula>AV20="후보"</formula>
    </cfRule>
  </conditionalFormatting>
  <conditionalFormatting sqref="AC20">
    <cfRule type="cellIs" dxfId="18783" priority="15" operator="greaterThan">
      <formula>0.9</formula>
    </cfRule>
    <cfRule type="cellIs" dxfId="18782" priority="16" operator="greaterThan">
      <formula>0.85</formula>
    </cfRule>
  </conditionalFormatting>
  <conditionalFormatting sqref="N20">
    <cfRule type="cellIs" dxfId="18781" priority="13" operator="greaterThan">
      <formula>0.9</formula>
    </cfRule>
    <cfRule type="cellIs" dxfId="18780" priority="14" operator="greaterThan">
      <formula>0.85</formula>
    </cfRule>
  </conditionalFormatting>
  <conditionalFormatting sqref="E20">
    <cfRule type="expression" dxfId="18779" priority="9">
      <formula>AND(IF(OR($Q20=1,$Q20=2),1,0),IF($X20&lt;=20,1,0))</formula>
    </cfRule>
    <cfRule type="expression" dxfId="18778" priority="10">
      <formula>AND(IF($Q20=2,1,0),IF($X20&lt;30,1,0))</formula>
    </cfRule>
    <cfRule type="expression" dxfId="18777" priority="11">
      <formula>AND(IF($Q20=3,1,0),IF($X20&lt;30,1,0))</formula>
    </cfRule>
    <cfRule type="expression" dxfId="18776" priority="12">
      <formula>AND(IF($Q20=3,1,IF($Q20=4,1,0)),IF($F20&lt;=85,1,0))</formula>
    </cfRule>
  </conditionalFormatting>
  <conditionalFormatting sqref="X20">
    <cfRule type="expression" dxfId="18775" priority="5">
      <formula>AND(IF(OR($Q20=1,$Q20=2),1,0),IF($X20&lt;=20,1,0))</formula>
    </cfRule>
    <cfRule type="expression" dxfId="18774" priority="6">
      <formula>AND(IF($Q20=2,1,0),IF($X20&lt;30,1,0))</formula>
    </cfRule>
    <cfRule type="expression" dxfId="18773" priority="7">
      <formula>AND(IF($Q20=3,1,0),IF($X20&lt;30,1,0))</formula>
    </cfRule>
    <cfRule type="expression" dxfId="18772" priority="8">
      <formula>AND(IF($Q20=3,1,IF($Q20=4,1,0)),IF($F20&lt;=85,1,0))</formula>
    </cfRule>
  </conditionalFormatting>
  <conditionalFormatting sqref="AI20">
    <cfRule type="expression" dxfId="18771" priority="1">
      <formula>AND(IF(OR($Q20=1,$Q20=2),1,0),IF($X20&lt;=20,1,0))</formula>
    </cfRule>
    <cfRule type="expression" dxfId="18770" priority="2">
      <formula>AND(IF($Q20=2,1,0),IF($X20&lt;30,1,0))</formula>
    </cfRule>
    <cfRule type="expression" dxfId="18769" priority="3">
      <formula>AND(IF($Q20=3,1,0),IF($X20&lt;30,1,0))</formula>
    </cfRule>
    <cfRule type="expression" dxfId="18768" priority="4">
      <formula>AND(IF($Q20=3,1,IF($Q20=4,1,0)),IF($F20&lt;=85,1,0))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pageSetUpPr fitToPage="1"/>
  </sheetPr>
  <dimension ref="A1:AV7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75" sqref="A75:XFD75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5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0" width="9" style="37" customWidth="1"/>
    <col min="51" max="16384" width="9" style="37"/>
  </cols>
  <sheetData>
    <row r="1" spans="1:48" ht="17.25" customHeight="1" x14ac:dyDescent="0.3">
      <c r="A1" s="7" t="str">
        <f>단지추출!A1</f>
        <v>인천광역시 연수구</v>
      </c>
      <c r="I1" s="42" t="s">
        <v>1827</v>
      </c>
      <c r="X1" s="37" t="s">
        <v>5</v>
      </c>
      <c r="Y1" s="37"/>
      <c r="AA1" s="39">
        <f>단지추출!AA1</f>
        <v>70000</v>
      </c>
      <c r="AH1" s="7" t="str">
        <f>A1</f>
        <v>인천광역시 연수구</v>
      </c>
      <c r="AJ1" s="117" t="str">
        <f>A1&amp;" 전체 등급"</f>
        <v>인천광역시 연수구 전체 등급</v>
      </c>
      <c r="AK1" s="118"/>
      <c r="AL1" s="118"/>
      <c r="AM1" s="118"/>
      <c r="AN1" s="119"/>
      <c r="AO1" s="22">
        <f>단지추출!AO1</f>
        <v>80</v>
      </c>
      <c r="AP1" s="22">
        <f>단지추출!AP1</f>
        <v>50000</v>
      </c>
      <c r="AQ1" s="22">
        <f>단지추출!AQ1</f>
        <v>15000</v>
      </c>
      <c r="AR1" s="22">
        <f>단지추출!AR1</f>
        <v>5000</v>
      </c>
      <c r="AS1" s="2"/>
      <c r="AT1" s="2"/>
      <c r="AU1" s="22">
        <f>단지추출!AU1</f>
        <v>300</v>
      </c>
    </row>
    <row r="2" spans="1:48" x14ac:dyDescent="0.3">
      <c r="A2" s="80">
        <f>단지추출!A2</f>
        <v>44197</v>
      </c>
      <c r="W2" s="38"/>
      <c r="X2" s="38" t="s">
        <v>10</v>
      </c>
      <c r="Y2" s="38"/>
      <c r="AA2" s="39">
        <f>단지추출!AA2</f>
        <v>10000</v>
      </c>
      <c r="AH2" s="18" t="str">
        <f>AH1 &amp;" " &amp;A4</f>
        <v>인천광역시 연수구 서신동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4" t="s">
        <v>15</v>
      </c>
      <c r="AP2" s="65"/>
      <c r="AQ2" s="66"/>
      <c r="AR2" s="64" t="s">
        <v>16</v>
      </c>
      <c r="AS2" s="66"/>
      <c r="AT2" s="64" t="s">
        <v>17</v>
      </c>
      <c r="AU2" s="66"/>
      <c r="AV2" s="40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1828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106" t="s">
        <v>27</v>
      </c>
      <c r="Z3" s="12" t="s">
        <v>41</v>
      </c>
      <c r="AA3" s="12" t="s">
        <v>42</v>
      </c>
      <c r="AB3" s="12" t="s">
        <v>1828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34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(5억↓)</v>
      </c>
      <c r="AQ3" s="11" t="str">
        <f>"지역평단가
("&amp;AQ1&amp;"↓)"</f>
        <v>지역평단가
(15000↓)</v>
      </c>
      <c r="AR3" s="11" t="str">
        <f>"투자규모★
(갭"&amp;AR1/1000&amp;"천↓)"</f>
        <v>투자규모★
(갭5천↓)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1" t="s">
        <v>18</v>
      </c>
    </row>
    <row r="4" spans="1:48" x14ac:dyDescent="0.3">
      <c r="A4" s="8" t="s">
        <v>853</v>
      </c>
      <c r="B4" s="76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07"/>
      <c r="R4" s="107"/>
      <c r="S4" s="76"/>
      <c r="T4" s="5"/>
      <c r="U4" s="9"/>
      <c r="W4" s="9"/>
      <c r="X4" s="9"/>
      <c r="Y4" s="91"/>
      <c r="Z4" s="9"/>
      <c r="AA4" s="9"/>
      <c r="AB4" s="9"/>
      <c r="AC4" s="9"/>
      <c r="AD4" s="9"/>
      <c r="AE4" s="76"/>
      <c r="AF4" s="5"/>
      <c r="AH4" s="20"/>
      <c r="AI4" s="108" t="str">
        <f t="shared" si="0"/>
        <v/>
      </c>
      <c r="AJ4" s="76"/>
      <c r="AK4" s="76"/>
      <c r="AL4" s="76"/>
      <c r="AM4" s="76"/>
      <c r="AN4" s="76"/>
      <c r="AO4" s="76"/>
      <c r="AP4" s="76"/>
      <c r="AQ4" s="76"/>
      <c r="AR4" s="76"/>
      <c r="AS4" s="76"/>
      <c r="AT4" s="76"/>
      <c r="AU4" s="76"/>
      <c r="AV4" s="76"/>
    </row>
    <row r="5" spans="1:48" x14ac:dyDescent="0.3">
      <c r="A5" s="9"/>
      <c r="B5" s="76"/>
      <c r="C5" s="6"/>
      <c r="D5" s="9"/>
      <c r="E5" s="14"/>
      <c r="F5" s="85"/>
      <c r="G5" s="9"/>
      <c r="H5" s="9"/>
      <c r="I5" s="9"/>
      <c r="J5" s="9"/>
      <c r="K5" s="9"/>
      <c r="L5" s="9"/>
      <c r="M5" s="9"/>
      <c r="N5" s="9"/>
      <c r="O5" s="90"/>
      <c r="P5" s="90"/>
      <c r="Q5" s="86"/>
      <c r="R5" s="86"/>
      <c r="S5" s="9"/>
      <c r="T5" s="47"/>
      <c r="U5" s="9"/>
      <c r="W5" s="67" t="str">
        <f>$A$4&amp;" "&amp;A6&amp;"("&amp;B6&amp;","&amp;C6&amp;"^)"</f>
        <v>서신동 서신e-편한세상('07.01.,651^)</v>
      </c>
      <c r="X5" s="68"/>
      <c r="Y5" s="68"/>
      <c r="Z5" s="68"/>
      <c r="AA5" s="68"/>
      <c r="AB5" s="68"/>
      <c r="AC5" s="68"/>
      <c r="AD5" s="68"/>
      <c r="AE5" s="68"/>
      <c r="AF5" s="69"/>
      <c r="AH5" s="20" t="str">
        <f t="shared" ref="AH5:AH36" si="1">IF(A5="","",A5)</f>
        <v/>
      </c>
      <c r="AI5" s="108" t="str">
        <f t="shared" si="0"/>
        <v/>
      </c>
      <c r="AJ5" s="76"/>
      <c r="AK5" s="76"/>
      <c r="AL5" s="76"/>
      <c r="AM5" s="76"/>
      <c r="AN5" s="76"/>
      <c r="AO5" s="76"/>
      <c r="AP5" s="76"/>
      <c r="AQ5" s="76"/>
      <c r="AR5" s="76"/>
      <c r="AS5" s="76"/>
      <c r="AT5" s="76"/>
      <c r="AU5" s="76"/>
      <c r="AV5" s="76"/>
    </row>
    <row r="6" spans="1:48" x14ac:dyDescent="0.3">
      <c r="A6" s="9" t="s">
        <v>855</v>
      </c>
      <c r="B6" s="10" t="s">
        <v>1858</v>
      </c>
      <c r="C6" s="87">
        <v>651</v>
      </c>
      <c r="D6" s="85">
        <v>125.9</v>
      </c>
      <c r="E6" s="86">
        <v>38</v>
      </c>
      <c r="F6" s="85">
        <v>101.8</v>
      </c>
      <c r="G6" s="17">
        <v>31</v>
      </c>
      <c r="H6" s="87">
        <v>179</v>
      </c>
      <c r="I6" s="88">
        <v>47000</v>
      </c>
      <c r="J6" s="88" t="s">
        <v>84</v>
      </c>
      <c r="K6" s="88">
        <v>40000</v>
      </c>
      <c r="L6" s="88" t="s">
        <v>89</v>
      </c>
      <c r="M6" s="89">
        <f>I6-K6</f>
        <v>7000</v>
      </c>
      <c r="N6" s="4">
        <f>IF(ISERROR(K6/I6),"",K6/I6)</f>
        <v>0.85106382978723405</v>
      </c>
      <c r="O6" s="90">
        <f>I6/E6</f>
        <v>1236.8421052631579</v>
      </c>
      <c r="P6" s="90">
        <f>K6/E6</f>
        <v>1052.6315789473683</v>
      </c>
      <c r="Q6" s="76">
        <v>3</v>
      </c>
      <c r="R6" s="76">
        <v>2</v>
      </c>
      <c r="S6" s="76" t="s">
        <v>61</v>
      </c>
      <c r="T6" s="5">
        <v>125</v>
      </c>
      <c r="U6" s="9"/>
      <c r="W6" s="85">
        <f t="shared" ref="W6:X9" si="2">D6</f>
        <v>125.9</v>
      </c>
      <c r="X6" s="86">
        <f t="shared" si="2"/>
        <v>38</v>
      </c>
      <c r="Y6" s="91">
        <f t="shared" ref="Y6:Z9" si="3">H6</f>
        <v>179</v>
      </c>
      <c r="Z6" s="89">
        <f t="shared" si="3"/>
        <v>47000</v>
      </c>
      <c r="AA6" s="89">
        <f>K6</f>
        <v>40000</v>
      </c>
      <c r="AB6" s="89">
        <f t="shared" ref="AB6:AD9" si="4">M6</f>
        <v>7000</v>
      </c>
      <c r="AC6" s="4">
        <f t="shared" si="4"/>
        <v>0.85106382978723405</v>
      </c>
      <c r="AD6" s="90">
        <f t="shared" si="4"/>
        <v>1236.8421052631579</v>
      </c>
      <c r="AE6" s="76" t="str">
        <f>S6</f>
        <v>계</v>
      </c>
      <c r="AF6" s="76" t="str">
        <f>Q6&amp;"/"&amp;R6</f>
        <v>3/2</v>
      </c>
      <c r="AH6" s="20" t="str">
        <f t="shared" si="1"/>
        <v>서신e-편한세상</v>
      </c>
      <c r="AI6" s="86">
        <f t="shared" si="0"/>
        <v>38</v>
      </c>
      <c r="AJ6" s="76" t="str">
        <f>IF(AI6="","",$AJ$2)</f>
        <v>A-</v>
      </c>
      <c r="AK6" s="76" t="s">
        <v>13</v>
      </c>
      <c r="AL6" s="76" t="s">
        <v>62</v>
      </c>
      <c r="AM6" s="76" t="s">
        <v>63</v>
      </c>
      <c r="AN6" s="76" t="str">
        <f>IF(AI6="","",$AN$2)</f>
        <v>C</v>
      </c>
      <c r="AO6" s="76" t="str">
        <f>IF(N6="","",IF(N6&gt;=$AO$1/100,"O","X"))</f>
        <v>O</v>
      </c>
      <c r="AP6" s="76" t="str">
        <f>IF(I6="","",IF(I6&lt;=$AP$1,"O","X"))</f>
        <v>O</v>
      </c>
      <c r="AQ6" s="76" t="str">
        <f>IF(O6="","",IF(O6&lt;=$AQ$1,"O","X"))</f>
        <v>O</v>
      </c>
      <c r="AR6" s="76" t="str">
        <f>IF(M6="","",IF(M6&lt;=$AR$1,"O","X"))</f>
        <v>X</v>
      </c>
      <c r="AS6" s="76" t="s">
        <v>2</v>
      </c>
      <c r="AT6" s="76" t="str">
        <f>IF(OR(F6="",AI6=""),"",IF(AND((F6&lt;=85),(AI6&gt;=15)),"O","X"))</f>
        <v>X</v>
      </c>
      <c r="AU6" s="76" t="str">
        <f>IF(C6="","",IF(C6&gt;=$AU$1,"O","X"))</f>
        <v>O</v>
      </c>
      <c r="AV6" s="76" t="str">
        <f>IF(AO6="","",IF(AND(AO6="O",AP6="O",AR6="O",AT6="O",AU6="O"),"후보","X"))</f>
        <v>X</v>
      </c>
    </row>
    <row r="7" spans="1:48" x14ac:dyDescent="0.3">
      <c r="A7" s="9" t="s">
        <v>855</v>
      </c>
      <c r="B7" s="10" t="s">
        <v>1858</v>
      </c>
      <c r="C7" s="87">
        <v>651</v>
      </c>
      <c r="D7" s="85">
        <v>160.80000000000001</v>
      </c>
      <c r="E7" s="86">
        <v>49</v>
      </c>
      <c r="F7" s="85">
        <v>134.9</v>
      </c>
      <c r="G7" s="17">
        <v>41</v>
      </c>
      <c r="H7" s="87">
        <v>177</v>
      </c>
      <c r="I7" s="88">
        <v>56000</v>
      </c>
      <c r="J7" s="88" t="s">
        <v>83</v>
      </c>
      <c r="K7" s="88"/>
      <c r="L7" s="88"/>
      <c r="M7" s="89">
        <f>I7-K7</f>
        <v>56000</v>
      </c>
      <c r="N7" s="4">
        <f>IF(ISERROR(K7/I7),"",K7/I7)</f>
        <v>0</v>
      </c>
      <c r="O7" s="90">
        <f>I7/E7</f>
        <v>1142.8571428571429</v>
      </c>
      <c r="P7" s="90">
        <f>K7/E7</f>
        <v>0</v>
      </c>
      <c r="Q7" s="76">
        <v>4</v>
      </c>
      <c r="R7" s="76">
        <v>2</v>
      </c>
      <c r="S7" s="76" t="s">
        <v>61</v>
      </c>
      <c r="T7" s="5" t="s">
        <v>159</v>
      </c>
      <c r="U7" s="9"/>
      <c r="W7" s="85">
        <f t="shared" si="2"/>
        <v>160.80000000000001</v>
      </c>
      <c r="X7" s="86">
        <f t="shared" si="2"/>
        <v>49</v>
      </c>
      <c r="Y7" s="91">
        <f t="shared" si="3"/>
        <v>177</v>
      </c>
      <c r="Z7" s="89">
        <f t="shared" si="3"/>
        <v>56000</v>
      </c>
      <c r="AA7" s="89">
        <f>K7</f>
        <v>0</v>
      </c>
      <c r="AB7" s="89">
        <f t="shared" si="4"/>
        <v>56000</v>
      </c>
      <c r="AC7" s="4">
        <f t="shared" si="4"/>
        <v>0</v>
      </c>
      <c r="AD7" s="90">
        <f t="shared" si="4"/>
        <v>1142.8571428571429</v>
      </c>
      <c r="AE7" s="76" t="str">
        <f>S7</f>
        <v>계</v>
      </c>
      <c r="AF7" s="76" t="str">
        <f>Q7&amp;"/"&amp;R7</f>
        <v>4/2</v>
      </c>
      <c r="AH7" s="20" t="str">
        <f t="shared" si="1"/>
        <v>서신e-편한세상</v>
      </c>
      <c r="AI7" s="86">
        <f t="shared" si="0"/>
        <v>49</v>
      </c>
      <c r="AJ7" s="76" t="str">
        <f>IF(AI7="","",$AJ$2)</f>
        <v>A-</v>
      </c>
      <c r="AK7" s="76" t="s">
        <v>13</v>
      </c>
      <c r="AL7" s="76" t="s">
        <v>62</v>
      </c>
      <c r="AM7" s="76" t="s">
        <v>63</v>
      </c>
      <c r="AN7" s="76" t="str">
        <f>IF(AI7="","",$AN$2)</f>
        <v>C</v>
      </c>
      <c r="AO7" s="76" t="str">
        <f>IF(N7="","",IF(N7&gt;=$AO$1/100,"O","X"))</f>
        <v>X</v>
      </c>
      <c r="AP7" s="76" t="str">
        <f>IF(I7="","",IF(I7&lt;=$AP$1,"O","X"))</f>
        <v>X</v>
      </c>
      <c r="AQ7" s="76" t="str">
        <f>IF(O7="","",IF(O7&lt;=$AQ$1,"O","X"))</f>
        <v>O</v>
      </c>
      <c r="AR7" s="76" t="str">
        <f>IF(M7="","",IF(M7&lt;=$AR$1,"O","X"))</f>
        <v>X</v>
      </c>
      <c r="AS7" s="76" t="s">
        <v>2</v>
      </c>
      <c r="AT7" s="76" t="str">
        <f>IF(OR(F7="",AI7=""),"",IF(AND((F7&lt;=85),(AI7&gt;=15)),"O","X"))</f>
        <v>X</v>
      </c>
      <c r="AU7" s="76" t="str">
        <f>IF(C7="","",IF(C7&gt;=$AU$1,"O","X"))</f>
        <v>O</v>
      </c>
      <c r="AV7" s="76" t="str">
        <f>IF(AO7="","",IF(AND(AO7="O",AP7="O",AR7="O",AT7="O",AU7="O"),"후보","X"))</f>
        <v>X</v>
      </c>
    </row>
    <row r="8" spans="1:48" x14ac:dyDescent="0.3">
      <c r="A8" s="9" t="s">
        <v>855</v>
      </c>
      <c r="B8" s="10" t="s">
        <v>1858</v>
      </c>
      <c r="C8" s="87">
        <v>651</v>
      </c>
      <c r="D8" s="85">
        <v>161.9</v>
      </c>
      <c r="E8" s="86">
        <v>49</v>
      </c>
      <c r="F8" s="85">
        <v>134.9</v>
      </c>
      <c r="G8" s="17">
        <v>41</v>
      </c>
      <c r="H8" s="87">
        <v>145</v>
      </c>
      <c r="I8" s="88">
        <v>55000</v>
      </c>
      <c r="J8" s="88" t="s">
        <v>89</v>
      </c>
      <c r="K8" s="88"/>
      <c r="L8" s="88"/>
      <c r="M8" s="89">
        <f>I8-K8</f>
        <v>55000</v>
      </c>
      <c r="N8" s="4">
        <f>IF(ISERROR(K8/I8),"",K8/I8)</f>
        <v>0</v>
      </c>
      <c r="O8" s="90">
        <f>I8/E8</f>
        <v>1122.4489795918366</v>
      </c>
      <c r="P8" s="90">
        <f>K8/E8</f>
        <v>0</v>
      </c>
      <c r="Q8" s="76">
        <v>4</v>
      </c>
      <c r="R8" s="76">
        <v>2</v>
      </c>
      <c r="S8" s="76" t="s">
        <v>61</v>
      </c>
      <c r="T8" s="5" t="s">
        <v>160</v>
      </c>
      <c r="U8" s="9"/>
      <c r="W8" s="85">
        <f t="shared" si="2"/>
        <v>161.9</v>
      </c>
      <c r="X8" s="86">
        <f t="shared" si="2"/>
        <v>49</v>
      </c>
      <c r="Y8" s="91">
        <f t="shared" si="3"/>
        <v>145</v>
      </c>
      <c r="Z8" s="89">
        <f t="shared" si="3"/>
        <v>55000</v>
      </c>
      <c r="AA8" s="89">
        <f>K8</f>
        <v>0</v>
      </c>
      <c r="AB8" s="89">
        <f t="shared" si="4"/>
        <v>55000</v>
      </c>
      <c r="AC8" s="4">
        <f t="shared" si="4"/>
        <v>0</v>
      </c>
      <c r="AD8" s="90">
        <f t="shared" si="4"/>
        <v>1122.4489795918366</v>
      </c>
      <c r="AE8" s="76" t="str">
        <f>S8</f>
        <v>계</v>
      </c>
      <c r="AF8" s="76" t="str">
        <f>Q8&amp;"/"&amp;R8</f>
        <v>4/2</v>
      </c>
      <c r="AH8" s="20" t="str">
        <f t="shared" si="1"/>
        <v>서신e-편한세상</v>
      </c>
      <c r="AI8" s="86">
        <f t="shared" si="0"/>
        <v>49</v>
      </c>
      <c r="AJ8" s="76" t="str">
        <f>IF(AI8="","",$AJ$2)</f>
        <v>A-</v>
      </c>
      <c r="AK8" s="76" t="s">
        <v>13</v>
      </c>
      <c r="AL8" s="76" t="s">
        <v>62</v>
      </c>
      <c r="AM8" s="76" t="s">
        <v>63</v>
      </c>
      <c r="AN8" s="76" t="str">
        <f>IF(AI8="","",$AN$2)</f>
        <v>C</v>
      </c>
      <c r="AO8" s="76" t="str">
        <f>IF(N8="","",IF(N8&gt;=$AO$1/100,"O","X"))</f>
        <v>X</v>
      </c>
      <c r="AP8" s="76" t="str">
        <f>IF(I8="","",IF(I8&lt;=$AP$1,"O","X"))</f>
        <v>X</v>
      </c>
      <c r="AQ8" s="76" t="str">
        <f>IF(O8="","",IF(O8&lt;=$AQ$1,"O","X"))</f>
        <v>O</v>
      </c>
      <c r="AR8" s="76" t="str">
        <f>IF(M8="","",IF(M8&lt;=$AR$1,"O","X"))</f>
        <v>X</v>
      </c>
      <c r="AS8" s="76" t="s">
        <v>2</v>
      </c>
      <c r="AT8" s="76" t="str">
        <f>IF(OR(F8="",AI8=""),"",IF(AND((F8&lt;=85),(AI8&gt;=15)),"O","X"))</f>
        <v>X</v>
      </c>
      <c r="AU8" s="76" t="str">
        <f>IF(C8="","",IF(C8&gt;=$AU$1,"O","X"))</f>
        <v>O</v>
      </c>
      <c r="AV8" s="76" t="str">
        <f>IF(AO8="","",IF(AND(AO8="O",AP8="O",AR8="O",AT8="O",AU8="O"),"후보","X"))</f>
        <v>X</v>
      </c>
    </row>
    <row r="9" spans="1:48" x14ac:dyDescent="0.3">
      <c r="A9" s="9" t="s">
        <v>855</v>
      </c>
      <c r="B9" s="10" t="s">
        <v>1858</v>
      </c>
      <c r="C9" s="87">
        <v>651</v>
      </c>
      <c r="D9" s="85">
        <v>198.4</v>
      </c>
      <c r="E9" s="86">
        <v>60</v>
      </c>
      <c r="F9" s="85">
        <v>166.7</v>
      </c>
      <c r="G9" s="17">
        <v>50</v>
      </c>
      <c r="H9" s="87">
        <v>150</v>
      </c>
      <c r="I9" s="88"/>
      <c r="J9" s="88"/>
      <c r="K9" s="88"/>
      <c r="L9" s="88"/>
      <c r="M9" s="89">
        <f>I9-K9</f>
        <v>0</v>
      </c>
      <c r="N9" s="4" t="str">
        <f>IF(ISERROR(K9/I9),"",K9/I9)</f>
        <v/>
      </c>
      <c r="O9" s="90">
        <f>I9/E9</f>
        <v>0</v>
      </c>
      <c r="P9" s="90">
        <f>K9/E9</f>
        <v>0</v>
      </c>
      <c r="Q9" s="76">
        <v>4</v>
      </c>
      <c r="R9" s="76">
        <v>2</v>
      </c>
      <c r="S9" s="76" t="s">
        <v>61</v>
      </c>
      <c r="T9" s="5">
        <v>198</v>
      </c>
      <c r="U9" s="9"/>
      <c r="W9" s="85">
        <f t="shared" si="2"/>
        <v>198.4</v>
      </c>
      <c r="X9" s="86">
        <f t="shared" si="2"/>
        <v>60</v>
      </c>
      <c r="Y9" s="91">
        <f t="shared" si="3"/>
        <v>150</v>
      </c>
      <c r="Z9" s="89">
        <f t="shared" si="3"/>
        <v>0</v>
      </c>
      <c r="AA9" s="89">
        <f>K9</f>
        <v>0</v>
      </c>
      <c r="AB9" s="89">
        <f t="shared" si="4"/>
        <v>0</v>
      </c>
      <c r="AC9" s="4" t="str">
        <f t="shared" si="4"/>
        <v/>
      </c>
      <c r="AD9" s="90">
        <f t="shared" si="4"/>
        <v>0</v>
      </c>
      <c r="AE9" s="76" t="str">
        <f>S9</f>
        <v>계</v>
      </c>
      <c r="AF9" s="76" t="str">
        <f>Q9&amp;"/"&amp;R9</f>
        <v>4/2</v>
      </c>
      <c r="AH9" s="20" t="str">
        <f t="shared" si="1"/>
        <v>서신e-편한세상</v>
      </c>
      <c r="AI9" s="86">
        <f t="shared" si="0"/>
        <v>60</v>
      </c>
      <c r="AJ9" s="76" t="str">
        <f>IF(AI9="","",$AJ$2)</f>
        <v>A-</v>
      </c>
      <c r="AK9" s="76" t="s">
        <v>13</v>
      </c>
      <c r="AL9" s="76" t="s">
        <v>62</v>
      </c>
      <c r="AM9" s="76" t="s">
        <v>63</v>
      </c>
      <c r="AN9" s="76" t="str">
        <f>IF(AI9="","",$AN$2)</f>
        <v>C</v>
      </c>
      <c r="AO9" s="76" t="str">
        <f>IF(N9="","",IF(N9&gt;=$AO$1/100,"O","X"))</f>
        <v/>
      </c>
      <c r="AP9" s="76" t="str">
        <f>IF(I9="","",IF(I9&lt;=$AP$1,"O","X"))</f>
        <v/>
      </c>
      <c r="AQ9" s="76" t="str">
        <f>IF(O9="","",IF(O9&lt;=$AQ$1,"O","X"))</f>
        <v>O</v>
      </c>
      <c r="AR9" s="76" t="str">
        <f>IF(M9="","",IF(M9&lt;=$AR$1,"O","X"))</f>
        <v>O</v>
      </c>
      <c r="AS9" s="76" t="s">
        <v>2</v>
      </c>
      <c r="AT9" s="76" t="str">
        <f>IF(OR(F9="",AI9=""),"",IF(AND((F9&lt;=85),(AI9&gt;=15)),"O","X"))</f>
        <v>X</v>
      </c>
      <c r="AU9" s="76" t="str">
        <f>IF(C9="","",IF(C9&gt;=$AU$1,"O","X"))</f>
        <v>O</v>
      </c>
      <c r="AV9" s="76" t="str">
        <f>IF(AO9="","",IF(AND(AO9="O",AP9="O",AR9="O",AT9="O",AU9="O"),"후보","X"))</f>
        <v/>
      </c>
    </row>
    <row r="10" spans="1:48" x14ac:dyDescent="0.3">
      <c r="A10" s="9"/>
      <c r="B10" s="76"/>
      <c r="C10" s="6"/>
      <c r="D10" s="9"/>
      <c r="E10" s="14"/>
      <c r="F10" s="85"/>
      <c r="G10" s="9"/>
      <c r="H10" s="9"/>
      <c r="I10" s="9"/>
      <c r="J10" s="9"/>
      <c r="K10" s="9"/>
      <c r="L10" s="9"/>
      <c r="M10" s="9"/>
      <c r="N10" s="9"/>
      <c r="O10" s="90"/>
      <c r="P10" s="90"/>
      <c r="Q10" s="86"/>
      <c r="R10" s="86"/>
      <c r="S10" s="9"/>
      <c r="T10" s="47"/>
      <c r="U10" s="9"/>
      <c r="W10" s="67" t="str">
        <f>$A$4&amp;" "&amp;A11&amp;"("&amp;B11&amp;","&amp;C11&amp;"^)"</f>
        <v>서신동 우신('86.01.,280^)</v>
      </c>
      <c r="X10" s="68"/>
      <c r="Y10" s="68"/>
      <c r="Z10" s="68"/>
      <c r="AA10" s="68"/>
      <c r="AB10" s="68"/>
      <c r="AC10" s="68"/>
      <c r="AD10" s="68"/>
      <c r="AE10" s="68"/>
      <c r="AF10" s="69"/>
      <c r="AH10" s="20" t="str">
        <f t="shared" si="1"/>
        <v/>
      </c>
      <c r="AI10" s="108" t="str">
        <f t="shared" si="0"/>
        <v/>
      </c>
      <c r="AJ10" s="76"/>
      <c r="AK10" s="76"/>
      <c r="AL10" s="76"/>
      <c r="AM10" s="76"/>
      <c r="AN10" s="76"/>
      <c r="AO10" s="76"/>
      <c r="AP10" s="76"/>
      <c r="AQ10" s="76"/>
      <c r="AR10" s="76"/>
      <c r="AS10" s="76"/>
      <c r="AT10" s="76"/>
      <c r="AU10" s="76"/>
      <c r="AV10" s="76"/>
    </row>
    <row r="11" spans="1:48" x14ac:dyDescent="0.3">
      <c r="A11" s="9" t="s">
        <v>860</v>
      </c>
      <c r="B11" s="10" t="s">
        <v>1859</v>
      </c>
      <c r="C11" s="87">
        <v>280</v>
      </c>
      <c r="D11" s="85">
        <v>57.6</v>
      </c>
      <c r="E11" s="86">
        <v>17</v>
      </c>
      <c r="F11" s="85">
        <v>51.8</v>
      </c>
      <c r="G11" s="17">
        <v>16</v>
      </c>
      <c r="H11" s="87">
        <v>260</v>
      </c>
      <c r="I11" s="88"/>
      <c r="J11" s="88"/>
      <c r="K11" s="88"/>
      <c r="L11" s="88"/>
      <c r="M11" s="89">
        <f>I11-K11</f>
        <v>0</v>
      </c>
      <c r="N11" s="4" t="str">
        <f>IF(ISERROR(K11/I11),"",K11/I11)</f>
        <v/>
      </c>
      <c r="O11" s="90">
        <f>I11/E11</f>
        <v>0</v>
      </c>
      <c r="P11" s="90">
        <f>K11/E11</f>
        <v>0</v>
      </c>
      <c r="Q11" s="76">
        <v>3</v>
      </c>
      <c r="R11" s="76">
        <v>1</v>
      </c>
      <c r="S11" s="76" t="s">
        <v>61</v>
      </c>
      <c r="T11" s="5">
        <v>57</v>
      </c>
      <c r="U11" s="9"/>
      <c r="W11" s="85">
        <f>D11</f>
        <v>57.6</v>
      </c>
      <c r="X11" s="86">
        <f>E11</f>
        <v>17</v>
      </c>
      <c r="Y11" s="91">
        <f>H11</f>
        <v>260</v>
      </c>
      <c r="Z11" s="89">
        <f>I11</f>
        <v>0</v>
      </c>
      <c r="AA11" s="89">
        <f>K11</f>
        <v>0</v>
      </c>
      <c r="AB11" s="89">
        <f t="shared" ref="AB11:AD12" si="5">M11</f>
        <v>0</v>
      </c>
      <c r="AC11" s="4" t="str">
        <f t="shared" si="5"/>
        <v/>
      </c>
      <c r="AD11" s="90">
        <f t="shared" si="5"/>
        <v>0</v>
      </c>
      <c r="AE11" s="76" t="str">
        <f>S11</f>
        <v>계</v>
      </c>
      <c r="AF11" s="76" t="str">
        <f>Q11&amp;"/"&amp;R11</f>
        <v>3/1</v>
      </c>
      <c r="AH11" s="20" t="str">
        <f t="shared" si="1"/>
        <v>우신</v>
      </c>
      <c r="AI11" s="86">
        <f t="shared" si="0"/>
        <v>17</v>
      </c>
      <c r="AJ11" s="76" t="str">
        <f>IF(AI11="","",$AJ$2)</f>
        <v>A-</v>
      </c>
      <c r="AK11" s="76" t="s">
        <v>13</v>
      </c>
      <c r="AL11" s="76" t="s">
        <v>62</v>
      </c>
      <c r="AM11" s="76" t="s">
        <v>63</v>
      </c>
      <c r="AN11" s="76" t="str">
        <f>IF(AI11="","",$AN$2)</f>
        <v>C</v>
      </c>
      <c r="AO11" s="76" t="str">
        <f>IF(N11="","",IF(N11&gt;=$AO$1/100,"O","X"))</f>
        <v/>
      </c>
      <c r="AP11" s="76" t="str">
        <f>IF(I11="","",IF(I11&lt;=$AP$1,"O","X"))</f>
        <v/>
      </c>
      <c r="AQ11" s="76" t="str">
        <f>IF(O11="","",IF(O11&lt;=$AQ$1,"O","X"))</f>
        <v>O</v>
      </c>
      <c r="AR11" s="76" t="str">
        <f>IF(M11="","",IF(M11&lt;=$AR$1,"O","X"))</f>
        <v>O</v>
      </c>
      <c r="AS11" s="76" t="s">
        <v>2</v>
      </c>
      <c r="AT11" s="76" t="str">
        <f>IF(OR(F11="",AI11=""),"",IF(AND((F11&lt;=85),(AI11&gt;=15)),"O","X"))</f>
        <v>O</v>
      </c>
      <c r="AU11" s="76" t="str">
        <f>IF(C11="","",IF(C11&gt;=$AU$1,"O","X"))</f>
        <v>X</v>
      </c>
      <c r="AV11" s="76" t="str">
        <f>IF(AO11="","",IF(AND(AO11="O",AP11="O",AR11="O",AT11="O",AU11="O"),"후보","X"))</f>
        <v/>
      </c>
    </row>
    <row r="12" spans="1:48" x14ac:dyDescent="0.3">
      <c r="A12" s="9" t="s">
        <v>860</v>
      </c>
      <c r="B12" s="10" t="s">
        <v>1859</v>
      </c>
      <c r="C12" s="87">
        <v>280</v>
      </c>
      <c r="D12" s="85">
        <v>69.099999999999994</v>
      </c>
      <c r="E12" s="86">
        <v>21</v>
      </c>
      <c r="F12" s="85">
        <v>57.6</v>
      </c>
      <c r="G12" s="17">
        <v>17</v>
      </c>
      <c r="H12" s="87">
        <v>20</v>
      </c>
      <c r="I12" s="88"/>
      <c r="J12" s="88"/>
      <c r="K12" s="88"/>
      <c r="L12" s="88"/>
      <c r="M12" s="89">
        <f>I12-K12</f>
        <v>0</v>
      </c>
      <c r="N12" s="4" t="str">
        <f>IF(ISERROR(K12/I12),"",K12/I12)</f>
        <v/>
      </c>
      <c r="O12" s="90">
        <f>I12/E12</f>
        <v>0</v>
      </c>
      <c r="P12" s="90">
        <f>K12/E12</f>
        <v>0</v>
      </c>
      <c r="Q12" s="76">
        <v>3</v>
      </c>
      <c r="R12" s="76">
        <v>1</v>
      </c>
      <c r="S12" s="76" t="s">
        <v>61</v>
      </c>
      <c r="T12" s="5">
        <v>69</v>
      </c>
      <c r="U12" s="9"/>
      <c r="W12" s="85">
        <f>D12</f>
        <v>69.099999999999994</v>
      </c>
      <c r="X12" s="86">
        <f>E12</f>
        <v>21</v>
      </c>
      <c r="Y12" s="91">
        <f>H12</f>
        <v>20</v>
      </c>
      <c r="Z12" s="89">
        <f>I12</f>
        <v>0</v>
      </c>
      <c r="AA12" s="89">
        <f>K12</f>
        <v>0</v>
      </c>
      <c r="AB12" s="89">
        <f t="shared" si="5"/>
        <v>0</v>
      </c>
      <c r="AC12" s="4" t="str">
        <f t="shared" si="5"/>
        <v/>
      </c>
      <c r="AD12" s="90">
        <f t="shared" si="5"/>
        <v>0</v>
      </c>
      <c r="AE12" s="76" t="str">
        <f>S12</f>
        <v>계</v>
      </c>
      <c r="AF12" s="76" t="str">
        <f>Q12&amp;"/"&amp;R12</f>
        <v>3/1</v>
      </c>
      <c r="AH12" s="20" t="str">
        <f t="shared" si="1"/>
        <v>우신</v>
      </c>
      <c r="AI12" s="86">
        <f t="shared" si="0"/>
        <v>21</v>
      </c>
      <c r="AJ12" s="76" t="str">
        <f>IF(AI12="","",$AJ$2)</f>
        <v>A-</v>
      </c>
      <c r="AK12" s="76" t="s">
        <v>13</v>
      </c>
      <c r="AL12" s="76" t="s">
        <v>62</v>
      </c>
      <c r="AM12" s="76" t="s">
        <v>63</v>
      </c>
      <c r="AN12" s="76" t="str">
        <f>IF(AI12="","",$AN$2)</f>
        <v>C</v>
      </c>
      <c r="AO12" s="76" t="str">
        <f>IF(N12="","",IF(N12&gt;=$AO$1/100,"O","X"))</f>
        <v/>
      </c>
      <c r="AP12" s="76" t="str">
        <f>IF(I12="","",IF(I12&lt;=$AP$1,"O","X"))</f>
        <v/>
      </c>
      <c r="AQ12" s="76" t="str">
        <f>IF(O12="","",IF(O12&lt;=$AQ$1,"O","X"))</f>
        <v>O</v>
      </c>
      <c r="AR12" s="76" t="str">
        <f>IF(M12="","",IF(M12&lt;=$AR$1,"O","X"))</f>
        <v>O</v>
      </c>
      <c r="AS12" s="76" t="s">
        <v>2</v>
      </c>
      <c r="AT12" s="76" t="str">
        <f>IF(OR(F12="",AI12=""),"",IF(AND((F12&lt;=85),(AI12&gt;=15)),"O","X"))</f>
        <v>O</v>
      </c>
      <c r="AU12" s="76" t="str">
        <f>IF(C12="","",IF(C12&gt;=$AU$1,"O","X"))</f>
        <v>X</v>
      </c>
      <c r="AV12" s="76" t="str">
        <f>IF(AO12="","",IF(AND(AO12="O",AP12="O",AR12="O",AT12="O",AU12="O"),"후보","X"))</f>
        <v/>
      </c>
    </row>
    <row r="13" spans="1:48" x14ac:dyDescent="0.3">
      <c r="A13" s="9"/>
      <c r="B13" s="76"/>
      <c r="C13" s="6"/>
      <c r="D13" s="9"/>
      <c r="E13" s="14"/>
      <c r="F13" s="85"/>
      <c r="G13" s="9"/>
      <c r="H13" s="9"/>
      <c r="I13" s="9"/>
      <c r="J13" s="9"/>
      <c r="K13" s="9"/>
      <c r="L13" s="9"/>
      <c r="M13" s="9"/>
      <c r="N13" s="9"/>
      <c r="O13" s="90"/>
      <c r="P13" s="90"/>
      <c r="Q13" s="86"/>
      <c r="R13" s="86"/>
      <c r="S13" s="9"/>
      <c r="T13" s="47"/>
      <c r="U13" s="9"/>
      <c r="W13" s="67" t="str">
        <f>$A$4&amp;" "&amp;A14&amp;"("&amp;B14&amp;","&amp;C14&amp;"^)"</f>
        <v>서신동 제일비사벌('95.11.,510^)</v>
      </c>
      <c r="X13" s="68"/>
      <c r="Y13" s="68"/>
      <c r="Z13" s="68"/>
      <c r="AA13" s="68"/>
      <c r="AB13" s="68"/>
      <c r="AC13" s="68"/>
      <c r="AD13" s="68"/>
      <c r="AE13" s="68"/>
      <c r="AF13" s="69"/>
      <c r="AH13" s="20" t="str">
        <f t="shared" si="1"/>
        <v/>
      </c>
      <c r="AI13" s="108" t="str">
        <f t="shared" si="0"/>
        <v/>
      </c>
      <c r="AJ13" s="76"/>
      <c r="AK13" s="76"/>
      <c r="AL13" s="76"/>
      <c r="AM13" s="76"/>
      <c r="AN13" s="76"/>
      <c r="AO13" s="76"/>
      <c r="AP13" s="76"/>
      <c r="AQ13" s="76"/>
      <c r="AR13" s="76"/>
      <c r="AS13" s="76"/>
      <c r="AT13" s="76"/>
      <c r="AU13" s="76"/>
      <c r="AV13" s="76"/>
    </row>
    <row r="14" spans="1:48" x14ac:dyDescent="0.3">
      <c r="A14" s="9" t="s">
        <v>865</v>
      </c>
      <c r="B14" s="10" t="s">
        <v>1860</v>
      </c>
      <c r="C14" s="87">
        <v>510</v>
      </c>
      <c r="D14" s="85">
        <v>102.5</v>
      </c>
      <c r="E14" s="86">
        <v>31</v>
      </c>
      <c r="F14" s="85">
        <v>84.8</v>
      </c>
      <c r="G14" s="17">
        <v>26</v>
      </c>
      <c r="H14" s="87">
        <v>270</v>
      </c>
      <c r="I14" s="88">
        <v>25800</v>
      </c>
      <c r="J14" s="88" t="s">
        <v>111</v>
      </c>
      <c r="K14" s="88">
        <v>25000</v>
      </c>
      <c r="L14" s="88" t="s">
        <v>71</v>
      </c>
      <c r="M14" s="89">
        <f>I14-K14</f>
        <v>800</v>
      </c>
      <c r="N14" s="4">
        <f>IF(ISERROR(K14/I14),"",K14/I14)</f>
        <v>0.96899224806201545</v>
      </c>
      <c r="O14" s="90">
        <f>I14/E14</f>
        <v>832.25806451612902</v>
      </c>
      <c r="P14" s="90">
        <f>K14/E14</f>
        <v>806.45161290322585</v>
      </c>
      <c r="Q14" s="76">
        <v>3</v>
      </c>
      <c r="R14" s="76">
        <v>2</v>
      </c>
      <c r="S14" s="76" t="s">
        <v>61</v>
      </c>
      <c r="T14" s="5" t="s">
        <v>165</v>
      </c>
      <c r="U14" s="9"/>
      <c r="W14" s="85">
        <f>D14</f>
        <v>102.5</v>
      </c>
      <c r="X14" s="86">
        <f>E14</f>
        <v>31</v>
      </c>
      <c r="Y14" s="91">
        <f>H14</f>
        <v>270</v>
      </c>
      <c r="Z14" s="89">
        <f>I14</f>
        <v>25800</v>
      </c>
      <c r="AA14" s="89">
        <f>K14</f>
        <v>25000</v>
      </c>
      <c r="AB14" s="89">
        <f t="shared" ref="AB14:AD15" si="6">M14</f>
        <v>800</v>
      </c>
      <c r="AC14" s="4">
        <f t="shared" si="6"/>
        <v>0.96899224806201545</v>
      </c>
      <c r="AD14" s="90">
        <f t="shared" si="6"/>
        <v>832.25806451612902</v>
      </c>
      <c r="AE14" s="76" t="str">
        <f>S14</f>
        <v>계</v>
      </c>
      <c r="AF14" s="76" t="str">
        <f>Q14&amp;"/"&amp;R14</f>
        <v>3/2</v>
      </c>
      <c r="AH14" s="20" t="str">
        <f t="shared" si="1"/>
        <v>제일비사벌</v>
      </c>
      <c r="AI14" s="86">
        <f t="shared" si="0"/>
        <v>31</v>
      </c>
      <c r="AJ14" s="76" t="str">
        <f>IF(AI14="","",$AJ$2)</f>
        <v>A-</v>
      </c>
      <c r="AK14" s="76" t="s">
        <v>13</v>
      </c>
      <c r="AL14" s="76" t="s">
        <v>62</v>
      </c>
      <c r="AM14" s="76" t="s">
        <v>63</v>
      </c>
      <c r="AN14" s="76" t="str">
        <f>IF(AI14="","",$AN$2)</f>
        <v>C</v>
      </c>
      <c r="AO14" s="76" t="str">
        <f>IF(N14="","",IF(N14&gt;=$AO$1/100,"O","X"))</f>
        <v>O</v>
      </c>
      <c r="AP14" s="76" t="str">
        <f>IF(I14="","",IF(I14&lt;=$AP$1,"O","X"))</f>
        <v>O</v>
      </c>
      <c r="AQ14" s="76" t="str">
        <f>IF(O14="","",IF(O14&lt;=$AQ$1,"O","X"))</f>
        <v>O</v>
      </c>
      <c r="AR14" s="76" t="str">
        <f>IF(M14="","",IF(M14&lt;=$AR$1,"O","X"))</f>
        <v>O</v>
      </c>
      <c r="AS14" s="76" t="s">
        <v>2</v>
      </c>
      <c r="AT14" s="76" t="str">
        <f>IF(OR(F14="",AI14=""),"",IF(AND((F14&lt;=85),(AI14&gt;=15)),"O","X"))</f>
        <v>O</v>
      </c>
      <c r="AU14" s="76" t="str">
        <f>IF(C14="","",IF(C14&gt;=$AU$1,"O","X"))</f>
        <v>O</v>
      </c>
      <c r="AV14" s="76" t="str">
        <f>IF(AO14="","",IF(AND(AO14="O",AP14="O",AR14="O",AT14="O",AU14="O"),"후보","X"))</f>
        <v>후보</v>
      </c>
    </row>
    <row r="15" spans="1:48" x14ac:dyDescent="0.3">
      <c r="A15" s="9" t="s">
        <v>865</v>
      </c>
      <c r="B15" s="10" t="s">
        <v>1860</v>
      </c>
      <c r="C15" s="87">
        <v>510</v>
      </c>
      <c r="D15" s="85">
        <v>102.4</v>
      </c>
      <c r="E15" s="86">
        <v>31</v>
      </c>
      <c r="F15" s="85">
        <v>84.8</v>
      </c>
      <c r="G15" s="17">
        <v>26</v>
      </c>
      <c r="H15" s="87">
        <v>240</v>
      </c>
      <c r="I15" s="88"/>
      <c r="J15" s="88"/>
      <c r="K15" s="88">
        <v>26000</v>
      </c>
      <c r="L15" s="88" t="s">
        <v>89</v>
      </c>
      <c r="M15" s="89">
        <f>I15-K15</f>
        <v>-26000</v>
      </c>
      <c r="N15" s="4" t="str">
        <f>IF(ISERROR(K15/I15),"",K15/I15)</f>
        <v/>
      </c>
      <c r="O15" s="90">
        <f>I15/E15</f>
        <v>0</v>
      </c>
      <c r="P15" s="90">
        <f>K15/E15</f>
        <v>838.70967741935488</v>
      </c>
      <c r="Q15" s="76">
        <v>3</v>
      </c>
      <c r="R15" s="76">
        <v>2</v>
      </c>
      <c r="S15" s="76" t="s">
        <v>61</v>
      </c>
      <c r="T15" s="5">
        <v>102</v>
      </c>
      <c r="U15" s="9"/>
      <c r="W15" s="85">
        <f>D15</f>
        <v>102.4</v>
      </c>
      <c r="X15" s="86">
        <f>E15</f>
        <v>31</v>
      </c>
      <c r="Y15" s="91">
        <f>H15</f>
        <v>240</v>
      </c>
      <c r="Z15" s="89">
        <f>I15</f>
        <v>0</v>
      </c>
      <c r="AA15" s="89">
        <f>K15</f>
        <v>26000</v>
      </c>
      <c r="AB15" s="89">
        <f t="shared" si="6"/>
        <v>-26000</v>
      </c>
      <c r="AC15" s="4" t="str">
        <f t="shared" si="6"/>
        <v/>
      </c>
      <c r="AD15" s="90">
        <f t="shared" si="6"/>
        <v>0</v>
      </c>
      <c r="AE15" s="76" t="str">
        <f>S15</f>
        <v>계</v>
      </c>
      <c r="AF15" s="76" t="str">
        <f>Q15&amp;"/"&amp;R15</f>
        <v>3/2</v>
      </c>
      <c r="AH15" s="20" t="str">
        <f t="shared" si="1"/>
        <v>제일비사벌</v>
      </c>
      <c r="AI15" s="86">
        <f t="shared" si="0"/>
        <v>31</v>
      </c>
      <c r="AJ15" s="76" t="str">
        <f>IF(AI15="","",$AJ$2)</f>
        <v>A-</v>
      </c>
      <c r="AK15" s="76" t="s">
        <v>13</v>
      </c>
      <c r="AL15" s="76" t="s">
        <v>62</v>
      </c>
      <c r="AM15" s="76" t="s">
        <v>63</v>
      </c>
      <c r="AN15" s="76" t="str">
        <f>IF(AI15="","",$AN$2)</f>
        <v>C</v>
      </c>
      <c r="AO15" s="76" t="str">
        <f>IF(N15="","",IF(N15&gt;=$AO$1/100,"O","X"))</f>
        <v/>
      </c>
      <c r="AP15" s="76" t="str">
        <f>IF(I15="","",IF(I15&lt;=$AP$1,"O","X"))</f>
        <v/>
      </c>
      <c r="AQ15" s="76" t="str">
        <f>IF(O15="","",IF(O15&lt;=$AQ$1,"O","X"))</f>
        <v>O</v>
      </c>
      <c r="AR15" s="76" t="str">
        <f>IF(M15="","",IF(M15&lt;=$AR$1,"O","X"))</f>
        <v>O</v>
      </c>
      <c r="AS15" s="76" t="s">
        <v>2</v>
      </c>
      <c r="AT15" s="76" t="str">
        <f>IF(OR(F15="",AI15=""),"",IF(AND((F15&lt;=85),(AI15&gt;=15)),"O","X"))</f>
        <v>O</v>
      </c>
      <c r="AU15" s="76" t="str">
        <f>IF(C15="","",IF(C15&gt;=$AU$1,"O","X"))</f>
        <v>O</v>
      </c>
      <c r="AV15" s="76" t="str">
        <f>IF(AO15="","",IF(AND(AO15="O",AP15="O",AR15="O",AT15="O",AU15="O"),"후보","X"))</f>
        <v/>
      </c>
    </row>
    <row r="16" spans="1:48" x14ac:dyDescent="0.3">
      <c r="A16" s="9"/>
      <c r="B16" s="76"/>
      <c r="C16" s="6"/>
      <c r="D16" s="9"/>
      <c r="E16" s="14"/>
      <c r="F16" s="85"/>
      <c r="G16" s="9"/>
      <c r="H16" s="9"/>
      <c r="I16" s="9"/>
      <c r="J16" s="9"/>
      <c r="K16" s="9"/>
      <c r="L16" s="9"/>
      <c r="M16" s="9"/>
      <c r="N16" s="9"/>
      <c r="O16" s="90"/>
      <c r="P16" s="90"/>
      <c r="Q16" s="86"/>
      <c r="R16" s="86"/>
      <c r="S16" s="9"/>
      <c r="T16" s="47"/>
      <c r="U16" s="9"/>
      <c r="W16" s="67" t="str">
        <f>$A$4&amp;" "&amp;A17&amp;"("&amp;B17&amp;","&amp;C17&amp;"^)"</f>
        <v>서신동 유창('83.06.,200^)</v>
      </c>
      <c r="X16" s="68"/>
      <c r="Y16" s="68"/>
      <c r="Z16" s="68"/>
      <c r="AA16" s="68"/>
      <c r="AB16" s="68"/>
      <c r="AC16" s="68"/>
      <c r="AD16" s="68"/>
      <c r="AE16" s="68"/>
      <c r="AF16" s="69"/>
      <c r="AH16" s="20" t="str">
        <f t="shared" si="1"/>
        <v/>
      </c>
      <c r="AI16" s="108" t="str">
        <f t="shared" si="0"/>
        <v/>
      </c>
      <c r="AJ16" s="76"/>
      <c r="AK16" s="76"/>
      <c r="AL16" s="76"/>
      <c r="AM16" s="76"/>
      <c r="AN16" s="76"/>
      <c r="AO16" s="76"/>
      <c r="AP16" s="76"/>
      <c r="AQ16" s="76"/>
      <c r="AR16" s="76"/>
      <c r="AS16" s="76"/>
      <c r="AT16" s="76"/>
      <c r="AU16" s="76"/>
      <c r="AV16" s="76"/>
    </row>
    <row r="17" spans="1:48" x14ac:dyDescent="0.3">
      <c r="A17" s="9" t="s">
        <v>875</v>
      </c>
      <c r="B17" s="10" t="s">
        <v>1861</v>
      </c>
      <c r="C17" s="87">
        <v>200</v>
      </c>
      <c r="D17" s="85">
        <v>44.7</v>
      </c>
      <c r="E17" s="86">
        <v>14</v>
      </c>
      <c r="F17" s="85">
        <v>37.4</v>
      </c>
      <c r="G17" s="17">
        <v>11</v>
      </c>
      <c r="H17" s="87">
        <v>200</v>
      </c>
      <c r="I17" s="88"/>
      <c r="J17" s="88"/>
      <c r="K17" s="88"/>
      <c r="L17" s="88"/>
      <c r="M17" s="89">
        <f>I17-K17</f>
        <v>0</v>
      </c>
      <c r="N17" s="4" t="str">
        <f>IF(ISERROR(K17/I17),"",K17/I17)</f>
        <v/>
      </c>
      <c r="O17" s="90">
        <f>I17/E17</f>
        <v>0</v>
      </c>
      <c r="P17" s="90">
        <f>K17/E17</f>
        <v>0</v>
      </c>
      <c r="Q17" s="76">
        <v>2</v>
      </c>
      <c r="R17" s="76">
        <v>1</v>
      </c>
      <c r="S17" s="76" t="s">
        <v>61</v>
      </c>
      <c r="T17" s="5">
        <v>44</v>
      </c>
      <c r="U17" s="9"/>
      <c r="W17" s="85">
        <f>D17</f>
        <v>44.7</v>
      </c>
      <c r="X17" s="86">
        <f>E17</f>
        <v>14</v>
      </c>
      <c r="Y17" s="91">
        <f>H17</f>
        <v>200</v>
      </c>
      <c r="Z17" s="89">
        <f>I17</f>
        <v>0</v>
      </c>
      <c r="AA17" s="89">
        <f>K17</f>
        <v>0</v>
      </c>
      <c r="AB17" s="89">
        <f>M17</f>
        <v>0</v>
      </c>
      <c r="AC17" s="4" t="str">
        <f>N17</f>
        <v/>
      </c>
      <c r="AD17" s="90">
        <f>O17</f>
        <v>0</v>
      </c>
      <c r="AE17" s="76" t="str">
        <f>S17</f>
        <v>계</v>
      </c>
      <c r="AF17" s="76" t="str">
        <f>Q17&amp;"/"&amp;R17</f>
        <v>2/1</v>
      </c>
      <c r="AH17" s="20" t="str">
        <f t="shared" si="1"/>
        <v>유창</v>
      </c>
      <c r="AI17" s="86">
        <f t="shared" si="0"/>
        <v>14</v>
      </c>
      <c r="AJ17" s="76" t="str">
        <f>IF(AI17="","",$AJ$2)</f>
        <v>A-</v>
      </c>
      <c r="AK17" s="76" t="s">
        <v>13</v>
      </c>
      <c r="AL17" s="76" t="s">
        <v>62</v>
      </c>
      <c r="AM17" s="76" t="s">
        <v>63</v>
      </c>
      <c r="AN17" s="76" t="str">
        <f>IF(AI17="","",$AN$2)</f>
        <v>C</v>
      </c>
      <c r="AO17" s="76" t="str">
        <f>IF(N17="","",IF(N17&gt;=$AO$1/100,"O","X"))</f>
        <v/>
      </c>
      <c r="AP17" s="76" t="str">
        <f>IF(I17="","",IF(I17&lt;=$AP$1,"O","X"))</f>
        <v/>
      </c>
      <c r="AQ17" s="76" t="str">
        <f>IF(O17="","",IF(O17&lt;=$AQ$1,"O","X"))</f>
        <v>O</v>
      </c>
      <c r="AR17" s="76" t="str">
        <f>IF(M17="","",IF(M17&lt;=$AR$1,"O","X"))</f>
        <v>O</v>
      </c>
      <c r="AS17" s="76" t="s">
        <v>2</v>
      </c>
      <c r="AT17" s="76" t="str">
        <f>IF(OR(F17="",AI17=""),"",IF(AND((F17&lt;=85),(AI17&gt;=15)),"O","X"))</f>
        <v>X</v>
      </c>
      <c r="AU17" s="76" t="str">
        <f>IF(C17="","",IF(C17&gt;=$AU$1,"O","X"))</f>
        <v>X</v>
      </c>
      <c r="AV17" s="76" t="str">
        <f>IF(AO17="","",IF(AND(AO17="O",AP17="O",AR17="O",AT17="O",AU17="O"),"후보","X"))</f>
        <v/>
      </c>
    </row>
    <row r="18" spans="1:48" x14ac:dyDescent="0.3">
      <c r="A18" s="9"/>
      <c r="B18" s="76"/>
      <c r="C18" s="6"/>
      <c r="D18" s="9"/>
      <c r="E18" s="14"/>
      <c r="F18" s="85"/>
      <c r="G18" s="9"/>
      <c r="H18" s="9"/>
      <c r="I18" s="9"/>
      <c r="J18" s="9"/>
      <c r="K18" s="9"/>
      <c r="L18" s="9"/>
      <c r="M18" s="9"/>
      <c r="N18" s="9"/>
      <c r="O18" s="90"/>
      <c r="P18" s="90"/>
      <c r="Q18" s="86"/>
      <c r="R18" s="86"/>
      <c r="S18" s="9"/>
      <c r="T18" s="47"/>
      <c r="U18" s="9"/>
      <c r="W18" s="67" t="str">
        <f>$A$4&amp;" "&amp;A19&amp;"("&amp;B19&amp;","&amp;C19&amp;"^)"</f>
        <v>서신동 중흥('98.08.,630^)</v>
      </c>
      <c r="X18" s="68"/>
      <c r="Y18" s="68"/>
      <c r="Z18" s="68"/>
      <c r="AA18" s="68"/>
      <c r="AB18" s="68"/>
      <c r="AC18" s="68"/>
      <c r="AD18" s="68"/>
      <c r="AE18" s="68"/>
      <c r="AF18" s="69"/>
      <c r="AH18" s="20" t="str">
        <f t="shared" si="1"/>
        <v/>
      </c>
      <c r="AI18" s="108" t="str">
        <f t="shared" si="0"/>
        <v/>
      </c>
      <c r="AJ18" s="76"/>
      <c r="AK18" s="76"/>
      <c r="AL18" s="76"/>
      <c r="AM18" s="76"/>
      <c r="AN18" s="76"/>
      <c r="AO18" s="76"/>
      <c r="AP18" s="76"/>
      <c r="AQ18" s="76"/>
      <c r="AR18" s="76"/>
      <c r="AS18" s="76"/>
      <c r="AT18" s="76"/>
      <c r="AU18" s="76"/>
      <c r="AV18" s="76"/>
    </row>
    <row r="19" spans="1:48" x14ac:dyDescent="0.3">
      <c r="A19" s="9" t="s">
        <v>885</v>
      </c>
      <c r="B19" s="10" t="s">
        <v>1862</v>
      </c>
      <c r="C19" s="87">
        <v>630</v>
      </c>
      <c r="D19" s="85">
        <v>75.900000000000006</v>
      </c>
      <c r="E19" s="86">
        <v>23</v>
      </c>
      <c r="F19" s="85">
        <v>60</v>
      </c>
      <c r="G19" s="17">
        <v>18</v>
      </c>
      <c r="H19" s="87">
        <v>420</v>
      </c>
      <c r="I19" s="88">
        <v>18500</v>
      </c>
      <c r="J19" s="88" t="s">
        <v>131</v>
      </c>
      <c r="K19" s="88">
        <v>18000</v>
      </c>
      <c r="L19" s="88" t="s">
        <v>111</v>
      </c>
      <c r="M19" s="89">
        <f>I19-K19</f>
        <v>500</v>
      </c>
      <c r="N19" s="4">
        <f>IF(ISERROR(K19/I19),"",K19/I19)</f>
        <v>0.97297297297297303</v>
      </c>
      <c r="O19" s="90">
        <f>I19/E19</f>
        <v>804.3478260869565</v>
      </c>
      <c r="P19" s="90">
        <f>K19/E19</f>
        <v>782.60869565217388</v>
      </c>
      <c r="Q19" s="76">
        <v>3</v>
      </c>
      <c r="R19" s="76">
        <v>1</v>
      </c>
      <c r="S19" s="76" t="s">
        <v>61</v>
      </c>
      <c r="T19" s="5" t="s">
        <v>101</v>
      </c>
      <c r="U19" s="9"/>
      <c r="W19" s="85">
        <f>D19</f>
        <v>75.900000000000006</v>
      </c>
      <c r="X19" s="86">
        <f>E19</f>
        <v>23</v>
      </c>
      <c r="Y19" s="91">
        <f>H19</f>
        <v>420</v>
      </c>
      <c r="Z19" s="89">
        <f>I19</f>
        <v>18500</v>
      </c>
      <c r="AA19" s="89">
        <f>K19</f>
        <v>18000</v>
      </c>
      <c r="AB19" s="89">
        <f t="shared" ref="AB19:AD20" si="7">M19</f>
        <v>500</v>
      </c>
      <c r="AC19" s="4">
        <f t="shared" si="7"/>
        <v>0.97297297297297303</v>
      </c>
      <c r="AD19" s="90">
        <f t="shared" si="7"/>
        <v>804.3478260869565</v>
      </c>
      <c r="AE19" s="76" t="str">
        <f>S19</f>
        <v>계</v>
      </c>
      <c r="AF19" s="76" t="str">
        <f>Q19&amp;"/"&amp;R19</f>
        <v>3/1</v>
      </c>
      <c r="AH19" s="20" t="str">
        <f t="shared" si="1"/>
        <v>중흥</v>
      </c>
      <c r="AI19" s="86">
        <f t="shared" si="0"/>
        <v>23</v>
      </c>
      <c r="AJ19" s="76" t="str">
        <f>IF(AI19="","",$AJ$2)</f>
        <v>A-</v>
      </c>
      <c r="AK19" s="76" t="s">
        <v>13</v>
      </c>
      <c r="AL19" s="76" t="s">
        <v>62</v>
      </c>
      <c r="AM19" s="76" t="s">
        <v>63</v>
      </c>
      <c r="AN19" s="76" t="str">
        <f>IF(AI19="","",$AN$2)</f>
        <v>C</v>
      </c>
      <c r="AO19" s="76" t="str">
        <f>IF(N19="","",IF(N19&gt;=$AO$1/100,"O","X"))</f>
        <v>O</v>
      </c>
      <c r="AP19" s="76" t="str">
        <f>IF(I19="","",IF(I19&lt;=$AP$1,"O","X"))</f>
        <v>O</v>
      </c>
      <c r="AQ19" s="76" t="str">
        <f>IF(O19="","",IF(O19&lt;=$AQ$1,"O","X"))</f>
        <v>O</v>
      </c>
      <c r="AR19" s="76" t="str">
        <f>IF(M19="","",IF(M19&lt;=$AR$1,"O","X"))</f>
        <v>O</v>
      </c>
      <c r="AS19" s="76" t="s">
        <v>2</v>
      </c>
      <c r="AT19" s="76" t="str">
        <f>IF(OR(F19="",AI19=""),"",IF(AND((F19&lt;=85),(AI19&gt;=15)),"O","X"))</f>
        <v>O</v>
      </c>
      <c r="AU19" s="76" t="str">
        <f>IF(C19="","",IF(C19&gt;=$AU$1,"O","X"))</f>
        <v>O</v>
      </c>
      <c r="AV19" s="76" t="str">
        <f>IF(AO19="","",IF(AND(AO19="O",AP19="O",AR19="O",AT19="O",AU19="O"),"후보","X"))</f>
        <v>후보</v>
      </c>
    </row>
    <row r="20" spans="1:48" x14ac:dyDescent="0.3">
      <c r="A20" s="9" t="s">
        <v>885</v>
      </c>
      <c r="B20" s="10" t="s">
        <v>1862</v>
      </c>
      <c r="C20" s="87">
        <v>630</v>
      </c>
      <c r="D20" s="85">
        <v>75.5</v>
      </c>
      <c r="E20" s="86">
        <v>23</v>
      </c>
      <c r="F20" s="85">
        <v>60</v>
      </c>
      <c r="G20" s="17">
        <v>18</v>
      </c>
      <c r="H20" s="87">
        <v>210</v>
      </c>
      <c r="I20" s="88">
        <v>19000</v>
      </c>
      <c r="J20" s="88" t="s">
        <v>104</v>
      </c>
      <c r="K20" s="88">
        <v>16000</v>
      </c>
      <c r="L20" s="88" t="s">
        <v>85</v>
      </c>
      <c r="M20" s="89">
        <f>I20-K20</f>
        <v>3000</v>
      </c>
      <c r="N20" s="4">
        <f>IF(ISERROR(K20/I20),"",K20/I20)</f>
        <v>0.84210526315789469</v>
      </c>
      <c r="O20" s="90">
        <f>I20/E20</f>
        <v>826.08695652173913</v>
      </c>
      <c r="P20" s="90">
        <f>K20/E20</f>
        <v>695.6521739130435</v>
      </c>
      <c r="Q20" s="76">
        <v>3</v>
      </c>
      <c r="R20" s="76">
        <v>1</v>
      </c>
      <c r="S20" s="76" t="s">
        <v>61</v>
      </c>
      <c r="T20" s="5" t="s">
        <v>100</v>
      </c>
      <c r="U20" s="9"/>
      <c r="W20" s="85">
        <f>D20</f>
        <v>75.5</v>
      </c>
      <c r="X20" s="86">
        <f>E20</f>
        <v>23</v>
      </c>
      <c r="Y20" s="91">
        <f>H20</f>
        <v>210</v>
      </c>
      <c r="Z20" s="89">
        <f>I20</f>
        <v>19000</v>
      </c>
      <c r="AA20" s="89">
        <f>K20</f>
        <v>16000</v>
      </c>
      <c r="AB20" s="89">
        <f t="shared" si="7"/>
        <v>3000</v>
      </c>
      <c r="AC20" s="4">
        <f t="shared" si="7"/>
        <v>0.84210526315789469</v>
      </c>
      <c r="AD20" s="90">
        <f t="shared" si="7"/>
        <v>826.08695652173913</v>
      </c>
      <c r="AE20" s="76" t="str">
        <f>S20</f>
        <v>계</v>
      </c>
      <c r="AF20" s="76" t="str">
        <f>Q20&amp;"/"&amp;R20</f>
        <v>3/1</v>
      </c>
      <c r="AH20" s="20" t="str">
        <f t="shared" si="1"/>
        <v>중흥</v>
      </c>
      <c r="AI20" s="86">
        <f t="shared" si="0"/>
        <v>23</v>
      </c>
      <c r="AJ20" s="76" t="str">
        <f>IF(AI20="","",$AJ$2)</f>
        <v>A-</v>
      </c>
      <c r="AK20" s="76" t="s">
        <v>13</v>
      </c>
      <c r="AL20" s="76" t="s">
        <v>62</v>
      </c>
      <c r="AM20" s="76" t="s">
        <v>63</v>
      </c>
      <c r="AN20" s="76" t="str">
        <f>IF(AI20="","",$AN$2)</f>
        <v>C</v>
      </c>
      <c r="AO20" s="76" t="str">
        <f>IF(N20="","",IF(N20&gt;=$AO$1/100,"O","X"))</f>
        <v>O</v>
      </c>
      <c r="AP20" s="76" t="str">
        <f>IF(I20="","",IF(I20&lt;=$AP$1,"O","X"))</f>
        <v>O</v>
      </c>
      <c r="AQ20" s="76" t="str">
        <f>IF(O20="","",IF(O20&lt;=$AQ$1,"O","X"))</f>
        <v>O</v>
      </c>
      <c r="AR20" s="76" t="str">
        <f>IF(M20="","",IF(M20&lt;=$AR$1,"O","X"))</f>
        <v>O</v>
      </c>
      <c r="AS20" s="76" t="s">
        <v>2</v>
      </c>
      <c r="AT20" s="76" t="str">
        <f>IF(OR(F20="",AI20=""),"",IF(AND((F20&lt;=85),(AI20&gt;=15)),"O","X"))</f>
        <v>O</v>
      </c>
      <c r="AU20" s="76" t="str">
        <f>IF(C20="","",IF(C20&gt;=$AU$1,"O","X"))</f>
        <v>O</v>
      </c>
      <c r="AV20" s="76" t="str">
        <f>IF(AO20="","",IF(AND(AO20="O",AP20="O",AR20="O",AT20="O",AU20="O"),"후보","X"))</f>
        <v>후보</v>
      </c>
    </row>
    <row r="21" spans="1:48" x14ac:dyDescent="0.3">
      <c r="A21" s="9"/>
      <c r="B21" s="76"/>
      <c r="C21" s="6"/>
      <c r="D21" s="9"/>
      <c r="E21" s="14"/>
      <c r="F21" s="85"/>
      <c r="G21" s="9"/>
      <c r="H21" s="9"/>
      <c r="I21" s="9"/>
      <c r="J21" s="9"/>
      <c r="K21" s="9"/>
      <c r="L21" s="9"/>
      <c r="M21" s="9"/>
      <c r="N21" s="9"/>
      <c r="O21" s="90"/>
      <c r="P21" s="90"/>
      <c r="Q21" s="86"/>
      <c r="R21" s="86"/>
      <c r="S21" s="9"/>
      <c r="T21" s="47"/>
      <c r="U21" s="9"/>
      <c r="W21" s="67" t="str">
        <f>$A$4&amp;" "&amp;A22&amp;"("&amp;B22&amp;","&amp;C22&amp;"^)"</f>
        <v>서신동 동아,한일('97.07.,1408^)</v>
      </c>
      <c r="X21" s="68"/>
      <c r="Y21" s="68"/>
      <c r="Z21" s="68"/>
      <c r="AA21" s="68"/>
      <c r="AB21" s="68"/>
      <c r="AC21" s="68"/>
      <c r="AD21" s="68"/>
      <c r="AE21" s="68"/>
      <c r="AF21" s="69"/>
      <c r="AH21" s="20" t="str">
        <f t="shared" si="1"/>
        <v/>
      </c>
      <c r="AI21" s="108" t="str">
        <f t="shared" si="0"/>
        <v/>
      </c>
      <c r="AJ21" s="76"/>
      <c r="AK21" s="76"/>
      <c r="AL21" s="76"/>
      <c r="AM21" s="76"/>
      <c r="AN21" s="76"/>
      <c r="AO21" s="76"/>
      <c r="AP21" s="76"/>
      <c r="AQ21" s="76"/>
      <c r="AR21" s="76"/>
      <c r="AS21" s="76"/>
      <c r="AT21" s="76"/>
      <c r="AU21" s="76"/>
      <c r="AV21" s="76"/>
    </row>
    <row r="22" spans="1:48" x14ac:dyDescent="0.3">
      <c r="A22" s="9" t="s">
        <v>890</v>
      </c>
      <c r="B22" s="10" t="s">
        <v>1863</v>
      </c>
      <c r="C22" s="87">
        <v>1408</v>
      </c>
      <c r="D22" s="85">
        <v>77.599999999999994</v>
      </c>
      <c r="E22" s="86">
        <v>23</v>
      </c>
      <c r="F22" s="85">
        <v>59.7</v>
      </c>
      <c r="G22" s="17">
        <v>18</v>
      </c>
      <c r="H22" s="87">
        <v>144</v>
      </c>
      <c r="I22" s="88">
        <v>18000</v>
      </c>
      <c r="J22" s="88" t="s">
        <v>80</v>
      </c>
      <c r="K22" s="88">
        <v>18000</v>
      </c>
      <c r="L22" s="88" t="s">
        <v>83</v>
      </c>
      <c r="M22" s="89">
        <f>I22-K22</f>
        <v>0</v>
      </c>
      <c r="N22" s="4">
        <f>IF(ISERROR(K22/I22),"",K22/I22)</f>
        <v>1</v>
      </c>
      <c r="O22" s="90">
        <f>I22/E22</f>
        <v>782.60869565217388</v>
      </c>
      <c r="P22" s="90">
        <f>K22/E22</f>
        <v>782.60869565217388</v>
      </c>
      <c r="Q22" s="76">
        <v>2</v>
      </c>
      <c r="R22" s="76">
        <v>1</v>
      </c>
      <c r="S22" s="76" t="s">
        <v>61</v>
      </c>
      <c r="T22" s="5">
        <v>77</v>
      </c>
      <c r="U22" s="9"/>
      <c r="W22" s="85">
        <f t="shared" ref="W22:X24" si="8">D22</f>
        <v>77.599999999999994</v>
      </c>
      <c r="X22" s="86">
        <f t="shared" si="8"/>
        <v>23</v>
      </c>
      <c r="Y22" s="91">
        <f t="shared" ref="Y22:Z24" si="9">H22</f>
        <v>144</v>
      </c>
      <c r="Z22" s="89">
        <f t="shared" si="9"/>
        <v>18000</v>
      </c>
      <c r="AA22" s="89">
        <f>K22</f>
        <v>18000</v>
      </c>
      <c r="AB22" s="89">
        <f t="shared" ref="AB22:AD24" si="10">M22</f>
        <v>0</v>
      </c>
      <c r="AC22" s="4">
        <f t="shared" si="10"/>
        <v>1</v>
      </c>
      <c r="AD22" s="90">
        <f t="shared" si="10"/>
        <v>782.60869565217388</v>
      </c>
      <c r="AE22" s="76" t="str">
        <f>S22</f>
        <v>계</v>
      </c>
      <c r="AF22" s="76" t="str">
        <f>Q22&amp;"/"&amp;R22</f>
        <v>2/1</v>
      </c>
      <c r="AH22" s="20" t="str">
        <f t="shared" si="1"/>
        <v>동아,한일</v>
      </c>
      <c r="AI22" s="86">
        <f t="shared" si="0"/>
        <v>23</v>
      </c>
      <c r="AJ22" s="76" t="str">
        <f>IF(AI22="","",$AJ$2)</f>
        <v>A-</v>
      </c>
      <c r="AK22" s="76" t="s">
        <v>13</v>
      </c>
      <c r="AL22" s="76" t="s">
        <v>62</v>
      </c>
      <c r="AM22" s="76" t="s">
        <v>63</v>
      </c>
      <c r="AN22" s="76" t="str">
        <f>IF(AI22="","",$AN$2)</f>
        <v>C</v>
      </c>
      <c r="AO22" s="76" t="str">
        <f>IF(N22="","",IF(N22&gt;=$AO$1/100,"O","X"))</f>
        <v>O</v>
      </c>
      <c r="AP22" s="76" t="str">
        <f>IF(I22="","",IF(I22&lt;=$AP$1,"O","X"))</f>
        <v>O</v>
      </c>
      <c r="AQ22" s="76" t="str">
        <f>IF(O22="","",IF(O22&lt;=$AQ$1,"O","X"))</f>
        <v>O</v>
      </c>
      <c r="AR22" s="76" t="str">
        <f>IF(M22="","",IF(M22&lt;=$AR$1,"O","X"))</f>
        <v>O</v>
      </c>
      <c r="AS22" s="76" t="s">
        <v>2</v>
      </c>
      <c r="AT22" s="76" t="str">
        <f>IF(OR(F22="",AI22=""),"",IF(AND((F22&lt;=85),(AI22&gt;=15)),"O","X"))</f>
        <v>O</v>
      </c>
      <c r="AU22" s="76" t="str">
        <f>IF(C22="","",IF(C22&gt;=$AU$1,"O","X"))</f>
        <v>O</v>
      </c>
      <c r="AV22" s="76" t="str">
        <f>IF(AO22="","",IF(AND(AO22="O",AP22="O",AR22="O",AT22="O",AU22="O"),"후보","X"))</f>
        <v>후보</v>
      </c>
    </row>
    <row r="23" spans="1:48" x14ac:dyDescent="0.3">
      <c r="A23" s="9" t="s">
        <v>890</v>
      </c>
      <c r="B23" s="10" t="s">
        <v>1863</v>
      </c>
      <c r="C23" s="87">
        <v>1408</v>
      </c>
      <c r="D23" s="85">
        <v>78.2</v>
      </c>
      <c r="E23" s="86">
        <v>24</v>
      </c>
      <c r="F23" s="85">
        <v>59.9</v>
      </c>
      <c r="G23" s="17">
        <v>18</v>
      </c>
      <c r="H23" s="87">
        <v>704</v>
      </c>
      <c r="I23" s="88">
        <v>17500</v>
      </c>
      <c r="J23" s="88" t="s">
        <v>172</v>
      </c>
      <c r="K23" s="88">
        <v>16500</v>
      </c>
      <c r="L23" s="88" t="s">
        <v>72</v>
      </c>
      <c r="M23" s="89">
        <f>I23-K23</f>
        <v>1000</v>
      </c>
      <c r="N23" s="4">
        <f>IF(ISERROR(K23/I23),"",K23/I23)</f>
        <v>0.94285714285714284</v>
      </c>
      <c r="O23" s="90">
        <f>I23/E23</f>
        <v>729.16666666666663</v>
      </c>
      <c r="P23" s="90">
        <f>K23/E23</f>
        <v>687.5</v>
      </c>
      <c r="Q23" s="76">
        <v>3</v>
      </c>
      <c r="R23" s="76">
        <v>1</v>
      </c>
      <c r="S23" s="76" t="s">
        <v>61</v>
      </c>
      <c r="T23" s="5" t="s">
        <v>173</v>
      </c>
      <c r="U23" s="9"/>
      <c r="W23" s="85">
        <f t="shared" si="8"/>
        <v>78.2</v>
      </c>
      <c r="X23" s="86">
        <f t="shared" si="8"/>
        <v>24</v>
      </c>
      <c r="Y23" s="91">
        <f t="shared" si="9"/>
        <v>704</v>
      </c>
      <c r="Z23" s="89">
        <f t="shared" si="9"/>
        <v>17500</v>
      </c>
      <c r="AA23" s="89">
        <f>K23</f>
        <v>16500</v>
      </c>
      <c r="AB23" s="89">
        <f t="shared" si="10"/>
        <v>1000</v>
      </c>
      <c r="AC23" s="4">
        <f t="shared" si="10"/>
        <v>0.94285714285714284</v>
      </c>
      <c r="AD23" s="90">
        <f t="shared" si="10"/>
        <v>729.16666666666663</v>
      </c>
      <c r="AE23" s="76" t="str">
        <f>S23</f>
        <v>계</v>
      </c>
      <c r="AF23" s="76" t="str">
        <f>Q23&amp;"/"&amp;R23</f>
        <v>3/1</v>
      </c>
      <c r="AH23" s="20" t="str">
        <f t="shared" si="1"/>
        <v>동아,한일</v>
      </c>
      <c r="AI23" s="86">
        <f t="shared" si="0"/>
        <v>24</v>
      </c>
      <c r="AJ23" s="76" t="str">
        <f>IF(AI23="","",$AJ$2)</f>
        <v>A-</v>
      </c>
      <c r="AK23" s="76" t="s">
        <v>13</v>
      </c>
      <c r="AL23" s="76" t="s">
        <v>62</v>
      </c>
      <c r="AM23" s="76" t="s">
        <v>63</v>
      </c>
      <c r="AN23" s="76" t="str">
        <f>IF(AI23="","",$AN$2)</f>
        <v>C</v>
      </c>
      <c r="AO23" s="76" t="str">
        <f>IF(N23="","",IF(N23&gt;=$AO$1/100,"O","X"))</f>
        <v>O</v>
      </c>
      <c r="AP23" s="76" t="str">
        <f>IF(I23="","",IF(I23&lt;=$AP$1,"O","X"))</f>
        <v>O</v>
      </c>
      <c r="AQ23" s="76" t="str">
        <f>IF(O23="","",IF(O23&lt;=$AQ$1,"O","X"))</f>
        <v>O</v>
      </c>
      <c r="AR23" s="76" t="str">
        <f>IF(M23="","",IF(M23&lt;=$AR$1,"O","X"))</f>
        <v>O</v>
      </c>
      <c r="AS23" s="76" t="s">
        <v>2</v>
      </c>
      <c r="AT23" s="76" t="str">
        <f>IF(OR(F23="",AI23=""),"",IF(AND((F23&lt;=85),(AI23&gt;=15)),"O","X"))</f>
        <v>O</v>
      </c>
      <c r="AU23" s="76" t="str">
        <f>IF(C23="","",IF(C23&gt;=$AU$1,"O","X"))</f>
        <v>O</v>
      </c>
      <c r="AV23" s="76" t="str">
        <f>IF(AO23="","",IF(AND(AO23="O",AP23="O",AR23="O",AT23="O",AU23="O"),"후보","X"))</f>
        <v>후보</v>
      </c>
    </row>
    <row r="24" spans="1:48" x14ac:dyDescent="0.3">
      <c r="A24" s="9" t="s">
        <v>890</v>
      </c>
      <c r="B24" s="10" t="s">
        <v>1863</v>
      </c>
      <c r="C24" s="87">
        <v>1408</v>
      </c>
      <c r="D24" s="85">
        <v>78.3</v>
      </c>
      <c r="E24" s="86">
        <v>24</v>
      </c>
      <c r="F24" s="85">
        <v>60</v>
      </c>
      <c r="G24" s="17">
        <v>18</v>
      </c>
      <c r="H24" s="87">
        <v>560</v>
      </c>
      <c r="I24" s="88">
        <v>17500</v>
      </c>
      <c r="J24" s="88" t="s">
        <v>84</v>
      </c>
      <c r="K24" s="88">
        <v>18000</v>
      </c>
      <c r="L24" s="88" t="s">
        <v>104</v>
      </c>
      <c r="M24" s="89">
        <f>I24-K24</f>
        <v>-500</v>
      </c>
      <c r="N24" s="4">
        <f>IF(ISERROR(K24/I24),"",K24/I24)</f>
        <v>1.0285714285714285</v>
      </c>
      <c r="O24" s="90">
        <f>I24/E24</f>
        <v>729.16666666666663</v>
      </c>
      <c r="P24" s="90">
        <f>K24/E24</f>
        <v>750</v>
      </c>
      <c r="Q24" s="76">
        <v>3</v>
      </c>
      <c r="R24" s="76">
        <v>1</v>
      </c>
      <c r="S24" s="76" t="s">
        <v>61</v>
      </c>
      <c r="T24" s="5" t="s">
        <v>174</v>
      </c>
      <c r="U24" s="9"/>
      <c r="W24" s="85">
        <f t="shared" si="8"/>
        <v>78.3</v>
      </c>
      <c r="X24" s="86">
        <f t="shared" si="8"/>
        <v>24</v>
      </c>
      <c r="Y24" s="91">
        <f t="shared" si="9"/>
        <v>560</v>
      </c>
      <c r="Z24" s="89">
        <f t="shared" si="9"/>
        <v>17500</v>
      </c>
      <c r="AA24" s="89">
        <f>K24</f>
        <v>18000</v>
      </c>
      <c r="AB24" s="89">
        <f t="shared" si="10"/>
        <v>-500</v>
      </c>
      <c r="AC24" s="4">
        <f t="shared" si="10"/>
        <v>1.0285714285714285</v>
      </c>
      <c r="AD24" s="90">
        <f t="shared" si="10"/>
        <v>729.16666666666663</v>
      </c>
      <c r="AE24" s="76" t="str">
        <f>S24</f>
        <v>계</v>
      </c>
      <c r="AF24" s="76" t="str">
        <f>Q24&amp;"/"&amp;R24</f>
        <v>3/1</v>
      </c>
      <c r="AH24" s="20" t="str">
        <f t="shared" si="1"/>
        <v>동아,한일</v>
      </c>
      <c r="AI24" s="86">
        <f t="shared" si="0"/>
        <v>24</v>
      </c>
      <c r="AJ24" s="76" t="str">
        <f>IF(AI24="","",$AJ$2)</f>
        <v>A-</v>
      </c>
      <c r="AK24" s="76" t="s">
        <v>13</v>
      </c>
      <c r="AL24" s="76" t="s">
        <v>62</v>
      </c>
      <c r="AM24" s="76" t="s">
        <v>63</v>
      </c>
      <c r="AN24" s="76" t="str">
        <f>IF(AI24="","",$AN$2)</f>
        <v>C</v>
      </c>
      <c r="AO24" s="76" t="str">
        <f>IF(N24="","",IF(N24&gt;=$AO$1/100,"O","X"))</f>
        <v>O</v>
      </c>
      <c r="AP24" s="76" t="str">
        <f>IF(I24="","",IF(I24&lt;=$AP$1,"O","X"))</f>
        <v>O</v>
      </c>
      <c r="AQ24" s="76" t="str">
        <f>IF(O24="","",IF(O24&lt;=$AQ$1,"O","X"))</f>
        <v>O</v>
      </c>
      <c r="AR24" s="76" t="str">
        <f>IF(M24="","",IF(M24&lt;=$AR$1,"O","X"))</f>
        <v>O</v>
      </c>
      <c r="AS24" s="76" t="s">
        <v>2</v>
      </c>
      <c r="AT24" s="76" t="str">
        <f>IF(OR(F24="",AI24=""),"",IF(AND((F24&lt;=85),(AI24&gt;=15)),"O","X"))</f>
        <v>O</v>
      </c>
      <c r="AU24" s="76" t="str">
        <f>IF(C24="","",IF(C24&gt;=$AU$1,"O","X"))</f>
        <v>O</v>
      </c>
      <c r="AV24" s="76" t="str">
        <f>IF(AO24="","",IF(AND(AO24="O",AP24="O",AR24="O",AT24="O",AU24="O"),"후보","X"))</f>
        <v>후보</v>
      </c>
    </row>
    <row r="25" spans="1:48" x14ac:dyDescent="0.3">
      <c r="A25" s="9"/>
      <c r="B25" s="76"/>
      <c r="C25" s="6"/>
      <c r="D25" s="9"/>
      <c r="E25" s="14"/>
      <c r="F25" s="85"/>
      <c r="G25" s="9"/>
      <c r="H25" s="9"/>
      <c r="I25" s="9"/>
      <c r="J25" s="9"/>
      <c r="K25" s="9"/>
      <c r="L25" s="9"/>
      <c r="M25" s="9"/>
      <c r="N25" s="9"/>
      <c r="O25" s="90"/>
      <c r="P25" s="90"/>
      <c r="Q25" s="86"/>
      <c r="R25" s="86"/>
      <c r="S25" s="9"/>
      <c r="T25" s="47"/>
      <c r="U25" s="9"/>
      <c r="W25" s="67" t="str">
        <f>$A$4&amp;" "&amp;A26&amp;"("&amp;B26&amp;","&amp;C26&amp;"^)"</f>
        <v>서신동 현대('96.08.,419^)</v>
      </c>
      <c r="X25" s="68"/>
      <c r="Y25" s="68"/>
      <c r="Z25" s="68"/>
      <c r="AA25" s="68"/>
      <c r="AB25" s="68"/>
      <c r="AC25" s="68"/>
      <c r="AD25" s="68"/>
      <c r="AE25" s="68"/>
      <c r="AF25" s="69"/>
      <c r="AH25" s="20" t="str">
        <f t="shared" si="1"/>
        <v/>
      </c>
      <c r="AI25" s="108" t="str">
        <f t="shared" si="0"/>
        <v/>
      </c>
      <c r="AJ25" s="76"/>
      <c r="AK25" s="76"/>
      <c r="AL25" s="76"/>
      <c r="AM25" s="76"/>
      <c r="AN25" s="76"/>
      <c r="AO25" s="76"/>
      <c r="AP25" s="76"/>
      <c r="AQ25" s="76"/>
      <c r="AR25" s="76"/>
      <c r="AS25" s="76"/>
      <c r="AT25" s="76"/>
      <c r="AU25" s="76"/>
      <c r="AV25" s="76"/>
    </row>
    <row r="26" spans="1:48" x14ac:dyDescent="0.3">
      <c r="A26" s="9" t="s">
        <v>900</v>
      </c>
      <c r="B26" s="10" t="s">
        <v>1864</v>
      </c>
      <c r="C26" s="87">
        <v>419</v>
      </c>
      <c r="D26" s="85">
        <v>119.6</v>
      </c>
      <c r="E26" s="86">
        <v>36</v>
      </c>
      <c r="F26" s="85">
        <v>100</v>
      </c>
      <c r="G26" s="17">
        <v>30</v>
      </c>
      <c r="H26" s="87">
        <v>299</v>
      </c>
      <c r="I26" s="88">
        <v>34000</v>
      </c>
      <c r="J26" s="88" t="s">
        <v>85</v>
      </c>
      <c r="K26" s="88"/>
      <c r="L26" s="88"/>
      <c r="M26" s="89">
        <f>I26-K26</f>
        <v>34000</v>
      </c>
      <c r="N26" s="4">
        <f>IF(ISERROR(K26/I26),"",K26/I26)</f>
        <v>0</v>
      </c>
      <c r="O26" s="90">
        <f>I26/E26</f>
        <v>944.44444444444446</v>
      </c>
      <c r="P26" s="90">
        <f>K26/E26</f>
        <v>0</v>
      </c>
      <c r="Q26" s="76">
        <v>4</v>
      </c>
      <c r="R26" s="76">
        <v>2</v>
      </c>
      <c r="S26" s="76" t="s">
        <v>61</v>
      </c>
      <c r="T26" s="5">
        <v>119</v>
      </c>
      <c r="U26" s="9"/>
      <c r="W26" s="85">
        <f>D26</f>
        <v>119.6</v>
      </c>
      <c r="X26" s="86">
        <f>E26</f>
        <v>36</v>
      </c>
      <c r="Y26" s="91">
        <f>H26</f>
        <v>299</v>
      </c>
      <c r="Z26" s="89">
        <f>I26</f>
        <v>34000</v>
      </c>
      <c r="AA26" s="89">
        <f>K26</f>
        <v>0</v>
      </c>
      <c r="AB26" s="89">
        <f t="shared" ref="AB26:AD27" si="11">M26</f>
        <v>34000</v>
      </c>
      <c r="AC26" s="4">
        <f t="shared" si="11"/>
        <v>0</v>
      </c>
      <c r="AD26" s="90">
        <f t="shared" si="11"/>
        <v>944.44444444444446</v>
      </c>
      <c r="AE26" s="76" t="str">
        <f>S26</f>
        <v>계</v>
      </c>
      <c r="AF26" s="76" t="str">
        <f>Q26&amp;"/"&amp;R26</f>
        <v>4/2</v>
      </c>
      <c r="AH26" s="20" t="str">
        <f t="shared" si="1"/>
        <v>현대</v>
      </c>
      <c r="AI26" s="86">
        <f t="shared" si="0"/>
        <v>36</v>
      </c>
      <c r="AJ26" s="76" t="str">
        <f>IF(AI26="","",$AJ$2)</f>
        <v>A-</v>
      </c>
      <c r="AK26" s="76" t="s">
        <v>13</v>
      </c>
      <c r="AL26" s="76" t="s">
        <v>62</v>
      </c>
      <c r="AM26" s="76" t="s">
        <v>63</v>
      </c>
      <c r="AN26" s="76" t="str">
        <f>IF(AI26="","",$AN$2)</f>
        <v>C</v>
      </c>
      <c r="AO26" s="76" t="str">
        <f>IF(N26="","",IF(N26&gt;=$AO$1/100,"O","X"))</f>
        <v>X</v>
      </c>
      <c r="AP26" s="76" t="str">
        <f>IF(I26="","",IF(I26&lt;=$AP$1,"O","X"))</f>
        <v>O</v>
      </c>
      <c r="AQ26" s="76" t="str">
        <f>IF(O26="","",IF(O26&lt;=$AQ$1,"O","X"))</f>
        <v>O</v>
      </c>
      <c r="AR26" s="76" t="str">
        <f>IF(M26="","",IF(M26&lt;=$AR$1,"O","X"))</f>
        <v>X</v>
      </c>
      <c r="AS26" s="76" t="s">
        <v>2</v>
      </c>
      <c r="AT26" s="76" t="str">
        <f>IF(OR(F26="",AI26=""),"",IF(AND((F26&lt;=85),(AI26&gt;=15)),"O","X"))</f>
        <v>X</v>
      </c>
      <c r="AU26" s="76" t="str">
        <f>IF(C26="","",IF(C26&gt;=$AU$1,"O","X"))</f>
        <v>O</v>
      </c>
      <c r="AV26" s="76" t="str">
        <f>IF(AO26="","",IF(AND(AO26="O",AP26="O",AR26="O",AT26="O",AU26="O"),"후보","X"))</f>
        <v>X</v>
      </c>
    </row>
    <row r="27" spans="1:48" x14ac:dyDescent="0.3">
      <c r="A27" s="9" t="s">
        <v>900</v>
      </c>
      <c r="B27" s="10" t="s">
        <v>1864</v>
      </c>
      <c r="C27" s="87">
        <v>419</v>
      </c>
      <c r="D27" s="85">
        <v>161.30000000000001</v>
      </c>
      <c r="E27" s="86">
        <v>49</v>
      </c>
      <c r="F27" s="85">
        <v>134.9</v>
      </c>
      <c r="G27" s="17">
        <v>41</v>
      </c>
      <c r="H27" s="87">
        <v>120</v>
      </c>
      <c r="I27" s="88"/>
      <c r="J27" s="88"/>
      <c r="K27" s="88"/>
      <c r="L27" s="88"/>
      <c r="M27" s="89">
        <f>I27-K27</f>
        <v>0</v>
      </c>
      <c r="N27" s="4" t="str">
        <f>IF(ISERROR(K27/I27),"",K27/I27)</f>
        <v/>
      </c>
      <c r="O27" s="90">
        <f>I27/E27</f>
        <v>0</v>
      </c>
      <c r="P27" s="90">
        <f>K27/E27</f>
        <v>0</v>
      </c>
      <c r="Q27" s="76">
        <v>4</v>
      </c>
      <c r="R27" s="76">
        <v>2</v>
      </c>
      <c r="S27" s="76" t="s">
        <v>61</v>
      </c>
      <c r="T27" s="5">
        <v>161</v>
      </c>
      <c r="U27" s="9"/>
      <c r="W27" s="85">
        <f>D27</f>
        <v>161.30000000000001</v>
      </c>
      <c r="X27" s="86">
        <f>E27</f>
        <v>49</v>
      </c>
      <c r="Y27" s="91">
        <f>H27</f>
        <v>120</v>
      </c>
      <c r="Z27" s="89">
        <f>I27</f>
        <v>0</v>
      </c>
      <c r="AA27" s="89">
        <f>K27</f>
        <v>0</v>
      </c>
      <c r="AB27" s="89">
        <f t="shared" si="11"/>
        <v>0</v>
      </c>
      <c r="AC27" s="4" t="str">
        <f t="shared" si="11"/>
        <v/>
      </c>
      <c r="AD27" s="90">
        <f t="shared" si="11"/>
        <v>0</v>
      </c>
      <c r="AE27" s="76" t="str">
        <f>S27</f>
        <v>계</v>
      </c>
      <c r="AF27" s="76" t="str">
        <f>Q27&amp;"/"&amp;R27</f>
        <v>4/2</v>
      </c>
      <c r="AH27" s="20" t="str">
        <f t="shared" si="1"/>
        <v>현대</v>
      </c>
      <c r="AI27" s="86">
        <f t="shared" si="0"/>
        <v>49</v>
      </c>
      <c r="AJ27" s="76" t="str">
        <f>IF(AI27="","",$AJ$2)</f>
        <v>A-</v>
      </c>
      <c r="AK27" s="76" t="s">
        <v>13</v>
      </c>
      <c r="AL27" s="76" t="s">
        <v>62</v>
      </c>
      <c r="AM27" s="76" t="s">
        <v>63</v>
      </c>
      <c r="AN27" s="76" t="str">
        <f>IF(AI27="","",$AN$2)</f>
        <v>C</v>
      </c>
      <c r="AO27" s="76" t="str">
        <f>IF(N27="","",IF(N27&gt;=$AO$1/100,"O","X"))</f>
        <v/>
      </c>
      <c r="AP27" s="76" t="str">
        <f>IF(I27="","",IF(I27&lt;=$AP$1,"O","X"))</f>
        <v/>
      </c>
      <c r="AQ27" s="76" t="str">
        <f>IF(O27="","",IF(O27&lt;=$AQ$1,"O","X"))</f>
        <v>O</v>
      </c>
      <c r="AR27" s="76" t="str">
        <f>IF(M27="","",IF(M27&lt;=$AR$1,"O","X"))</f>
        <v>O</v>
      </c>
      <c r="AS27" s="76" t="s">
        <v>2</v>
      </c>
      <c r="AT27" s="76" t="str">
        <f>IF(OR(F27="",AI27=""),"",IF(AND((F27&lt;=85),(AI27&gt;=15)),"O","X"))</f>
        <v>X</v>
      </c>
      <c r="AU27" s="76" t="str">
        <f>IF(C27="","",IF(C27&gt;=$AU$1,"O","X"))</f>
        <v>O</v>
      </c>
      <c r="AV27" s="76" t="str">
        <f>IF(AO27="","",IF(AND(AO27="O",AP27="O",AR27="O",AT27="O",AU27="O"),"후보","X"))</f>
        <v/>
      </c>
    </row>
    <row r="28" spans="1:48" x14ac:dyDescent="0.3">
      <c r="A28" s="9"/>
      <c r="B28" s="76"/>
      <c r="C28" s="6"/>
      <c r="D28" s="9"/>
      <c r="E28" s="14"/>
      <c r="F28" s="85"/>
      <c r="G28" s="9"/>
      <c r="H28" s="9"/>
      <c r="I28" s="9"/>
      <c r="J28" s="9"/>
      <c r="K28" s="9"/>
      <c r="L28" s="9"/>
      <c r="M28" s="9"/>
      <c r="N28" s="9"/>
      <c r="O28" s="90"/>
      <c r="P28" s="90"/>
      <c r="Q28" s="86"/>
      <c r="R28" s="86"/>
      <c r="S28" s="9"/>
      <c r="T28" s="47"/>
      <c r="U28" s="9"/>
      <c r="W28" s="67" t="str">
        <f>$A$4&amp;" "&amp;A29&amp;"("&amp;B29&amp;","&amp;C29&amp;"^)"</f>
        <v>서신동 대우('98.06.,208^)</v>
      </c>
      <c r="X28" s="68"/>
      <c r="Y28" s="68"/>
      <c r="Z28" s="68"/>
      <c r="AA28" s="68"/>
      <c r="AB28" s="68"/>
      <c r="AC28" s="68"/>
      <c r="AD28" s="68"/>
      <c r="AE28" s="68"/>
      <c r="AF28" s="69"/>
      <c r="AH28" s="20" t="str">
        <f t="shared" si="1"/>
        <v/>
      </c>
      <c r="AI28" s="108" t="str">
        <f t="shared" si="0"/>
        <v/>
      </c>
      <c r="AJ28" s="76"/>
      <c r="AK28" s="76"/>
      <c r="AL28" s="76"/>
      <c r="AM28" s="76"/>
      <c r="AN28" s="76"/>
      <c r="AO28" s="76"/>
      <c r="AP28" s="76"/>
      <c r="AQ28" s="76"/>
      <c r="AR28" s="76"/>
      <c r="AS28" s="76"/>
      <c r="AT28" s="76"/>
      <c r="AU28" s="76"/>
      <c r="AV28" s="76"/>
    </row>
    <row r="29" spans="1:48" x14ac:dyDescent="0.3">
      <c r="A29" s="9" t="s">
        <v>905</v>
      </c>
      <c r="B29" s="10" t="s">
        <v>1865</v>
      </c>
      <c r="C29" s="87">
        <v>208</v>
      </c>
      <c r="D29" s="85">
        <v>122.6</v>
      </c>
      <c r="E29" s="86">
        <v>37</v>
      </c>
      <c r="F29" s="85">
        <v>99.1</v>
      </c>
      <c r="G29" s="17">
        <v>30</v>
      </c>
      <c r="H29" s="87">
        <v>118</v>
      </c>
      <c r="I29" s="88"/>
      <c r="J29" s="88"/>
      <c r="K29" s="88"/>
      <c r="L29" s="88"/>
      <c r="M29" s="89">
        <f>I29-K29</f>
        <v>0</v>
      </c>
      <c r="N29" s="4" t="str">
        <f>IF(ISERROR(K29/I29),"",K29/I29)</f>
        <v/>
      </c>
      <c r="O29" s="90">
        <f>I29/E29</f>
        <v>0</v>
      </c>
      <c r="P29" s="90">
        <f>K29/E29</f>
        <v>0</v>
      </c>
      <c r="Q29" s="76">
        <v>3</v>
      </c>
      <c r="R29" s="76">
        <v>2</v>
      </c>
      <c r="S29" s="76" t="s">
        <v>61</v>
      </c>
      <c r="T29" s="5">
        <v>122</v>
      </c>
      <c r="U29" s="9"/>
      <c r="W29" s="85">
        <f>D29</f>
        <v>122.6</v>
      </c>
      <c r="X29" s="86">
        <f>E29</f>
        <v>37</v>
      </c>
      <c r="Y29" s="91">
        <f>H29</f>
        <v>118</v>
      </c>
      <c r="Z29" s="89">
        <f>I29</f>
        <v>0</v>
      </c>
      <c r="AA29" s="89">
        <f>K29</f>
        <v>0</v>
      </c>
      <c r="AB29" s="89">
        <f t="shared" ref="AB29:AD30" si="12">M29</f>
        <v>0</v>
      </c>
      <c r="AC29" s="4" t="str">
        <f t="shared" si="12"/>
        <v/>
      </c>
      <c r="AD29" s="90">
        <f t="shared" si="12"/>
        <v>0</v>
      </c>
      <c r="AE29" s="76" t="str">
        <f>S29</f>
        <v>계</v>
      </c>
      <c r="AF29" s="76" t="str">
        <f>Q29&amp;"/"&amp;R29</f>
        <v>3/2</v>
      </c>
      <c r="AH29" s="20" t="str">
        <f t="shared" si="1"/>
        <v>대우</v>
      </c>
      <c r="AI29" s="86">
        <f t="shared" si="0"/>
        <v>37</v>
      </c>
      <c r="AJ29" s="76" t="str">
        <f>IF(AI29="","",$AJ$2)</f>
        <v>A-</v>
      </c>
      <c r="AK29" s="76" t="s">
        <v>13</v>
      </c>
      <c r="AL29" s="76" t="s">
        <v>62</v>
      </c>
      <c r="AM29" s="76" t="s">
        <v>63</v>
      </c>
      <c r="AN29" s="76" t="str">
        <f>IF(AI29="","",$AN$2)</f>
        <v>C</v>
      </c>
      <c r="AO29" s="76" t="str">
        <f>IF(N29="","",IF(N29&gt;=$AO$1/100,"O","X"))</f>
        <v/>
      </c>
      <c r="AP29" s="76" t="str">
        <f>IF(I29="","",IF(I29&lt;=$AP$1,"O","X"))</f>
        <v/>
      </c>
      <c r="AQ29" s="76" t="str">
        <f>IF(O29="","",IF(O29&lt;=$AQ$1,"O","X"))</f>
        <v>O</v>
      </c>
      <c r="AR29" s="76" t="str">
        <f>IF(M29="","",IF(M29&lt;=$AR$1,"O","X"))</f>
        <v>O</v>
      </c>
      <c r="AS29" s="76" t="s">
        <v>2</v>
      </c>
      <c r="AT29" s="76" t="str">
        <f>IF(OR(F29="",AI29=""),"",IF(AND((F29&lt;=85),(AI29&gt;=15)),"O","X"))</f>
        <v>X</v>
      </c>
      <c r="AU29" s="76" t="str">
        <f>IF(C29="","",IF(C29&gt;=$AU$1,"O","X"))</f>
        <v>X</v>
      </c>
      <c r="AV29" s="76" t="str">
        <f>IF(AO29="","",IF(AND(AO29="O",AP29="O",AR29="O",AT29="O",AU29="O"),"후보","X"))</f>
        <v/>
      </c>
    </row>
    <row r="30" spans="1:48" x14ac:dyDescent="0.3">
      <c r="A30" s="9" t="s">
        <v>905</v>
      </c>
      <c r="B30" s="10" t="s">
        <v>1865</v>
      </c>
      <c r="C30" s="87">
        <v>208</v>
      </c>
      <c r="D30" s="85">
        <v>157.9</v>
      </c>
      <c r="E30" s="86">
        <v>48</v>
      </c>
      <c r="F30" s="85">
        <v>134.6</v>
      </c>
      <c r="G30" s="17">
        <v>41</v>
      </c>
      <c r="H30" s="87">
        <v>90</v>
      </c>
      <c r="I30" s="88"/>
      <c r="J30" s="88"/>
      <c r="K30" s="88"/>
      <c r="L30" s="88"/>
      <c r="M30" s="89">
        <f>I30-K30</f>
        <v>0</v>
      </c>
      <c r="N30" s="4" t="str">
        <f>IF(ISERROR(K30/I30),"",K30/I30)</f>
        <v/>
      </c>
      <c r="O30" s="90">
        <f>I30/E30</f>
        <v>0</v>
      </c>
      <c r="P30" s="90">
        <f>K30/E30</f>
        <v>0</v>
      </c>
      <c r="Q30" s="76">
        <v>4</v>
      </c>
      <c r="R30" s="76">
        <v>2</v>
      </c>
      <c r="S30" s="76" t="s">
        <v>61</v>
      </c>
      <c r="T30" s="5">
        <v>157</v>
      </c>
      <c r="U30" s="9"/>
      <c r="W30" s="85">
        <f>D30</f>
        <v>157.9</v>
      </c>
      <c r="X30" s="86">
        <f>E30</f>
        <v>48</v>
      </c>
      <c r="Y30" s="91">
        <f>H30</f>
        <v>90</v>
      </c>
      <c r="Z30" s="89">
        <f>I30</f>
        <v>0</v>
      </c>
      <c r="AA30" s="89">
        <f>K30</f>
        <v>0</v>
      </c>
      <c r="AB30" s="89">
        <f t="shared" si="12"/>
        <v>0</v>
      </c>
      <c r="AC30" s="4" t="str">
        <f t="shared" si="12"/>
        <v/>
      </c>
      <c r="AD30" s="90">
        <f t="shared" si="12"/>
        <v>0</v>
      </c>
      <c r="AE30" s="76" t="str">
        <f>S30</f>
        <v>계</v>
      </c>
      <c r="AF30" s="76" t="str">
        <f>Q30&amp;"/"&amp;R30</f>
        <v>4/2</v>
      </c>
      <c r="AH30" s="20" t="str">
        <f t="shared" si="1"/>
        <v>대우</v>
      </c>
      <c r="AI30" s="86">
        <f t="shared" si="0"/>
        <v>48</v>
      </c>
      <c r="AJ30" s="76" t="str">
        <f>IF(AI30="","",$AJ$2)</f>
        <v>A-</v>
      </c>
      <c r="AK30" s="76" t="s">
        <v>13</v>
      </c>
      <c r="AL30" s="76" t="s">
        <v>62</v>
      </c>
      <c r="AM30" s="76" t="s">
        <v>63</v>
      </c>
      <c r="AN30" s="76" t="str">
        <f>IF(AI30="","",$AN$2)</f>
        <v>C</v>
      </c>
      <c r="AO30" s="76" t="str">
        <f>IF(N30="","",IF(N30&gt;=$AO$1/100,"O","X"))</f>
        <v/>
      </c>
      <c r="AP30" s="76" t="str">
        <f>IF(I30="","",IF(I30&lt;=$AP$1,"O","X"))</f>
        <v/>
      </c>
      <c r="AQ30" s="76" t="str">
        <f>IF(O30="","",IF(O30&lt;=$AQ$1,"O","X"))</f>
        <v>O</v>
      </c>
      <c r="AR30" s="76" t="str">
        <f>IF(M30="","",IF(M30&lt;=$AR$1,"O","X"))</f>
        <v>O</v>
      </c>
      <c r="AS30" s="76" t="s">
        <v>2</v>
      </c>
      <c r="AT30" s="76" t="str">
        <f>IF(OR(F30="",AI30=""),"",IF(AND((F30&lt;=85),(AI30&gt;=15)),"O","X"))</f>
        <v>X</v>
      </c>
      <c r="AU30" s="76" t="str">
        <f>IF(C30="","",IF(C30&gt;=$AU$1,"O","X"))</f>
        <v>X</v>
      </c>
      <c r="AV30" s="76" t="str">
        <f>IF(AO30="","",IF(AND(AO30="O",AP30="O",AR30="O",AT30="O",AU30="O"),"후보","X"))</f>
        <v/>
      </c>
    </row>
    <row r="31" spans="1:48" x14ac:dyDescent="0.3">
      <c r="A31" s="9"/>
      <c r="B31" s="76"/>
      <c r="C31" s="6"/>
      <c r="D31" s="9"/>
      <c r="E31" s="14"/>
      <c r="F31" s="85"/>
      <c r="G31" s="9"/>
      <c r="H31" s="9"/>
      <c r="I31" s="9"/>
      <c r="J31" s="9"/>
      <c r="K31" s="9"/>
      <c r="L31" s="9"/>
      <c r="M31" s="9"/>
      <c r="N31" s="9"/>
      <c r="O31" s="90"/>
      <c r="P31" s="90"/>
      <c r="Q31" s="86"/>
      <c r="R31" s="86"/>
      <c r="S31" s="9"/>
      <c r="T31" s="47"/>
      <c r="U31" s="9"/>
      <c r="W31" s="67" t="str">
        <f>$A$4&amp;" "&amp;A32&amp;"("&amp;B32&amp;","&amp;C32&amp;"^)"</f>
        <v>서신동 서신남양대명타운('95.12.,510^)</v>
      </c>
      <c r="X31" s="68"/>
      <c r="Y31" s="68"/>
      <c r="Z31" s="68"/>
      <c r="AA31" s="68"/>
      <c r="AB31" s="68"/>
      <c r="AC31" s="68"/>
      <c r="AD31" s="68"/>
      <c r="AE31" s="68"/>
      <c r="AF31" s="69"/>
      <c r="AH31" s="20" t="str">
        <f t="shared" si="1"/>
        <v/>
      </c>
      <c r="AI31" s="108" t="str">
        <f t="shared" si="0"/>
        <v/>
      </c>
      <c r="AJ31" s="76"/>
      <c r="AK31" s="76"/>
      <c r="AL31" s="76"/>
      <c r="AM31" s="76"/>
      <c r="AN31" s="76"/>
      <c r="AO31" s="76"/>
      <c r="AP31" s="76"/>
      <c r="AQ31" s="76"/>
      <c r="AR31" s="76"/>
      <c r="AS31" s="76"/>
      <c r="AT31" s="76"/>
      <c r="AU31" s="76"/>
      <c r="AV31" s="76"/>
    </row>
    <row r="32" spans="1:48" x14ac:dyDescent="0.3">
      <c r="A32" s="9" t="s">
        <v>910</v>
      </c>
      <c r="B32" s="10" t="s">
        <v>1866</v>
      </c>
      <c r="C32" s="87">
        <v>510</v>
      </c>
      <c r="D32" s="85">
        <v>103.3</v>
      </c>
      <c r="E32" s="86">
        <v>31</v>
      </c>
      <c r="F32" s="85">
        <v>85</v>
      </c>
      <c r="G32" s="17">
        <v>26</v>
      </c>
      <c r="H32" s="87">
        <v>510</v>
      </c>
      <c r="I32" s="88">
        <v>24000</v>
      </c>
      <c r="J32" s="88" t="s">
        <v>131</v>
      </c>
      <c r="K32" s="88">
        <v>23000</v>
      </c>
      <c r="L32" s="88" t="s">
        <v>181</v>
      </c>
      <c r="M32" s="89">
        <f>I32-K32</f>
        <v>1000</v>
      </c>
      <c r="N32" s="4">
        <f>IF(ISERROR(K32/I32),"",K32/I32)</f>
        <v>0.95833333333333337</v>
      </c>
      <c r="O32" s="90">
        <f>I32/E32</f>
        <v>774.19354838709683</v>
      </c>
      <c r="P32" s="90">
        <f>K32/E32</f>
        <v>741.93548387096769</v>
      </c>
      <c r="Q32" s="76">
        <v>3</v>
      </c>
      <c r="R32" s="76">
        <v>2</v>
      </c>
      <c r="S32" s="76" t="s">
        <v>61</v>
      </c>
      <c r="T32" s="5">
        <v>103</v>
      </c>
      <c r="U32" s="9"/>
      <c r="W32" s="85">
        <f>D32</f>
        <v>103.3</v>
      </c>
      <c r="X32" s="86">
        <f>E32</f>
        <v>31</v>
      </c>
      <c r="Y32" s="91">
        <f>H32</f>
        <v>510</v>
      </c>
      <c r="Z32" s="89">
        <f>I32</f>
        <v>24000</v>
      </c>
      <c r="AA32" s="89">
        <f>K32</f>
        <v>23000</v>
      </c>
      <c r="AB32" s="89">
        <f>M32</f>
        <v>1000</v>
      </c>
      <c r="AC32" s="4">
        <f>N32</f>
        <v>0.95833333333333337</v>
      </c>
      <c r="AD32" s="90">
        <f>O32</f>
        <v>774.19354838709683</v>
      </c>
      <c r="AE32" s="76" t="str">
        <f>S32</f>
        <v>계</v>
      </c>
      <c r="AF32" s="76" t="str">
        <f>Q32&amp;"/"&amp;R32</f>
        <v>3/2</v>
      </c>
      <c r="AH32" s="20" t="str">
        <f t="shared" si="1"/>
        <v>서신남양대명타운</v>
      </c>
      <c r="AI32" s="86">
        <f t="shared" si="0"/>
        <v>31</v>
      </c>
      <c r="AJ32" s="76" t="str">
        <f>IF(AI32="","",$AJ$2)</f>
        <v>A-</v>
      </c>
      <c r="AK32" s="76" t="s">
        <v>13</v>
      </c>
      <c r="AL32" s="76" t="s">
        <v>62</v>
      </c>
      <c r="AM32" s="76" t="s">
        <v>63</v>
      </c>
      <c r="AN32" s="76" t="str">
        <f>IF(AI32="","",$AN$2)</f>
        <v>C</v>
      </c>
      <c r="AO32" s="76" t="str">
        <f>IF(N32="","",IF(N32&gt;=$AO$1/100,"O","X"))</f>
        <v>O</v>
      </c>
      <c r="AP32" s="76" t="str">
        <f>IF(I32="","",IF(I32&lt;=$AP$1,"O","X"))</f>
        <v>O</v>
      </c>
      <c r="AQ32" s="76" t="str">
        <f>IF(O32="","",IF(O32&lt;=$AQ$1,"O","X"))</f>
        <v>O</v>
      </c>
      <c r="AR32" s="76" t="str">
        <f>IF(M32="","",IF(M32&lt;=$AR$1,"O","X"))</f>
        <v>O</v>
      </c>
      <c r="AS32" s="76" t="s">
        <v>2</v>
      </c>
      <c r="AT32" s="76" t="str">
        <f>IF(OR(F32="",AI32=""),"",IF(AND((F32&lt;=85),(AI32&gt;=15)),"O","X"))</f>
        <v>O</v>
      </c>
      <c r="AU32" s="76" t="str">
        <f>IF(C32="","",IF(C32&gt;=$AU$1,"O","X"))</f>
        <v>O</v>
      </c>
      <c r="AV32" s="76" t="str">
        <f>IF(AO32="","",IF(AND(AO32="O",AP32="O",AR32="O",AT32="O",AU32="O"),"후보","X"))</f>
        <v>후보</v>
      </c>
    </row>
    <row r="33" spans="1:48" x14ac:dyDescent="0.3">
      <c r="A33" s="9"/>
      <c r="B33" s="76"/>
      <c r="C33" s="6"/>
      <c r="D33" s="9"/>
      <c r="E33" s="14"/>
      <c r="F33" s="85"/>
      <c r="G33" s="9"/>
      <c r="H33" s="9"/>
      <c r="I33" s="9"/>
      <c r="J33" s="9"/>
      <c r="K33" s="9"/>
      <c r="L33" s="9"/>
      <c r="M33" s="9"/>
      <c r="N33" s="9"/>
      <c r="O33" s="90"/>
      <c r="P33" s="90"/>
      <c r="Q33" s="86"/>
      <c r="R33" s="86"/>
      <c r="S33" s="9"/>
      <c r="T33" s="47"/>
      <c r="U33" s="9"/>
      <c r="W33" s="67" t="str">
        <f>$A$4&amp;" "&amp;A34&amp;"("&amp;B34&amp;","&amp;C34&amp;"^)"</f>
        <v>서신동 비사벌('95.08.,216^)</v>
      </c>
      <c r="X33" s="68"/>
      <c r="Y33" s="68"/>
      <c r="Z33" s="68"/>
      <c r="AA33" s="68"/>
      <c r="AB33" s="68"/>
      <c r="AC33" s="68"/>
      <c r="AD33" s="68"/>
      <c r="AE33" s="68"/>
      <c r="AF33" s="69"/>
      <c r="AH33" s="20" t="str">
        <f t="shared" si="1"/>
        <v/>
      </c>
      <c r="AI33" s="108" t="str">
        <f t="shared" si="0"/>
        <v/>
      </c>
      <c r="AJ33" s="76"/>
      <c r="AK33" s="76"/>
      <c r="AL33" s="76"/>
      <c r="AM33" s="76"/>
      <c r="AN33" s="76"/>
      <c r="AO33" s="76"/>
      <c r="AP33" s="76"/>
      <c r="AQ33" s="76"/>
      <c r="AR33" s="76"/>
      <c r="AS33" s="76"/>
      <c r="AT33" s="76"/>
      <c r="AU33" s="76"/>
      <c r="AV33" s="76"/>
    </row>
    <row r="34" spans="1:48" x14ac:dyDescent="0.3">
      <c r="A34" s="9" t="s">
        <v>915</v>
      </c>
      <c r="B34" s="10" t="s">
        <v>1867</v>
      </c>
      <c r="C34" s="87">
        <v>216</v>
      </c>
      <c r="D34" s="85">
        <v>128.80000000000001</v>
      </c>
      <c r="E34" s="86">
        <v>39</v>
      </c>
      <c r="F34" s="85">
        <v>108</v>
      </c>
      <c r="G34" s="17">
        <v>33</v>
      </c>
      <c r="H34" s="87">
        <v>216</v>
      </c>
      <c r="I34" s="88"/>
      <c r="J34" s="88"/>
      <c r="K34" s="88"/>
      <c r="L34" s="88"/>
      <c r="M34" s="89">
        <f>I34-K34</f>
        <v>0</v>
      </c>
      <c r="N34" s="4" t="str">
        <f>IF(ISERROR(K34/I34),"",K34/I34)</f>
        <v/>
      </c>
      <c r="O34" s="90">
        <f>I34/E34</f>
        <v>0</v>
      </c>
      <c r="P34" s="90">
        <f>K34/E34</f>
        <v>0</v>
      </c>
      <c r="Q34" s="76">
        <v>4</v>
      </c>
      <c r="R34" s="76">
        <v>2</v>
      </c>
      <c r="S34" s="76" t="s">
        <v>61</v>
      </c>
      <c r="T34" s="5">
        <v>128</v>
      </c>
      <c r="U34" s="9"/>
      <c r="W34" s="85">
        <f>D34</f>
        <v>128.80000000000001</v>
      </c>
      <c r="X34" s="86">
        <f>E34</f>
        <v>39</v>
      </c>
      <c r="Y34" s="91">
        <f>H34</f>
        <v>216</v>
      </c>
      <c r="Z34" s="89">
        <f>I34</f>
        <v>0</v>
      </c>
      <c r="AA34" s="89">
        <f>K34</f>
        <v>0</v>
      </c>
      <c r="AB34" s="89">
        <f>M34</f>
        <v>0</v>
      </c>
      <c r="AC34" s="4" t="str">
        <f>N34</f>
        <v/>
      </c>
      <c r="AD34" s="90">
        <f>O34</f>
        <v>0</v>
      </c>
      <c r="AE34" s="76" t="str">
        <f>S34</f>
        <v>계</v>
      </c>
      <c r="AF34" s="76" t="str">
        <f>Q34&amp;"/"&amp;R34</f>
        <v>4/2</v>
      </c>
      <c r="AH34" s="20" t="str">
        <f t="shared" si="1"/>
        <v>비사벌</v>
      </c>
      <c r="AI34" s="86">
        <f t="shared" si="0"/>
        <v>39</v>
      </c>
      <c r="AJ34" s="76" t="str">
        <f>IF(AI34="","",$AJ$2)</f>
        <v>A-</v>
      </c>
      <c r="AK34" s="76" t="s">
        <v>13</v>
      </c>
      <c r="AL34" s="76" t="s">
        <v>62</v>
      </c>
      <c r="AM34" s="76" t="s">
        <v>63</v>
      </c>
      <c r="AN34" s="76" t="str">
        <f>IF(AI34="","",$AN$2)</f>
        <v>C</v>
      </c>
      <c r="AO34" s="76" t="str">
        <f>IF(N34="","",IF(N34&gt;=$AO$1/100,"O","X"))</f>
        <v/>
      </c>
      <c r="AP34" s="76" t="str">
        <f>IF(I34="","",IF(I34&lt;=$AP$1,"O","X"))</f>
        <v/>
      </c>
      <c r="AQ34" s="76" t="str">
        <f>IF(O34="","",IF(O34&lt;=$AQ$1,"O","X"))</f>
        <v>O</v>
      </c>
      <c r="AR34" s="76" t="str">
        <f>IF(M34="","",IF(M34&lt;=$AR$1,"O","X"))</f>
        <v>O</v>
      </c>
      <c r="AS34" s="76" t="s">
        <v>2</v>
      </c>
      <c r="AT34" s="76" t="str">
        <f>IF(OR(F34="",AI34=""),"",IF(AND((F34&lt;=85),(AI34&gt;=15)),"O","X"))</f>
        <v>X</v>
      </c>
      <c r="AU34" s="76" t="str">
        <f>IF(C34="","",IF(C34&gt;=$AU$1,"O","X"))</f>
        <v>X</v>
      </c>
      <c r="AV34" s="76" t="str">
        <f>IF(AO34="","",IF(AND(AO34="O",AP34="O",AR34="O",AT34="O",AU34="O"),"후보","X"))</f>
        <v/>
      </c>
    </row>
    <row r="35" spans="1:48" x14ac:dyDescent="0.3">
      <c r="A35" s="9"/>
      <c r="B35" s="76"/>
      <c r="C35" s="6"/>
      <c r="D35" s="9"/>
      <c r="E35" s="14"/>
      <c r="F35" s="85"/>
      <c r="G35" s="9"/>
      <c r="H35" s="9"/>
      <c r="I35" s="9"/>
      <c r="J35" s="9"/>
      <c r="K35" s="9"/>
      <c r="L35" s="9"/>
      <c r="M35" s="9"/>
      <c r="N35" s="9"/>
      <c r="O35" s="90"/>
      <c r="P35" s="90"/>
      <c r="Q35" s="86"/>
      <c r="R35" s="86"/>
      <c r="S35" s="9"/>
      <c r="T35" s="47"/>
      <c r="U35" s="9"/>
      <c r="W35" s="67" t="str">
        <f>$A$4&amp;" "&amp;A36&amp;"("&amp;B36&amp;","&amp;C36&amp;"^)"</f>
        <v>서신동 서신광진('95.12.,826^)</v>
      </c>
      <c r="X35" s="68"/>
      <c r="Y35" s="68"/>
      <c r="Z35" s="68"/>
      <c r="AA35" s="68"/>
      <c r="AB35" s="68"/>
      <c r="AC35" s="68"/>
      <c r="AD35" s="68"/>
      <c r="AE35" s="68"/>
      <c r="AF35" s="69"/>
      <c r="AH35" s="20" t="str">
        <f t="shared" si="1"/>
        <v/>
      </c>
      <c r="AI35" s="108" t="str">
        <f t="shared" ref="AI35:AI66" si="13">IF(E35="","",E35)</f>
        <v/>
      </c>
      <c r="AJ35" s="76"/>
      <c r="AK35" s="76"/>
      <c r="AL35" s="76"/>
      <c r="AM35" s="76"/>
      <c r="AN35" s="76"/>
      <c r="AO35" s="76"/>
      <c r="AP35" s="76"/>
      <c r="AQ35" s="76"/>
      <c r="AR35" s="76"/>
      <c r="AS35" s="76"/>
      <c r="AT35" s="76"/>
      <c r="AU35" s="76"/>
      <c r="AV35" s="76"/>
    </row>
    <row r="36" spans="1:48" x14ac:dyDescent="0.3">
      <c r="A36" s="9" t="s">
        <v>920</v>
      </c>
      <c r="B36" s="10" t="s">
        <v>1866</v>
      </c>
      <c r="C36" s="87">
        <v>826</v>
      </c>
      <c r="D36" s="85">
        <v>74.8</v>
      </c>
      <c r="E36" s="86">
        <v>23</v>
      </c>
      <c r="F36" s="85">
        <v>60</v>
      </c>
      <c r="G36" s="17">
        <v>18</v>
      </c>
      <c r="H36" s="87">
        <v>826</v>
      </c>
      <c r="I36" s="88">
        <v>15000</v>
      </c>
      <c r="J36" s="88" t="s">
        <v>71</v>
      </c>
      <c r="K36" s="88">
        <v>14500</v>
      </c>
      <c r="L36" s="88" t="s">
        <v>131</v>
      </c>
      <c r="M36" s="89">
        <f>I36-K36</f>
        <v>500</v>
      </c>
      <c r="N36" s="4">
        <f>IF(ISERROR(K36/I36),"",K36/I36)</f>
        <v>0.96666666666666667</v>
      </c>
      <c r="O36" s="90">
        <f>I36/E36</f>
        <v>652.17391304347825</v>
      </c>
      <c r="P36" s="90">
        <f>K36/E36</f>
        <v>630.43478260869563</v>
      </c>
      <c r="Q36" s="76">
        <v>3</v>
      </c>
      <c r="R36" s="76">
        <v>1</v>
      </c>
      <c r="S36" s="76" t="s">
        <v>61</v>
      </c>
      <c r="T36" s="5">
        <v>74</v>
      </c>
      <c r="U36" s="9"/>
      <c r="W36" s="85">
        <f>D36</f>
        <v>74.8</v>
      </c>
      <c r="X36" s="86">
        <f>E36</f>
        <v>23</v>
      </c>
      <c r="Y36" s="91">
        <f>H36</f>
        <v>826</v>
      </c>
      <c r="Z36" s="89">
        <f>I36</f>
        <v>15000</v>
      </c>
      <c r="AA36" s="89">
        <f>K36</f>
        <v>14500</v>
      </c>
      <c r="AB36" s="89">
        <f>M36</f>
        <v>500</v>
      </c>
      <c r="AC36" s="4">
        <f>N36</f>
        <v>0.96666666666666667</v>
      </c>
      <c r="AD36" s="90">
        <f>O36</f>
        <v>652.17391304347825</v>
      </c>
      <c r="AE36" s="76" t="str">
        <f>S36</f>
        <v>계</v>
      </c>
      <c r="AF36" s="76" t="str">
        <f>Q36&amp;"/"&amp;R36</f>
        <v>3/1</v>
      </c>
      <c r="AH36" s="20" t="str">
        <f t="shared" si="1"/>
        <v>서신광진</v>
      </c>
      <c r="AI36" s="86">
        <f t="shared" si="13"/>
        <v>23</v>
      </c>
      <c r="AJ36" s="76" t="str">
        <f>IF(AI36="","",$AJ$2)</f>
        <v>A-</v>
      </c>
      <c r="AK36" s="76" t="s">
        <v>13</v>
      </c>
      <c r="AL36" s="76" t="s">
        <v>62</v>
      </c>
      <c r="AM36" s="76" t="s">
        <v>63</v>
      </c>
      <c r="AN36" s="76" t="str">
        <f>IF(AI36="","",$AN$2)</f>
        <v>C</v>
      </c>
      <c r="AO36" s="76" t="str">
        <f>IF(N36="","",IF(N36&gt;=$AO$1/100,"O","X"))</f>
        <v>O</v>
      </c>
      <c r="AP36" s="76" t="str">
        <f>IF(I36="","",IF(I36&lt;=$AP$1,"O","X"))</f>
        <v>O</v>
      </c>
      <c r="AQ36" s="76" t="str">
        <f>IF(O36="","",IF(O36&lt;=$AQ$1,"O","X"))</f>
        <v>O</v>
      </c>
      <c r="AR36" s="76" t="str">
        <f>IF(M36="","",IF(M36&lt;=$AR$1,"O","X"))</f>
        <v>O</v>
      </c>
      <c r="AS36" s="76" t="s">
        <v>2</v>
      </c>
      <c r="AT36" s="76" t="str">
        <f>IF(OR(F36="",AI36=""),"",IF(AND((F36&lt;=85),(AI36&gt;=15)),"O","X"))</f>
        <v>O</v>
      </c>
      <c r="AU36" s="76" t="str">
        <f>IF(C36="","",IF(C36&gt;=$AU$1,"O","X"))</f>
        <v>O</v>
      </c>
      <c r="AV36" s="76" t="str">
        <f>IF(AO36="","",IF(AND(AO36="O",AP36="O",AR36="O",AT36="O",AU36="O"),"후보","X"))</f>
        <v>후보</v>
      </c>
    </row>
    <row r="37" spans="1:48" x14ac:dyDescent="0.3">
      <c r="A37" s="9"/>
      <c r="B37" s="76"/>
      <c r="C37" s="6"/>
      <c r="D37" s="9"/>
      <c r="E37" s="14"/>
      <c r="F37" s="85"/>
      <c r="G37" s="9"/>
      <c r="H37" s="9"/>
      <c r="I37" s="9"/>
      <c r="J37" s="9"/>
      <c r="K37" s="9"/>
      <c r="L37" s="9"/>
      <c r="M37" s="9"/>
      <c r="N37" s="9"/>
      <c r="O37" s="90"/>
      <c r="P37" s="90"/>
      <c r="Q37" s="86"/>
      <c r="R37" s="86"/>
      <c r="S37" s="9"/>
      <c r="T37" s="47"/>
      <c r="U37" s="9"/>
      <c r="W37" s="67" t="str">
        <f>$A$4&amp;" "&amp;A38&amp;"("&amp;B38&amp;","&amp;C38&amp;"^)"</f>
        <v>서신동 서신아이파크e편한세상('20.12.,1390^)</v>
      </c>
      <c r="X37" s="68"/>
      <c r="Y37" s="68"/>
      <c r="Z37" s="68"/>
      <c r="AA37" s="68"/>
      <c r="AB37" s="68"/>
      <c r="AC37" s="68"/>
      <c r="AD37" s="68"/>
      <c r="AE37" s="68"/>
      <c r="AF37" s="69"/>
      <c r="AH37" s="20" t="str">
        <f t="shared" ref="AH37:AH68" si="14">IF(A37="","",A37)</f>
        <v/>
      </c>
      <c r="AI37" s="108" t="str">
        <f t="shared" si="13"/>
        <v/>
      </c>
      <c r="AJ37" s="76"/>
      <c r="AK37" s="76"/>
      <c r="AL37" s="76"/>
      <c r="AM37" s="76"/>
      <c r="AN37" s="76"/>
      <c r="AO37" s="76"/>
      <c r="AP37" s="76"/>
      <c r="AQ37" s="76"/>
      <c r="AR37" s="76"/>
      <c r="AS37" s="76"/>
      <c r="AT37" s="76"/>
      <c r="AU37" s="76"/>
      <c r="AV37" s="76"/>
    </row>
    <row r="38" spans="1:48" x14ac:dyDescent="0.3">
      <c r="A38" s="9" t="s">
        <v>924</v>
      </c>
      <c r="B38" s="10" t="s">
        <v>1868</v>
      </c>
      <c r="C38" s="87">
        <v>1390</v>
      </c>
      <c r="D38" s="85">
        <v>52.5</v>
      </c>
      <c r="E38" s="86">
        <v>16</v>
      </c>
      <c r="F38" s="85">
        <v>35</v>
      </c>
      <c r="G38" s="17">
        <v>11</v>
      </c>
      <c r="H38" s="87">
        <v>48</v>
      </c>
      <c r="I38" s="88">
        <v>15500</v>
      </c>
      <c r="J38" s="88" t="s">
        <v>89</v>
      </c>
      <c r="K38" s="88">
        <v>14500</v>
      </c>
      <c r="L38" s="88" t="s">
        <v>111</v>
      </c>
      <c r="M38" s="89">
        <f t="shared" ref="M38:M48" si="15">I38-K38</f>
        <v>1000</v>
      </c>
      <c r="N38" s="4">
        <f t="shared" ref="N38:N48" si="16">IF(ISERROR(K38/I38),"",K38/I38)</f>
        <v>0.93548387096774188</v>
      </c>
      <c r="O38" s="90">
        <f t="shared" ref="O38:O48" si="17">I38/E38</f>
        <v>968.75</v>
      </c>
      <c r="P38" s="90">
        <f t="shared" ref="P38:P48" si="18">K38/E38</f>
        <v>906.25</v>
      </c>
      <c r="Q38" s="76">
        <v>1</v>
      </c>
      <c r="R38" s="76">
        <v>1</v>
      </c>
      <c r="S38" s="76" t="s">
        <v>61</v>
      </c>
      <c r="T38" s="5">
        <v>52</v>
      </c>
      <c r="U38" s="9"/>
      <c r="W38" s="85">
        <f t="shared" ref="W38:W48" si="19">D38</f>
        <v>52.5</v>
      </c>
      <c r="X38" s="86">
        <f t="shared" ref="X38:X48" si="20">E38</f>
        <v>16</v>
      </c>
      <c r="Y38" s="91">
        <f t="shared" ref="Y38:Y48" si="21">H38</f>
        <v>48</v>
      </c>
      <c r="Z38" s="89">
        <f t="shared" ref="Z38:Z48" si="22">I38</f>
        <v>15500</v>
      </c>
      <c r="AA38" s="89">
        <f t="shared" ref="AA38:AA48" si="23">K38</f>
        <v>14500</v>
      </c>
      <c r="AB38" s="89">
        <f t="shared" ref="AB38:AB48" si="24">M38</f>
        <v>1000</v>
      </c>
      <c r="AC38" s="4">
        <f t="shared" ref="AC38:AC48" si="25">N38</f>
        <v>0.93548387096774188</v>
      </c>
      <c r="AD38" s="90">
        <f t="shared" ref="AD38:AD48" si="26">O38</f>
        <v>968.75</v>
      </c>
      <c r="AE38" s="76" t="str">
        <f t="shared" ref="AE38:AE48" si="27">S38</f>
        <v>계</v>
      </c>
      <c r="AF38" s="76" t="str">
        <f t="shared" ref="AF38:AF48" si="28">Q38&amp;"/"&amp;R38</f>
        <v>1/1</v>
      </c>
      <c r="AH38" s="20" t="str">
        <f t="shared" si="14"/>
        <v>서신아이파크e편한세상</v>
      </c>
      <c r="AI38" s="86">
        <f t="shared" si="13"/>
        <v>16</v>
      </c>
      <c r="AJ38" s="76" t="str">
        <f t="shared" ref="AJ38:AJ48" si="29">IF(AI38="","",$AJ$2)</f>
        <v>A-</v>
      </c>
      <c r="AK38" s="76" t="s">
        <v>13</v>
      </c>
      <c r="AL38" s="76" t="s">
        <v>62</v>
      </c>
      <c r="AM38" s="76" t="s">
        <v>63</v>
      </c>
      <c r="AN38" s="76" t="str">
        <f t="shared" ref="AN38:AN48" si="30">IF(AI38="","",$AN$2)</f>
        <v>C</v>
      </c>
      <c r="AO38" s="76" t="str">
        <f t="shared" ref="AO38:AO48" si="31">IF(N38="","",IF(N38&gt;=$AO$1/100,"O","X"))</f>
        <v>O</v>
      </c>
      <c r="AP38" s="76" t="str">
        <f t="shared" ref="AP38:AP48" si="32">IF(I38="","",IF(I38&lt;=$AP$1,"O","X"))</f>
        <v>O</v>
      </c>
      <c r="AQ38" s="76" t="str">
        <f t="shared" ref="AQ38:AQ48" si="33">IF(O38="","",IF(O38&lt;=$AQ$1,"O","X"))</f>
        <v>O</v>
      </c>
      <c r="AR38" s="76" t="str">
        <f t="shared" ref="AR38:AR48" si="34">IF(M38="","",IF(M38&lt;=$AR$1,"O","X"))</f>
        <v>O</v>
      </c>
      <c r="AS38" s="76" t="s">
        <v>2</v>
      </c>
      <c r="AT38" s="76" t="str">
        <f t="shared" ref="AT38:AT48" si="35">IF(OR(F38="",AI38=""),"",IF(AND((F38&lt;=85),(AI38&gt;=15)),"O","X"))</f>
        <v>O</v>
      </c>
      <c r="AU38" s="76" t="str">
        <f t="shared" ref="AU38:AU48" si="36">IF(C38="","",IF(C38&gt;=$AU$1,"O","X"))</f>
        <v>O</v>
      </c>
      <c r="AV38" s="76" t="str">
        <f t="shared" ref="AV38:AV48" si="37">IF(AO38="","",IF(AND(AO38="O",AP38="O",AR38="O",AT38="O",AU38="O"),"후보","X"))</f>
        <v>후보</v>
      </c>
    </row>
    <row r="39" spans="1:48" x14ac:dyDescent="0.3">
      <c r="A39" s="9" t="s">
        <v>924</v>
      </c>
      <c r="B39" s="10" t="s">
        <v>1868</v>
      </c>
      <c r="C39" s="87">
        <v>1390</v>
      </c>
      <c r="D39" s="85">
        <v>83.3</v>
      </c>
      <c r="E39" s="86">
        <v>25</v>
      </c>
      <c r="F39" s="85">
        <v>60</v>
      </c>
      <c r="G39" s="17">
        <v>18</v>
      </c>
      <c r="H39" s="87">
        <v>101</v>
      </c>
      <c r="I39" s="88">
        <v>48000</v>
      </c>
      <c r="J39" s="88" t="s">
        <v>75</v>
      </c>
      <c r="K39" s="88"/>
      <c r="L39" s="88"/>
      <c r="M39" s="89">
        <f t="shared" si="15"/>
        <v>48000</v>
      </c>
      <c r="N39" s="4">
        <f t="shared" si="16"/>
        <v>0</v>
      </c>
      <c r="O39" s="90">
        <f t="shared" si="17"/>
        <v>1920</v>
      </c>
      <c r="P39" s="90">
        <f t="shared" si="18"/>
        <v>0</v>
      </c>
      <c r="Q39" s="76">
        <v>3</v>
      </c>
      <c r="R39" s="76">
        <v>2</v>
      </c>
      <c r="S39" s="76" t="s">
        <v>61</v>
      </c>
      <c r="T39" s="5" t="s">
        <v>187</v>
      </c>
      <c r="U39" s="9"/>
      <c r="W39" s="85">
        <f t="shared" si="19"/>
        <v>83.3</v>
      </c>
      <c r="X39" s="86">
        <f t="shared" si="20"/>
        <v>25</v>
      </c>
      <c r="Y39" s="91">
        <f t="shared" si="21"/>
        <v>101</v>
      </c>
      <c r="Z39" s="89">
        <f t="shared" si="22"/>
        <v>48000</v>
      </c>
      <c r="AA39" s="89">
        <f t="shared" si="23"/>
        <v>0</v>
      </c>
      <c r="AB39" s="89">
        <f t="shared" si="24"/>
        <v>48000</v>
      </c>
      <c r="AC39" s="4">
        <f t="shared" si="25"/>
        <v>0</v>
      </c>
      <c r="AD39" s="90">
        <f t="shared" si="26"/>
        <v>1920</v>
      </c>
      <c r="AE39" s="76" t="str">
        <f t="shared" si="27"/>
        <v>계</v>
      </c>
      <c r="AF39" s="76" t="str">
        <f t="shared" si="28"/>
        <v>3/2</v>
      </c>
      <c r="AH39" s="20" t="str">
        <f t="shared" si="14"/>
        <v>서신아이파크e편한세상</v>
      </c>
      <c r="AI39" s="86">
        <f t="shared" si="13"/>
        <v>25</v>
      </c>
      <c r="AJ39" s="76" t="str">
        <f t="shared" si="29"/>
        <v>A-</v>
      </c>
      <c r="AK39" s="76" t="s">
        <v>13</v>
      </c>
      <c r="AL39" s="76" t="s">
        <v>62</v>
      </c>
      <c r="AM39" s="76" t="s">
        <v>63</v>
      </c>
      <c r="AN39" s="76" t="str">
        <f t="shared" si="30"/>
        <v>C</v>
      </c>
      <c r="AO39" s="76" t="str">
        <f t="shared" si="31"/>
        <v>X</v>
      </c>
      <c r="AP39" s="76" t="str">
        <f t="shared" si="32"/>
        <v>O</v>
      </c>
      <c r="AQ39" s="76" t="str">
        <f t="shared" si="33"/>
        <v>O</v>
      </c>
      <c r="AR39" s="76" t="str">
        <f t="shared" si="34"/>
        <v>X</v>
      </c>
      <c r="AS39" s="76" t="s">
        <v>2</v>
      </c>
      <c r="AT39" s="76" t="str">
        <f t="shared" si="35"/>
        <v>O</v>
      </c>
      <c r="AU39" s="76" t="str">
        <f t="shared" si="36"/>
        <v>O</v>
      </c>
      <c r="AV39" s="76" t="str">
        <f t="shared" si="37"/>
        <v>X</v>
      </c>
    </row>
    <row r="40" spans="1:48" x14ac:dyDescent="0.3">
      <c r="A40" s="9" t="s">
        <v>924</v>
      </c>
      <c r="B40" s="10" t="s">
        <v>1868</v>
      </c>
      <c r="C40" s="87">
        <v>1390</v>
      </c>
      <c r="D40" s="85">
        <v>83.8</v>
      </c>
      <c r="E40" s="86">
        <v>25</v>
      </c>
      <c r="F40" s="85">
        <v>60</v>
      </c>
      <c r="G40" s="17">
        <v>18</v>
      </c>
      <c r="H40" s="87">
        <v>69</v>
      </c>
      <c r="I40" s="88"/>
      <c r="J40" s="88"/>
      <c r="K40" s="88"/>
      <c r="L40" s="88"/>
      <c r="M40" s="89">
        <f t="shared" si="15"/>
        <v>0</v>
      </c>
      <c r="N40" s="4" t="str">
        <f t="shared" si="16"/>
        <v/>
      </c>
      <c r="O40" s="90">
        <f t="shared" si="17"/>
        <v>0</v>
      </c>
      <c r="P40" s="90">
        <f t="shared" si="18"/>
        <v>0</v>
      </c>
      <c r="Q40" s="76">
        <v>3</v>
      </c>
      <c r="R40" s="76">
        <v>2</v>
      </c>
      <c r="S40" s="76" t="s">
        <v>61</v>
      </c>
      <c r="T40" s="5" t="s">
        <v>188</v>
      </c>
      <c r="U40" s="9"/>
      <c r="W40" s="85">
        <f t="shared" si="19"/>
        <v>83.8</v>
      </c>
      <c r="X40" s="86">
        <f t="shared" si="20"/>
        <v>25</v>
      </c>
      <c r="Y40" s="91">
        <f t="shared" si="21"/>
        <v>69</v>
      </c>
      <c r="Z40" s="89">
        <f t="shared" si="22"/>
        <v>0</v>
      </c>
      <c r="AA40" s="89">
        <f t="shared" si="23"/>
        <v>0</v>
      </c>
      <c r="AB40" s="89">
        <f t="shared" si="24"/>
        <v>0</v>
      </c>
      <c r="AC40" s="4" t="str">
        <f t="shared" si="25"/>
        <v/>
      </c>
      <c r="AD40" s="90">
        <f t="shared" si="26"/>
        <v>0</v>
      </c>
      <c r="AE40" s="76" t="str">
        <f t="shared" si="27"/>
        <v>계</v>
      </c>
      <c r="AF40" s="76" t="str">
        <f t="shared" si="28"/>
        <v>3/2</v>
      </c>
      <c r="AH40" s="20" t="str">
        <f t="shared" si="14"/>
        <v>서신아이파크e편한세상</v>
      </c>
      <c r="AI40" s="86">
        <f t="shared" si="13"/>
        <v>25</v>
      </c>
      <c r="AJ40" s="76" t="str">
        <f t="shared" si="29"/>
        <v>A-</v>
      </c>
      <c r="AK40" s="76" t="s">
        <v>13</v>
      </c>
      <c r="AL40" s="76" t="s">
        <v>62</v>
      </c>
      <c r="AM40" s="76" t="s">
        <v>63</v>
      </c>
      <c r="AN40" s="76" t="str">
        <f t="shared" si="30"/>
        <v>C</v>
      </c>
      <c r="AO40" s="76" t="str">
        <f t="shared" si="31"/>
        <v/>
      </c>
      <c r="AP40" s="76" t="str">
        <f t="shared" si="32"/>
        <v/>
      </c>
      <c r="AQ40" s="76" t="str">
        <f t="shared" si="33"/>
        <v>O</v>
      </c>
      <c r="AR40" s="76" t="str">
        <f t="shared" si="34"/>
        <v>O</v>
      </c>
      <c r="AS40" s="76" t="s">
        <v>2</v>
      </c>
      <c r="AT40" s="76" t="str">
        <f t="shared" si="35"/>
        <v>O</v>
      </c>
      <c r="AU40" s="76" t="str">
        <f t="shared" si="36"/>
        <v>O</v>
      </c>
      <c r="AV40" s="76" t="str">
        <f t="shared" si="37"/>
        <v/>
      </c>
    </row>
    <row r="41" spans="1:48" x14ac:dyDescent="0.3">
      <c r="A41" s="9" t="s">
        <v>924</v>
      </c>
      <c r="B41" s="10" t="s">
        <v>1868</v>
      </c>
      <c r="C41" s="87">
        <v>1390</v>
      </c>
      <c r="D41" s="85">
        <v>84.2</v>
      </c>
      <c r="E41" s="86">
        <v>25</v>
      </c>
      <c r="F41" s="85">
        <v>60</v>
      </c>
      <c r="G41" s="17">
        <v>18</v>
      </c>
      <c r="H41" s="87">
        <v>103</v>
      </c>
      <c r="I41" s="88">
        <v>43000</v>
      </c>
      <c r="J41" s="88" t="s">
        <v>189</v>
      </c>
      <c r="K41" s="88"/>
      <c r="L41" s="88"/>
      <c r="M41" s="89">
        <f t="shared" si="15"/>
        <v>43000</v>
      </c>
      <c r="N41" s="4">
        <f t="shared" si="16"/>
        <v>0</v>
      </c>
      <c r="O41" s="90">
        <f t="shared" si="17"/>
        <v>1720</v>
      </c>
      <c r="P41" s="90">
        <f t="shared" si="18"/>
        <v>0</v>
      </c>
      <c r="Q41" s="76">
        <v>3</v>
      </c>
      <c r="R41" s="76">
        <v>2</v>
      </c>
      <c r="S41" s="76" t="s">
        <v>61</v>
      </c>
      <c r="T41" s="5" t="s">
        <v>190</v>
      </c>
      <c r="U41" s="9"/>
      <c r="W41" s="85">
        <f t="shared" si="19"/>
        <v>84.2</v>
      </c>
      <c r="X41" s="86">
        <f t="shared" si="20"/>
        <v>25</v>
      </c>
      <c r="Y41" s="91">
        <f t="shared" si="21"/>
        <v>103</v>
      </c>
      <c r="Z41" s="89">
        <f t="shared" si="22"/>
        <v>43000</v>
      </c>
      <c r="AA41" s="89">
        <f t="shared" si="23"/>
        <v>0</v>
      </c>
      <c r="AB41" s="89">
        <f t="shared" si="24"/>
        <v>43000</v>
      </c>
      <c r="AC41" s="4">
        <f t="shared" si="25"/>
        <v>0</v>
      </c>
      <c r="AD41" s="90">
        <f t="shared" si="26"/>
        <v>1720</v>
      </c>
      <c r="AE41" s="76" t="str">
        <f t="shared" si="27"/>
        <v>계</v>
      </c>
      <c r="AF41" s="76" t="str">
        <f t="shared" si="28"/>
        <v>3/2</v>
      </c>
      <c r="AH41" s="20" t="str">
        <f t="shared" si="14"/>
        <v>서신아이파크e편한세상</v>
      </c>
      <c r="AI41" s="86">
        <f t="shared" si="13"/>
        <v>25</v>
      </c>
      <c r="AJ41" s="76" t="str">
        <f t="shared" si="29"/>
        <v>A-</v>
      </c>
      <c r="AK41" s="76" t="s">
        <v>13</v>
      </c>
      <c r="AL41" s="76" t="s">
        <v>62</v>
      </c>
      <c r="AM41" s="76" t="s">
        <v>63</v>
      </c>
      <c r="AN41" s="76" t="str">
        <f t="shared" si="30"/>
        <v>C</v>
      </c>
      <c r="AO41" s="76" t="str">
        <f t="shared" si="31"/>
        <v>X</v>
      </c>
      <c r="AP41" s="76" t="str">
        <f t="shared" si="32"/>
        <v>O</v>
      </c>
      <c r="AQ41" s="76" t="str">
        <f t="shared" si="33"/>
        <v>O</v>
      </c>
      <c r="AR41" s="76" t="str">
        <f t="shared" si="34"/>
        <v>X</v>
      </c>
      <c r="AS41" s="76" t="s">
        <v>2</v>
      </c>
      <c r="AT41" s="76" t="str">
        <f t="shared" si="35"/>
        <v>O</v>
      </c>
      <c r="AU41" s="76" t="str">
        <f t="shared" si="36"/>
        <v>O</v>
      </c>
      <c r="AV41" s="76" t="str">
        <f t="shared" si="37"/>
        <v>X</v>
      </c>
    </row>
    <row r="42" spans="1:48" x14ac:dyDescent="0.3">
      <c r="A42" s="9" t="s">
        <v>924</v>
      </c>
      <c r="B42" s="10" t="s">
        <v>1868</v>
      </c>
      <c r="C42" s="87">
        <v>1390</v>
      </c>
      <c r="D42" s="85">
        <v>84.1</v>
      </c>
      <c r="E42" s="86">
        <v>25</v>
      </c>
      <c r="F42" s="85">
        <v>60</v>
      </c>
      <c r="G42" s="17">
        <v>18</v>
      </c>
      <c r="H42" s="87">
        <v>36</v>
      </c>
      <c r="I42" s="88">
        <v>45000</v>
      </c>
      <c r="J42" s="88" t="s">
        <v>71</v>
      </c>
      <c r="K42" s="88"/>
      <c r="L42" s="88"/>
      <c r="M42" s="89">
        <f t="shared" si="15"/>
        <v>45000</v>
      </c>
      <c r="N42" s="4">
        <f t="shared" si="16"/>
        <v>0</v>
      </c>
      <c r="O42" s="90">
        <f t="shared" si="17"/>
        <v>1800</v>
      </c>
      <c r="P42" s="90">
        <f t="shared" si="18"/>
        <v>0</v>
      </c>
      <c r="Q42" s="76">
        <v>3</v>
      </c>
      <c r="R42" s="76">
        <v>2</v>
      </c>
      <c r="S42" s="76" t="s">
        <v>61</v>
      </c>
      <c r="T42" s="5" t="s">
        <v>191</v>
      </c>
      <c r="U42" s="9"/>
      <c r="W42" s="85">
        <f t="shared" si="19"/>
        <v>84.1</v>
      </c>
      <c r="X42" s="86">
        <f t="shared" si="20"/>
        <v>25</v>
      </c>
      <c r="Y42" s="91">
        <f t="shared" si="21"/>
        <v>36</v>
      </c>
      <c r="Z42" s="89">
        <f t="shared" si="22"/>
        <v>45000</v>
      </c>
      <c r="AA42" s="89">
        <f t="shared" si="23"/>
        <v>0</v>
      </c>
      <c r="AB42" s="89">
        <f t="shared" si="24"/>
        <v>45000</v>
      </c>
      <c r="AC42" s="4">
        <f t="shared" si="25"/>
        <v>0</v>
      </c>
      <c r="AD42" s="90">
        <f t="shared" si="26"/>
        <v>1800</v>
      </c>
      <c r="AE42" s="76" t="str">
        <f t="shared" si="27"/>
        <v>계</v>
      </c>
      <c r="AF42" s="76" t="str">
        <f t="shared" si="28"/>
        <v>3/2</v>
      </c>
      <c r="AH42" s="20" t="str">
        <f t="shared" si="14"/>
        <v>서신아이파크e편한세상</v>
      </c>
      <c r="AI42" s="86">
        <f t="shared" si="13"/>
        <v>25</v>
      </c>
      <c r="AJ42" s="76" t="str">
        <f t="shared" si="29"/>
        <v>A-</v>
      </c>
      <c r="AK42" s="76" t="s">
        <v>13</v>
      </c>
      <c r="AL42" s="76" t="s">
        <v>62</v>
      </c>
      <c r="AM42" s="76" t="s">
        <v>63</v>
      </c>
      <c r="AN42" s="76" t="str">
        <f t="shared" si="30"/>
        <v>C</v>
      </c>
      <c r="AO42" s="76" t="str">
        <f t="shared" si="31"/>
        <v>X</v>
      </c>
      <c r="AP42" s="76" t="str">
        <f t="shared" si="32"/>
        <v>O</v>
      </c>
      <c r="AQ42" s="76" t="str">
        <f t="shared" si="33"/>
        <v>O</v>
      </c>
      <c r="AR42" s="76" t="str">
        <f t="shared" si="34"/>
        <v>X</v>
      </c>
      <c r="AS42" s="76" t="s">
        <v>2</v>
      </c>
      <c r="AT42" s="76" t="str">
        <f t="shared" si="35"/>
        <v>O</v>
      </c>
      <c r="AU42" s="76" t="str">
        <f t="shared" si="36"/>
        <v>O</v>
      </c>
      <c r="AV42" s="76" t="str">
        <f t="shared" si="37"/>
        <v>X</v>
      </c>
    </row>
    <row r="43" spans="1:48" x14ac:dyDescent="0.3">
      <c r="A43" s="9" t="s">
        <v>924</v>
      </c>
      <c r="B43" s="10" t="s">
        <v>1868</v>
      </c>
      <c r="C43" s="87">
        <v>1390</v>
      </c>
      <c r="D43" s="85">
        <v>109.2</v>
      </c>
      <c r="E43" s="86">
        <v>33</v>
      </c>
      <c r="F43" s="85">
        <v>85</v>
      </c>
      <c r="G43" s="17">
        <v>26</v>
      </c>
      <c r="H43" s="87">
        <v>414</v>
      </c>
      <c r="I43" s="88">
        <v>62000</v>
      </c>
      <c r="J43" s="88" t="s">
        <v>104</v>
      </c>
      <c r="K43" s="88">
        <v>42000</v>
      </c>
      <c r="L43" s="88" t="s">
        <v>84</v>
      </c>
      <c r="M43" s="89">
        <f t="shared" si="15"/>
        <v>20000</v>
      </c>
      <c r="N43" s="4">
        <f t="shared" si="16"/>
        <v>0.67741935483870963</v>
      </c>
      <c r="O43" s="90">
        <f t="shared" si="17"/>
        <v>1878.7878787878788</v>
      </c>
      <c r="P43" s="90">
        <f t="shared" si="18"/>
        <v>1272.7272727272727</v>
      </c>
      <c r="Q43" s="76">
        <v>3</v>
      </c>
      <c r="R43" s="76">
        <v>2</v>
      </c>
      <c r="S43" s="76" t="s">
        <v>61</v>
      </c>
      <c r="T43" s="5" t="s">
        <v>124</v>
      </c>
      <c r="U43" s="9"/>
      <c r="W43" s="85">
        <f t="shared" si="19"/>
        <v>109.2</v>
      </c>
      <c r="X43" s="86">
        <f t="shared" si="20"/>
        <v>33</v>
      </c>
      <c r="Y43" s="91">
        <f t="shared" si="21"/>
        <v>414</v>
      </c>
      <c r="Z43" s="89">
        <f t="shared" si="22"/>
        <v>62000</v>
      </c>
      <c r="AA43" s="89">
        <f t="shared" si="23"/>
        <v>42000</v>
      </c>
      <c r="AB43" s="89">
        <f t="shared" si="24"/>
        <v>20000</v>
      </c>
      <c r="AC43" s="4">
        <f t="shared" si="25"/>
        <v>0.67741935483870963</v>
      </c>
      <c r="AD43" s="90">
        <f t="shared" si="26"/>
        <v>1878.7878787878788</v>
      </c>
      <c r="AE43" s="76" t="str">
        <f t="shared" si="27"/>
        <v>계</v>
      </c>
      <c r="AF43" s="76" t="str">
        <f t="shared" si="28"/>
        <v>3/2</v>
      </c>
      <c r="AH43" s="20" t="str">
        <f t="shared" si="14"/>
        <v>서신아이파크e편한세상</v>
      </c>
      <c r="AI43" s="86">
        <f t="shared" si="13"/>
        <v>33</v>
      </c>
      <c r="AJ43" s="76" t="str">
        <f t="shared" si="29"/>
        <v>A-</v>
      </c>
      <c r="AK43" s="76" t="s">
        <v>13</v>
      </c>
      <c r="AL43" s="76" t="s">
        <v>62</v>
      </c>
      <c r="AM43" s="76" t="s">
        <v>63</v>
      </c>
      <c r="AN43" s="76" t="str">
        <f t="shared" si="30"/>
        <v>C</v>
      </c>
      <c r="AO43" s="76" t="str">
        <f t="shared" si="31"/>
        <v>X</v>
      </c>
      <c r="AP43" s="76" t="str">
        <f t="shared" si="32"/>
        <v>X</v>
      </c>
      <c r="AQ43" s="76" t="str">
        <f t="shared" si="33"/>
        <v>O</v>
      </c>
      <c r="AR43" s="76" t="str">
        <f t="shared" si="34"/>
        <v>X</v>
      </c>
      <c r="AS43" s="76" t="s">
        <v>2</v>
      </c>
      <c r="AT43" s="76" t="str">
        <f t="shared" si="35"/>
        <v>O</v>
      </c>
      <c r="AU43" s="76" t="str">
        <f t="shared" si="36"/>
        <v>O</v>
      </c>
      <c r="AV43" s="76" t="str">
        <f t="shared" si="37"/>
        <v>X</v>
      </c>
    </row>
    <row r="44" spans="1:48" x14ac:dyDescent="0.3">
      <c r="A44" s="9" t="s">
        <v>924</v>
      </c>
      <c r="B44" s="10" t="s">
        <v>1868</v>
      </c>
      <c r="C44" s="87">
        <v>1390</v>
      </c>
      <c r="D44" s="85">
        <v>109.4</v>
      </c>
      <c r="E44" s="86">
        <v>33</v>
      </c>
      <c r="F44" s="85">
        <v>85</v>
      </c>
      <c r="G44" s="17">
        <v>26</v>
      </c>
      <c r="H44" s="87">
        <v>323</v>
      </c>
      <c r="I44" s="88">
        <v>59000</v>
      </c>
      <c r="J44" s="88" t="s">
        <v>89</v>
      </c>
      <c r="K44" s="88">
        <v>43000</v>
      </c>
      <c r="L44" s="88" t="s">
        <v>71</v>
      </c>
      <c r="M44" s="89">
        <f t="shared" si="15"/>
        <v>16000</v>
      </c>
      <c r="N44" s="4">
        <f t="shared" si="16"/>
        <v>0.72881355932203384</v>
      </c>
      <c r="O44" s="90">
        <f t="shared" si="17"/>
        <v>1787.878787878788</v>
      </c>
      <c r="P44" s="90">
        <f t="shared" si="18"/>
        <v>1303.030303030303</v>
      </c>
      <c r="Q44" s="76">
        <v>3</v>
      </c>
      <c r="R44" s="76">
        <v>2</v>
      </c>
      <c r="S44" s="76" t="s">
        <v>61</v>
      </c>
      <c r="T44" s="5" t="s">
        <v>192</v>
      </c>
      <c r="U44" s="9"/>
      <c r="W44" s="85">
        <f t="shared" si="19"/>
        <v>109.4</v>
      </c>
      <c r="X44" s="86">
        <f t="shared" si="20"/>
        <v>33</v>
      </c>
      <c r="Y44" s="91">
        <f t="shared" si="21"/>
        <v>323</v>
      </c>
      <c r="Z44" s="89">
        <f t="shared" si="22"/>
        <v>59000</v>
      </c>
      <c r="AA44" s="89">
        <f t="shared" si="23"/>
        <v>43000</v>
      </c>
      <c r="AB44" s="89">
        <f t="shared" si="24"/>
        <v>16000</v>
      </c>
      <c r="AC44" s="4">
        <f t="shared" si="25"/>
        <v>0.72881355932203384</v>
      </c>
      <c r="AD44" s="90">
        <f t="shared" si="26"/>
        <v>1787.878787878788</v>
      </c>
      <c r="AE44" s="76" t="str">
        <f t="shared" si="27"/>
        <v>계</v>
      </c>
      <c r="AF44" s="76" t="str">
        <f t="shared" si="28"/>
        <v>3/2</v>
      </c>
      <c r="AH44" s="20" t="str">
        <f t="shared" si="14"/>
        <v>서신아이파크e편한세상</v>
      </c>
      <c r="AI44" s="86">
        <f t="shared" si="13"/>
        <v>33</v>
      </c>
      <c r="AJ44" s="76" t="str">
        <f t="shared" si="29"/>
        <v>A-</v>
      </c>
      <c r="AK44" s="76" t="s">
        <v>13</v>
      </c>
      <c r="AL44" s="76" t="s">
        <v>62</v>
      </c>
      <c r="AM44" s="76" t="s">
        <v>63</v>
      </c>
      <c r="AN44" s="76" t="str">
        <f t="shared" si="30"/>
        <v>C</v>
      </c>
      <c r="AO44" s="76" t="str">
        <f t="shared" si="31"/>
        <v>X</v>
      </c>
      <c r="AP44" s="76" t="str">
        <f t="shared" si="32"/>
        <v>X</v>
      </c>
      <c r="AQ44" s="76" t="str">
        <f t="shared" si="33"/>
        <v>O</v>
      </c>
      <c r="AR44" s="76" t="str">
        <f t="shared" si="34"/>
        <v>X</v>
      </c>
      <c r="AS44" s="76" t="s">
        <v>2</v>
      </c>
      <c r="AT44" s="76" t="str">
        <f t="shared" si="35"/>
        <v>O</v>
      </c>
      <c r="AU44" s="76" t="str">
        <f t="shared" si="36"/>
        <v>O</v>
      </c>
      <c r="AV44" s="76" t="str">
        <f t="shared" si="37"/>
        <v>X</v>
      </c>
    </row>
    <row r="45" spans="1:48" x14ac:dyDescent="0.3">
      <c r="A45" s="9" t="s">
        <v>924</v>
      </c>
      <c r="B45" s="10" t="s">
        <v>1868</v>
      </c>
      <c r="C45" s="87">
        <v>1390</v>
      </c>
      <c r="D45" s="85">
        <v>109.1</v>
      </c>
      <c r="E45" s="86">
        <v>33</v>
      </c>
      <c r="F45" s="85">
        <v>85</v>
      </c>
      <c r="G45" s="17">
        <v>26</v>
      </c>
      <c r="H45" s="87">
        <v>58</v>
      </c>
      <c r="I45" s="88"/>
      <c r="J45" s="88"/>
      <c r="K45" s="88"/>
      <c r="L45" s="88"/>
      <c r="M45" s="89">
        <f t="shared" si="15"/>
        <v>0</v>
      </c>
      <c r="N45" s="4" t="str">
        <f t="shared" si="16"/>
        <v/>
      </c>
      <c r="O45" s="90">
        <f t="shared" si="17"/>
        <v>0</v>
      </c>
      <c r="P45" s="90">
        <f t="shared" si="18"/>
        <v>0</v>
      </c>
      <c r="Q45" s="76">
        <v>3</v>
      </c>
      <c r="R45" s="76">
        <v>2</v>
      </c>
      <c r="S45" s="76" t="s">
        <v>61</v>
      </c>
      <c r="T45" s="5" t="s">
        <v>193</v>
      </c>
      <c r="U45" s="9"/>
      <c r="W45" s="85">
        <f t="shared" si="19"/>
        <v>109.1</v>
      </c>
      <c r="X45" s="86">
        <f t="shared" si="20"/>
        <v>33</v>
      </c>
      <c r="Y45" s="91">
        <f t="shared" si="21"/>
        <v>58</v>
      </c>
      <c r="Z45" s="89">
        <f t="shared" si="22"/>
        <v>0</v>
      </c>
      <c r="AA45" s="89">
        <f t="shared" si="23"/>
        <v>0</v>
      </c>
      <c r="AB45" s="89">
        <f t="shared" si="24"/>
        <v>0</v>
      </c>
      <c r="AC45" s="4" t="str">
        <f t="shared" si="25"/>
        <v/>
      </c>
      <c r="AD45" s="90">
        <f t="shared" si="26"/>
        <v>0</v>
      </c>
      <c r="AE45" s="76" t="str">
        <f t="shared" si="27"/>
        <v>계</v>
      </c>
      <c r="AF45" s="76" t="str">
        <f t="shared" si="28"/>
        <v>3/2</v>
      </c>
      <c r="AH45" s="20" t="str">
        <f t="shared" si="14"/>
        <v>서신아이파크e편한세상</v>
      </c>
      <c r="AI45" s="86">
        <f t="shared" si="13"/>
        <v>33</v>
      </c>
      <c r="AJ45" s="76" t="str">
        <f t="shared" si="29"/>
        <v>A-</v>
      </c>
      <c r="AK45" s="76" t="s">
        <v>13</v>
      </c>
      <c r="AL45" s="76" t="s">
        <v>62</v>
      </c>
      <c r="AM45" s="76" t="s">
        <v>63</v>
      </c>
      <c r="AN45" s="76" t="str">
        <f t="shared" si="30"/>
        <v>C</v>
      </c>
      <c r="AO45" s="76" t="str">
        <f t="shared" si="31"/>
        <v/>
      </c>
      <c r="AP45" s="76" t="str">
        <f t="shared" si="32"/>
        <v/>
      </c>
      <c r="AQ45" s="76" t="str">
        <f t="shared" si="33"/>
        <v>O</v>
      </c>
      <c r="AR45" s="76" t="str">
        <f t="shared" si="34"/>
        <v>O</v>
      </c>
      <c r="AS45" s="76" t="s">
        <v>2</v>
      </c>
      <c r="AT45" s="76" t="str">
        <f t="shared" si="35"/>
        <v>O</v>
      </c>
      <c r="AU45" s="76" t="str">
        <f t="shared" si="36"/>
        <v>O</v>
      </c>
      <c r="AV45" s="76" t="str">
        <f t="shared" si="37"/>
        <v/>
      </c>
    </row>
    <row r="46" spans="1:48" x14ac:dyDescent="0.3">
      <c r="A46" s="9" t="s">
        <v>924</v>
      </c>
      <c r="B46" s="10" t="s">
        <v>1868</v>
      </c>
      <c r="C46" s="87">
        <v>1390</v>
      </c>
      <c r="D46" s="85">
        <v>130.30000000000001</v>
      </c>
      <c r="E46" s="86">
        <v>39</v>
      </c>
      <c r="F46" s="85">
        <v>102</v>
      </c>
      <c r="G46" s="17">
        <v>31</v>
      </c>
      <c r="H46" s="87">
        <v>84</v>
      </c>
      <c r="I46" s="88">
        <v>91000</v>
      </c>
      <c r="J46" s="88" t="s">
        <v>71</v>
      </c>
      <c r="K46" s="88"/>
      <c r="L46" s="88"/>
      <c r="M46" s="89">
        <f t="shared" si="15"/>
        <v>91000</v>
      </c>
      <c r="N46" s="4">
        <f t="shared" si="16"/>
        <v>0</v>
      </c>
      <c r="O46" s="90">
        <f t="shared" si="17"/>
        <v>2333.3333333333335</v>
      </c>
      <c r="P46" s="90">
        <f t="shared" si="18"/>
        <v>0</v>
      </c>
      <c r="Q46" s="76">
        <v>4</v>
      </c>
      <c r="R46" s="76">
        <v>2</v>
      </c>
      <c r="S46" s="76" t="s">
        <v>61</v>
      </c>
      <c r="T46" s="5" t="s">
        <v>194</v>
      </c>
      <c r="U46" s="9"/>
      <c r="W46" s="85">
        <f t="shared" si="19"/>
        <v>130.30000000000001</v>
      </c>
      <c r="X46" s="86">
        <f t="shared" si="20"/>
        <v>39</v>
      </c>
      <c r="Y46" s="91">
        <f t="shared" si="21"/>
        <v>84</v>
      </c>
      <c r="Z46" s="89">
        <f t="shared" si="22"/>
        <v>91000</v>
      </c>
      <c r="AA46" s="89">
        <f t="shared" si="23"/>
        <v>0</v>
      </c>
      <c r="AB46" s="89">
        <f t="shared" si="24"/>
        <v>91000</v>
      </c>
      <c r="AC46" s="4">
        <f t="shared" si="25"/>
        <v>0</v>
      </c>
      <c r="AD46" s="90">
        <f t="shared" si="26"/>
        <v>2333.3333333333335</v>
      </c>
      <c r="AE46" s="76" t="str">
        <f t="shared" si="27"/>
        <v>계</v>
      </c>
      <c r="AF46" s="76" t="str">
        <f t="shared" si="28"/>
        <v>4/2</v>
      </c>
      <c r="AH46" s="20" t="str">
        <f t="shared" si="14"/>
        <v>서신아이파크e편한세상</v>
      </c>
      <c r="AI46" s="86">
        <f t="shared" si="13"/>
        <v>39</v>
      </c>
      <c r="AJ46" s="76" t="str">
        <f t="shared" si="29"/>
        <v>A-</v>
      </c>
      <c r="AK46" s="76" t="s">
        <v>13</v>
      </c>
      <c r="AL46" s="76" t="s">
        <v>62</v>
      </c>
      <c r="AM46" s="76" t="s">
        <v>63</v>
      </c>
      <c r="AN46" s="76" t="str">
        <f t="shared" si="30"/>
        <v>C</v>
      </c>
      <c r="AO46" s="76" t="str">
        <f t="shared" si="31"/>
        <v>X</v>
      </c>
      <c r="AP46" s="76" t="str">
        <f t="shared" si="32"/>
        <v>X</v>
      </c>
      <c r="AQ46" s="76" t="str">
        <f t="shared" si="33"/>
        <v>O</v>
      </c>
      <c r="AR46" s="76" t="str">
        <f t="shared" si="34"/>
        <v>X</v>
      </c>
      <c r="AS46" s="76" t="s">
        <v>2</v>
      </c>
      <c r="AT46" s="76" t="str">
        <f t="shared" si="35"/>
        <v>X</v>
      </c>
      <c r="AU46" s="76" t="str">
        <f t="shared" si="36"/>
        <v>O</v>
      </c>
      <c r="AV46" s="76" t="str">
        <f t="shared" si="37"/>
        <v>X</v>
      </c>
    </row>
    <row r="47" spans="1:48" x14ac:dyDescent="0.3">
      <c r="A47" s="9" t="s">
        <v>924</v>
      </c>
      <c r="B47" s="10" t="s">
        <v>1868</v>
      </c>
      <c r="C47" s="87">
        <v>1390</v>
      </c>
      <c r="D47" s="85">
        <v>130.4</v>
      </c>
      <c r="E47" s="86">
        <v>39</v>
      </c>
      <c r="F47" s="85">
        <v>102</v>
      </c>
      <c r="G47" s="17">
        <v>31</v>
      </c>
      <c r="H47" s="87">
        <v>42</v>
      </c>
      <c r="I47" s="88"/>
      <c r="J47" s="88"/>
      <c r="K47" s="88"/>
      <c r="L47" s="88"/>
      <c r="M47" s="89">
        <f t="shared" si="15"/>
        <v>0</v>
      </c>
      <c r="N47" s="4" t="str">
        <f t="shared" si="16"/>
        <v/>
      </c>
      <c r="O47" s="90">
        <f t="shared" si="17"/>
        <v>0</v>
      </c>
      <c r="P47" s="90">
        <f t="shared" si="18"/>
        <v>0</v>
      </c>
      <c r="Q47" s="76">
        <v>4</v>
      </c>
      <c r="R47" s="76">
        <v>2</v>
      </c>
      <c r="S47" s="76" t="s">
        <v>61</v>
      </c>
      <c r="T47" s="5" t="s">
        <v>195</v>
      </c>
      <c r="U47" s="9"/>
      <c r="W47" s="85">
        <f t="shared" si="19"/>
        <v>130.4</v>
      </c>
      <c r="X47" s="86">
        <f t="shared" si="20"/>
        <v>39</v>
      </c>
      <c r="Y47" s="91">
        <f t="shared" si="21"/>
        <v>42</v>
      </c>
      <c r="Z47" s="89">
        <f t="shared" si="22"/>
        <v>0</v>
      </c>
      <c r="AA47" s="89">
        <f t="shared" si="23"/>
        <v>0</v>
      </c>
      <c r="AB47" s="89">
        <f t="shared" si="24"/>
        <v>0</v>
      </c>
      <c r="AC47" s="4" t="str">
        <f t="shared" si="25"/>
        <v/>
      </c>
      <c r="AD47" s="90">
        <f t="shared" si="26"/>
        <v>0</v>
      </c>
      <c r="AE47" s="76" t="str">
        <f t="shared" si="27"/>
        <v>계</v>
      </c>
      <c r="AF47" s="76" t="str">
        <f t="shared" si="28"/>
        <v>4/2</v>
      </c>
      <c r="AH47" s="20" t="str">
        <f t="shared" si="14"/>
        <v>서신아이파크e편한세상</v>
      </c>
      <c r="AI47" s="86">
        <f t="shared" si="13"/>
        <v>39</v>
      </c>
      <c r="AJ47" s="76" t="str">
        <f t="shared" si="29"/>
        <v>A-</v>
      </c>
      <c r="AK47" s="76" t="s">
        <v>13</v>
      </c>
      <c r="AL47" s="76" t="s">
        <v>62</v>
      </c>
      <c r="AM47" s="76" t="s">
        <v>63</v>
      </c>
      <c r="AN47" s="76" t="str">
        <f t="shared" si="30"/>
        <v>C</v>
      </c>
      <c r="AO47" s="76" t="str">
        <f t="shared" si="31"/>
        <v/>
      </c>
      <c r="AP47" s="76" t="str">
        <f t="shared" si="32"/>
        <v/>
      </c>
      <c r="AQ47" s="76" t="str">
        <f t="shared" si="33"/>
        <v>O</v>
      </c>
      <c r="AR47" s="76" t="str">
        <f t="shared" si="34"/>
        <v>O</v>
      </c>
      <c r="AS47" s="76" t="s">
        <v>2</v>
      </c>
      <c r="AT47" s="76" t="str">
        <f t="shared" si="35"/>
        <v>X</v>
      </c>
      <c r="AU47" s="76" t="str">
        <f t="shared" si="36"/>
        <v>O</v>
      </c>
      <c r="AV47" s="76" t="str">
        <f t="shared" si="37"/>
        <v/>
      </c>
    </row>
    <row r="48" spans="1:48" x14ac:dyDescent="0.3">
      <c r="A48" s="9" t="s">
        <v>924</v>
      </c>
      <c r="B48" s="10" t="s">
        <v>1868</v>
      </c>
      <c r="C48" s="87">
        <v>1390</v>
      </c>
      <c r="D48" s="85">
        <v>142</v>
      </c>
      <c r="E48" s="86">
        <v>43</v>
      </c>
      <c r="F48" s="85">
        <v>116.5</v>
      </c>
      <c r="G48" s="17">
        <v>35</v>
      </c>
      <c r="H48" s="87">
        <v>40</v>
      </c>
      <c r="I48" s="88"/>
      <c r="J48" s="88"/>
      <c r="K48" s="88"/>
      <c r="L48" s="88"/>
      <c r="M48" s="89">
        <f t="shared" si="15"/>
        <v>0</v>
      </c>
      <c r="N48" s="4" t="str">
        <f t="shared" si="16"/>
        <v/>
      </c>
      <c r="O48" s="90">
        <f t="shared" si="17"/>
        <v>0</v>
      </c>
      <c r="P48" s="90">
        <f t="shared" si="18"/>
        <v>0</v>
      </c>
      <c r="Q48" s="76">
        <v>4</v>
      </c>
      <c r="R48" s="76">
        <v>2</v>
      </c>
      <c r="S48" s="76" t="s">
        <v>61</v>
      </c>
      <c r="T48" s="5">
        <v>141</v>
      </c>
      <c r="U48" s="9"/>
      <c r="W48" s="85">
        <f t="shared" si="19"/>
        <v>142</v>
      </c>
      <c r="X48" s="86">
        <f t="shared" si="20"/>
        <v>43</v>
      </c>
      <c r="Y48" s="91">
        <f t="shared" si="21"/>
        <v>40</v>
      </c>
      <c r="Z48" s="89">
        <f t="shared" si="22"/>
        <v>0</v>
      </c>
      <c r="AA48" s="89">
        <f t="shared" si="23"/>
        <v>0</v>
      </c>
      <c r="AB48" s="89">
        <f t="shared" si="24"/>
        <v>0</v>
      </c>
      <c r="AC48" s="4" t="str">
        <f t="shared" si="25"/>
        <v/>
      </c>
      <c r="AD48" s="90">
        <f t="shared" si="26"/>
        <v>0</v>
      </c>
      <c r="AE48" s="76" t="str">
        <f t="shared" si="27"/>
        <v>계</v>
      </c>
      <c r="AF48" s="76" t="str">
        <f t="shared" si="28"/>
        <v>4/2</v>
      </c>
      <c r="AH48" s="20" t="str">
        <f t="shared" si="14"/>
        <v>서신아이파크e편한세상</v>
      </c>
      <c r="AI48" s="86">
        <f t="shared" si="13"/>
        <v>43</v>
      </c>
      <c r="AJ48" s="76" t="str">
        <f t="shared" si="29"/>
        <v>A-</v>
      </c>
      <c r="AK48" s="76" t="s">
        <v>13</v>
      </c>
      <c r="AL48" s="76" t="s">
        <v>62</v>
      </c>
      <c r="AM48" s="76" t="s">
        <v>63</v>
      </c>
      <c r="AN48" s="76" t="str">
        <f t="shared" si="30"/>
        <v>C</v>
      </c>
      <c r="AO48" s="76" t="str">
        <f t="shared" si="31"/>
        <v/>
      </c>
      <c r="AP48" s="76" t="str">
        <f t="shared" si="32"/>
        <v/>
      </c>
      <c r="AQ48" s="76" t="str">
        <f t="shared" si="33"/>
        <v>O</v>
      </c>
      <c r="AR48" s="76" t="str">
        <f t="shared" si="34"/>
        <v>O</v>
      </c>
      <c r="AS48" s="76" t="s">
        <v>2</v>
      </c>
      <c r="AT48" s="76" t="str">
        <f t="shared" si="35"/>
        <v>X</v>
      </c>
      <c r="AU48" s="76" t="str">
        <f t="shared" si="36"/>
        <v>O</v>
      </c>
      <c r="AV48" s="76" t="str">
        <f t="shared" si="37"/>
        <v/>
      </c>
    </row>
    <row r="49" spans="1:48" x14ac:dyDescent="0.3">
      <c r="A49" s="9"/>
      <c r="B49" s="76"/>
      <c r="C49" s="6"/>
      <c r="D49" s="9"/>
      <c r="E49" s="14"/>
      <c r="F49" s="85"/>
      <c r="G49" s="9"/>
      <c r="H49" s="9"/>
      <c r="I49" s="9"/>
      <c r="J49" s="9"/>
      <c r="K49" s="9"/>
      <c r="L49" s="9"/>
      <c r="M49" s="9"/>
      <c r="N49" s="9"/>
      <c r="O49" s="90"/>
      <c r="P49" s="90"/>
      <c r="Q49" s="86"/>
      <c r="R49" s="86"/>
      <c r="S49" s="9"/>
      <c r="T49" s="47"/>
      <c r="U49" s="9"/>
      <c r="W49" s="67" t="str">
        <f>$A$4&amp;" "&amp;A50&amp;"("&amp;B50&amp;","&amp;C50&amp;"^)"</f>
        <v>서신동 서신LG('98.06.,294^)</v>
      </c>
      <c r="X49" s="68"/>
      <c r="Y49" s="68"/>
      <c r="Z49" s="68"/>
      <c r="AA49" s="68"/>
      <c r="AB49" s="68"/>
      <c r="AC49" s="68"/>
      <c r="AD49" s="68"/>
      <c r="AE49" s="68"/>
      <c r="AF49" s="69"/>
      <c r="AH49" s="20" t="str">
        <f t="shared" si="14"/>
        <v/>
      </c>
      <c r="AI49" s="108" t="str">
        <f t="shared" si="13"/>
        <v/>
      </c>
      <c r="AJ49" s="76"/>
      <c r="AK49" s="76"/>
      <c r="AL49" s="76"/>
      <c r="AM49" s="76"/>
      <c r="AN49" s="76"/>
      <c r="AO49" s="76"/>
      <c r="AP49" s="76"/>
      <c r="AQ49" s="76"/>
      <c r="AR49" s="76"/>
      <c r="AS49" s="76"/>
      <c r="AT49" s="76"/>
      <c r="AU49" s="76"/>
      <c r="AV49" s="76"/>
    </row>
    <row r="50" spans="1:48" x14ac:dyDescent="0.3">
      <c r="A50" s="9" t="s">
        <v>934</v>
      </c>
      <c r="B50" s="10" t="s">
        <v>1865</v>
      </c>
      <c r="C50" s="87">
        <v>294</v>
      </c>
      <c r="D50" s="85">
        <v>132</v>
      </c>
      <c r="E50" s="86">
        <v>40</v>
      </c>
      <c r="F50" s="85">
        <v>109</v>
      </c>
      <c r="G50" s="17">
        <v>33</v>
      </c>
      <c r="H50" s="87">
        <v>246</v>
      </c>
      <c r="I50" s="88"/>
      <c r="J50" s="88"/>
      <c r="K50" s="88"/>
      <c r="L50" s="88"/>
      <c r="M50" s="89">
        <f>I50-K50</f>
        <v>0</v>
      </c>
      <c r="N50" s="4" t="str">
        <f>IF(ISERROR(K50/I50),"",K50/I50)</f>
        <v/>
      </c>
      <c r="O50" s="90">
        <f>I50/E50</f>
        <v>0</v>
      </c>
      <c r="P50" s="90">
        <f>K50/E50</f>
        <v>0</v>
      </c>
      <c r="Q50" s="76">
        <v>3</v>
      </c>
      <c r="R50" s="76">
        <v>2</v>
      </c>
      <c r="S50" s="76" t="s">
        <v>61</v>
      </c>
      <c r="T50" s="5">
        <v>132</v>
      </c>
      <c r="U50" s="9"/>
      <c r="W50" s="85">
        <f>D50</f>
        <v>132</v>
      </c>
      <c r="X50" s="86">
        <f>E50</f>
        <v>40</v>
      </c>
      <c r="Y50" s="91">
        <f>H50</f>
        <v>246</v>
      </c>
      <c r="Z50" s="89">
        <f>I50</f>
        <v>0</v>
      </c>
      <c r="AA50" s="89">
        <f>K50</f>
        <v>0</v>
      </c>
      <c r="AB50" s="89">
        <f t="shared" ref="AB50:AD51" si="38">M50</f>
        <v>0</v>
      </c>
      <c r="AC50" s="4" t="str">
        <f t="shared" si="38"/>
        <v/>
      </c>
      <c r="AD50" s="90">
        <f t="shared" si="38"/>
        <v>0</v>
      </c>
      <c r="AE50" s="76" t="str">
        <f>S50</f>
        <v>계</v>
      </c>
      <c r="AF50" s="76" t="str">
        <f>Q50&amp;"/"&amp;R50</f>
        <v>3/2</v>
      </c>
      <c r="AH50" s="20" t="str">
        <f t="shared" si="14"/>
        <v>서신LG</v>
      </c>
      <c r="AI50" s="86">
        <f t="shared" si="13"/>
        <v>40</v>
      </c>
      <c r="AJ50" s="76" t="str">
        <f>IF(AI50="","",$AJ$2)</f>
        <v>A-</v>
      </c>
      <c r="AK50" s="76" t="s">
        <v>13</v>
      </c>
      <c r="AL50" s="76" t="s">
        <v>62</v>
      </c>
      <c r="AM50" s="76" t="s">
        <v>63</v>
      </c>
      <c r="AN50" s="76" t="str">
        <f>IF(AI50="","",$AN$2)</f>
        <v>C</v>
      </c>
      <c r="AO50" s="76" t="str">
        <f>IF(N50="","",IF(N50&gt;=$AO$1/100,"O","X"))</f>
        <v/>
      </c>
      <c r="AP50" s="76" t="str">
        <f>IF(I50="","",IF(I50&lt;=$AP$1,"O","X"))</f>
        <v/>
      </c>
      <c r="AQ50" s="76" t="str">
        <f>IF(O50="","",IF(O50&lt;=$AQ$1,"O","X"))</f>
        <v>O</v>
      </c>
      <c r="AR50" s="76" t="str">
        <f>IF(M50="","",IF(M50&lt;=$AR$1,"O","X"))</f>
        <v>O</v>
      </c>
      <c r="AS50" s="76" t="s">
        <v>2</v>
      </c>
      <c r="AT50" s="76" t="str">
        <f>IF(OR(F50="",AI50=""),"",IF(AND((F50&lt;=85),(AI50&gt;=15)),"O","X"))</f>
        <v>X</v>
      </c>
      <c r="AU50" s="76" t="str">
        <f>IF(C50="","",IF(C50&gt;=$AU$1,"O","X"))</f>
        <v>X</v>
      </c>
      <c r="AV50" s="76" t="str">
        <f>IF(AO50="","",IF(AND(AO50="O",AP50="O",AR50="O",AT50="O",AU50="O"),"후보","X"))</f>
        <v/>
      </c>
    </row>
    <row r="51" spans="1:48" x14ac:dyDescent="0.3">
      <c r="A51" s="9" t="s">
        <v>934</v>
      </c>
      <c r="B51" s="10" t="s">
        <v>1865</v>
      </c>
      <c r="C51" s="87">
        <v>294</v>
      </c>
      <c r="D51" s="85">
        <v>176.1</v>
      </c>
      <c r="E51" s="86">
        <v>53</v>
      </c>
      <c r="F51" s="85">
        <v>144.4</v>
      </c>
      <c r="G51" s="17">
        <v>44</v>
      </c>
      <c r="H51" s="87">
        <v>48</v>
      </c>
      <c r="I51" s="88"/>
      <c r="J51" s="88"/>
      <c r="K51" s="88"/>
      <c r="L51" s="88"/>
      <c r="M51" s="89">
        <f>I51-K51</f>
        <v>0</v>
      </c>
      <c r="N51" s="4" t="str">
        <f>IF(ISERROR(K51/I51),"",K51/I51)</f>
        <v/>
      </c>
      <c r="O51" s="90">
        <f>I51/E51</f>
        <v>0</v>
      </c>
      <c r="P51" s="90">
        <f>K51/E51</f>
        <v>0</v>
      </c>
      <c r="Q51" s="76">
        <v>4</v>
      </c>
      <c r="R51" s="76">
        <v>2</v>
      </c>
      <c r="S51" s="76" t="s">
        <v>61</v>
      </c>
      <c r="T51" s="5">
        <v>176</v>
      </c>
      <c r="U51" s="9"/>
      <c r="W51" s="85">
        <f>D51</f>
        <v>176.1</v>
      </c>
      <c r="X51" s="86">
        <f>E51</f>
        <v>53</v>
      </c>
      <c r="Y51" s="91">
        <f>H51</f>
        <v>48</v>
      </c>
      <c r="Z51" s="89">
        <f>I51</f>
        <v>0</v>
      </c>
      <c r="AA51" s="89">
        <f>K51</f>
        <v>0</v>
      </c>
      <c r="AB51" s="89">
        <f t="shared" si="38"/>
        <v>0</v>
      </c>
      <c r="AC51" s="4" t="str">
        <f t="shared" si="38"/>
        <v/>
      </c>
      <c r="AD51" s="90">
        <f t="shared" si="38"/>
        <v>0</v>
      </c>
      <c r="AE51" s="76" t="str">
        <f>S51</f>
        <v>계</v>
      </c>
      <c r="AF51" s="76" t="str">
        <f>Q51&amp;"/"&amp;R51</f>
        <v>4/2</v>
      </c>
      <c r="AH51" s="20" t="str">
        <f t="shared" si="14"/>
        <v>서신LG</v>
      </c>
      <c r="AI51" s="86">
        <f t="shared" si="13"/>
        <v>53</v>
      </c>
      <c r="AJ51" s="76" t="str">
        <f>IF(AI51="","",$AJ$2)</f>
        <v>A-</v>
      </c>
      <c r="AK51" s="76" t="s">
        <v>13</v>
      </c>
      <c r="AL51" s="76" t="s">
        <v>62</v>
      </c>
      <c r="AM51" s="76" t="s">
        <v>63</v>
      </c>
      <c r="AN51" s="76" t="str">
        <f>IF(AI51="","",$AN$2)</f>
        <v>C</v>
      </c>
      <c r="AO51" s="76" t="str">
        <f>IF(N51="","",IF(N51&gt;=$AO$1/100,"O","X"))</f>
        <v/>
      </c>
      <c r="AP51" s="76" t="str">
        <f>IF(I51="","",IF(I51&lt;=$AP$1,"O","X"))</f>
        <v/>
      </c>
      <c r="AQ51" s="76" t="str">
        <f>IF(O51="","",IF(O51&lt;=$AQ$1,"O","X"))</f>
        <v>O</v>
      </c>
      <c r="AR51" s="76" t="str">
        <f>IF(M51="","",IF(M51&lt;=$AR$1,"O","X"))</f>
        <v>O</v>
      </c>
      <c r="AS51" s="76" t="s">
        <v>2</v>
      </c>
      <c r="AT51" s="76" t="str">
        <f>IF(OR(F51="",AI51=""),"",IF(AND((F51&lt;=85),(AI51&gt;=15)),"O","X"))</f>
        <v>X</v>
      </c>
      <c r="AU51" s="76" t="str">
        <f>IF(C51="","",IF(C51&gt;=$AU$1,"O","X"))</f>
        <v>X</v>
      </c>
      <c r="AV51" s="76" t="str">
        <f>IF(AO51="","",IF(AND(AO51="O",AP51="O",AR51="O",AT51="O",AU51="O"),"후보","X"))</f>
        <v/>
      </c>
    </row>
    <row r="52" spans="1:48" x14ac:dyDescent="0.3">
      <c r="A52" s="9"/>
      <c r="B52" s="76"/>
      <c r="C52" s="6"/>
      <c r="D52" s="9"/>
      <c r="E52" s="14"/>
      <c r="F52" s="85"/>
      <c r="G52" s="9"/>
      <c r="H52" s="9"/>
      <c r="I52" s="9"/>
      <c r="J52" s="9"/>
      <c r="K52" s="9"/>
      <c r="L52" s="9"/>
      <c r="M52" s="9"/>
      <c r="N52" s="9"/>
      <c r="O52" s="90"/>
      <c r="P52" s="90"/>
      <c r="Q52" s="86"/>
      <c r="R52" s="86"/>
      <c r="S52" s="9"/>
      <c r="T52" s="47"/>
      <c r="U52" s="9"/>
      <c r="W52" s="67" t="str">
        <f>$A$4&amp;" "&amp;A53&amp;"("&amp;B53&amp;","&amp;C53&amp;"^)"</f>
        <v>서신동 감나무골대우,대창('99.10.,390^)</v>
      </c>
      <c r="X52" s="68"/>
      <c r="Y52" s="68"/>
      <c r="Z52" s="68"/>
      <c r="AA52" s="68"/>
      <c r="AB52" s="68"/>
      <c r="AC52" s="68"/>
      <c r="AD52" s="68"/>
      <c r="AE52" s="68"/>
      <c r="AF52" s="69"/>
      <c r="AH52" s="20" t="str">
        <f t="shared" si="14"/>
        <v/>
      </c>
      <c r="AI52" s="108" t="str">
        <f t="shared" si="13"/>
        <v/>
      </c>
      <c r="AJ52" s="76"/>
      <c r="AK52" s="76"/>
      <c r="AL52" s="76"/>
      <c r="AM52" s="76"/>
      <c r="AN52" s="76"/>
      <c r="AO52" s="76"/>
      <c r="AP52" s="76"/>
      <c r="AQ52" s="76"/>
      <c r="AR52" s="76"/>
      <c r="AS52" s="76"/>
      <c r="AT52" s="76"/>
      <c r="AU52" s="76"/>
      <c r="AV52" s="76"/>
    </row>
    <row r="53" spans="1:48" x14ac:dyDescent="0.3">
      <c r="A53" s="9" t="s">
        <v>938</v>
      </c>
      <c r="B53" s="10" t="s">
        <v>1869</v>
      </c>
      <c r="C53" s="87">
        <v>390</v>
      </c>
      <c r="D53" s="85">
        <v>106.8</v>
      </c>
      <c r="E53" s="86">
        <v>32</v>
      </c>
      <c r="F53" s="85">
        <v>84.6</v>
      </c>
      <c r="G53" s="17">
        <v>26</v>
      </c>
      <c r="H53" s="87">
        <v>248</v>
      </c>
      <c r="I53" s="88">
        <v>26000</v>
      </c>
      <c r="J53" s="88" t="s">
        <v>189</v>
      </c>
      <c r="K53" s="88">
        <v>28000</v>
      </c>
      <c r="L53" s="88" t="s">
        <v>75</v>
      </c>
      <c r="M53" s="89">
        <f>I53-K53</f>
        <v>-2000</v>
      </c>
      <c r="N53" s="4">
        <f>IF(ISERROR(K53/I53),"",K53/I53)</f>
        <v>1.0769230769230769</v>
      </c>
      <c r="O53" s="90">
        <f>I53/E53</f>
        <v>812.5</v>
      </c>
      <c r="P53" s="90">
        <f>K53/E53</f>
        <v>875</v>
      </c>
      <c r="Q53" s="76">
        <v>3</v>
      </c>
      <c r="R53" s="76">
        <v>2</v>
      </c>
      <c r="S53" s="76" t="s">
        <v>61</v>
      </c>
      <c r="T53" s="5">
        <v>106</v>
      </c>
      <c r="U53" s="9"/>
      <c r="W53" s="85">
        <f>D53</f>
        <v>106.8</v>
      </c>
      <c r="X53" s="86">
        <f>E53</f>
        <v>32</v>
      </c>
      <c r="Y53" s="91">
        <f>H53</f>
        <v>248</v>
      </c>
      <c r="Z53" s="89">
        <f>I53</f>
        <v>26000</v>
      </c>
      <c r="AA53" s="89">
        <f>K53</f>
        <v>28000</v>
      </c>
      <c r="AB53" s="89">
        <f t="shared" ref="AB53:AD54" si="39">M53</f>
        <v>-2000</v>
      </c>
      <c r="AC53" s="4">
        <f t="shared" si="39"/>
        <v>1.0769230769230769</v>
      </c>
      <c r="AD53" s="90">
        <f t="shared" si="39"/>
        <v>812.5</v>
      </c>
      <c r="AE53" s="76" t="str">
        <f>S53</f>
        <v>계</v>
      </c>
      <c r="AF53" s="76" t="str">
        <f>Q53&amp;"/"&amp;R53</f>
        <v>3/2</v>
      </c>
      <c r="AH53" s="20" t="str">
        <f t="shared" si="14"/>
        <v>감나무골대우,대창</v>
      </c>
      <c r="AI53" s="86">
        <f t="shared" si="13"/>
        <v>32</v>
      </c>
      <c r="AJ53" s="76" t="str">
        <f>IF(AI53="","",$AJ$2)</f>
        <v>A-</v>
      </c>
      <c r="AK53" s="76" t="s">
        <v>13</v>
      </c>
      <c r="AL53" s="76" t="s">
        <v>62</v>
      </c>
      <c r="AM53" s="76" t="s">
        <v>63</v>
      </c>
      <c r="AN53" s="76" t="str">
        <f>IF(AI53="","",$AN$2)</f>
        <v>C</v>
      </c>
      <c r="AO53" s="76" t="str">
        <f>IF(N53="","",IF(N53&gt;=$AO$1/100,"O","X"))</f>
        <v>O</v>
      </c>
      <c r="AP53" s="76" t="str">
        <f>IF(I53="","",IF(I53&lt;=$AP$1,"O","X"))</f>
        <v>O</v>
      </c>
      <c r="AQ53" s="76" t="str">
        <f>IF(O53="","",IF(O53&lt;=$AQ$1,"O","X"))</f>
        <v>O</v>
      </c>
      <c r="AR53" s="76" t="str">
        <f>IF(M53="","",IF(M53&lt;=$AR$1,"O","X"))</f>
        <v>O</v>
      </c>
      <c r="AS53" s="76" t="s">
        <v>2</v>
      </c>
      <c r="AT53" s="76" t="str">
        <f>IF(OR(F53="",AI53=""),"",IF(AND((F53&lt;=85),(AI53&gt;=15)),"O","X"))</f>
        <v>O</v>
      </c>
      <c r="AU53" s="76" t="str">
        <f>IF(C53="","",IF(C53&gt;=$AU$1,"O","X"))</f>
        <v>O</v>
      </c>
      <c r="AV53" s="76" t="str">
        <f>IF(AO53="","",IF(AND(AO53="O",AP53="O",AR53="O",AT53="O",AU53="O"),"후보","X"))</f>
        <v>후보</v>
      </c>
    </row>
    <row r="54" spans="1:48" x14ac:dyDescent="0.3">
      <c r="A54" s="9" t="s">
        <v>938</v>
      </c>
      <c r="B54" s="10" t="s">
        <v>1869</v>
      </c>
      <c r="C54" s="87">
        <v>390</v>
      </c>
      <c r="D54" s="85">
        <v>107.1</v>
      </c>
      <c r="E54" s="86">
        <v>32</v>
      </c>
      <c r="F54" s="85">
        <v>85</v>
      </c>
      <c r="G54" s="17">
        <v>26</v>
      </c>
      <c r="H54" s="87">
        <v>142</v>
      </c>
      <c r="I54" s="88">
        <v>28000</v>
      </c>
      <c r="J54" s="88" t="s">
        <v>90</v>
      </c>
      <c r="K54" s="88"/>
      <c r="L54" s="88"/>
      <c r="M54" s="89">
        <f>I54-K54</f>
        <v>28000</v>
      </c>
      <c r="N54" s="4">
        <f>IF(ISERROR(K54/I54),"",K54/I54)</f>
        <v>0</v>
      </c>
      <c r="O54" s="90">
        <f>I54/E54</f>
        <v>875</v>
      </c>
      <c r="P54" s="90">
        <f>K54/E54</f>
        <v>0</v>
      </c>
      <c r="Q54" s="76">
        <v>3</v>
      </c>
      <c r="R54" s="76">
        <v>2</v>
      </c>
      <c r="S54" s="76" t="s">
        <v>61</v>
      </c>
      <c r="T54" s="5" t="s">
        <v>199</v>
      </c>
      <c r="U54" s="9"/>
      <c r="W54" s="85">
        <f>D54</f>
        <v>107.1</v>
      </c>
      <c r="X54" s="86">
        <f>E54</f>
        <v>32</v>
      </c>
      <c r="Y54" s="91">
        <f>H54</f>
        <v>142</v>
      </c>
      <c r="Z54" s="89">
        <f>I54</f>
        <v>28000</v>
      </c>
      <c r="AA54" s="89">
        <f>K54</f>
        <v>0</v>
      </c>
      <c r="AB54" s="89">
        <f t="shared" si="39"/>
        <v>28000</v>
      </c>
      <c r="AC54" s="4">
        <f t="shared" si="39"/>
        <v>0</v>
      </c>
      <c r="AD54" s="90">
        <f t="shared" si="39"/>
        <v>875</v>
      </c>
      <c r="AE54" s="76" t="str">
        <f>S54</f>
        <v>계</v>
      </c>
      <c r="AF54" s="76" t="str">
        <f>Q54&amp;"/"&amp;R54</f>
        <v>3/2</v>
      </c>
      <c r="AH54" s="20" t="str">
        <f t="shared" si="14"/>
        <v>감나무골대우,대창</v>
      </c>
      <c r="AI54" s="86">
        <f t="shared" si="13"/>
        <v>32</v>
      </c>
      <c r="AJ54" s="76" t="str">
        <f>IF(AI54="","",$AJ$2)</f>
        <v>A-</v>
      </c>
      <c r="AK54" s="76" t="s">
        <v>13</v>
      </c>
      <c r="AL54" s="76" t="s">
        <v>62</v>
      </c>
      <c r="AM54" s="76" t="s">
        <v>63</v>
      </c>
      <c r="AN54" s="76" t="str">
        <f>IF(AI54="","",$AN$2)</f>
        <v>C</v>
      </c>
      <c r="AO54" s="76" t="str">
        <f>IF(N54="","",IF(N54&gt;=$AO$1/100,"O","X"))</f>
        <v>X</v>
      </c>
      <c r="AP54" s="76" t="str">
        <f>IF(I54="","",IF(I54&lt;=$AP$1,"O","X"))</f>
        <v>O</v>
      </c>
      <c r="AQ54" s="76" t="str">
        <f>IF(O54="","",IF(O54&lt;=$AQ$1,"O","X"))</f>
        <v>O</v>
      </c>
      <c r="AR54" s="76" t="str">
        <f>IF(M54="","",IF(M54&lt;=$AR$1,"O","X"))</f>
        <v>X</v>
      </c>
      <c r="AS54" s="76" t="s">
        <v>2</v>
      </c>
      <c r="AT54" s="76" t="str">
        <f>IF(OR(F54="",AI54=""),"",IF(AND((F54&lt;=85),(AI54&gt;=15)),"O","X"))</f>
        <v>O</v>
      </c>
      <c r="AU54" s="76" t="str">
        <f>IF(C54="","",IF(C54&gt;=$AU$1,"O","X"))</f>
        <v>O</v>
      </c>
      <c r="AV54" s="76" t="str">
        <f>IF(AO54="","",IF(AND(AO54="O",AP54="O",AR54="O",AT54="O",AU54="O"),"후보","X"))</f>
        <v>X</v>
      </c>
    </row>
    <row r="55" spans="1:48" x14ac:dyDescent="0.3">
      <c r="A55" s="9"/>
      <c r="B55" s="76"/>
      <c r="C55" s="6"/>
      <c r="D55" s="9"/>
      <c r="E55" s="14"/>
      <c r="F55" s="85"/>
      <c r="G55" s="9"/>
      <c r="H55" s="9"/>
      <c r="I55" s="9"/>
      <c r="J55" s="9"/>
      <c r="K55" s="9"/>
      <c r="L55" s="9"/>
      <c r="M55" s="9"/>
      <c r="N55" s="9"/>
      <c r="O55" s="90"/>
      <c r="P55" s="90"/>
      <c r="Q55" s="86"/>
      <c r="R55" s="86"/>
      <c r="S55" s="9"/>
      <c r="T55" s="47"/>
      <c r="U55" s="9"/>
      <c r="W55" s="67" t="str">
        <f>$A$4&amp;" "&amp;A56&amp;"("&amp;B56&amp;","&amp;C56&amp;"^)"</f>
        <v>서신동 서신광진산업장미2차('01.11.,428^)</v>
      </c>
      <c r="X55" s="68"/>
      <c r="Y55" s="68"/>
      <c r="Z55" s="68"/>
      <c r="AA55" s="68"/>
      <c r="AB55" s="68"/>
      <c r="AC55" s="68"/>
      <c r="AD55" s="68"/>
      <c r="AE55" s="68"/>
      <c r="AF55" s="69"/>
      <c r="AH55" s="20" t="str">
        <f t="shared" si="14"/>
        <v/>
      </c>
      <c r="AI55" s="108" t="str">
        <f t="shared" si="13"/>
        <v/>
      </c>
      <c r="AJ55" s="76"/>
      <c r="AK55" s="76"/>
      <c r="AL55" s="76"/>
      <c r="AM55" s="76"/>
      <c r="AN55" s="76"/>
      <c r="AO55" s="76"/>
      <c r="AP55" s="76"/>
      <c r="AQ55" s="76"/>
      <c r="AR55" s="76"/>
      <c r="AS55" s="76"/>
      <c r="AT55" s="76"/>
      <c r="AU55" s="76"/>
      <c r="AV55" s="76"/>
    </row>
    <row r="56" spans="1:48" x14ac:dyDescent="0.3">
      <c r="A56" s="9" t="s">
        <v>943</v>
      </c>
      <c r="B56" s="10" t="s">
        <v>1870</v>
      </c>
      <c r="C56" s="87">
        <v>428</v>
      </c>
      <c r="D56" s="85">
        <v>77.7</v>
      </c>
      <c r="E56" s="86">
        <v>24</v>
      </c>
      <c r="F56" s="85">
        <v>59.6</v>
      </c>
      <c r="G56" s="17">
        <v>18</v>
      </c>
      <c r="H56" s="87">
        <v>428</v>
      </c>
      <c r="I56" s="88"/>
      <c r="J56" s="88"/>
      <c r="K56" s="88"/>
      <c r="L56" s="88"/>
      <c r="M56" s="89">
        <f>I56-K56</f>
        <v>0</v>
      </c>
      <c r="N56" s="4" t="str">
        <f>IF(ISERROR(K56/I56),"",K56/I56)</f>
        <v/>
      </c>
      <c r="O56" s="90">
        <f>I56/E56</f>
        <v>0</v>
      </c>
      <c r="P56" s="90">
        <f>K56/E56</f>
        <v>0</v>
      </c>
      <c r="Q56" s="76">
        <v>2</v>
      </c>
      <c r="R56" s="76">
        <v>1</v>
      </c>
      <c r="S56" s="76" t="s">
        <v>61</v>
      </c>
      <c r="T56" s="5">
        <v>77</v>
      </c>
      <c r="U56" s="9"/>
      <c r="W56" s="85">
        <f>D56</f>
        <v>77.7</v>
      </c>
      <c r="X56" s="86">
        <f>E56</f>
        <v>24</v>
      </c>
      <c r="Y56" s="91">
        <f>H56</f>
        <v>428</v>
      </c>
      <c r="Z56" s="89">
        <f>I56</f>
        <v>0</v>
      </c>
      <c r="AA56" s="89">
        <f>K56</f>
        <v>0</v>
      </c>
      <c r="AB56" s="89">
        <f>M56</f>
        <v>0</v>
      </c>
      <c r="AC56" s="4" t="str">
        <f>N56</f>
        <v/>
      </c>
      <c r="AD56" s="90">
        <f>O56</f>
        <v>0</v>
      </c>
      <c r="AE56" s="76" t="str">
        <f>S56</f>
        <v>계</v>
      </c>
      <c r="AF56" s="76" t="str">
        <f>Q56&amp;"/"&amp;R56</f>
        <v>2/1</v>
      </c>
      <c r="AH56" s="20" t="str">
        <f t="shared" si="14"/>
        <v>서신광진산업장미2차</v>
      </c>
      <c r="AI56" s="86">
        <f t="shared" si="13"/>
        <v>24</v>
      </c>
      <c r="AJ56" s="76" t="str">
        <f>IF(AI56="","",$AJ$2)</f>
        <v>A-</v>
      </c>
      <c r="AK56" s="76" t="s">
        <v>13</v>
      </c>
      <c r="AL56" s="76" t="s">
        <v>62</v>
      </c>
      <c r="AM56" s="76" t="s">
        <v>63</v>
      </c>
      <c r="AN56" s="76" t="str">
        <f>IF(AI56="","",$AN$2)</f>
        <v>C</v>
      </c>
      <c r="AO56" s="76" t="str">
        <f>IF(N56="","",IF(N56&gt;=$AO$1/100,"O","X"))</f>
        <v/>
      </c>
      <c r="AP56" s="76" t="str">
        <f>IF(I56="","",IF(I56&lt;=$AP$1,"O","X"))</f>
        <v/>
      </c>
      <c r="AQ56" s="76" t="str">
        <f>IF(O56="","",IF(O56&lt;=$AQ$1,"O","X"))</f>
        <v>O</v>
      </c>
      <c r="AR56" s="76" t="str">
        <f>IF(M56="","",IF(M56&lt;=$AR$1,"O","X"))</f>
        <v>O</v>
      </c>
      <c r="AS56" s="76" t="s">
        <v>2</v>
      </c>
      <c r="AT56" s="76" t="str">
        <f>IF(OR(F56="",AI56=""),"",IF(AND((F56&lt;=85),(AI56&gt;=15)),"O","X"))</f>
        <v>O</v>
      </c>
      <c r="AU56" s="76" t="str">
        <f>IF(C56="","",IF(C56&gt;=$AU$1,"O","X"))</f>
        <v>O</v>
      </c>
      <c r="AV56" s="76" t="str">
        <f>IF(AO56="","",IF(AND(AO56="O",AP56="O",AR56="O",AT56="O",AU56="O"),"후보","X"))</f>
        <v/>
      </c>
    </row>
    <row r="57" spans="1:48" x14ac:dyDescent="0.3">
      <c r="A57" s="9"/>
      <c r="B57" s="76"/>
      <c r="C57" s="6"/>
      <c r="D57" s="9"/>
      <c r="E57" s="14"/>
      <c r="F57" s="85"/>
      <c r="G57" s="9"/>
      <c r="H57" s="9"/>
      <c r="I57" s="9"/>
      <c r="J57" s="9"/>
      <c r="K57" s="9"/>
      <c r="L57" s="9"/>
      <c r="M57" s="9"/>
      <c r="N57" s="9"/>
      <c r="O57" s="90"/>
      <c r="P57" s="90"/>
      <c r="Q57" s="86"/>
      <c r="R57" s="86"/>
      <c r="S57" s="9"/>
      <c r="T57" s="47"/>
      <c r="U57" s="9"/>
      <c r="W57" s="67" t="str">
        <f>$A$4&amp;" "&amp;A58&amp;"("&amp;B58&amp;","&amp;C58&amp;"^)"</f>
        <v>서신동 서신쌍용('96.04.,531^)</v>
      </c>
      <c r="X57" s="68"/>
      <c r="Y57" s="68"/>
      <c r="Z57" s="68"/>
      <c r="AA57" s="68"/>
      <c r="AB57" s="68"/>
      <c r="AC57" s="68"/>
      <c r="AD57" s="68"/>
      <c r="AE57" s="68"/>
      <c r="AF57" s="69"/>
      <c r="AH57" s="20" t="str">
        <f t="shared" si="14"/>
        <v/>
      </c>
      <c r="AI57" s="108" t="str">
        <f t="shared" si="13"/>
        <v/>
      </c>
      <c r="AJ57" s="76"/>
      <c r="AK57" s="76"/>
      <c r="AL57" s="76"/>
      <c r="AM57" s="76"/>
      <c r="AN57" s="76"/>
      <c r="AO57" s="76"/>
      <c r="AP57" s="76"/>
      <c r="AQ57" s="76"/>
      <c r="AR57" s="76"/>
      <c r="AS57" s="76"/>
      <c r="AT57" s="76"/>
      <c r="AU57" s="76"/>
      <c r="AV57" s="76"/>
    </row>
    <row r="58" spans="1:48" x14ac:dyDescent="0.3">
      <c r="A58" s="9" t="s">
        <v>948</v>
      </c>
      <c r="B58" s="10" t="s">
        <v>1871</v>
      </c>
      <c r="C58" s="87">
        <v>531</v>
      </c>
      <c r="D58" s="85">
        <v>82.3</v>
      </c>
      <c r="E58" s="86">
        <v>25</v>
      </c>
      <c r="F58" s="85">
        <v>59</v>
      </c>
      <c r="G58" s="17">
        <v>18</v>
      </c>
      <c r="H58" s="87">
        <v>531</v>
      </c>
      <c r="I58" s="88">
        <v>12700</v>
      </c>
      <c r="J58" s="88" t="s">
        <v>131</v>
      </c>
      <c r="K58" s="88">
        <v>11000</v>
      </c>
      <c r="L58" s="88" t="s">
        <v>85</v>
      </c>
      <c r="M58" s="89">
        <f>I58-K58</f>
        <v>1700</v>
      </c>
      <c r="N58" s="4">
        <f>IF(ISERROR(K58/I58),"",K58/I58)</f>
        <v>0.86614173228346458</v>
      </c>
      <c r="O58" s="90">
        <f>I58/E58</f>
        <v>508</v>
      </c>
      <c r="P58" s="90">
        <f>K58/E58</f>
        <v>440</v>
      </c>
      <c r="Q58" s="76">
        <v>2</v>
      </c>
      <c r="R58" s="76">
        <v>1</v>
      </c>
      <c r="S58" s="76" t="s">
        <v>68</v>
      </c>
      <c r="T58" s="5">
        <v>82</v>
      </c>
      <c r="U58" s="9"/>
      <c r="W58" s="85">
        <f>D58</f>
        <v>82.3</v>
      </c>
      <c r="X58" s="86">
        <f>E58</f>
        <v>25</v>
      </c>
      <c r="Y58" s="91">
        <f>H58</f>
        <v>531</v>
      </c>
      <c r="Z58" s="89">
        <f>I58</f>
        <v>12700</v>
      </c>
      <c r="AA58" s="89">
        <f>K58</f>
        <v>11000</v>
      </c>
      <c r="AB58" s="89">
        <f>M58</f>
        <v>1700</v>
      </c>
      <c r="AC58" s="4">
        <f>N58</f>
        <v>0.86614173228346458</v>
      </c>
      <c r="AD58" s="90">
        <f>O58</f>
        <v>508</v>
      </c>
      <c r="AE58" s="76" t="str">
        <f>S58</f>
        <v>복</v>
      </c>
      <c r="AF58" s="76" t="str">
        <f>Q58&amp;"/"&amp;R58</f>
        <v>2/1</v>
      </c>
      <c r="AH58" s="20" t="str">
        <f t="shared" si="14"/>
        <v>서신쌍용</v>
      </c>
      <c r="AI58" s="86">
        <f t="shared" si="13"/>
        <v>25</v>
      </c>
      <c r="AJ58" s="76" t="str">
        <f>IF(AI58="","",$AJ$2)</f>
        <v>A-</v>
      </c>
      <c r="AK58" s="76" t="s">
        <v>13</v>
      </c>
      <c r="AL58" s="76" t="s">
        <v>62</v>
      </c>
      <c r="AM58" s="76" t="s">
        <v>63</v>
      </c>
      <c r="AN58" s="76" t="str">
        <f>IF(AI58="","",$AN$2)</f>
        <v>C</v>
      </c>
      <c r="AO58" s="76" t="str">
        <f>IF(N58="","",IF(N58&gt;=$AO$1/100,"O","X"))</f>
        <v>O</v>
      </c>
      <c r="AP58" s="76" t="str">
        <f>IF(I58="","",IF(I58&lt;=$AP$1,"O","X"))</f>
        <v>O</v>
      </c>
      <c r="AQ58" s="76" t="str">
        <f>IF(O58="","",IF(O58&lt;=$AQ$1,"O","X"))</f>
        <v>O</v>
      </c>
      <c r="AR58" s="76" t="str">
        <f>IF(M58="","",IF(M58&lt;=$AR$1,"O","X"))</f>
        <v>O</v>
      </c>
      <c r="AS58" s="76" t="s">
        <v>2</v>
      </c>
      <c r="AT58" s="76" t="str">
        <f>IF(OR(F58="",AI58=""),"",IF(AND((F58&lt;=85),(AI58&gt;=15)),"O","X"))</f>
        <v>O</v>
      </c>
      <c r="AU58" s="76" t="str">
        <f>IF(C58="","",IF(C58&gt;=$AU$1,"O","X"))</f>
        <v>O</v>
      </c>
      <c r="AV58" s="76" t="str">
        <f>IF(AO58="","",IF(AND(AO58="O",AP58="O",AR58="O",AT58="O",AU58="O"),"후보","X"))</f>
        <v>후보</v>
      </c>
    </row>
    <row r="59" spans="1:48" x14ac:dyDescent="0.3">
      <c r="A59" s="9"/>
      <c r="B59" s="76"/>
      <c r="C59" s="6"/>
      <c r="D59" s="9"/>
      <c r="E59" s="14"/>
      <c r="F59" s="85"/>
      <c r="G59" s="9"/>
      <c r="H59" s="9"/>
      <c r="I59" s="9"/>
      <c r="J59" s="9"/>
      <c r="K59" s="9"/>
      <c r="L59" s="9"/>
      <c r="M59" s="9"/>
      <c r="N59" s="9"/>
      <c r="O59" s="90"/>
      <c r="P59" s="90"/>
      <c r="Q59" s="86"/>
      <c r="R59" s="86"/>
      <c r="S59" s="9"/>
      <c r="T59" s="47"/>
      <c r="U59" s="9"/>
      <c r="W59" s="67" t="str">
        <f>$A$4&amp;" "&amp;A60&amp;"("&amp;B60&amp;","&amp;C60&amp;"^)"</f>
        <v>서신동 성원('95.12.,630^)</v>
      </c>
      <c r="X59" s="68"/>
      <c r="Y59" s="68"/>
      <c r="Z59" s="68"/>
      <c r="AA59" s="68"/>
      <c r="AB59" s="68"/>
      <c r="AC59" s="68"/>
      <c r="AD59" s="68"/>
      <c r="AE59" s="68"/>
      <c r="AF59" s="69"/>
      <c r="AH59" s="20" t="str">
        <f t="shared" si="14"/>
        <v/>
      </c>
      <c r="AI59" s="108" t="str">
        <f t="shared" si="13"/>
        <v/>
      </c>
      <c r="AJ59" s="76"/>
      <c r="AK59" s="76"/>
      <c r="AL59" s="76"/>
      <c r="AM59" s="76"/>
      <c r="AN59" s="76"/>
      <c r="AO59" s="76"/>
      <c r="AP59" s="76"/>
      <c r="AQ59" s="76"/>
      <c r="AR59" s="76"/>
      <c r="AS59" s="76"/>
      <c r="AT59" s="76"/>
      <c r="AU59" s="76"/>
      <c r="AV59" s="76"/>
    </row>
    <row r="60" spans="1:48" x14ac:dyDescent="0.3">
      <c r="A60" s="9" t="s">
        <v>953</v>
      </c>
      <c r="B60" s="10" t="s">
        <v>1866</v>
      </c>
      <c r="C60" s="87">
        <v>630</v>
      </c>
      <c r="D60" s="85">
        <v>78.8</v>
      </c>
      <c r="E60" s="86">
        <v>24</v>
      </c>
      <c r="F60" s="85">
        <v>60</v>
      </c>
      <c r="G60" s="17">
        <v>18</v>
      </c>
      <c r="H60" s="87">
        <v>630</v>
      </c>
      <c r="I60" s="88">
        <v>15000</v>
      </c>
      <c r="J60" s="88" t="s">
        <v>131</v>
      </c>
      <c r="K60" s="88">
        <v>16000</v>
      </c>
      <c r="L60" s="88" t="s">
        <v>84</v>
      </c>
      <c r="M60" s="89">
        <f>I60-K60</f>
        <v>-1000</v>
      </c>
      <c r="N60" s="4">
        <f>IF(ISERROR(K60/I60),"",K60/I60)</f>
        <v>1.0666666666666667</v>
      </c>
      <c r="O60" s="90">
        <f>I60/E60</f>
        <v>625</v>
      </c>
      <c r="P60" s="90">
        <f>K60/E60</f>
        <v>666.66666666666663</v>
      </c>
      <c r="Q60" s="76">
        <v>3</v>
      </c>
      <c r="R60" s="76">
        <v>1</v>
      </c>
      <c r="S60" s="76" t="s">
        <v>61</v>
      </c>
      <c r="T60" s="5">
        <v>78</v>
      </c>
      <c r="U60" s="9"/>
      <c r="W60" s="85">
        <f>D60</f>
        <v>78.8</v>
      </c>
      <c r="X60" s="86">
        <f>E60</f>
        <v>24</v>
      </c>
      <c r="Y60" s="91">
        <f>H60</f>
        <v>630</v>
      </c>
      <c r="Z60" s="89">
        <f>I60</f>
        <v>15000</v>
      </c>
      <c r="AA60" s="89">
        <f>K60</f>
        <v>16000</v>
      </c>
      <c r="AB60" s="89">
        <f>M60</f>
        <v>-1000</v>
      </c>
      <c r="AC60" s="4">
        <f>N60</f>
        <v>1.0666666666666667</v>
      </c>
      <c r="AD60" s="90">
        <f>O60</f>
        <v>625</v>
      </c>
      <c r="AE60" s="76" t="str">
        <f>S60</f>
        <v>계</v>
      </c>
      <c r="AF60" s="76" t="str">
        <f>Q60&amp;"/"&amp;R60</f>
        <v>3/1</v>
      </c>
      <c r="AH60" s="20" t="str">
        <f t="shared" si="14"/>
        <v>성원</v>
      </c>
      <c r="AI60" s="86">
        <f t="shared" si="13"/>
        <v>24</v>
      </c>
      <c r="AJ60" s="76" t="str">
        <f>IF(AI60="","",$AJ$2)</f>
        <v>A-</v>
      </c>
      <c r="AK60" s="76" t="s">
        <v>13</v>
      </c>
      <c r="AL60" s="76" t="s">
        <v>62</v>
      </c>
      <c r="AM60" s="76" t="s">
        <v>63</v>
      </c>
      <c r="AN60" s="76" t="str">
        <f>IF(AI60="","",$AN$2)</f>
        <v>C</v>
      </c>
      <c r="AO60" s="76" t="str">
        <f>IF(N60="","",IF(N60&gt;=$AO$1/100,"O","X"))</f>
        <v>O</v>
      </c>
      <c r="AP60" s="76" t="str">
        <f>IF(I60="","",IF(I60&lt;=$AP$1,"O","X"))</f>
        <v>O</v>
      </c>
      <c r="AQ60" s="76" t="str">
        <f>IF(O60="","",IF(O60&lt;=$AQ$1,"O","X"))</f>
        <v>O</v>
      </c>
      <c r="AR60" s="76" t="str">
        <f>IF(M60="","",IF(M60&lt;=$AR$1,"O","X"))</f>
        <v>O</v>
      </c>
      <c r="AS60" s="76" t="s">
        <v>2</v>
      </c>
      <c r="AT60" s="76" t="str">
        <f>IF(OR(F60="",AI60=""),"",IF(AND((F60&lt;=85),(AI60&gt;=15)),"O","X"))</f>
        <v>O</v>
      </c>
      <c r="AU60" s="76" t="str">
        <f>IF(C60="","",IF(C60&gt;=$AU$1,"O","X"))</f>
        <v>O</v>
      </c>
      <c r="AV60" s="76" t="str">
        <f>IF(AO60="","",IF(AND(AO60="O",AP60="O",AR60="O",AT60="O",AU60="O"),"후보","X"))</f>
        <v>후보</v>
      </c>
    </row>
    <row r="61" spans="1:48" x14ac:dyDescent="0.3">
      <c r="A61" s="9"/>
      <c r="B61" s="76"/>
      <c r="C61" s="6"/>
      <c r="D61" s="9"/>
      <c r="E61" s="14"/>
      <c r="F61" s="85"/>
      <c r="G61" s="9"/>
      <c r="H61" s="9"/>
      <c r="I61" s="9"/>
      <c r="J61" s="9"/>
      <c r="K61" s="9"/>
      <c r="L61" s="9"/>
      <c r="M61" s="9"/>
      <c r="N61" s="9"/>
      <c r="O61" s="90"/>
      <c r="P61" s="90"/>
      <c r="Q61" s="86"/>
      <c r="R61" s="86"/>
      <c r="S61" s="9"/>
      <c r="T61" s="47"/>
      <c r="U61" s="9"/>
      <c r="W61" s="67" t="str">
        <f>$A$4&amp;" "&amp;A62&amp;"("&amp;B62&amp;","&amp;C62&amp;"^)"</f>
        <v>서신동 서신동아2차('98.12.,297^)</v>
      </c>
      <c r="X61" s="68"/>
      <c r="Y61" s="68"/>
      <c r="Z61" s="68"/>
      <c r="AA61" s="68"/>
      <c r="AB61" s="68"/>
      <c r="AC61" s="68"/>
      <c r="AD61" s="68"/>
      <c r="AE61" s="68"/>
      <c r="AF61" s="69"/>
      <c r="AH61" s="20" t="str">
        <f t="shared" si="14"/>
        <v/>
      </c>
      <c r="AI61" s="108" t="str">
        <f t="shared" si="13"/>
        <v/>
      </c>
      <c r="AJ61" s="76"/>
      <c r="AK61" s="76"/>
      <c r="AL61" s="76"/>
      <c r="AM61" s="76"/>
      <c r="AN61" s="76"/>
      <c r="AO61" s="76"/>
      <c r="AP61" s="76"/>
      <c r="AQ61" s="76"/>
      <c r="AR61" s="76"/>
      <c r="AS61" s="76"/>
      <c r="AT61" s="76"/>
      <c r="AU61" s="76"/>
      <c r="AV61" s="76"/>
    </row>
    <row r="62" spans="1:48" x14ac:dyDescent="0.3">
      <c r="A62" s="9" t="s">
        <v>963</v>
      </c>
      <c r="B62" s="10" t="s">
        <v>1840</v>
      </c>
      <c r="C62" s="87">
        <v>297</v>
      </c>
      <c r="D62" s="85">
        <v>120.5</v>
      </c>
      <c r="E62" s="86">
        <v>36</v>
      </c>
      <c r="F62" s="85">
        <v>99.9</v>
      </c>
      <c r="G62" s="17">
        <v>30</v>
      </c>
      <c r="H62" s="87">
        <v>90</v>
      </c>
      <c r="I62" s="88"/>
      <c r="J62" s="88"/>
      <c r="K62" s="88"/>
      <c r="L62" s="88"/>
      <c r="M62" s="89">
        <f>I62-K62</f>
        <v>0</v>
      </c>
      <c r="N62" s="4" t="str">
        <f>IF(ISERROR(K62/I62),"",K62/I62)</f>
        <v/>
      </c>
      <c r="O62" s="90">
        <f>I62/E62</f>
        <v>0</v>
      </c>
      <c r="P62" s="90">
        <f>K62/E62</f>
        <v>0</v>
      </c>
      <c r="Q62" s="76">
        <v>4</v>
      </c>
      <c r="R62" s="76">
        <v>2</v>
      </c>
      <c r="S62" s="76" t="s">
        <v>61</v>
      </c>
      <c r="T62" s="5">
        <v>120</v>
      </c>
      <c r="U62" s="9"/>
      <c r="W62" s="85">
        <f>D62</f>
        <v>120.5</v>
      </c>
      <c r="X62" s="86">
        <f>E62</f>
        <v>36</v>
      </c>
      <c r="Y62" s="91">
        <f>H62</f>
        <v>90</v>
      </c>
      <c r="Z62" s="89">
        <f>I62</f>
        <v>0</v>
      </c>
      <c r="AA62" s="89">
        <f>K62</f>
        <v>0</v>
      </c>
      <c r="AB62" s="89">
        <f t="shared" ref="AB62:AD63" si="40">M62</f>
        <v>0</v>
      </c>
      <c r="AC62" s="4" t="str">
        <f t="shared" si="40"/>
        <v/>
      </c>
      <c r="AD62" s="90">
        <f t="shared" si="40"/>
        <v>0</v>
      </c>
      <c r="AE62" s="76" t="str">
        <f>S62</f>
        <v>계</v>
      </c>
      <c r="AF62" s="76" t="str">
        <f>Q62&amp;"/"&amp;R62</f>
        <v>4/2</v>
      </c>
      <c r="AH62" s="20" t="str">
        <f t="shared" si="14"/>
        <v>서신동아2차</v>
      </c>
      <c r="AI62" s="86">
        <f t="shared" si="13"/>
        <v>36</v>
      </c>
      <c r="AJ62" s="76" t="str">
        <f>IF(AI62="","",$AJ$2)</f>
        <v>A-</v>
      </c>
      <c r="AK62" s="76" t="s">
        <v>13</v>
      </c>
      <c r="AL62" s="76" t="s">
        <v>62</v>
      </c>
      <c r="AM62" s="76" t="s">
        <v>63</v>
      </c>
      <c r="AN62" s="76" t="str">
        <f>IF(AI62="","",$AN$2)</f>
        <v>C</v>
      </c>
      <c r="AO62" s="76" t="str">
        <f>IF(N62="","",IF(N62&gt;=$AO$1/100,"O","X"))</f>
        <v/>
      </c>
      <c r="AP62" s="76" t="str">
        <f>IF(I62="","",IF(I62&lt;=$AP$1,"O","X"))</f>
        <v/>
      </c>
      <c r="AQ62" s="76" t="str">
        <f>IF(O62="","",IF(O62&lt;=$AQ$1,"O","X"))</f>
        <v>O</v>
      </c>
      <c r="AR62" s="76" t="str">
        <f>IF(M62="","",IF(M62&lt;=$AR$1,"O","X"))</f>
        <v>O</v>
      </c>
      <c r="AS62" s="76" t="s">
        <v>2</v>
      </c>
      <c r="AT62" s="76" t="str">
        <f>IF(OR(F62="",AI62=""),"",IF(AND((F62&lt;=85),(AI62&gt;=15)),"O","X"))</f>
        <v>X</v>
      </c>
      <c r="AU62" s="76" t="str">
        <f>IF(C62="","",IF(C62&gt;=$AU$1,"O","X"))</f>
        <v>X</v>
      </c>
      <c r="AV62" s="76" t="str">
        <f>IF(AO62="","",IF(AND(AO62="O",AP62="O",AR62="O",AT62="O",AU62="O"),"후보","X"))</f>
        <v/>
      </c>
    </row>
    <row r="63" spans="1:48" x14ac:dyDescent="0.3">
      <c r="A63" s="9" t="s">
        <v>963</v>
      </c>
      <c r="B63" s="10" t="s">
        <v>1840</v>
      </c>
      <c r="C63" s="87">
        <v>297</v>
      </c>
      <c r="D63" s="85">
        <v>158.1</v>
      </c>
      <c r="E63" s="86">
        <v>48</v>
      </c>
      <c r="F63" s="85">
        <v>135</v>
      </c>
      <c r="G63" s="17">
        <v>41</v>
      </c>
      <c r="H63" s="87">
        <v>207</v>
      </c>
      <c r="I63" s="88"/>
      <c r="J63" s="88"/>
      <c r="K63" s="88"/>
      <c r="L63" s="88"/>
      <c r="M63" s="89">
        <f>I63-K63</f>
        <v>0</v>
      </c>
      <c r="N63" s="4" t="str">
        <f>IF(ISERROR(K63/I63),"",K63/I63)</f>
        <v/>
      </c>
      <c r="O63" s="90">
        <f>I63/E63</f>
        <v>0</v>
      </c>
      <c r="P63" s="90">
        <f>K63/E63</f>
        <v>0</v>
      </c>
      <c r="Q63" s="76">
        <v>4</v>
      </c>
      <c r="R63" s="76">
        <v>2</v>
      </c>
      <c r="S63" s="76" t="s">
        <v>61</v>
      </c>
      <c r="T63" s="5">
        <v>158</v>
      </c>
      <c r="U63" s="9"/>
      <c r="W63" s="85">
        <f>D63</f>
        <v>158.1</v>
      </c>
      <c r="X63" s="86">
        <f>E63</f>
        <v>48</v>
      </c>
      <c r="Y63" s="91">
        <f>H63</f>
        <v>207</v>
      </c>
      <c r="Z63" s="89">
        <f>I63</f>
        <v>0</v>
      </c>
      <c r="AA63" s="89">
        <f>K63</f>
        <v>0</v>
      </c>
      <c r="AB63" s="89">
        <f t="shared" si="40"/>
        <v>0</v>
      </c>
      <c r="AC63" s="4" t="str">
        <f t="shared" si="40"/>
        <v/>
      </c>
      <c r="AD63" s="90">
        <f t="shared" si="40"/>
        <v>0</v>
      </c>
      <c r="AE63" s="76" t="str">
        <f>S63</f>
        <v>계</v>
      </c>
      <c r="AF63" s="76" t="str">
        <f>Q63&amp;"/"&amp;R63</f>
        <v>4/2</v>
      </c>
      <c r="AH63" s="20" t="str">
        <f t="shared" si="14"/>
        <v>서신동아2차</v>
      </c>
      <c r="AI63" s="86">
        <f t="shared" si="13"/>
        <v>48</v>
      </c>
      <c r="AJ63" s="76" t="str">
        <f>IF(AI63="","",$AJ$2)</f>
        <v>A-</v>
      </c>
      <c r="AK63" s="76" t="s">
        <v>13</v>
      </c>
      <c r="AL63" s="76" t="s">
        <v>62</v>
      </c>
      <c r="AM63" s="76" t="s">
        <v>63</v>
      </c>
      <c r="AN63" s="76" t="str">
        <f>IF(AI63="","",$AN$2)</f>
        <v>C</v>
      </c>
      <c r="AO63" s="76" t="str">
        <f>IF(N63="","",IF(N63&gt;=$AO$1/100,"O","X"))</f>
        <v/>
      </c>
      <c r="AP63" s="76" t="str">
        <f>IF(I63="","",IF(I63&lt;=$AP$1,"O","X"))</f>
        <v/>
      </c>
      <c r="AQ63" s="76" t="str">
        <f>IF(O63="","",IF(O63&lt;=$AQ$1,"O","X"))</f>
        <v>O</v>
      </c>
      <c r="AR63" s="76" t="str">
        <f>IF(M63="","",IF(M63&lt;=$AR$1,"O","X"))</f>
        <v>O</v>
      </c>
      <c r="AS63" s="76" t="s">
        <v>2</v>
      </c>
      <c r="AT63" s="76" t="str">
        <f>IF(OR(F63="",AI63=""),"",IF(AND((F63&lt;=85),(AI63&gt;=15)),"O","X"))</f>
        <v>X</v>
      </c>
      <c r="AU63" s="76" t="str">
        <f>IF(C63="","",IF(C63&gt;=$AU$1,"O","X"))</f>
        <v>X</v>
      </c>
      <c r="AV63" s="76" t="str">
        <f>IF(AO63="","",IF(AND(AO63="O",AP63="O",AR63="O",AT63="O",AU63="O"),"후보","X"))</f>
        <v/>
      </c>
    </row>
    <row r="64" spans="1:48" x14ac:dyDescent="0.3">
      <c r="A64" s="9"/>
      <c r="B64" s="76"/>
      <c r="C64" s="6"/>
      <c r="D64" s="9"/>
      <c r="E64" s="14"/>
      <c r="F64" s="85"/>
      <c r="G64" s="9"/>
      <c r="H64" s="9"/>
      <c r="I64" s="9"/>
      <c r="J64" s="9"/>
      <c r="K64" s="9"/>
      <c r="L64" s="9"/>
      <c r="M64" s="9"/>
      <c r="N64" s="9"/>
      <c r="O64" s="90"/>
      <c r="P64" s="90"/>
      <c r="Q64" s="86"/>
      <c r="R64" s="86"/>
      <c r="S64" s="9"/>
      <c r="T64" s="47"/>
      <c r="U64" s="9"/>
      <c r="W64" s="67" t="str">
        <f>$A$4&amp;" "&amp;A65&amp;"("&amp;B65&amp;","&amp;C65&amp;"^)"</f>
        <v>서신동 전주서신동아('96.08.,419^)</v>
      </c>
      <c r="X64" s="68"/>
      <c r="Y64" s="68"/>
      <c r="Z64" s="68"/>
      <c r="AA64" s="68"/>
      <c r="AB64" s="68"/>
      <c r="AC64" s="68"/>
      <c r="AD64" s="68"/>
      <c r="AE64" s="68"/>
      <c r="AF64" s="69"/>
      <c r="AH64" s="20" t="str">
        <f t="shared" si="14"/>
        <v/>
      </c>
      <c r="AI64" s="108" t="str">
        <f t="shared" si="13"/>
        <v/>
      </c>
      <c r="AJ64" s="76"/>
      <c r="AK64" s="76"/>
      <c r="AL64" s="76"/>
      <c r="AM64" s="76"/>
      <c r="AN64" s="76"/>
      <c r="AO64" s="76"/>
      <c r="AP64" s="76"/>
      <c r="AQ64" s="76"/>
      <c r="AR64" s="76"/>
      <c r="AS64" s="76"/>
      <c r="AT64" s="76"/>
      <c r="AU64" s="76"/>
      <c r="AV64" s="76"/>
    </row>
    <row r="65" spans="1:48" x14ac:dyDescent="0.3">
      <c r="A65" s="9" t="s">
        <v>967</v>
      </c>
      <c r="B65" s="10" t="s">
        <v>1864</v>
      </c>
      <c r="C65" s="87">
        <v>419</v>
      </c>
      <c r="D65" s="85">
        <v>119.5</v>
      </c>
      <c r="E65" s="86">
        <v>36</v>
      </c>
      <c r="F65" s="85">
        <v>100</v>
      </c>
      <c r="G65" s="17">
        <v>30</v>
      </c>
      <c r="H65" s="87">
        <v>299</v>
      </c>
      <c r="I65" s="88">
        <v>34000</v>
      </c>
      <c r="J65" s="88" t="s">
        <v>89</v>
      </c>
      <c r="K65" s="88"/>
      <c r="L65" s="88"/>
      <c r="M65" s="89">
        <f>I65-K65</f>
        <v>34000</v>
      </c>
      <c r="N65" s="4">
        <f>IF(ISERROR(K65/I65),"",K65/I65)</f>
        <v>0</v>
      </c>
      <c r="O65" s="90">
        <f>I65/E65</f>
        <v>944.44444444444446</v>
      </c>
      <c r="P65" s="90">
        <f>K65/E65</f>
        <v>0</v>
      </c>
      <c r="Q65" s="76">
        <v>4</v>
      </c>
      <c r="R65" s="76">
        <v>2</v>
      </c>
      <c r="S65" s="76" t="s">
        <v>61</v>
      </c>
      <c r="T65" s="5">
        <v>119</v>
      </c>
      <c r="U65" s="9"/>
      <c r="W65" s="85">
        <f>D65</f>
        <v>119.5</v>
      </c>
      <c r="X65" s="86">
        <f>E65</f>
        <v>36</v>
      </c>
      <c r="Y65" s="91">
        <f>H65</f>
        <v>299</v>
      </c>
      <c r="Z65" s="89">
        <f>I65</f>
        <v>34000</v>
      </c>
      <c r="AA65" s="89">
        <f>K65</f>
        <v>0</v>
      </c>
      <c r="AB65" s="89">
        <f t="shared" ref="AB65:AD66" si="41">M65</f>
        <v>34000</v>
      </c>
      <c r="AC65" s="4">
        <f t="shared" si="41"/>
        <v>0</v>
      </c>
      <c r="AD65" s="90">
        <f t="shared" si="41"/>
        <v>944.44444444444446</v>
      </c>
      <c r="AE65" s="76" t="str">
        <f>S65</f>
        <v>계</v>
      </c>
      <c r="AF65" s="76" t="str">
        <f>Q65&amp;"/"&amp;R65</f>
        <v>4/2</v>
      </c>
      <c r="AH65" s="20" t="str">
        <f t="shared" si="14"/>
        <v>전주서신동아</v>
      </c>
      <c r="AI65" s="86">
        <f t="shared" si="13"/>
        <v>36</v>
      </c>
      <c r="AJ65" s="76" t="str">
        <f>IF(AI65="","",$AJ$2)</f>
        <v>A-</v>
      </c>
      <c r="AK65" s="76" t="s">
        <v>13</v>
      </c>
      <c r="AL65" s="76" t="s">
        <v>62</v>
      </c>
      <c r="AM65" s="76" t="s">
        <v>63</v>
      </c>
      <c r="AN65" s="76" t="str">
        <f>IF(AI65="","",$AN$2)</f>
        <v>C</v>
      </c>
      <c r="AO65" s="76" t="str">
        <f>IF(N65="","",IF(N65&gt;=$AO$1/100,"O","X"))</f>
        <v>X</v>
      </c>
      <c r="AP65" s="76" t="str">
        <f>IF(I65="","",IF(I65&lt;=$AP$1,"O","X"))</f>
        <v>O</v>
      </c>
      <c r="AQ65" s="76" t="str">
        <f>IF(O65="","",IF(O65&lt;=$AQ$1,"O","X"))</f>
        <v>O</v>
      </c>
      <c r="AR65" s="76" t="str">
        <f>IF(M65="","",IF(M65&lt;=$AR$1,"O","X"))</f>
        <v>X</v>
      </c>
      <c r="AS65" s="76" t="s">
        <v>2</v>
      </c>
      <c r="AT65" s="76" t="str">
        <f>IF(OR(F65="",AI65=""),"",IF(AND((F65&lt;=85),(AI65&gt;=15)),"O","X"))</f>
        <v>X</v>
      </c>
      <c r="AU65" s="76" t="str">
        <f>IF(C65="","",IF(C65&gt;=$AU$1,"O","X"))</f>
        <v>O</v>
      </c>
      <c r="AV65" s="76" t="str">
        <f>IF(AO65="","",IF(AND(AO65="O",AP65="O",AR65="O",AT65="O",AU65="O"),"후보","X"))</f>
        <v>X</v>
      </c>
    </row>
    <row r="66" spans="1:48" x14ac:dyDescent="0.3">
      <c r="A66" s="9" t="s">
        <v>967</v>
      </c>
      <c r="B66" s="10" t="s">
        <v>1864</v>
      </c>
      <c r="C66" s="87">
        <v>419</v>
      </c>
      <c r="D66" s="85">
        <v>161.19999999999999</v>
      </c>
      <c r="E66" s="86">
        <v>49</v>
      </c>
      <c r="F66" s="85">
        <v>134.9</v>
      </c>
      <c r="G66" s="17">
        <v>41</v>
      </c>
      <c r="H66" s="87">
        <v>120</v>
      </c>
      <c r="I66" s="88">
        <v>43000</v>
      </c>
      <c r="J66" s="88" t="s">
        <v>75</v>
      </c>
      <c r="K66" s="88">
        <v>37000</v>
      </c>
      <c r="L66" s="88" t="s">
        <v>75</v>
      </c>
      <c r="M66" s="89">
        <f>I66-K66</f>
        <v>6000</v>
      </c>
      <c r="N66" s="4">
        <f>IF(ISERROR(K66/I66),"",K66/I66)</f>
        <v>0.86046511627906974</v>
      </c>
      <c r="O66" s="90">
        <f>I66/E66</f>
        <v>877.55102040816325</v>
      </c>
      <c r="P66" s="90">
        <f>K66/E66</f>
        <v>755.10204081632651</v>
      </c>
      <c r="Q66" s="76">
        <v>4</v>
      </c>
      <c r="R66" s="76">
        <v>2</v>
      </c>
      <c r="S66" s="76" t="s">
        <v>61</v>
      </c>
      <c r="T66" s="5">
        <v>161</v>
      </c>
      <c r="U66" s="9"/>
      <c r="W66" s="85">
        <f>D66</f>
        <v>161.19999999999999</v>
      </c>
      <c r="X66" s="86">
        <f>E66</f>
        <v>49</v>
      </c>
      <c r="Y66" s="91">
        <f>H66</f>
        <v>120</v>
      </c>
      <c r="Z66" s="89">
        <f>I66</f>
        <v>43000</v>
      </c>
      <c r="AA66" s="89">
        <f>K66</f>
        <v>37000</v>
      </c>
      <c r="AB66" s="89">
        <f t="shared" si="41"/>
        <v>6000</v>
      </c>
      <c r="AC66" s="4">
        <f t="shared" si="41"/>
        <v>0.86046511627906974</v>
      </c>
      <c r="AD66" s="90">
        <f t="shared" si="41"/>
        <v>877.55102040816325</v>
      </c>
      <c r="AE66" s="76" t="str">
        <f>S66</f>
        <v>계</v>
      </c>
      <c r="AF66" s="76" t="str">
        <f>Q66&amp;"/"&amp;R66</f>
        <v>4/2</v>
      </c>
      <c r="AH66" s="20" t="str">
        <f t="shared" si="14"/>
        <v>전주서신동아</v>
      </c>
      <c r="AI66" s="86">
        <f t="shared" si="13"/>
        <v>49</v>
      </c>
      <c r="AJ66" s="76" t="str">
        <f>IF(AI66="","",$AJ$2)</f>
        <v>A-</v>
      </c>
      <c r="AK66" s="76" t="s">
        <v>13</v>
      </c>
      <c r="AL66" s="76" t="s">
        <v>62</v>
      </c>
      <c r="AM66" s="76" t="s">
        <v>63</v>
      </c>
      <c r="AN66" s="76" t="str">
        <f>IF(AI66="","",$AN$2)</f>
        <v>C</v>
      </c>
      <c r="AO66" s="76" t="str">
        <f>IF(N66="","",IF(N66&gt;=$AO$1/100,"O","X"))</f>
        <v>O</v>
      </c>
      <c r="AP66" s="76" t="str">
        <f>IF(I66="","",IF(I66&lt;=$AP$1,"O","X"))</f>
        <v>O</v>
      </c>
      <c r="AQ66" s="76" t="str">
        <f>IF(O66="","",IF(O66&lt;=$AQ$1,"O","X"))</f>
        <v>O</v>
      </c>
      <c r="AR66" s="76" t="str">
        <f>IF(M66="","",IF(M66&lt;=$AR$1,"O","X"))</f>
        <v>X</v>
      </c>
      <c r="AS66" s="76" t="s">
        <v>2</v>
      </c>
      <c r="AT66" s="76" t="str">
        <f>IF(OR(F66="",AI66=""),"",IF(AND((F66&lt;=85),(AI66&gt;=15)),"O","X"))</f>
        <v>X</v>
      </c>
      <c r="AU66" s="76" t="str">
        <f>IF(C66="","",IF(C66&gt;=$AU$1,"O","X"))</f>
        <v>O</v>
      </c>
      <c r="AV66" s="76" t="str">
        <f>IF(AO66="","",IF(AND(AO66="O",AP66="O",AR66="O",AT66="O",AU66="O"),"후보","X"))</f>
        <v>X</v>
      </c>
    </row>
    <row r="67" spans="1:48" x14ac:dyDescent="0.3">
      <c r="A67" s="9"/>
      <c r="B67" s="76"/>
      <c r="C67" s="6"/>
      <c r="D67" s="9"/>
      <c r="E67" s="14"/>
      <c r="F67" s="85"/>
      <c r="G67" s="9"/>
      <c r="H67" s="9"/>
      <c r="I67" s="9"/>
      <c r="J67" s="9"/>
      <c r="K67" s="9"/>
      <c r="L67" s="9"/>
      <c r="M67" s="9"/>
      <c r="N67" s="9"/>
      <c r="O67" s="90"/>
      <c r="P67" s="90"/>
      <c r="Q67" s="86"/>
      <c r="R67" s="86"/>
      <c r="S67" s="9"/>
      <c r="T67" s="47"/>
      <c r="U67" s="9"/>
      <c r="W67" s="67" t="str">
        <f>$A$4&amp;" "&amp;A68&amp;"("&amp;B68&amp;","&amp;C68&amp;"^)"</f>
        <v>서신동 서신신일('95.08.,930^)</v>
      </c>
      <c r="X67" s="68"/>
      <c r="Y67" s="68"/>
      <c r="Z67" s="68"/>
      <c r="AA67" s="68"/>
      <c r="AB67" s="68"/>
      <c r="AC67" s="68"/>
      <c r="AD67" s="68"/>
      <c r="AE67" s="68"/>
      <c r="AF67" s="69"/>
      <c r="AH67" s="20" t="str">
        <f t="shared" si="14"/>
        <v/>
      </c>
      <c r="AI67" s="108" t="str">
        <f t="shared" ref="AI67:AI75" si="42">IF(E67="","",E67)</f>
        <v/>
      </c>
      <c r="AJ67" s="76"/>
      <c r="AK67" s="76"/>
      <c r="AL67" s="76"/>
      <c r="AM67" s="76"/>
      <c r="AN67" s="76"/>
      <c r="AO67" s="76"/>
      <c r="AP67" s="76"/>
      <c r="AQ67" s="76"/>
      <c r="AR67" s="76"/>
      <c r="AS67" s="76"/>
      <c r="AT67" s="76"/>
      <c r="AU67" s="76"/>
      <c r="AV67" s="76"/>
    </row>
    <row r="68" spans="1:48" x14ac:dyDescent="0.3">
      <c r="A68" s="9" t="s">
        <v>974</v>
      </c>
      <c r="B68" s="10" t="s">
        <v>1867</v>
      </c>
      <c r="C68" s="87">
        <v>930</v>
      </c>
      <c r="D68" s="85">
        <v>76</v>
      </c>
      <c r="E68" s="86">
        <v>23</v>
      </c>
      <c r="F68" s="85">
        <v>60</v>
      </c>
      <c r="G68" s="17">
        <v>18</v>
      </c>
      <c r="H68" s="87">
        <v>930</v>
      </c>
      <c r="I68" s="88">
        <v>16500</v>
      </c>
      <c r="J68" s="88" t="s">
        <v>72</v>
      </c>
      <c r="K68" s="88">
        <v>16500</v>
      </c>
      <c r="L68" s="88" t="s">
        <v>80</v>
      </c>
      <c r="M68" s="89">
        <f>I68-K68</f>
        <v>0</v>
      </c>
      <c r="N68" s="4">
        <f>IF(ISERROR(K68/I68),"",K68/I68)</f>
        <v>1</v>
      </c>
      <c r="O68" s="90">
        <f>I68/E68</f>
        <v>717.39130434782612</v>
      </c>
      <c r="P68" s="90">
        <f>K68/E68</f>
        <v>717.39130434782612</v>
      </c>
      <c r="Q68" s="76">
        <v>3</v>
      </c>
      <c r="R68" s="76">
        <v>1</v>
      </c>
      <c r="S68" s="76" t="s">
        <v>61</v>
      </c>
      <c r="T68" s="5">
        <v>76</v>
      </c>
      <c r="U68" s="9"/>
      <c r="W68" s="85">
        <f>D68</f>
        <v>76</v>
      </c>
      <c r="X68" s="86">
        <f>E68</f>
        <v>23</v>
      </c>
      <c r="Y68" s="91">
        <f>H68</f>
        <v>930</v>
      </c>
      <c r="Z68" s="89">
        <f>I68</f>
        <v>16500</v>
      </c>
      <c r="AA68" s="89">
        <f>K68</f>
        <v>16500</v>
      </c>
      <c r="AB68" s="89">
        <f>M68</f>
        <v>0</v>
      </c>
      <c r="AC68" s="4">
        <f>N68</f>
        <v>1</v>
      </c>
      <c r="AD68" s="90">
        <f>O68</f>
        <v>717.39130434782612</v>
      </c>
      <c r="AE68" s="76" t="str">
        <f>S68</f>
        <v>계</v>
      </c>
      <c r="AF68" s="76" t="str">
        <f>Q68&amp;"/"&amp;R68</f>
        <v>3/1</v>
      </c>
      <c r="AH68" s="20" t="str">
        <f t="shared" si="14"/>
        <v>서신신일</v>
      </c>
      <c r="AI68" s="86">
        <f t="shared" si="42"/>
        <v>23</v>
      </c>
      <c r="AJ68" s="76" t="str">
        <f>IF(AI68="","",$AJ$2)</f>
        <v>A-</v>
      </c>
      <c r="AK68" s="76" t="s">
        <v>13</v>
      </c>
      <c r="AL68" s="76" t="s">
        <v>62</v>
      </c>
      <c r="AM68" s="76" t="s">
        <v>63</v>
      </c>
      <c r="AN68" s="76" t="str">
        <f>IF(AI68="","",$AN$2)</f>
        <v>C</v>
      </c>
      <c r="AO68" s="76" t="str">
        <f>IF(N68="","",IF(N68&gt;=$AO$1/100,"O","X"))</f>
        <v>O</v>
      </c>
      <c r="AP68" s="76" t="str">
        <f>IF(I68="","",IF(I68&lt;=$AP$1,"O","X"))</f>
        <v>O</v>
      </c>
      <c r="AQ68" s="76" t="str">
        <f>IF(O68="","",IF(O68&lt;=$AQ$1,"O","X"))</f>
        <v>O</v>
      </c>
      <c r="AR68" s="76" t="str">
        <f>IF(M68="","",IF(M68&lt;=$AR$1,"O","X"))</f>
        <v>O</v>
      </c>
      <c r="AS68" s="76" t="s">
        <v>2</v>
      </c>
      <c r="AT68" s="76" t="str">
        <f>IF(OR(F68="",AI68=""),"",IF(AND((F68&lt;=85),(AI68&gt;=15)),"O","X"))</f>
        <v>O</v>
      </c>
      <c r="AU68" s="76" t="str">
        <f>IF(C68="","",IF(C68&gt;=$AU$1,"O","X"))</f>
        <v>O</v>
      </c>
      <c r="AV68" s="76" t="str">
        <f>IF(AO68="","",IF(AND(AO68="O",AP68="O",AR68="O",AT68="O",AU68="O"),"후보","X"))</f>
        <v>후보</v>
      </c>
    </row>
    <row r="69" spans="1:48" x14ac:dyDescent="0.3">
      <c r="A69" s="9"/>
      <c r="B69" s="76"/>
      <c r="C69" s="6"/>
      <c r="D69" s="9"/>
      <c r="E69" s="14"/>
      <c r="F69" s="85"/>
      <c r="G69" s="9"/>
      <c r="H69" s="9"/>
      <c r="I69" s="9"/>
      <c r="J69" s="9"/>
      <c r="K69" s="9"/>
      <c r="L69" s="9"/>
      <c r="M69" s="9"/>
      <c r="N69" s="9"/>
      <c r="O69" s="90"/>
      <c r="P69" s="90"/>
      <c r="Q69" s="86"/>
      <c r="R69" s="86"/>
      <c r="S69" s="9"/>
      <c r="T69" s="47"/>
      <c r="U69" s="9"/>
      <c r="W69" s="67" t="str">
        <f>$A$4&amp;" "&amp;A70&amp;"("&amp;B70&amp;","&amp;C70&amp;"^)"</f>
        <v>서신동 롯데('93.03.,396^)</v>
      </c>
      <c r="X69" s="68"/>
      <c r="Y69" s="68"/>
      <c r="Z69" s="68"/>
      <c r="AA69" s="68"/>
      <c r="AB69" s="68"/>
      <c r="AC69" s="68"/>
      <c r="AD69" s="68"/>
      <c r="AE69" s="68"/>
      <c r="AF69" s="69"/>
      <c r="AH69" s="20" t="str">
        <f t="shared" ref="AH69:AH75" si="43">IF(A69="","",A69)</f>
        <v/>
      </c>
      <c r="AI69" s="108" t="str">
        <f t="shared" si="42"/>
        <v/>
      </c>
      <c r="AJ69" s="76"/>
      <c r="AK69" s="76"/>
      <c r="AL69" s="76"/>
      <c r="AM69" s="76"/>
      <c r="AN69" s="76"/>
      <c r="AO69" s="76"/>
      <c r="AP69" s="76"/>
      <c r="AQ69" s="76"/>
      <c r="AR69" s="76"/>
      <c r="AS69" s="76"/>
      <c r="AT69" s="76"/>
      <c r="AU69" s="76"/>
      <c r="AV69" s="76"/>
    </row>
    <row r="70" spans="1:48" x14ac:dyDescent="0.3">
      <c r="A70" s="9" t="s">
        <v>978</v>
      </c>
      <c r="B70" s="10" t="s">
        <v>1844</v>
      </c>
      <c r="C70" s="87">
        <v>396</v>
      </c>
      <c r="D70" s="85">
        <v>103.4</v>
      </c>
      <c r="E70" s="86">
        <v>31</v>
      </c>
      <c r="F70" s="85">
        <v>84.7</v>
      </c>
      <c r="G70" s="17">
        <v>26</v>
      </c>
      <c r="H70" s="87">
        <v>276</v>
      </c>
      <c r="I70" s="88">
        <v>18500</v>
      </c>
      <c r="J70" s="88" t="s">
        <v>71</v>
      </c>
      <c r="K70" s="88">
        <v>16000</v>
      </c>
      <c r="L70" s="88" t="s">
        <v>131</v>
      </c>
      <c r="M70" s="89">
        <f>I70-K70</f>
        <v>2500</v>
      </c>
      <c r="N70" s="4">
        <f>IF(ISERROR(K70/I70),"",K70/I70)</f>
        <v>0.86486486486486491</v>
      </c>
      <c r="O70" s="90">
        <f>I70/E70</f>
        <v>596.77419354838707</v>
      </c>
      <c r="P70" s="90">
        <f>K70/E70</f>
        <v>516.12903225806451</v>
      </c>
      <c r="Q70" s="76">
        <v>3</v>
      </c>
      <c r="R70" s="76">
        <v>2</v>
      </c>
      <c r="S70" s="76" t="s">
        <v>61</v>
      </c>
      <c r="T70" s="5">
        <v>103</v>
      </c>
      <c r="U70" s="9"/>
      <c r="W70" s="85">
        <f t="shared" ref="W70:X73" si="44">D70</f>
        <v>103.4</v>
      </c>
      <c r="X70" s="86">
        <f t="shared" si="44"/>
        <v>31</v>
      </c>
      <c r="Y70" s="91">
        <f t="shared" ref="Y70:Z73" si="45">H70</f>
        <v>276</v>
      </c>
      <c r="Z70" s="89">
        <f t="shared" si="45"/>
        <v>18500</v>
      </c>
      <c r="AA70" s="89">
        <f>K70</f>
        <v>16000</v>
      </c>
      <c r="AB70" s="89">
        <f t="shared" ref="AB70:AD73" si="46">M70</f>
        <v>2500</v>
      </c>
      <c r="AC70" s="4">
        <f t="shared" si="46"/>
        <v>0.86486486486486491</v>
      </c>
      <c r="AD70" s="90">
        <f t="shared" si="46"/>
        <v>596.77419354838707</v>
      </c>
      <c r="AE70" s="76" t="str">
        <f>S70</f>
        <v>계</v>
      </c>
      <c r="AF70" s="76" t="str">
        <f>Q70&amp;"/"&amp;R70</f>
        <v>3/2</v>
      </c>
      <c r="AH70" s="20" t="str">
        <f t="shared" si="43"/>
        <v>롯데</v>
      </c>
      <c r="AI70" s="86">
        <f t="shared" si="42"/>
        <v>31</v>
      </c>
      <c r="AJ70" s="76" t="str">
        <f>IF(AI70="","",$AJ$2)</f>
        <v>A-</v>
      </c>
      <c r="AK70" s="76" t="s">
        <v>13</v>
      </c>
      <c r="AL70" s="76" t="s">
        <v>62</v>
      </c>
      <c r="AM70" s="76" t="s">
        <v>63</v>
      </c>
      <c r="AN70" s="76" t="str">
        <f>IF(AI70="","",$AN$2)</f>
        <v>C</v>
      </c>
      <c r="AO70" s="76" t="str">
        <f>IF(N70="","",IF(N70&gt;=$AO$1/100,"O","X"))</f>
        <v>O</v>
      </c>
      <c r="AP70" s="76" t="str">
        <f>IF(I70="","",IF(I70&lt;=$AP$1,"O","X"))</f>
        <v>O</v>
      </c>
      <c r="AQ70" s="76" t="str">
        <f>IF(O70="","",IF(O70&lt;=$AQ$1,"O","X"))</f>
        <v>O</v>
      </c>
      <c r="AR70" s="76" t="str">
        <f>IF(M70="","",IF(M70&lt;=$AR$1,"O","X"))</f>
        <v>O</v>
      </c>
      <c r="AS70" s="76" t="s">
        <v>2</v>
      </c>
      <c r="AT70" s="76" t="str">
        <f>IF(OR(F70="",AI70=""),"",IF(AND((F70&lt;=85),(AI70&gt;=15)),"O","X"))</f>
        <v>O</v>
      </c>
      <c r="AU70" s="76" t="str">
        <f>IF(C70="","",IF(C70&gt;=$AU$1,"O","X"))</f>
        <v>O</v>
      </c>
      <c r="AV70" s="76" t="str">
        <f>IF(AO70="","",IF(AND(AO70="O",AP70="O",AR70="O",AT70="O",AU70="O"),"후보","X"))</f>
        <v>후보</v>
      </c>
    </row>
    <row r="71" spans="1:48" x14ac:dyDescent="0.3">
      <c r="A71" s="9" t="s">
        <v>978</v>
      </c>
      <c r="B71" s="10" t="s">
        <v>1844</v>
      </c>
      <c r="C71" s="87">
        <v>396</v>
      </c>
      <c r="D71" s="85">
        <v>153.19999999999999</v>
      </c>
      <c r="E71" s="86">
        <v>46</v>
      </c>
      <c r="F71" s="85">
        <v>134.6</v>
      </c>
      <c r="G71" s="17">
        <v>41</v>
      </c>
      <c r="H71" s="87">
        <v>18</v>
      </c>
      <c r="I71" s="88"/>
      <c r="J71" s="88"/>
      <c r="K71" s="88"/>
      <c r="L71" s="88"/>
      <c r="M71" s="89">
        <f>I71-K71</f>
        <v>0</v>
      </c>
      <c r="N71" s="4" t="str">
        <f>IF(ISERROR(K71/I71),"",K71/I71)</f>
        <v/>
      </c>
      <c r="O71" s="90">
        <f>I71/E71</f>
        <v>0</v>
      </c>
      <c r="P71" s="90">
        <f>K71/E71</f>
        <v>0</v>
      </c>
      <c r="Q71" s="76">
        <v>4</v>
      </c>
      <c r="R71" s="76">
        <v>2</v>
      </c>
      <c r="S71" s="76" t="s">
        <v>61</v>
      </c>
      <c r="T71" s="5">
        <v>153</v>
      </c>
      <c r="U71" s="9"/>
      <c r="W71" s="85">
        <f t="shared" si="44"/>
        <v>153.19999999999999</v>
      </c>
      <c r="X71" s="86">
        <f t="shared" si="44"/>
        <v>46</v>
      </c>
      <c r="Y71" s="91">
        <f t="shared" si="45"/>
        <v>18</v>
      </c>
      <c r="Z71" s="89">
        <f t="shared" si="45"/>
        <v>0</v>
      </c>
      <c r="AA71" s="89">
        <f>K71</f>
        <v>0</v>
      </c>
      <c r="AB71" s="89">
        <f t="shared" si="46"/>
        <v>0</v>
      </c>
      <c r="AC71" s="4" t="str">
        <f t="shared" si="46"/>
        <v/>
      </c>
      <c r="AD71" s="90">
        <f t="shared" si="46"/>
        <v>0</v>
      </c>
      <c r="AE71" s="76" t="str">
        <f>S71</f>
        <v>계</v>
      </c>
      <c r="AF71" s="76" t="str">
        <f>Q71&amp;"/"&amp;R71</f>
        <v>4/2</v>
      </c>
      <c r="AH71" s="20" t="str">
        <f t="shared" si="43"/>
        <v>롯데</v>
      </c>
      <c r="AI71" s="86">
        <f t="shared" si="42"/>
        <v>46</v>
      </c>
      <c r="AJ71" s="76" t="str">
        <f>IF(AI71="","",$AJ$2)</f>
        <v>A-</v>
      </c>
      <c r="AK71" s="76" t="s">
        <v>13</v>
      </c>
      <c r="AL71" s="76" t="s">
        <v>62</v>
      </c>
      <c r="AM71" s="76" t="s">
        <v>63</v>
      </c>
      <c r="AN71" s="76" t="str">
        <f>IF(AI71="","",$AN$2)</f>
        <v>C</v>
      </c>
      <c r="AO71" s="76" t="str">
        <f>IF(N71="","",IF(N71&gt;=$AO$1/100,"O","X"))</f>
        <v/>
      </c>
      <c r="AP71" s="76" t="str">
        <f>IF(I71="","",IF(I71&lt;=$AP$1,"O","X"))</f>
        <v/>
      </c>
      <c r="AQ71" s="76" t="str">
        <f>IF(O71="","",IF(O71&lt;=$AQ$1,"O","X"))</f>
        <v>O</v>
      </c>
      <c r="AR71" s="76" t="str">
        <f>IF(M71="","",IF(M71&lt;=$AR$1,"O","X"))</f>
        <v>O</v>
      </c>
      <c r="AS71" s="76" t="s">
        <v>2</v>
      </c>
      <c r="AT71" s="76" t="str">
        <f>IF(OR(F71="",AI71=""),"",IF(AND((F71&lt;=85),(AI71&gt;=15)),"O","X"))</f>
        <v>X</v>
      </c>
      <c r="AU71" s="76" t="str">
        <f>IF(C71="","",IF(C71&gt;=$AU$1,"O","X"))</f>
        <v>O</v>
      </c>
      <c r="AV71" s="76" t="str">
        <f>IF(AO71="","",IF(AND(AO71="O",AP71="O",AR71="O",AT71="O",AU71="O"),"후보","X"))</f>
        <v/>
      </c>
    </row>
    <row r="72" spans="1:48" x14ac:dyDescent="0.3">
      <c r="A72" s="9" t="s">
        <v>978</v>
      </c>
      <c r="B72" s="10" t="s">
        <v>1844</v>
      </c>
      <c r="C72" s="87">
        <v>396</v>
      </c>
      <c r="D72" s="85">
        <v>159.69999999999999</v>
      </c>
      <c r="E72" s="86">
        <v>48</v>
      </c>
      <c r="F72" s="85">
        <v>138.80000000000001</v>
      </c>
      <c r="G72" s="17">
        <v>42</v>
      </c>
      <c r="H72" s="87">
        <v>90</v>
      </c>
      <c r="I72" s="88">
        <v>25000</v>
      </c>
      <c r="J72" s="88" t="s">
        <v>71</v>
      </c>
      <c r="K72" s="88"/>
      <c r="L72" s="88"/>
      <c r="M72" s="89">
        <f>I72-K72</f>
        <v>25000</v>
      </c>
      <c r="N72" s="4">
        <f>IF(ISERROR(K72/I72),"",K72/I72)</f>
        <v>0</v>
      </c>
      <c r="O72" s="90">
        <f>I72/E72</f>
        <v>520.83333333333337</v>
      </c>
      <c r="P72" s="90">
        <f>K72/E72</f>
        <v>0</v>
      </c>
      <c r="Q72" s="76">
        <v>4</v>
      </c>
      <c r="R72" s="76">
        <v>2</v>
      </c>
      <c r="S72" s="76" t="s">
        <v>61</v>
      </c>
      <c r="T72" s="5">
        <v>159</v>
      </c>
      <c r="U72" s="9"/>
      <c r="W72" s="85">
        <f t="shared" si="44"/>
        <v>159.69999999999999</v>
      </c>
      <c r="X72" s="86">
        <f t="shared" si="44"/>
        <v>48</v>
      </c>
      <c r="Y72" s="91">
        <f t="shared" si="45"/>
        <v>90</v>
      </c>
      <c r="Z72" s="89">
        <f t="shared" si="45"/>
        <v>25000</v>
      </c>
      <c r="AA72" s="89">
        <f>K72</f>
        <v>0</v>
      </c>
      <c r="AB72" s="89">
        <f t="shared" si="46"/>
        <v>25000</v>
      </c>
      <c r="AC72" s="4">
        <f t="shared" si="46"/>
        <v>0</v>
      </c>
      <c r="AD72" s="90">
        <f t="shared" si="46"/>
        <v>520.83333333333337</v>
      </c>
      <c r="AE72" s="76" t="str">
        <f>S72</f>
        <v>계</v>
      </c>
      <c r="AF72" s="76" t="str">
        <f>Q72&amp;"/"&amp;R72</f>
        <v>4/2</v>
      </c>
      <c r="AH72" s="20" t="str">
        <f t="shared" si="43"/>
        <v>롯데</v>
      </c>
      <c r="AI72" s="86">
        <f t="shared" si="42"/>
        <v>48</v>
      </c>
      <c r="AJ72" s="76" t="str">
        <f>IF(AI72="","",$AJ$2)</f>
        <v>A-</v>
      </c>
      <c r="AK72" s="76" t="s">
        <v>13</v>
      </c>
      <c r="AL72" s="76" t="s">
        <v>62</v>
      </c>
      <c r="AM72" s="76" t="s">
        <v>63</v>
      </c>
      <c r="AN72" s="76" t="str">
        <f>IF(AI72="","",$AN$2)</f>
        <v>C</v>
      </c>
      <c r="AO72" s="76" t="str">
        <f>IF(N72="","",IF(N72&gt;=$AO$1/100,"O","X"))</f>
        <v>X</v>
      </c>
      <c r="AP72" s="76" t="str">
        <f>IF(I72="","",IF(I72&lt;=$AP$1,"O","X"))</f>
        <v>O</v>
      </c>
      <c r="AQ72" s="76" t="str">
        <f>IF(O72="","",IF(O72&lt;=$AQ$1,"O","X"))</f>
        <v>O</v>
      </c>
      <c r="AR72" s="76" t="str">
        <f>IF(M72="","",IF(M72&lt;=$AR$1,"O","X"))</f>
        <v>X</v>
      </c>
      <c r="AS72" s="76" t="s">
        <v>2</v>
      </c>
      <c r="AT72" s="76" t="str">
        <f>IF(OR(F72="",AI72=""),"",IF(AND((F72&lt;=85),(AI72&gt;=15)),"O","X"))</f>
        <v>X</v>
      </c>
      <c r="AU72" s="76" t="str">
        <f>IF(C72="","",IF(C72&gt;=$AU$1,"O","X"))</f>
        <v>O</v>
      </c>
      <c r="AV72" s="76" t="str">
        <f>IF(AO72="","",IF(AND(AO72="O",AP72="O",AR72="O",AT72="O",AU72="O"),"후보","X"))</f>
        <v>X</v>
      </c>
    </row>
    <row r="73" spans="1:48" x14ac:dyDescent="0.3">
      <c r="A73" s="9" t="s">
        <v>978</v>
      </c>
      <c r="B73" s="10" t="s">
        <v>1844</v>
      </c>
      <c r="C73" s="87">
        <v>396</v>
      </c>
      <c r="D73" s="85">
        <v>184.1</v>
      </c>
      <c r="E73" s="86">
        <v>56</v>
      </c>
      <c r="F73" s="85">
        <v>163.1</v>
      </c>
      <c r="G73" s="17">
        <v>49</v>
      </c>
      <c r="H73" s="87">
        <v>12</v>
      </c>
      <c r="I73" s="88"/>
      <c r="J73" s="88"/>
      <c r="K73" s="88"/>
      <c r="L73" s="88"/>
      <c r="M73" s="89">
        <f>I73-K73</f>
        <v>0</v>
      </c>
      <c r="N73" s="4" t="str">
        <f>IF(ISERROR(K73/I73),"",K73/I73)</f>
        <v/>
      </c>
      <c r="O73" s="90">
        <f>I73/E73</f>
        <v>0</v>
      </c>
      <c r="P73" s="90">
        <f>K73/E73</f>
        <v>0</v>
      </c>
      <c r="Q73" s="76">
        <v>4</v>
      </c>
      <c r="R73" s="76">
        <v>2</v>
      </c>
      <c r="S73" s="76" t="s">
        <v>61</v>
      </c>
      <c r="T73" s="5">
        <v>184</v>
      </c>
      <c r="U73" s="9"/>
      <c r="W73" s="85">
        <f t="shared" si="44"/>
        <v>184.1</v>
      </c>
      <c r="X73" s="86">
        <f t="shared" si="44"/>
        <v>56</v>
      </c>
      <c r="Y73" s="91">
        <f t="shared" si="45"/>
        <v>12</v>
      </c>
      <c r="Z73" s="89">
        <f t="shared" si="45"/>
        <v>0</v>
      </c>
      <c r="AA73" s="89">
        <f>K73</f>
        <v>0</v>
      </c>
      <c r="AB73" s="89">
        <f t="shared" si="46"/>
        <v>0</v>
      </c>
      <c r="AC73" s="4" t="str">
        <f t="shared" si="46"/>
        <v/>
      </c>
      <c r="AD73" s="90">
        <f t="shared" si="46"/>
        <v>0</v>
      </c>
      <c r="AE73" s="76" t="str">
        <f>S73</f>
        <v>계</v>
      </c>
      <c r="AF73" s="76" t="str">
        <f>Q73&amp;"/"&amp;R73</f>
        <v>4/2</v>
      </c>
      <c r="AH73" s="20" t="str">
        <f t="shared" si="43"/>
        <v>롯데</v>
      </c>
      <c r="AI73" s="86">
        <f t="shared" si="42"/>
        <v>56</v>
      </c>
      <c r="AJ73" s="76" t="str">
        <f>IF(AI73="","",$AJ$2)</f>
        <v>A-</v>
      </c>
      <c r="AK73" s="76" t="s">
        <v>13</v>
      </c>
      <c r="AL73" s="76" t="s">
        <v>62</v>
      </c>
      <c r="AM73" s="76" t="s">
        <v>63</v>
      </c>
      <c r="AN73" s="76" t="str">
        <f>IF(AI73="","",$AN$2)</f>
        <v>C</v>
      </c>
      <c r="AO73" s="76" t="str">
        <f>IF(N73="","",IF(N73&gt;=$AO$1/100,"O","X"))</f>
        <v/>
      </c>
      <c r="AP73" s="76" t="str">
        <f>IF(I73="","",IF(I73&lt;=$AP$1,"O","X"))</f>
        <v/>
      </c>
      <c r="AQ73" s="76" t="str">
        <f>IF(O73="","",IF(O73&lt;=$AQ$1,"O","X"))</f>
        <v>O</v>
      </c>
      <c r="AR73" s="76" t="str">
        <f>IF(M73="","",IF(M73&lt;=$AR$1,"O","X"))</f>
        <v>O</v>
      </c>
      <c r="AS73" s="76" t="s">
        <v>2</v>
      </c>
      <c r="AT73" s="76" t="str">
        <f>IF(OR(F73="",AI73=""),"",IF(AND((F73&lt;=85),(AI73&gt;=15)),"O","X"))</f>
        <v>X</v>
      </c>
      <c r="AU73" s="76" t="str">
        <f>IF(C73="","",IF(C73&gt;=$AU$1,"O","X"))</f>
        <v>O</v>
      </c>
      <c r="AV73" s="76" t="str">
        <f>IF(AO73="","",IF(AND(AO73="O",AP73="O",AR73="O",AT73="O",AU73="O"),"후보","X"))</f>
        <v/>
      </c>
    </row>
    <row r="74" spans="1:48" x14ac:dyDescent="0.3">
      <c r="A74" s="9"/>
      <c r="B74" s="76"/>
      <c r="C74" s="6"/>
      <c r="D74" s="9"/>
      <c r="E74" s="14"/>
      <c r="F74" s="85"/>
      <c r="G74" s="9"/>
      <c r="H74" s="9"/>
      <c r="I74" s="9"/>
      <c r="J74" s="9"/>
      <c r="K74" s="9"/>
      <c r="L74" s="9"/>
      <c r="M74" s="9"/>
      <c r="N74" s="9"/>
      <c r="O74" s="90"/>
      <c r="P74" s="90"/>
      <c r="Q74" s="86"/>
      <c r="R74" s="86"/>
      <c r="S74" s="9"/>
      <c r="T74" s="47"/>
      <c r="U74" s="9"/>
      <c r="W74" s="67" t="str">
        <f>$A$4&amp;" "&amp;A75&amp;"("&amp;B75&amp;","&amp;C75&amp;"^)"</f>
        <v>서신동 광진선수촌('98.01.,390^)</v>
      </c>
      <c r="X74" s="68"/>
      <c r="Y74" s="68"/>
      <c r="Z74" s="68"/>
      <c r="AA74" s="68"/>
      <c r="AB74" s="68"/>
      <c r="AC74" s="68"/>
      <c r="AD74" s="68"/>
      <c r="AE74" s="68"/>
      <c r="AF74" s="69"/>
      <c r="AH74" s="20" t="str">
        <f t="shared" si="43"/>
        <v/>
      </c>
      <c r="AI74" s="108" t="str">
        <f t="shared" si="42"/>
        <v/>
      </c>
      <c r="AJ74" s="76"/>
      <c r="AK74" s="76"/>
      <c r="AL74" s="76"/>
      <c r="AM74" s="76"/>
      <c r="AN74" s="76"/>
      <c r="AO74" s="76"/>
      <c r="AP74" s="76"/>
      <c r="AQ74" s="76"/>
      <c r="AR74" s="76"/>
      <c r="AS74" s="76"/>
      <c r="AT74" s="76"/>
      <c r="AU74" s="76"/>
      <c r="AV74" s="76"/>
    </row>
    <row r="75" spans="1:48" x14ac:dyDescent="0.3">
      <c r="A75" s="9" t="s">
        <v>995</v>
      </c>
      <c r="B75" s="10" t="s">
        <v>1872</v>
      </c>
      <c r="C75" s="87">
        <v>390</v>
      </c>
      <c r="D75" s="85">
        <v>104.1</v>
      </c>
      <c r="E75" s="86">
        <v>31</v>
      </c>
      <c r="F75" s="85">
        <v>84.9</v>
      </c>
      <c r="G75" s="17">
        <v>26</v>
      </c>
      <c r="H75" s="87">
        <v>390</v>
      </c>
      <c r="I75" s="88">
        <v>26000</v>
      </c>
      <c r="J75" s="88" t="s">
        <v>85</v>
      </c>
      <c r="K75" s="88">
        <v>24000</v>
      </c>
      <c r="L75" s="88" t="s">
        <v>72</v>
      </c>
      <c r="M75" s="89">
        <f>I75-K75</f>
        <v>2000</v>
      </c>
      <c r="N75" s="4">
        <f>IF(ISERROR(K75/I75),"",K75/I75)</f>
        <v>0.92307692307692313</v>
      </c>
      <c r="O75" s="90">
        <f>I75/E75</f>
        <v>838.70967741935488</v>
      </c>
      <c r="P75" s="90">
        <f>K75/E75</f>
        <v>774.19354838709683</v>
      </c>
      <c r="Q75" s="76">
        <v>3</v>
      </c>
      <c r="R75" s="76">
        <v>2</v>
      </c>
      <c r="S75" s="76" t="s">
        <v>61</v>
      </c>
      <c r="T75" s="5">
        <v>104</v>
      </c>
      <c r="U75" s="9"/>
      <c r="W75" s="85">
        <f>D75</f>
        <v>104.1</v>
      </c>
      <c r="X75" s="86">
        <f>E75</f>
        <v>31</v>
      </c>
      <c r="Y75" s="91">
        <f>H75</f>
        <v>390</v>
      </c>
      <c r="Z75" s="89">
        <f>I75</f>
        <v>26000</v>
      </c>
      <c r="AA75" s="89">
        <f>K75</f>
        <v>24000</v>
      </c>
      <c r="AB75" s="89">
        <f>M75</f>
        <v>2000</v>
      </c>
      <c r="AC75" s="4">
        <f>N75</f>
        <v>0.92307692307692313</v>
      </c>
      <c r="AD75" s="90">
        <f>O75</f>
        <v>838.70967741935488</v>
      </c>
      <c r="AE75" s="76" t="str">
        <f>S75</f>
        <v>계</v>
      </c>
      <c r="AF75" s="76" t="str">
        <f>Q75&amp;"/"&amp;R75</f>
        <v>3/2</v>
      </c>
      <c r="AH75" s="20" t="str">
        <f t="shared" si="43"/>
        <v>광진선수촌</v>
      </c>
      <c r="AI75" s="86">
        <f t="shared" si="42"/>
        <v>31</v>
      </c>
      <c r="AJ75" s="76" t="str">
        <f>IF(AI75="","",$AJ$2)</f>
        <v>A-</v>
      </c>
      <c r="AK75" s="76" t="s">
        <v>13</v>
      </c>
      <c r="AL75" s="76" t="s">
        <v>62</v>
      </c>
      <c r="AM75" s="76" t="s">
        <v>63</v>
      </c>
      <c r="AN75" s="76" t="str">
        <f>IF(AI75="","",$AN$2)</f>
        <v>C</v>
      </c>
      <c r="AO75" s="76" t="str">
        <f>IF(N75="","",IF(N75&gt;=$AO$1/100,"O","X"))</f>
        <v>O</v>
      </c>
      <c r="AP75" s="76" t="str">
        <f>IF(I75="","",IF(I75&lt;=$AP$1,"O","X"))</f>
        <v>O</v>
      </c>
      <c r="AQ75" s="76" t="str">
        <f>IF(O75="","",IF(O75&lt;=$AQ$1,"O","X"))</f>
        <v>O</v>
      </c>
      <c r="AR75" s="76" t="str">
        <f>IF(M75="","",IF(M75&lt;=$AR$1,"O","X"))</f>
        <v>O</v>
      </c>
      <c r="AS75" s="76" t="s">
        <v>2</v>
      </c>
      <c r="AT75" s="76" t="str">
        <f>IF(OR(F75="",AI75=""),"",IF(AND((F75&lt;=85),(AI75&gt;=15)),"O","X"))</f>
        <v>O</v>
      </c>
      <c r="AU75" s="76" t="str">
        <f>IF(C75="","",IF(C75&gt;=$AU$1,"O","X"))</f>
        <v>O</v>
      </c>
      <c r="AV75" s="76" t="str">
        <f>IF(AO75="","",IF(AND(AO75="O",AP75="O",AR75="O",AT75="O",AU75="O"),"후보","X"))</f>
        <v>후보</v>
      </c>
    </row>
  </sheetData>
  <mergeCells count="1">
    <mergeCell ref="AJ1:AN1"/>
  </mergeCells>
  <phoneticPr fontId="2" type="noConversion"/>
  <conditionalFormatting sqref="AV4:AV6">
    <cfRule type="expression" dxfId="18767" priority="1037">
      <formula>AV4="X"</formula>
    </cfRule>
    <cfRule type="expression" dxfId="18766" priority="1038">
      <formula>AV4="후보"</formula>
    </cfRule>
  </conditionalFormatting>
  <conditionalFormatting sqref="AC1:AC2 AC4:AC6 N4:N5">
    <cfRule type="cellIs" dxfId="18765" priority="1034" operator="greaterThan">
      <formula>0.9</formula>
    </cfRule>
    <cfRule type="cellIs" dxfId="18764" priority="1035" operator="greaterThan">
      <formula>0.85</formula>
    </cfRule>
  </conditionalFormatting>
  <conditionalFormatting sqref="N1:N2">
    <cfRule type="cellIs" dxfId="18763" priority="1032" operator="greaterThan">
      <formula>0.9</formula>
    </cfRule>
    <cfRule type="cellIs" dxfId="18762" priority="1033" operator="greaterThan">
      <formula>0.85</formula>
    </cfRule>
  </conditionalFormatting>
  <conditionalFormatting sqref="N6">
    <cfRule type="cellIs" dxfId="18761" priority="1030" operator="greaterThan">
      <formula>0.9</formula>
    </cfRule>
    <cfRule type="cellIs" dxfId="18760" priority="1031" operator="greaterThan">
      <formula>0.85</formula>
    </cfRule>
  </conditionalFormatting>
  <conditionalFormatting sqref="E6">
    <cfRule type="expression" dxfId="18759" priority="1026">
      <formula>AND(IF(OR($Q6=1,$Q6=2),1,0),IF($X6&lt;=20,1,0))</formula>
    </cfRule>
    <cfRule type="expression" dxfId="18758" priority="1027">
      <formula>AND(IF($Q6=2,1,0),IF($X6&lt;30,1,0))</formula>
    </cfRule>
    <cfRule type="expression" dxfId="18757" priority="1028">
      <formula>AND(IF($Q6=3,1,0),IF($X6&lt;30,1,0))</formula>
    </cfRule>
    <cfRule type="expression" dxfId="18756" priority="1029">
      <formula>AND(IF($Q6=3,1,IF($Q6=4,1,0)),IF($F6&lt;=85,1,0))</formula>
    </cfRule>
  </conditionalFormatting>
  <conditionalFormatting sqref="X6">
    <cfRule type="expression" dxfId="18755" priority="1022">
      <formula>AND(IF(OR($Q6=1,$Q6=2),1,0),IF($X6&lt;=20,1,0))</formula>
    </cfRule>
    <cfRule type="expression" dxfId="18754" priority="1023">
      <formula>AND(IF($Q6=2,1,0),IF($X6&lt;30,1,0))</formula>
    </cfRule>
    <cfRule type="expression" dxfId="18753" priority="1024">
      <formula>AND(IF($Q6=3,1,0),IF($X6&lt;30,1,0))</formula>
    </cfRule>
    <cfRule type="expression" dxfId="18752" priority="1025">
      <formula>AND(IF($Q6=3,1,IF($Q6=4,1,0)),IF($F6&lt;=85,1,0))</formula>
    </cfRule>
  </conditionalFormatting>
  <conditionalFormatting sqref="AI6">
    <cfRule type="expression" dxfId="18751" priority="1018">
      <formula>AND(IF(OR($Q6=1,$Q6=2),1,0),IF($X6&lt;=20,1,0))</formula>
    </cfRule>
    <cfRule type="expression" dxfId="18750" priority="1019">
      <formula>AND(IF($Q6=2,1,0),IF($X6&lt;30,1,0))</formula>
    </cfRule>
    <cfRule type="expression" dxfId="18749" priority="1020">
      <formula>AND(IF($Q6=3,1,0),IF($X6&lt;30,1,0))</formula>
    </cfRule>
    <cfRule type="expression" dxfId="18748" priority="1021">
      <formula>AND(IF($Q6=3,1,IF($Q6=4,1,0)),IF($F6&lt;=85,1,0))</formula>
    </cfRule>
  </conditionalFormatting>
  <conditionalFormatting sqref="AV7">
    <cfRule type="expression" dxfId="18747" priority="1016">
      <formula>AV7="X"</formula>
    </cfRule>
    <cfRule type="expression" dxfId="18746" priority="1017">
      <formula>AV7="후보"</formula>
    </cfRule>
  </conditionalFormatting>
  <conditionalFormatting sqref="AC7">
    <cfRule type="cellIs" dxfId="18745" priority="1013" operator="greaterThan">
      <formula>0.9</formula>
    </cfRule>
    <cfRule type="cellIs" dxfId="18744" priority="1014" operator="greaterThan">
      <formula>0.85</formula>
    </cfRule>
  </conditionalFormatting>
  <conditionalFormatting sqref="N7">
    <cfRule type="cellIs" dxfId="18743" priority="1011" operator="greaterThan">
      <formula>0.9</formula>
    </cfRule>
    <cfRule type="cellIs" dxfId="18742" priority="1012" operator="greaterThan">
      <formula>0.85</formula>
    </cfRule>
  </conditionalFormatting>
  <conditionalFormatting sqref="E7">
    <cfRule type="expression" dxfId="18741" priority="1007">
      <formula>AND(IF(OR($Q7=1,$Q7=2),1,0),IF($X7&lt;=20,1,0))</formula>
    </cfRule>
    <cfRule type="expression" dxfId="18740" priority="1008">
      <formula>AND(IF($Q7=2,1,0),IF($X7&lt;30,1,0))</formula>
    </cfRule>
    <cfRule type="expression" dxfId="18739" priority="1009">
      <formula>AND(IF($Q7=3,1,0),IF($X7&lt;30,1,0))</formula>
    </cfRule>
    <cfRule type="expression" dxfId="18738" priority="1010">
      <formula>AND(IF($Q7=3,1,IF($Q7=4,1,0)),IF($F7&lt;=85,1,0))</formula>
    </cfRule>
  </conditionalFormatting>
  <conditionalFormatting sqref="X7">
    <cfRule type="expression" dxfId="18737" priority="1003">
      <formula>AND(IF(OR($Q7=1,$Q7=2),1,0),IF($X7&lt;=20,1,0))</formula>
    </cfRule>
    <cfRule type="expression" dxfId="18736" priority="1004">
      <formula>AND(IF($Q7=2,1,0),IF($X7&lt;30,1,0))</formula>
    </cfRule>
    <cfRule type="expression" dxfId="18735" priority="1005">
      <formula>AND(IF($Q7=3,1,0),IF($X7&lt;30,1,0))</formula>
    </cfRule>
    <cfRule type="expression" dxfId="18734" priority="1006">
      <formula>AND(IF($Q7=3,1,IF($Q7=4,1,0)),IF($F7&lt;=85,1,0))</formula>
    </cfRule>
  </conditionalFormatting>
  <conditionalFormatting sqref="AI7">
    <cfRule type="expression" dxfId="18733" priority="999">
      <formula>AND(IF(OR($Q7=1,$Q7=2),1,0),IF($X7&lt;=20,1,0))</formula>
    </cfRule>
    <cfRule type="expression" dxfId="18732" priority="1000">
      <formula>AND(IF($Q7=2,1,0),IF($X7&lt;30,1,0))</formula>
    </cfRule>
    <cfRule type="expression" dxfId="18731" priority="1001">
      <formula>AND(IF($Q7=3,1,0),IF($X7&lt;30,1,0))</formula>
    </cfRule>
    <cfRule type="expression" dxfId="18730" priority="1002">
      <formula>AND(IF($Q7=3,1,IF($Q7=4,1,0)),IF($F7&lt;=85,1,0))</formula>
    </cfRule>
  </conditionalFormatting>
  <conditionalFormatting sqref="AV8">
    <cfRule type="expression" dxfId="18729" priority="997">
      <formula>AV8="X"</formula>
    </cfRule>
    <cfRule type="expression" dxfId="18728" priority="998">
      <formula>AV8="후보"</formula>
    </cfRule>
  </conditionalFormatting>
  <conditionalFormatting sqref="AC8">
    <cfRule type="cellIs" dxfId="18727" priority="994" operator="greaterThan">
      <formula>0.9</formula>
    </cfRule>
    <cfRule type="cellIs" dxfId="18726" priority="995" operator="greaterThan">
      <formula>0.85</formula>
    </cfRule>
  </conditionalFormatting>
  <conditionalFormatting sqref="N8">
    <cfRule type="cellIs" dxfId="18725" priority="992" operator="greaterThan">
      <formula>0.9</formula>
    </cfRule>
    <cfRule type="cellIs" dxfId="18724" priority="993" operator="greaterThan">
      <formula>0.85</formula>
    </cfRule>
  </conditionalFormatting>
  <conditionalFormatting sqref="E8">
    <cfRule type="expression" dxfId="18723" priority="988">
      <formula>AND(IF(OR($Q8=1,$Q8=2),1,0),IF($X8&lt;=20,1,0))</formula>
    </cfRule>
    <cfRule type="expression" dxfId="18722" priority="989">
      <formula>AND(IF($Q8=2,1,0),IF($X8&lt;30,1,0))</formula>
    </cfRule>
    <cfRule type="expression" dxfId="18721" priority="990">
      <formula>AND(IF($Q8=3,1,0),IF($X8&lt;30,1,0))</formula>
    </cfRule>
    <cfRule type="expression" dxfId="18720" priority="991">
      <formula>AND(IF($Q8=3,1,IF($Q8=4,1,0)),IF($F8&lt;=85,1,0))</formula>
    </cfRule>
  </conditionalFormatting>
  <conditionalFormatting sqref="X8">
    <cfRule type="expression" dxfId="18719" priority="984">
      <formula>AND(IF(OR($Q8=1,$Q8=2),1,0),IF($X8&lt;=20,1,0))</formula>
    </cfRule>
    <cfRule type="expression" dxfId="18718" priority="985">
      <formula>AND(IF($Q8=2,1,0),IF($X8&lt;30,1,0))</formula>
    </cfRule>
    <cfRule type="expression" dxfId="18717" priority="986">
      <formula>AND(IF($Q8=3,1,0),IF($X8&lt;30,1,0))</formula>
    </cfRule>
    <cfRule type="expression" dxfId="18716" priority="987">
      <formula>AND(IF($Q8=3,1,IF($Q8=4,1,0)),IF($F8&lt;=85,1,0))</formula>
    </cfRule>
  </conditionalFormatting>
  <conditionalFormatting sqref="AI8">
    <cfRule type="expression" dxfId="18715" priority="980">
      <formula>AND(IF(OR($Q8=1,$Q8=2),1,0),IF($X8&lt;=20,1,0))</formula>
    </cfRule>
    <cfRule type="expression" dxfId="18714" priority="981">
      <formula>AND(IF($Q8=2,1,0),IF($X8&lt;30,1,0))</formula>
    </cfRule>
    <cfRule type="expression" dxfId="18713" priority="982">
      <formula>AND(IF($Q8=3,1,0),IF($X8&lt;30,1,0))</formula>
    </cfRule>
    <cfRule type="expression" dxfId="18712" priority="983">
      <formula>AND(IF($Q8=3,1,IF($Q8=4,1,0)),IF($F8&lt;=85,1,0))</formula>
    </cfRule>
  </conditionalFormatting>
  <conditionalFormatting sqref="AV9">
    <cfRule type="expression" dxfId="18711" priority="978">
      <formula>AV9="X"</formula>
    </cfRule>
    <cfRule type="expression" dxfId="18710" priority="979">
      <formula>AV9="후보"</formula>
    </cfRule>
  </conditionalFormatting>
  <conditionalFormatting sqref="AC9">
    <cfRule type="cellIs" dxfId="18709" priority="975" operator="greaterThan">
      <formula>0.9</formula>
    </cfRule>
    <cfRule type="cellIs" dxfId="18708" priority="976" operator="greaterThan">
      <formula>0.85</formula>
    </cfRule>
  </conditionalFormatting>
  <conditionalFormatting sqref="N9">
    <cfRule type="cellIs" dxfId="18707" priority="973" operator="greaterThan">
      <formula>0.9</formula>
    </cfRule>
    <cfRule type="cellIs" dxfId="18706" priority="974" operator="greaterThan">
      <formula>0.85</formula>
    </cfRule>
  </conditionalFormatting>
  <conditionalFormatting sqref="E9">
    <cfRule type="expression" dxfId="18705" priority="969">
      <formula>AND(IF(OR($Q9=1,$Q9=2),1,0),IF($X9&lt;=20,1,0))</formula>
    </cfRule>
    <cfRule type="expression" dxfId="18704" priority="970">
      <formula>AND(IF($Q9=2,1,0),IF($X9&lt;30,1,0))</formula>
    </cfRule>
    <cfRule type="expression" dxfId="18703" priority="971">
      <formula>AND(IF($Q9=3,1,0),IF($X9&lt;30,1,0))</formula>
    </cfRule>
    <cfRule type="expression" dxfId="18702" priority="972">
      <formula>AND(IF($Q9=3,1,IF($Q9=4,1,0)),IF($F9&lt;=85,1,0))</formula>
    </cfRule>
  </conditionalFormatting>
  <conditionalFormatting sqref="X9">
    <cfRule type="expression" dxfId="18701" priority="965">
      <formula>AND(IF(OR($Q9=1,$Q9=2),1,0),IF($X9&lt;=20,1,0))</formula>
    </cfRule>
    <cfRule type="expression" dxfId="18700" priority="966">
      <formula>AND(IF($Q9=2,1,0),IF($X9&lt;30,1,0))</formula>
    </cfRule>
    <cfRule type="expression" dxfId="18699" priority="967">
      <formula>AND(IF($Q9=3,1,0),IF($X9&lt;30,1,0))</formula>
    </cfRule>
    <cfRule type="expression" dxfId="18698" priority="968">
      <formula>AND(IF($Q9=3,1,IF($Q9=4,1,0)),IF($F9&lt;=85,1,0))</formula>
    </cfRule>
  </conditionalFormatting>
  <conditionalFormatting sqref="AI9">
    <cfRule type="expression" dxfId="18697" priority="961">
      <formula>AND(IF(OR($Q9=1,$Q9=2),1,0),IF($X9&lt;=20,1,0))</formula>
    </cfRule>
    <cfRule type="expression" dxfId="18696" priority="962">
      <formula>AND(IF($Q9=2,1,0),IF($X9&lt;30,1,0))</formula>
    </cfRule>
    <cfRule type="expression" dxfId="18695" priority="963">
      <formula>AND(IF($Q9=3,1,0),IF($X9&lt;30,1,0))</formula>
    </cfRule>
    <cfRule type="expression" dxfId="18694" priority="964">
      <formula>AND(IF($Q9=3,1,IF($Q9=4,1,0)),IF($F9&lt;=85,1,0))</formula>
    </cfRule>
  </conditionalFormatting>
  <conditionalFormatting sqref="AV10">
    <cfRule type="expression" dxfId="18693" priority="959">
      <formula>AV10="X"</formula>
    </cfRule>
    <cfRule type="expression" dxfId="18692" priority="960">
      <formula>AV10="후보"</formula>
    </cfRule>
  </conditionalFormatting>
  <conditionalFormatting sqref="AC10 N10">
    <cfRule type="cellIs" dxfId="18691" priority="956" operator="greaterThan">
      <formula>0.9</formula>
    </cfRule>
    <cfRule type="cellIs" dxfId="18690" priority="957" operator="greaterThan">
      <formula>0.85</formula>
    </cfRule>
  </conditionalFormatting>
  <conditionalFormatting sqref="AV11">
    <cfRule type="expression" dxfId="18689" priority="954">
      <formula>AV11="X"</formula>
    </cfRule>
    <cfRule type="expression" dxfId="18688" priority="955">
      <formula>AV11="후보"</formula>
    </cfRule>
  </conditionalFormatting>
  <conditionalFormatting sqref="AC11">
    <cfRule type="cellIs" dxfId="18687" priority="951" operator="greaterThan">
      <formula>0.9</formula>
    </cfRule>
    <cfRule type="cellIs" dxfId="18686" priority="952" operator="greaterThan">
      <formula>0.85</formula>
    </cfRule>
  </conditionalFormatting>
  <conditionalFormatting sqref="N11">
    <cfRule type="cellIs" dxfId="18685" priority="949" operator="greaterThan">
      <formula>0.9</formula>
    </cfRule>
    <cfRule type="cellIs" dxfId="18684" priority="950" operator="greaterThan">
      <formula>0.85</formula>
    </cfRule>
  </conditionalFormatting>
  <conditionalFormatting sqref="E11">
    <cfRule type="expression" dxfId="18683" priority="945">
      <formula>AND(IF(OR($Q11=1,$Q11=2),1,0),IF($X11&lt;=20,1,0))</formula>
    </cfRule>
    <cfRule type="expression" dxfId="18682" priority="946">
      <formula>AND(IF($Q11=2,1,0),IF($X11&lt;30,1,0))</formula>
    </cfRule>
    <cfRule type="expression" dxfId="18681" priority="947">
      <formula>AND(IF($Q11=3,1,0),IF($X11&lt;30,1,0))</formula>
    </cfRule>
    <cfRule type="expression" dxfId="18680" priority="948">
      <formula>AND(IF($Q11=3,1,IF($Q11=4,1,0)),IF($F11&lt;=85,1,0))</formula>
    </cfRule>
  </conditionalFormatting>
  <conditionalFormatting sqref="X11">
    <cfRule type="expression" dxfId="18679" priority="941">
      <formula>AND(IF(OR($Q11=1,$Q11=2),1,0),IF($X11&lt;=20,1,0))</formula>
    </cfRule>
    <cfRule type="expression" dxfId="18678" priority="942">
      <formula>AND(IF($Q11=2,1,0),IF($X11&lt;30,1,0))</formula>
    </cfRule>
    <cfRule type="expression" dxfId="18677" priority="943">
      <formula>AND(IF($Q11=3,1,0),IF($X11&lt;30,1,0))</formula>
    </cfRule>
    <cfRule type="expression" dxfId="18676" priority="944">
      <formula>AND(IF($Q11=3,1,IF($Q11=4,1,0)),IF($F11&lt;=85,1,0))</formula>
    </cfRule>
  </conditionalFormatting>
  <conditionalFormatting sqref="AI11">
    <cfRule type="expression" dxfId="18675" priority="937">
      <formula>AND(IF(OR($Q11=1,$Q11=2),1,0),IF($X11&lt;=20,1,0))</formula>
    </cfRule>
    <cfRule type="expression" dxfId="18674" priority="938">
      <formula>AND(IF($Q11=2,1,0),IF($X11&lt;30,1,0))</formula>
    </cfRule>
    <cfRule type="expression" dxfId="18673" priority="939">
      <formula>AND(IF($Q11=3,1,0),IF($X11&lt;30,1,0))</formula>
    </cfRule>
    <cfRule type="expression" dxfId="18672" priority="940">
      <formula>AND(IF($Q11=3,1,IF($Q11=4,1,0)),IF($F11&lt;=85,1,0))</formula>
    </cfRule>
  </conditionalFormatting>
  <conditionalFormatting sqref="AV12">
    <cfRule type="expression" dxfId="18671" priority="935">
      <formula>AV12="X"</formula>
    </cfRule>
    <cfRule type="expression" dxfId="18670" priority="936">
      <formula>AV12="후보"</formula>
    </cfRule>
  </conditionalFormatting>
  <conditionalFormatting sqref="AC12">
    <cfRule type="cellIs" dxfId="18669" priority="932" operator="greaterThan">
      <formula>0.9</formula>
    </cfRule>
    <cfRule type="cellIs" dxfId="18668" priority="933" operator="greaterThan">
      <formula>0.85</formula>
    </cfRule>
  </conditionalFormatting>
  <conditionalFormatting sqref="N12">
    <cfRule type="cellIs" dxfId="18667" priority="930" operator="greaterThan">
      <formula>0.9</formula>
    </cfRule>
    <cfRule type="cellIs" dxfId="18666" priority="931" operator="greaterThan">
      <formula>0.85</formula>
    </cfRule>
  </conditionalFormatting>
  <conditionalFormatting sqref="E12">
    <cfRule type="expression" dxfId="18665" priority="926">
      <formula>AND(IF(OR($Q12=1,$Q12=2),1,0),IF($X12&lt;=20,1,0))</formula>
    </cfRule>
    <cfRule type="expression" dxfId="18664" priority="927">
      <formula>AND(IF($Q12=2,1,0),IF($X12&lt;30,1,0))</formula>
    </cfRule>
    <cfRule type="expression" dxfId="18663" priority="928">
      <formula>AND(IF($Q12=3,1,0),IF($X12&lt;30,1,0))</formula>
    </cfRule>
    <cfRule type="expression" dxfId="18662" priority="929">
      <formula>AND(IF($Q12=3,1,IF($Q12=4,1,0)),IF($F12&lt;=85,1,0))</formula>
    </cfRule>
  </conditionalFormatting>
  <conditionalFormatting sqref="X12">
    <cfRule type="expression" dxfId="18661" priority="922">
      <formula>AND(IF(OR($Q12=1,$Q12=2),1,0),IF($X12&lt;=20,1,0))</formula>
    </cfRule>
    <cfRule type="expression" dxfId="18660" priority="923">
      <formula>AND(IF($Q12=2,1,0),IF($X12&lt;30,1,0))</formula>
    </cfRule>
    <cfRule type="expression" dxfId="18659" priority="924">
      <formula>AND(IF($Q12=3,1,0),IF($X12&lt;30,1,0))</formula>
    </cfRule>
    <cfRule type="expression" dxfId="18658" priority="925">
      <formula>AND(IF($Q12=3,1,IF($Q12=4,1,0)),IF($F12&lt;=85,1,0))</formula>
    </cfRule>
  </conditionalFormatting>
  <conditionalFormatting sqref="AI12">
    <cfRule type="expression" dxfId="18657" priority="918">
      <formula>AND(IF(OR($Q12=1,$Q12=2),1,0),IF($X12&lt;=20,1,0))</formula>
    </cfRule>
    <cfRule type="expression" dxfId="18656" priority="919">
      <formula>AND(IF($Q12=2,1,0),IF($X12&lt;30,1,0))</formula>
    </cfRule>
    <cfRule type="expression" dxfId="18655" priority="920">
      <formula>AND(IF($Q12=3,1,0),IF($X12&lt;30,1,0))</formula>
    </cfRule>
    <cfRule type="expression" dxfId="18654" priority="921">
      <formula>AND(IF($Q12=3,1,IF($Q12=4,1,0)),IF($F12&lt;=85,1,0))</formula>
    </cfRule>
  </conditionalFormatting>
  <conditionalFormatting sqref="AV13">
    <cfRule type="expression" dxfId="18653" priority="916">
      <formula>AV13="X"</formula>
    </cfRule>
    <cfRule type="expression" dxfId="18652" priority="917">
      <formula>AV13="후보"</formula>
    </cfRule>
  </conditionalFormatting>
  <conditionalFormatting sqref="AC13 N13">
    <cfRule type="cellIs" dxfId="18651" priority="913" operator="greaterThan">
      <formula>0.9</formula>
    </cfRule>
    <cfRule type="cellIs" dxfId="18650" priority="914" operator="greaterThan">
      <formula>0.85</formula>
    </cfRule>
  </conditionalFormatting>
  <conditionalFormatting sqref="AV14">
    <cfRule type="expression" dxfId="18649" priority="911">
      <formula>AV14="X"</formula>
    </cfRule>
    <cfRule type="expression" dxfId="18648" priority="912">
      <formula>AV14="후보"</formula>
    </cfRule>
  </conditionalFormatting>
  <conditionalFormatting sqref="AC14">
    <cfRule type="cellIs" dxfId="18647" priority="908" operator="greaterThan">
      <formula>0.9</formula>
    </cfRule>
    <cfRule type="cellIs" dxfId="18646" priority="909" operator="greaterThan">
      <formula>0.85</formula>
    </cfRule>
  </conditionalFormatting>
  <conditionalFormatting sqref="N14">
    <cfRule type="cellIs" dxfId="18645" priority="906" operator="greaterThan">
      <formula>0.9</formula>
    </cfRule>
    <cfRule type="cellIs" dxfId="18644" priority="907" operator="greaterThan">
      <formula>0.85</formula>
    </cfRule>
  </conditionalFormatting>
  <conditionalFormatting sqref="E14">
    <cfRule type="expression" dxfId="18643" priority="902">
      <formula>AND(IF(OR($Q14=1,$Q14=2),1,0),IF($X14&lt;=20,1,0))</formula>
    </cfRule>
    <cfRule type="expression" dxfId="18642" priority="903">
      <formula>AND(IF($Q14=2,1,0),IF($X14&lt;30,1,0))</formula>
    </cfRule>
    <cfRule type="expression" dxfId="18641" priority="904">
      <formula>AND(IF($Q14=3,1,0),IF($X14&lt;30,1,0))</formula>
    </cfRule>
    <cfRule type="expression" dxfId="18640" priority="905">
      <formula>AND(IF($Q14=3,1,IF($Q14=4,1,0)),IF($F14&lt;=85,1,0))</formula>
    </cfRule>
  </conditionalFormatting>
  <conditionalFormatting sqref="X14">
    <cfRule type="expression" dxfId="18639" priority="898">
      <formula>AND(IF(OR($Q14=1,$Q14=2),1,0),IF($X14&lt;=20,1,0))</formula>
    </cfRule>
    <cfRule type="expression" dxfId="18638" priority="899">
      <formula>AND(IF($Q14=2,1,0),IF($X14&lt;30,1,0))</formula>
    </cfRule>
    <cfRule type="expression" dxfId="18637" priority="900">
      <formula>AND(IF($Q14=3,1,0),IF($X14&lt;30,1,0))</formula>
    </cfRule>
    <cfRule type="expression" dxfId="18636" priority="901">
      <formula>AND(IF($Q14=3,1,IF($Q14=4,1,0)),IF($F14&lt;=85,1,0))</formula>
    </cfRule>
  </conditionalFormatting>
  <conditionalFormatting sqref="AI14">
    <cfRule type="expression" dxfId="18635" priority="894">
      <formula>AND(IF(OR($Q14=1,$Q14=2),1,0),IF($X14&lt;=20,1,0))</formula>
    </cfRule>
    <cfRule type="expression" dxfId="18634" priority="895">
      <formula>AND(IF($Q14=2,1,0),IF($X14&lt;30,1,0))</formula>
    </cfRule>
    <cfRule type="expression" dxfId="18633" priority="896">
      <formula>AND(IF($Q14=3,1,0),IF($X14&lt;30,1,0))</formula>
    </cfRule>
    <cfRule type="expression" dxfId="18632" priority="897">
      <formula>AND(IF($Q14=3,1,IF($Q14=4,1,0)),IF($F14&lt;=85,1,0))</formula>
    </cfRule>
  </conditionalFormatting>
  <conditionalFormatting sqref="AV15">
    <cfRule type="expression" dxfId="18631" priority="892">
      <formula>AV15="X"</formula>
    </cfRule>
    <cfRule type="expression" dxfId="18630" priority="893">
      <formula>AV15="후보"</formula>
    </cfRule>
  </conditionalFormatting>
  <conditionalFormatting sqref="AC15">
    <cfRule type="cellIs" dxfId="18629" priority="889" operator="greaterThan">
      <formula>0.9</formula>
    </cfRule>
    <cfRule type="cellIs" dxfId="18628" priority="890" operator="greaterThan">
      <formula>0.85</formula>
    </cfRule>
  </conditionalFormatting>
  <conditionalFormatting sqref="N15">
    <cfRule type="cellIs" dxfId="18627" priority="887" operator="greaterThan">
      <formula>0.9</formula>
    </cfRule>
    <cfRule type="cellIs" dxfId="18626" priority="888" operator="greaterThan">
      <formula>0.85</formula>
    </cfRule>
  </conditionalFormatting>
  <conditionalFormatting sqref="E15">
    <cfRule type="expression" dxfId="18625" priority="883">
      <formula>AND(IF(OR($Q15=1,$Q15=2),1,0),IF($X15&lt;=20,1,0))</formula>
    </cfRule>
    <cfRule type="expression" dxfId="18624" priority="884">
      <formula>AND(IF($Q15=2,1,0),IF($X15&lt;30,1,0))</formula>
    </cfRule>
    <cfRule type="expression" dxfId="18623" priority="885">
      <formula>AND(IF($Q15=3,1,0),IF($X15&lt;30,1,0))</formula>
    </cfRule>
    <cfRule type="expression" dxfId="18622" priority="886">
      <formula>AND(IF($Q15=3,1,IF($Q15=4,1,0)),IF($F15&lt;=85,1,0))</formula>
    </cfRule>
  </conditionalFormatting>
  <conditionalFormatting sqref="X15">
    <cfRule type="expression" dxfId="18621" priority="879">
      <formula>AND(IF(OR($Q15=1,$Q15=2),1,0),IF($X15&lt;=20,1,0))</formula>
    </cfRule>
    <cfRule type="expression" dxfId="18620" priority="880">
      <formula>AND(IF($Q15=2,1,0),IF($X15&lt;30,1,0))</formula>
    </cfRule>
    <cfRule type="expression" dxfId="18619" priority="881">
      <formula>AND(IF($Q15=3,1,0),IF($X15&lt;30,1,0))</formula>
    </cfRule>
    <cfRule type="expression" dxfId="18618" priority="882">
      <formula>AND(IF($Q15=3,1,IF($Q15=4,1,0)),IF($F15&lt;=85,1,0))</formula>
    </cfRule>
  </conditionalFormatting>
  <conditionalFormatting sqref="AI15">
    <cfRule type="expression" dxfId="18617" priority="875">
      <formula>AND(IF(OR($Q15=1,$Q15=2),1,0),IF($X15&lt;=20,1,0))</formula>
    </cfRule>
    <cfRule type="expression" dxfId="18616" priority="876">
      <formula>AND(IF($Q15=2,1,0),IF($X15&lt;30,1,0))</formula>
    </cfRule>
    <cfRule type="expression" dxfId="18615" priority="877">
      <formula>AND(IF($Q15=3,1,0),IF($X15&lt;30,1,0))</formula>
    </cfRule>
    <cfRule type="expression" dxfId="18614" priority="878">
      <formula>AND(IF($Q15=3,1,IF($Q15=4,1,0)),IF($F15&lt;=85,1,0))</formula>
    </cfRule>
  </conditionalFormatting>
  <conditionalFormatting sqref="AV16">
    <cfRule type="expression" dxfId="18613" priority="873">
      <formula>AV16="X"</formula>
    </cfRule>
    <cfRule type="expression" dxfId="18612" priority="874">
      <formula>AV16="후보"</formula>
    </cfRule>
  </conditionalFormatting>
  <conditionalFormatting sqref="AC16 N16">
    <cfRule type="cellIs" dxfId="18611" priority="870" operator="greaterThan">
      <formula>0.9</formula>
    </cfRule>
    <cfRule type="cellIs" dxfId="18610" priority="871" operator="greaterThan">
      <formula>0.85</formula>
    </cfRule>
  </conditionalFormatting>
  <conditionalFormatting sqref="AV17">
    <cfRule type="expression" dxfId="18609" priority="868">
      <formula>AV17="X"</formula>
    </cfRule>
    <cfRule type="expression" dxfId="18608" priority="869">
      <formula>AV17="후보"</formula>
    </cfRule>
  </conditionalFormatting>
  <conditionalFormatting sqref="AC17">
    <cfRule type="cellIs" dxfId="18607" priority="865" operator="greaterThan">
      <formula>0.9</formula>
    </cfRule>
    <cfRule type="cellIs" dxfId="18606" priority="866" operator="greaterThan">
      <formula>0.85</formula>
    </cfRule>
  </conditionalFormatting>
  <conditionalFormatting sqref="N17">
    <cfRule type="cellIs" dxfId="18605" priority="863" operator="greaterThan">
      <formula>0.9</formula>
    </cfRule>
    <cfRule type="cellIs" dxfId="18604" priority="864" operator="greaterThan">
      <formula>0.85</formula>
    </cfRule>
  </conditionalFormatting>
  <conditionalFormatting sqref="E17">
    <cfRule type="expression" dxfId="18603" priority="859">
      <formula>AND(IF(OR($Q17=1,$Q17=2),1,0),IF($X17&lt;=20,1,0))</formula>
    </cfRule>
    <cfRule type="expression" dxfId="18602" priority="860">
      <formula>AND(IF($Q17=2,1,0),IF($X17&lt;30,1,0))</formula>
    </cfRule>
    <cfRule type="expression" dxfId="18601" priority="861">
      <formula>AND(IF($Q17=3,1,0),IF($X17&lt;30,1,0))</formula>
    </cfRule>
    <cfRule type="expression" dxfId="18600" priority="862">
      <formula>AND(IF($Q17=3,1,IF($Q17=4,1,0)),IF($F17&lt;=85,1,0))</formula>
    </cfRule>
  </conditionalFormatting>
  <conditionalFormatting sqref="X17">
    <cfRule type="expression" dxfId="18599" priority="855">
      <formula>AND(IF(OR($Q17=1,$Q17=2),1,0),IF($X17&lt;=20,1,0))</formula>
    </cfRule>
    <cfRule type="expression" dxfId="18598" priority="856">
      <formula>AND(IF($Q17=2,1,0),IF($X17&lt;30,1,0))</formula>
    </cfRule>
    <cfRule type="expression" dxfId="18597" priority="857">
      <formula>AND(IF($Q17=3,1,0),IF($X17&lt;30,1,0))</formula>
    </cfRule>
    <cfRule type="expression" dxfId="18596" priority="858">
      <formula>AND(IF($Q17=3,1,IF($Q17=4,1,0)),IF($F17&lt;=85,1,0))</formula>
    </cfRule>
  </conditionalFormatting>
  <conditionalFormatting sqref="AI17">
    <cfRule type="expression" dxfId="18595" priority="851">
      <formula>AND(IF(OR($Q17=1,$Q17=2),1,0),IF($X17&lt;=20,1,0))</formula>
    </cfRule>
    <cfRule type="expression" dxfId="18594" priority="852">
      <formula>AND(IF($Q17=2,1,0),IF($X17&lt;30,1,0))</formula>
    </cfRule>
    <cfRule type="expression" dxfId="18593" priority="853">
      <formula>AND(IF($Q17=3,1,0),IF($X17&lt;30,1,0))</formula>
    </cfRule>
    <cfRule type="expression" dxfId="18592" priority="854">
      <formula>AND(IF($Q17=3,1,IF($Q17=4,1,0)),IF($F17&lt;=85,1,0))</formula>
    </cfRule>
  </conditionalFormatting>
  <conditionalFormatting sqref="AV18">
    <cfRule type="expression" dxfId="18591" priority="849">
      <formula>AV18="X"</formula>
    </cfRule>
    <cfRule type="expression" dxfId="18590" priority="850">
      <formula>AV18="후보"</formula>
    </cfRule>
  </conditionalFormatting>
  <conditionalFormatting sqref="AC18 N18">
    <cfRule type="cellIs" dxfId="18589" priority="846" operator="greaterThan">
      <formula>0.9</formula>
    </cfRule>
    <cfRule type="cellIs" dxfId="18588" priority="847" operator="greaterThan">
      <formula>0.85</formula>
    </cfRule>
  </conditionalFormatting>
  <conditionalFormatting sqref="AV19">
    <cfRule type="expression" dxfId="18587" priority="844">
      <formula>AV19="X"</formula>
    </cfRule>
    <cfRule type="expression" dxfId="18586" priority="845">
      <formula>AV19="후보"</formula>
    </cfRule>
  </conditionalFormatting>
  <conditionalFormatting sqref="AC19">
    <cfRule type="cellIs" dxfId="18585" priority="841" operator="greaterThan">
      <formula>0.9</formula>
    </cfRule>
    <cfRule type="cellIs" dxfId="18584" priority="842" operator="greaterThan">
      <formula>0.85</formula>
    </cfRule>
  </conditionalFormatting>
  <conditionalFormatting sqref="N19">
    <cfRule type="cellIs" dxfId="18583" priority="839" operator="greaterThan">
      <formula>0.9</formula>
    </cfRule>
    <cfRule type="cellIs" dxfId="18582" priority="840" operator="greaterThan">
      <formula>0.85</formula>
    </cfRule>
  </conditionalFormatting>
  <conditionalFormatting sqref="E19">
    <cfRule type="expression" dxfId="18581" priority="835">
      <formula>AND(IF(OR($Q19=1,$Q19=2),1,0),IF($X19&lt;=20,1,0))</formula>
    </cfRule>
    <cfRule type="expression" dxfId="18580" priority="836">
      <formula>AND(IF($Q19=2,1,0),IF($X19&lt;30,1,0))</formula>
    </cfRule>
    <cfRule type="expression" dxfId="18579" priority="837">
      <formula>AND(IF($Q19=3,1,0),IF($X19&lt;30,1,0))</formula>
    </cfRule>
    <cfRule type="expression" dxfId="18578" priority="838">
      <formula>AND(IF($Q19=3,1,IF($Q19=4,1,0)),IF($F19&lt;=85,1,0))</formula>
    </cfRule>
  </conditionalFormatting>
  <conditionalFormatting sqref="X19">
    <cfRule type="expression" dxfId="18577" priority="831">
      <formula>AND(IF(OR($Q19=1,$Q19=2),1,0),IF($X19&lt;=20,1,0))</formula>
    </cfRule>
    <cfRule type="expression" dxfId="18576" priority="832">
      <formula>AND(IF($Q19=2,1,0),IF($X19&lt;30,1,0))</formula>
    </cfRule>
    <cfRule type="expression" dxfId="18575" priority="833">
      <formula>AND(IF($Q19=3,1,0),IF($X19&lt;30,1,0))</formula>
    </cfRule>
    <cfRule type="expression" dxfId="18574" priority="834">
      <formula>AND(IF($Q19=3,1,IF($Q19=4,1,0)),IF($F19&lt;=85,1,0))</formula>
    </cfRule>
  </conditionalFormatting>
  <conditionalFormatting sqref="AI19">
    <cfRule type="expression" dxfId="18573" priority="827">
      <formula>AND(IF(OR($Q19=1,$Q19=2),1,0),IF($X19&lt;=20,1,0))</formula>
    </cfRule>
    <cfRule type="expression" dxfId="18572" priority="828">
      <formula>AND(IF($Q19=2,1,0),IF($X19&lt;30,1,0))</formula>
    </cfRule>
    <cfRule type="expression" dxfId="18571" priority="829">
      <formula>AND(IF($Q19=3,1,0),IF($X19&lt;30,1,0))</formula>
    </cfRule>
    <cfRule type="expression" dxfId="18570" priority="830">
      <formula>AND(IF($Q19=3,1,IF($Q19=4,1,0)),IF($F19&lt;=85,1,0))</formula>
    </cfRule>
  </conditionalFormatting>
  <conditionalFormatting sqref="AV20">
    <cfRule type="expression" dxfId="18569" priority="825">
      <formula>AV20="X"</formula>
    </cfRule>
    <cfRule type="expression" dxfId="18568" priority="826">
      <formula>AV20="후보"</formula>
    </cfRule>
  </conditionalFormatting>
  <conditionalFormatting sqref="AC20">
    <cfRule type="cellIs" dxfId="18567" priority="822" operator="greaterThan">
      <formula>0.9</formula>
    </cfRule>
    <cfRule type="cellIs" dxfId="18566" priority="823" operator="greaterThan">
      <formula>0.85</formula>
    </cfRule>
  </conditionalFormatting>
  <conditionalFormatting sqref="N20">
    <cfRule type="cellIs" dxfId="18565" priority="820" operator="greaterThan">
      <formula>0.9</formula>
    </cfRule>
    <cfRule type="cellIs" dxfId="18564" priority="821" operator="greaterThan">
      <formula>0.85</formula>
    </cfRule>
  </conditionalFormatting>
  <conditionalFormatting sqref="E20">
    <cfRule type="expression" dxfId="18563" priority="816">
      <formula>AND(IF(OR($Q20=1,$Q20=2),1,0),IF($X20&lt;=20,1,0))</formula>
    </cfRule>
    <cfRule type="expression" dxfId="18562" priority="817">
      <formula>AND(IF($Q20=2,1,0),IF($X20&lt;30,1,0))</formula>
    </cfRule>
    <cfRule type="expression" dxfId="18561" priority="818">
      <formula>AND(IF($Q20=3,1,0),IF($X20&lt;30,1,0))</formula>
    </cfRule>
    <cfRule type="expression" dxfId="18560" priority="819">
      <formula>AND(IF($Q20=3,1,IF($Q20=4,1,0)),IF($F20&lt;=85,1,0))</formula>
    </cfRule>
  </conditionalFormatting>
  <conditionalFormatting sqref="X20">
    <cfRule type="expression" dxfId="18559" priority="812">
      <formula>AND(IF(OR($Q20=1,$Q20=2),1,0),IF($X20&lt;=20,1,0))</formula>
    </cfRule>
    <cfRule type="expression" dxfId="18558" priority="813">
      <formula>AND(IF($Q20=2,1,0),IF($X20&lt;30,1,0))</formula>
    </cfRule>
    <cfRule type="expression" dxfId="18557" priority="814">
      <formula>AND(IF($Q20=3,1,0),IF($X20&lt;30,1,0))</formula>
    </cfRule>
    <cfRule type="expression" dxfId="18556" priority="815">
      <formula>AND(IF($Q20=3,1,IF($Q20=4,1,0)),IF($F20&lt;=85,1,0))</formula>
    </cfRule>
  </conditionalFormatting>
  <conditionalFormatting sqref="AI20">
    <cfRule type="expression" dxfId="18555" priority="808">
      <formula>AND(IF(OR($Q20=1,$Q20=2),1,0),IF($X20&lt;=20,1,0))</formula>
    </cfRule>
    <cfRule type="expression" dxfId="18554" priority="809">
      <formula>AND(IF($Q20=2,1,0),IF($X20&lt;30,1,0))</formula>
    </cfRule>
    <cfRule type="expression" dxfId="18553" priority="810">
      <formula>AND(IF($Q20=3,1,0),IF($X20&lt;30,1,0))</formula>
    </cfRule>
    <cfRule type="expression" dxfId="18552" priority="811">
      <formula>AND(IF($Q20=3,1,IF($Q20=4,1,0)),IF($F20&lt;=85,1,0))</formula>
    </cfRule>
  </conditionalFormatting>
  <conditionalFormatting sqref="AV21">
    <cfRule type="expression" dxfId="18551" priority="806">
      <formula>AV21="X"</formula>
    </cfRule>
    <cfRule type="expression" dxfId="18550" priority="807">
      <formula>AV21="후보"</formula>
    </cfRule>
  </conditionalFormatting>
  <conditionalFormatting sqref="AC21 N21">
    <cfRule type="cellIs" dxfId="18549" priority="803" operator="greaterThan">
      <formula>0.9</formula>
    </cfRule>
    <cfRule type="cellIs" dxfId="18548" priority="804" operator="greaterThan">
      <formula>0.85</formula>
    </cfRule>
  </conditionalFormatting>
  <conditionalFormatting sqref="AV22">
    <cfRule type="expression" dxfId="18547" priority="801">
      <formula>AV22="X"</formula>
    </cfRule>
    <cfRule type="expression" dxfId="18546" priority="802">
      <formula>AV22="후보"</formula>
    </cfRule>
  </conditionalFormatting>
  <conditionalFormatting sqref="AC22">
    <cfRule type="cellIs" dxfId="18545" priority="798" operator="greaterThan">
      <formula>0.9</formula>
    </cfRule>
    <cfRule type="cellIs" dxfId="18544" priority="799" operator="greaterThan">
      <formula>0.85</formula>
    </cfRule>
  </conditionalFormatting>
  <conditionalFormatting sqref="N22">
    <cfRule type="cellIs" dxfId="18543" priority="796" operator="greaterThan">
      <formula>0.9</formula>
    </cfRule>
    <cfRule type="cellIs" dxfId="18542" priority="797" operator="greaterThan">
      <formula>0.85</formula>
    </cfRule>
  </conditionalFormatting>
  <conditionalFormatting sqref="E22">
    <cfRule type="expression" dxfId="18541" priority="792">
      <formula>AND(IF(OR($Q22=1,$Q22=2),1,0),IF($X22&lt;=20,1,0))</formula>
    </cfRule>
    <cfRule type="expression" dxfId="18540" priority="793">
      <formula>AND(IF($Q22=2,1,0),IF($X22&lt;30,1,0))</formula>
    </cfRule>
    <cfRule type="expression" dxfId="18539" priority="794">
      <formula>AND(IF($Q22=3,1,0),IF($X22&lt;30,1,0))</formula>
    </cfRule>
    <cfRule type="expression" dxfId="18538" priority="795">
      <formula>AND(IF($Q22=3,1,IF($Q22=4,1,0)),IF($F22&lt;=85,1,0))</formula>
    </cfRule>
  </conditionalFormatting>
  <conditionalFormatting sqref="X22">
    <cfRule type="expression" dxfId="18537" priority="788">
      <formula>AND(IF(OR($Q22=1,$Q22=2),1,0),IF($X22&lt;=20,1,0))</formula>
    </cfRule>
    <cfRule type="expression" dxfId="18536" priority="789">
      <formula>AND(IF($Q22=2,1,0),IF($X22&lt;30,1,0))</formula>
    </cfRule>
    <cfRule type="expression" dxfId="18535" priority="790">
      <formula>AND(IF($Q22=3,1,0),IF($X22&lt;30,1,0))</formula>
    </cfRule>
    <cfRule type="expression" dxfId="18534" priority="791">
      <formula>AND(IF($Q22=3,1,IF($Q22=4,1,0)),IF($F22&lt;=85,1,0))</formula>
    </cfRule>
  </conditionalFormatting>
  <conditionalFormatting sqref="AI22">
    <cfRule type="expression" dxfId="18533" priority="784">
      <formula>AND(IF(OR($Q22=1,$Q22=2),1,0),IF($X22&lt;=20,1,0))</formula>
    </cfRule>
    <cfRule type="expression" dxfId="18532" priority="785">
      <formula>AND(IF($Q22=2,1,0),IF($X22&lt;30,1,0))</formula>
    </cfRule>
    <cfRule type="expression" dxfId="18531" priority="786">
      <formula>AND(IF($Q22=3,1,0),IF($X22&lt;30,1,0))</formula>
    </cfRule>
    <cfRule type="expression" dxfId="18530" priority="787">
      <formula>AND(IF($Q22=3,1,IF($Q22=4,1,0)),IF($F22&lt;=85,1,0))</formula>
    </cfRule>
  </conditionalFormatting>
  <conditionalFormatting sqref="AV23">
    <cfRule type="expression" dxfId="18529" priority="782">
      <formula>AV23="X"</formula>
    </cfRule>
    <cfRule type="expression" dxfId="18528" priority="783">
      <formula>AV23="후보"</formula>
    </cfRule>
  </conditionalFormatting>
  <conditionalFormatting sqref="AC23">
    <cfRule type="cellIs" dxfId="18527" priority="779" operator="greaterThan">
      <formula>0.9</formula>
    </cfRule>
    <cfRule type="cellIs" dxfId="18526" priority="780" operator="greaterThan">
      <formula>0.85</formula>
    </cfRule>
  </conditionalFormatting>
  <conditionalFormatting sqref="N23">
    <cfRule type="cellIs" dxfId="18525" priority="777" operator="greaterThan">
      <formula>0.9</formula>
    </cfRule>
    <cfRule type="cellIs" dxfId="18524" priority="778" operator="greaterThan">
      <formula>0.85</formula>
    </cfRule>
  </conditionalFormatting>
  <conditionalFormatting sqref="E23">
    <cfRule type="expression" dxfId="18523" priority="773">
      <formula>AND(IF(OR($Q23=1,$Q23=2),1,0),IF($X23&lt;=20,1,0))</formula>
    </cfRule>
    <cfRule type="expression" dxfId="18522" priority="774">
      <formula>AND(IF($Q23=2,1,0),IF($X23&lt;30,1,0))</formula>
    </cfRule>
    <cfRule type="expression" dxfId="18521" priority="775">
      <formula>AND(IF($Q23=3,1,0),IF($X23&lt;30,1,0))</formula>
    </cfRule>
    <cfRule type="expression" dxfId="18520" priority="776">
      <formula>AND(IF($Q23=3,1,IF($Q23=4,1,0)),IF($F23&lt;=85,1,0))</formula>
    </cfRule>
  </conditionalFormatting>
  <conditionalFormatting sqref="X23">
    <cfRule type="expression" dxfId="18519" priority="769">
      <formula>AND(IF(OR($Q23=1,$Q23=2),1,0),IF($X23&lt;=20,1,0))</formula>
    </cfRule>
    <cfRule type="expression" dxfId="18518" priority="770">
      <formula>AND(IF($Q23=2,1,0),IF($X23&lt;30,1,0))</formula>
    </cfRule>
    <cfRule type="expression" dxfId="18517" priority="771">
      <formula>AND(IF($Q23=3,1,0),IF($X23&lt;30,1,0))</formula>
    </cfRule>
    <cfRule type="expression" dxfId="18516" priority="772">
      <formula>AND(IF($Q23=3,1,IF($Q23=4,1,0)),IF($F23&lt;=85,1,0))</formula>
    </cfRule>
  </conditionalFormatting>
  <conditionalFormatting sqref="AI23">
    <cfRule type="expression" dxfId="18515" priority="765">
      <formula>AND(IF(OR($Q23=1,$Q23=2),1,0),IF($X23&lt;=20,1,0))</formula>
    </cfRule>
    <cfRule type="expression" dxfId="18514" priority="766">
      <formula>AND(IF($Q23=2,1,0),IF($X23&lt;30,1,0))</formula>
    </cfRule>
    <cfRule type="expression" dxfId="18513" priority="767">
      <formula>AND(IF($Q23=3,1,0),IF($X23&lt;30,1,0))</formula>
    </cfRule>
    <cfRule type="expression" dxfId="18512" priority="768">
      <formula>AND(IF($Q23=3,1,IF($Q23=4,1,0)),IF($F23&lt;=85,1,0))</formula>
    </cfRule>
  </conditionalFormatting>
  <conditionalFormatting sqref="AV24">
    <cfRule type="expression" dxfId="18511" priority="763">
      <formula>AV24="X"</formula>
    </cfRule>
    <cfRule type="expression" dxfId="18510" priority="764">
      <formula>AV24="후보"</formula>
    </cfRule>
  </conditionalFormatting>
  <conditionalFormatting sqref="AC24">
    <cfRule type="cellIs" dxfId="18509" priority="760" operator="greaterThan">
      <formula>0.9</formula>
    </cfRule>
    <cfRule type="cellIs" dxfId="18508" priority="761" operator="greaterThan">
      <formula>0.85</formula>
    </cfRule>
  </conditionalFormatting>
  <conditionalFormatting sqref="N24">
    <cfRule type="cellIs" dxfId="18507" priority="758" operator="greaterThan">
      <formula>0.9</formula>
    </cfRule>
    <cfRule type="cellIs" dxfId="18506" priority="759" operator="greaterThan">
      <formula>0.85</formula>
    </cfRule>
  </conditionalFormatting>
  <conditionalFormatting sqref="E24">
    <cfRule type="expression" dxfId="18505" priority="754">
      <formula>AND(IF(OR($Q24=1,$Q24=2),1,0),IF($X24&lt;=20,1,0))</formula>
    </cfRule>
    <cfRule type="expression" dxfId="18504" priority="755">
      <formula>AND(IF($Q24=2,1,0),IF($X24&lt;30,1,0))</formula>
    </cfRule>
    <cfRule type="expression" dxfId="18503" priority="756">
      <formula>AND(IF($Q24=3,1,0),IF($X24&lt;30,1,0))</formula>
    </cfRule>
    <cfRule type="expression" dxfId="18502" priority="757">
      <formula>AND(IF($Q24=3,1,IF($Q24=4,1,0)),IF($F24&lt;=85,1,0))</formula>
    </cfRule>
  </conditionalFormatting>
  <conditionalFormatting sqref="X24">
    <cfRule type="expression" dxfId="18501" priority="750">
      <formula>AND(IF(OR($Q24=1,$Q24=2),1,0),IF($X24&lt;=20,1,0))</formula>
    </cfRule>
    <cfRule type="expression" dxfId="18500" priority="751">
      <formula>AND(IF($Q24=2,1,0),IF($X24&lt;30,1,0))</formula>
    </cfRule>
    <cfRule type="expression" dxfId="18499" priority="752">
      <formula>AND(IF($Q24=3,1,0),IF($X24&lt;30,1,0))</formula>
    </cfRule>
    <cfRule type="expression" dxfId="18498" priority="753">
      <formula>AND(IF($Q24=3,1,IF($Q24=4,1,0)),IF($F24&lt;=85,1,0))</formula>
    </cfRule>
  </conditionalFormatting>
  <conditionalFormatting sqref="AI24">
    <cfRule type="expression" dxfId="18497" priority="746">
      <formula>AND(IF(OR($Q24=1,$Q24=2),1,0),IF($X24&lt;=20,1,0))</formula>
    </cfRule>
    <cfRule type="expression" dxfId="18496" priority="747">
      <formula>AND(IF($Q24=2,1,0),IF($X24&lt;30,1,0))</formula>
    </cfRule>
    <cfRule type="expression" dxfId="18495" priority="748">
      <formula>AND(IF($Q24=3,1,0),IF($X24&lt;30,1,0))</formula>
    </cfRule>
    <cfRule type="expression" dxfId="18494" priority="749">
      <formula>AND(IF($Q24=3,1,IF($Q24=4,1,0)),IF($F24&lt;=85,1,0))</formula>
    </cfRule>
  </conditionalFormatting>
  <conditionalFormatting sqref="AV25">
    <cfRule type="expression" dxfId="18493" priority="744">
      <formula>AV25="X"</formula>
    </cfRule>
    <cfRule type="expression" dxfId="18492" priority="745">
      <formula>AV25="후보"</formula>
    </cfRule>
  </conditionalFormatting>
  <conditionalFormatting sqref="AC25 N25">
    <cfRule type="cellIs" dxfId="18491" priority="741" operator="greaterThan">
      <formula>0.9</formula>
    </cfRule>
    <cfRule type="cellIs" dxfId="18490" priority="742" operator="greaterThan">
      <formula>0.85</formula>
    </cfRule>
  </conditionalFormatting>
  <conditionalFormatting sqref="AV26">
    <cfRule type="expression" dxfId="18489" priority="739">
      <formula>AV26="X"</formula>
    </cfRule>
    <cfRule type="expression" dxfId="18488" priority="740">
      <formula>AV26="후보"</formula>
    </cfRule>
  </conditionalFormatting>
  <conditionalFormatting sqref="AC26">
    <cfRule type="cellIs" dxfId="18487" priority="736" operator="greaterThan">
      <formula>0.9</formula>
    </cfRule>
    <cfRule type="cellIs" dxfId="18486" priority="737" operator="greaterThan">
      <formula>0.85</formula>
    </cfRule>
  </conditionalFormatting>
  <conditionalFormatting sqref="N26">
    <cfRule type="cellIs" dxfId="18485" priority="734" operator="greaterThan">
      <formula>0.9</formula>
    </cfRule>
    <cfRule type="cellIs" dxfId="18484" priority="735" operator="greaterThan">
      <formula>0.85</formula>
    </cfRule>
  </conditionalFormatting>
  <conditionalFormatting sqref="E26">
    <cfRule type="expression" dxfId="18483" priority="730">
      <formula>AND(IF(OR($Q26=1,$Q26=2),1,0),IF($X26&lt;=20,1,0))</formula>
    </cfRule>
    <cfRule type="expression" dxfId="18482" priority="731">
      <formula>AND(IF($Q26=2,1,0),IF($X26&lt;30,1,0))</formula>
    </cfRule>
    <cfRule type="expression" dxfId="18481" priority="732">
      <formula>AND(IF($Q26=3,1,0),IF($X26&lt;30,1,0))</formula>
    </cfRule>
    <cfRule type="expression" dxfId="18480" priority="733">
      <formula>AND(IF($Q26=3,1,IF($Q26=4,1,0)),IF($F26&lt;=85,1,0))</formula>
    </cfRule>
  </conditionalFormatting>
  <conditionalFormatting sqref="X26">
    <cfRule type="expression" dxfId="18479" priority="726">
      <formula>AND(IF(OR($Q26=1,$Q26=2),1,0),IF($X26&lt;=20,1,0))</formula>
    </cfRule>
    <cfRule type="expression" dxfId="18478" priority="727">
      <formula>AND(IF($Q26=2,1,0),IF($X26&lt;30,1,0))</formula>
    </cfRule>
    <cfRule type="expression" dxfId="18477" priority="728">
      <formula>AND(IF($Q26=3,1,0),IF($X26&lt;30,1,0))</formula>
    </cfRule>
    <cfRule type="expression" dxfId="18476" priority="729">
      <formula>AND(IF($Q26=3,1,IF($Q26=4,1,0)),IF($F26&lt;=85,1,0))</formula>
    </cfRule>
  </conditionalFormatting>
  <conditionalFormatting sqref="AI26">
    <cfRule type="expression" dxfId="18475" priority="722">
      <formula>AND(IF(OR($Q26=1,$Q26=2),1,0),IF($X26&lt;=20,1,0))</formula>
    </cfRule>
    <cfRule type="expression" dxfId="18474" priority="723">
      <formula>AND(IF($Q26=2,1,0),IF($X26&lt;30,1,0))</formula>
    </cfRule>
    <cfRule type="expression" dxfId="18473" priority="724">
      <formula>AND(IF($Q26=3,1,0),IF($X26&lt;30,1,0))</formula>
    </cfRule>
    <cfRule type="expression" dxfId="18472" priority="725">
      <formula>AND(IF($Q26=3,1,IF($Q26=4,1,0)),IF($F26&lt;=85,1,0))</formula>
    </cfRule>
  </conditionalFormatting>
  <conditionalFormatting sqref="AV27">
    <cfRule type="expression" dxfId="18471" priority="720">
      <formula>AV27="X"</formula>
    </cfRule>
    <cfRule type="expression" dxfId="18470" priority="721">
      <formula>AV27="후보"</formula>
    </cfRule>
  </conditionalFormatting>
  <conditionalFormatting sqref="AC27">
    <cfRule type="cellIs" dxfId="18469" priority="717" operator="greaterThan">
      <formula>0.9</formula>
    </cfRule>
    <cfRule type="cellIs" dxfId="18468" priority="718" operator="greaterThan">
      <formula>0.85</formula>
    </cfRule>
  </conditionalFormatting>
  <conditionalFormatting sqref="N27">
    <cfRule type="cellIs" dxfId="18467" priority="715" operator="greaterThan">
      <formula>0.9</formula>
    </cfRule>
    <cfRule type="cellIs" dxfId="18466" priority="716" operator="greaterThan">
      <formula>0.85</formula>
    </cfRule>
  </conditionalFormatting>
  <conditionalFormatting sqref="E27">
    <cfRule type="expression" dxfId="18465" priority="711">
      <formula>AND(IF(OR($Q27=1,$Q27=2),1,0),IF($X27&lt;=20,1,0))</formula>
    </cfRule>
    <cfRule type="expression" dxfId="18464" priority="712">
      <formula>AND(IF($Q27=2,1,0),IF($X27&lt;30,1,0))</formula>
    </cfRule>
    <cfRule type="expression" dxfId="18463" priority="713">
      <formula>AND(IF($Q27=3,1,0),IF($X27&lt;30,1,0))</formula>
    </cfRule>
    <cfRule type="expression" dxfId="18462" priority="714">
      <formula>AND(IF($Q27=3,1,IF($Q27=4,1,0)),IF($F27&lt;=85,1,0))</formula>
    </cfRule>
  </conditionalFormatting>
  <conditionalFormatting sqref="X27">
    <cfRule type="expression" dxfId="18461" priority="707">
      <formula>AND(IF(OR($Q27=1,$Q27=2),1,0),IF($X27&lt;=20,1,0))</formula>
    </cfRule>
    <cfRule type="expression" dxfId="18460" priority="708">
      <formula>AND(IF($Q27=2,1,0),IF($X27&lt;30,1,0))</formula>
    </cfRule>
    <cfRule type="expression" dxfId="18459" priority="709">
      <formula>AND(IF($Q27=3,1,0),IF($X27&lt;30,1,0))</formula>
    </cfRule>
    <cfRule type="expression" dxfId="18458" priority="710">
      <formula>AND(IF($Q27=3,1,IF($Q27=4,1,0)),IF($F27&lt;=85,1,0))</formula>
    </cfRule>
  </conditionalFormatting>
  <conditionalFormatting sqref="AI27">
    <cfRule type="expression" dxfId="18457" priority="703">
      <formula>AND(IF(OR($Q27=1,$Q27=2),1,0),IF($X27&lt;=20,1,0))</formula>
    </cfRule>
    <cfRule type="expression" dxfId="18456" priority="704">
      <formula>AND(IF($Q27=2,1,0),IF($X27&lt;30,1,0))</formula>
    </cfRule>
    <cfRule type="expression" dxfId="18455" priority="705">
      <formula>AND(IF($Q27=3,1,0),IF($X27&lt;30,1,0))</formula>
    </cfRule>
    <cfRule type="expression" dxfId="18454" priority="706">
      <formula>AND(IF($Q27=3,1,IF($Q27=4,1,0)),IF($F27&lt;=85,1,0))</formula>
    </cfRule>
  </conditionalFormatting>
  <conditionalFormatting sqref="AV28">
    <cfRule type="expression" dxfId="18453" priority="701">
      <formula>AV28="X"</formula>
    </cfRule>
    <cfRule type="expression" dxfId="18452" priority="702">
      <formula>AV28="후보"</formula>
    </cfRule>
  </conditionalFormatting>
  <conditionalFormatting sqref="AC28 N28">
    <cfRule type="cellIs" dxfId="18451" priority="698" operator="greaterThan">
      <formula>0.9</formula>
    </cfRule>
    <cfRule type="cellIs" dxfId="18450" priority="699" operator="greaterThan">
      <formula>0.85</formula>
    </cfRule>
  </conditionalFormatting>
  <conditionalFormatting sqref="AV29">
    <cfRule type="expression" dxfId="18449" priority="696">
      <formula>AV29="X"</formula>
    </cfRule>
    <cfRule type="expression" dxfId="18448" priority="697">
      <formula>AV29="후보"</formula>
    </cfRule>
  </conditionalFormatting>
  <conditionalFormatting sqref="AC29">
    <cfRule type="cellIs" dxfId="18447" priority="693" operator="greaterThan">
      <formula>0.9</formula>
    </cfRule>
    <cfRule type="cellIs" dxfId="18446" priority="694" operator="greaterThan">
      <formula>0.85</formula>
    </cfRule>
  </conditionalFormatting>
  <conditionalFormatting sqref="N29">
    <cfRule type="cellIs" dxfId="18445" priority="691" operator="greaterThan">
      <formula>0.9</formula>
    </cfRule>
    <cfRule type="cellIs" dxfId="18444" priority="692" operator="greaterThan">
      <formula>0.85</formula>
    </cfRule>
  </conditionalFormatting>
  <conditionalFormatting sqref="E29">
    <cfRule type="expression" dxfId="18443" priority="687">
      <formula>AND(IF(OR($Q29=1,$Q29=2),1,0),IF($X29&lt;=20,1,0))</formula>
    </cfRule>
    <cfRule type="expression" dxfId="18442" priority="688">
      <formula>AND(IF($Q29=2,1,0),IF($X29&lt;30,1,0))</formula>
    </cfRule>
    <cfRule type="expression" dxfId="18441" priority="689">
      <formula>AND(IF($Q29=3,1,0),IF($X29&lt;30,1,0))</formula>
    </cfRule>
    <cfRule type="expression" dxfId="18440" priority="690">
      <formula>AND(IF($Q29=3,1,IF($Q29=4,1,0)),IF($F29&lt;=85,1,0))</formula>
    </cfRule>
  </conditionalFormatting>
  <conditionalFormatting sqref="X29">
    <cfRule type="expression" dxfId="18439" priority="683">
      <formula>AND(IF(OR($Q29=1,$Q29=2),1,0),IF($X29&lt;=20,1,0))</formula>
    </cfRule>
    <cfRule type="expression" dxfId="18438" priority="684">
      <formula>AND(IF($Q29=2,1,0),IF($X29&lt;30,1,0))</formula>
    </cfRule>
    <cfRule type="expression" dxfId="18437" priority="685">
      <formula>AND(IF($Q29=3,1,0),IF($X29&lt;30,1,0))</formula>
    </cfRule>
    <cfRule type="expression" dxfId="18436" priority="686">
      <formula>AND(IF($Q29=3,1,IF($Q29=4,1,0)),IF($F29&lt;=85,1,0))</formula>
    </cfRule>
  </conditionalFormatting>
  <conditionalFormatting sqref="AI29">
    <cfRule type="expression" dxfId="18435" priority="679">
      <formula>AND(IF(OR($Q29=1,$Q29=2),1,0),IF($X29&lt;=20,1,0))</formula>
    </cfRule>
    <cfRule type="expression" dxfId="18434" priority="680">
      <formula>AND(IF($Q29=2,1,0),IF($X29&lt;30,1,0))</formula>
    </cfRule>
    <cfRule type="expression" dxfId="18433" priority="681">
      <formula>AND(IF($Q29=3,1,0),IF($X29&lt;30,1,0))</formula>
    </cfRule>
    <cfRule type="expression" dxfId="18432" priority="682">
      <formula>AND(IF($Q29=3,1,IF($Q29=4,1,0)),IF($F29&lt;=85,1,0))</formula>
    </cfRule>
  </conditionalFormatting>
  <conditionalFormatting sqref="AV30">
    <cfRule type="expression" dxfId="18431" priority="677">
      <formula>AV30="X"</formula>
    </cfRule>
    <cfRule type="expression" dxfId="18430" priority="678">
      <formula>AV30="후보"</formula>
    </cfRule>
  </conditionalFormatting>
  <conditionalFormatting sqref="AC30">
    <cfRule type="cellIs" dxfId="18429" priority="674" operator="greaterThan">
      <formula>0.9</formula>
    </cfRule>
    <cfRule type="cellIs" dxfId="18428" priority="675" operator="greaterThan">
      <formula>0.85</formula>
    </cfRule>
  </conditionalFormatting>
  <conditionalFormatting sqref="N30">
    <cfRule type="cellIs" dxfId="18427" priority="672" operator="greaterThan">
      <formula>0.9</formula>
    </cfRule>
    <cfRule type="cellIs" dxfId="18426" priority="673" operator="greaterThan">
      <formula>0.85</formula>
    </cfRule>
  </conditionalFormatting>
  <conditionalFormatting sqref="E30">
    <cfRule type="expression" dxfId="18425" priority="668">
      <formula>AND(IF(OR($Q30=1,$Q30=2),1,0),IF($X30&lt;=20,1,0))</formula>
    </cfRule>
    <cfRule type="expression" dxfId="18424" priority="669">
      <formula>AND(IF($Q30=2,1,0),IF($X30&lt;30,1,0))</formula>
    </cfRule>
    <cfRule type="expression" dxfId="18423" priority="670">
      <formula>AND(IF($Q30=3,1,0),IF($X30&lt;30,1,0))</formula>
    </cfRule>
    <cfRule type="expression" dxfId="18422" priority="671">
      <formula>AND(IF($Q30=3,1,IF($Q30=4,1,0)),IF($F30&lt;=85,1,0))</formula>
    </cfRule>
  </conditionalFormatting>
  <conditionalFormatting sqref="X30">
    <cfRule type="expression" dxfId="18421" priority="664">
      <formula>AND(IF(OR($Q30=1,$Q30=2),1,0),IF($X30&lt;=20,1,0))</formula>
    </cfRule>
    <cfRule type="expression" dxfId="18420" priority="665">
      <formula>AND(IF($Q30=2,1,0),IF($X30&lt;30,1,0))</formula>
    </cfRule>
    <cfRule type="expression" dxfId="18419" priority="666">
      <formula>AND(IF($Q30=3,1,0),IF($X30&lt;30,1,0))</formula>
    </cfRule>
    <cfRule type="expression" dxfId="18418" priority="667">
      <formula>AND(IF($Q30=3,1,IF($Q30=4,1,0)),IF($F30&lt;=85,1,0))</formula>
    </cfRule>
  </conditionalFormatting>
  <conditionalFormatting sqref="AI30">
    <cfRule type="expression" dxfId="18417" priority="660">
      <formula>AND(IF(OR($Q30=1,$Q30=2),1,0),IF($X30&lt;=20,1,0))</formula>
    </cfRule>
    <cfRule type="expression" dxfId="18416" priority="661">
      <formula>AND(IF($Q30=2,1,0),IF($X30&lt;30,1,0))</formula>
    </cfRule>
    <cfRule type="expression" dxfId="18415" priority="662">
      <formula>AND(IF($Q30=3,1,0),IF($X30&lt;30,1,0))</formula>
    </cfRule>
    <cfRule type="expression" dxfId="18414" priority="663">
      <formula>AND(IF($Q30=3,1,IF($Q30=4,1,0)),IF($F30&lt;=85,1,0))</formula>
    </cfRule>
  </conditionalFormatting>
  <conditionalFormatting sqref="AV31">
    <cfRule type="expression" dxfId="18413" priority="658">
      <formula>AV31="X"</formula>
    </cfRule>
    <cfRule type="expression" dxfId="18412" priority="659">
      <formula>AV31="후보"</formula>
    </cfRule>
  </conditionalFormatting>
  <conditionalFormatting sqref="AC31 N31">
    <cfRule type="cellIs" dxfId="18411" priority="655" operator="greaterThan">
      <formula>0.9</formula>
    </cfRule>
    <cfRule type="cellIs" dxfId="18410" priority="656" operator="greaterThan">
      <formula>0.85</formula>
    </cfRule>
  </conditionalFormatting>
  <conditionalFormatting sqref="AV32">
    <cfRule type="expression" dxfId="18409" priority="653">
      <formula>AV32="X"</formula>
    </cfRule>
    <cfRule type="expression" dxfId="18408" priority="654">
      <formula>AV32="후보"</formula>
    </cfRule>
  </conditionalFormatting>
  <conditionalFormatting sqref="AC32">
    <cfRule type="cellIs" dxfId="18407" priority="650" operator="greaterThan">
      <formula>0.9</formula>
    </cfRule>
    <cfRule type="cellIs" dxfId="18406" priority="651" operator="greaterThan">
      <formula>0.85</formula>
    </cfRule>
  </conditionalFormatting>
  <conditionalFormatting sqref="N32">
    <cfRule type="cellIs" dxfId="18405" priority="648" operator="greaterThan">
      <formula>0.9</formula>
    </cfRule>
    <cfRule type="cellIs" dxfId="18404" priority="649" operator="greaterThan">
      <formula>0.85</formula>
    </cfRule>
  </conditionalFormatting>
  <conditionalFormatting sqref="E32">
    <cfRule type="expression" dxfId="18403" priority="644">
      <formula>AND(IF(OR($Q32=1,$Q32=2),1,0),IF($X32&lt;=20,1,0))</formula>
    </cfRule>
    <cfRule type="expression" dxfId="18402" priority="645">
      <formula>AND(IF($Q32=2,1,0),IF($X32&lt;30,1,0))</formula>
    </cfRule>
    <cfRule type="expression" dxfId="18401" priority="646">
      <formula>AND(IF($Q32=3,1,0),IF($X32&lt;30,1,0))</formula>
    </cfRule>
    <cfRule type="expression" dxfId="18400" priority="647">
      <formula>AND(IF($Q32=3,1,IF($Q32=4,1,0)),IF($F32&lt;=85,1,0))</formula>
    </cfRule>
  </conditionalFormatting>
  <conditionalFormatting sqref="X32">
    <cfRule type="expression" dxfId="18399" priority="640">
      <formula>AND(IF(OR($Q32=1,$Q32=2),1,0),IF($X32&lt;=20,1,0))</formula>
    </cfRule>
    <cfRule type="expression" dxfId="18398" priority="641">
      <formula>AND(IF($Q32=2,1,0),IF($X32&lt;30,1,0))</formula>
    </cfRule>
    <cfRule type="expression" dxfId="18397" priority="642">
      <formula>AND(IF($Q32=3,1,0),IF($X32&lt;30,1,0))</formula>
    </cfRule>
    <cfRule type="expression" dxfId="18396" priority="643">
      <formula>AND(IF($Q32=3,1,IF($Q32=4,1,0)),IF($F32&lt;=85,1,0))</formula>
    </cfRule>
  </conditionalFormatting>
  <conditionalFormatting sqref="AI32">
    <cfRule type="expression" dxfId="18395" priority="636">
      <formula>AND(IF(OR($Q32=1,$Q32=2),1,0),IF($X32&lt;=20,1,0))</formula>
    </cfRule>
    <cfRule type="expression" dxfId="18394" priority="637">
      <formula>AND(IF($Q32=2,1,0),IF($X32&lt;30,1,0))</formula>
    </cfRule>
    <cfRule type="expression" dxfId="18393" priority="638">
      <formula>AND(IF($Q32=3,1,0),IF($X32&lt;30,1,0))</formula>
    </cfRule>
    <cfRule type="expression" dxfId="18392" priority="639">
      <formula>AND(IF($Q32=3,1,IF($Q32=4,1,0)),IF($F32&lt;=85,1,0))</formula>
    </cfRule>
  </conditionalFormatting>
  <conditionalFormatting sqref="AV33">
    <cfRule type="expression" dxfId="18391" priority="634">
      <formula>AV33="X"</formula>
    </cfRule>
    <cfRule type="expression" dxfId="18390" priority="635">
      <formula>AV33="후보"</formula>
    </cfRule>
  </conditionalFormatting>
  <conditionalFormatting sqref="AC33 N33">
    <cfRule type="cellIs" dxfId="18389" priority="631" operator="greaterThan">
      <formula>0.9</formula>
    </cfRule>
    <cfRule type="cellIs" dxfId="18388" priority="632" operator="greaterThan">
      <formula>0.85</formula>
    </cfRule>
  </conditionalFormatting>
  <conditionalFormatting sqref="AV34">
    <cfRule type="expression" dxfId="18387" priority="629">
      <formula>AV34="X"</formula>
    </cfRule>
    <cfRule type="expression" dxfId="18386" priority="630">
      <formula>AV34="후보"</formula>
    </cfRule>
  </conditionalFormatting>
  <conditionalFormatting sqref="AC34">
    <cfRule type="cellIs" dxfId="18385" priority="626" operator="greaterThan">
      <formula>0.9</formula>
    </cfRule>
    <cfRule type="cellIs" dxfId="18384" priority="627" operator="greaterThan">
      <formula>0.85</formula>
    </cfRule>
  </conditionalFormatting>
  <conditionalFormatting sqref="N34">
    <cfRule type="cellIs" dxfId="18383" priority="624" operator="greaterThan">
      <formula>0.9</formula>
    </cfRule>
    <cfRule type="cellIs" dxfId="18382" priority="625" operator="greaterThan">
      <formula>0.85</formula>
    </cfRule>
  </conditionalFormatting>
  <conditionalFormatting sqref="E34">
    <cfRule type="expression" dxfId="18381" priority="620">
      <formula>AND(IF(OR($Q34=1,$Q34=2),1,0),IF($X34&lt;=20,1,0))</formula>
    </cfRule>
    <cfRule type="expression" dxfId="18380" priority="621">
      <formula>AND(IF($Q34=2,1,0),IF($X34&lt;30,1,0))</formula>
    </cfRule>
    <cfRule type="expression" dxfId="18379" priority="622">
      <formula>AND(IF($Q34=3,1,0),IF($X34&lt;30,1,0))</formula>
    </cfRule>
    <cfRule type="expression" dxfId="18378" priority="623">
      <formula>AND(IF($Q34=3,1,IF($Q34=4,1,0)),IF($F34&lt;=85,1,0))</formula>
    </cfRule>
  </conditionalFormatting>
  <conditionalFormatting sqref="X34">
    <cfRule type="expression" dxfId="18377" priority="616">
      <formula>AND(IF(OR($Q34=1,$Q34=2),1,0),IF($X34&lt;=20,1,0))</formula>
    </cfRule>
    <cfRule type="expression" dxfId="18376" priority="617">
      <formula>AND(IF($Q34=2,1,0),IF($X34&lt;30,1,0))</formula>
    </cfRule>
    <cfRule type="expression" dxfId="18375" priority="618">
      <formula>AND(IF($Q34=3,1,0),IF($X34&lt;30,1,0))</formula>
    </cfRule>
    <cfRule type="expression" dxfId="18374" priority="619">
      <formula>AND(IF($Q34=3,1,IF($Q34=4,1,0)),IF($F34&lt;=85,1,0))</formula>
    </cfRule>
  </conditionalFormatting>
  <conditionalFormatting sqref="AI34">
    <cfRule type="expression" dxfId="18373" priority="612">
      <formula>AND(IF(OR($Q34=1,$Q34=2),1,0),IF($X34&lt;=20,1,0))</formula>
    </cfRule>
    <cfRule type="expression" dxfId="18372" priority="613">
      <formula>AND(IF($Q34=2,1,0),IF($X34&lt;30,1,0))</formula>
    </cfRule>
    <cfRule type="expression" dxfId="18371" priority="614">
      <formula>AND(IF($Q34=3,1,0),IF($X34&lt;30,1,0))</formula>
    </cfRule>
    <cfRule type="expression" dxfId="18370" priority="615">
      <formula>AND(IF($Q34=3,1,IF($Q34=4,1,0)),IF($F34&lt;=85,1,0))</formula>
    </cfRule>
  </conditionalFormatting>
  <conditionalFormatting sqref="AV35">
    <cfRule type="expression" dxfId="18369" priority="610">
      <formula>AV35="X"</formula>
    </cfRule>
    <cfRule type="expression" dxfId="18368" priority="611">
      <formula>AV35="후보"</formula>
    </cfRule>
  </conditionalFormatting>
  <conditionalFormatting sqref="AC35 N35">
    <cfRule type="cellIs" dxfId="18367" priority="607" operator="greaterThan">
      <formula>0.9</formula>
    </cfRule>
    <cfRule type="cellIs" dxfId="18366" priority="608" operator="greaterThan">
      <formula>0.85</formula>
    </cfRule>
  </conditionalFormatting>
  <conditionalFormatting sqref="AV36">
    <cfRule type="expression" dxfId="18365" priority="605">
      <formula>AV36="X"</formula>
    </cfRule>
    <cfRule type="expression" dxfId="18364" priority="606">
      <formula>AV36="후보"</formula>
    </cfRule>
  </conditionalFormatting>
  <conditionalFormatting sqref="AC36">
    <cfRule type="cellIs" dxfId="18363" priority="602" operator="greaterThan">
      <formula>0.9</formula>
    </cfRule>
    <cfRule type="cellIs" dxfId="18362" priority="603" operator="greaterThan">
      <formula>0.85</formula>
    </cfRule>
  </conditionalFormatting>
  <conditionalFormatting sqref="N36">
    <cfRule type="cellIs" dxfId="18361" priority="600" operator="greaterThan">
      <formula>0.9</formula>
    </cfRule>
    <cfRule type="cellIs" dxfId="18360" priority="601" operator="greaterThan">
      <formula>0.85</formula>
    </cfRule>
  </conditionalFormatting>
  <conditionalFormatting sqref="E36">
    <cfRule type="expression" dxfId="18359" priority="596">
      <formula>AND(IF(OR($Q36=1,$Q36=2),1,0),IF($X36&lt;=20,1,0))</formula>
    </cfRule>
    <cfRule type="expression" dxfId="18358" priority="597">
      <formula>AND(IF($Q36=2,1,0),IF($X36&lt;30,1,0))</formula>
    </cfRule>
    <cfRule type="expression" dxfId="18357" priority="598">
      <formula>AND(IF($Q36=3,1,0),IF($X36&lt;30,1,0))</formula>
    </cfRule>
    <cfRule type="expression" dxfId="18356" priority="599">
      <formula>AND(IF($Q36=3,1,IF($Q36=4,1,0)),IF($F36&lt;=85,1,0))</formula>
    </cfRule>
  </conditionalFormatting>
  <conditionalFormatting sqref="X36">
    <cfRule type="expression" dxfId="18355" priority="592">
      <formula>AND(IF(OR($Q36=1,$Q36=2),1,0),IF($X36&lt;=20,1,0))</formula>
    </cfRule>
    <cfRule type="expression" dxfId="18354" priority="593">
      <formula>AND(IF($Q36=2,1,0),IF($X36&lt;30,1,0))</formula>
    </cfRule>
    <cfRule type="expression" dxfId="18353" priority="594">
      <formula>AND(IF($Q36=3,1,0),IF($X36&lt;30,1,0))</formula>
    </cfRule>
    <cfRule type="expression" dxfId="18352" priority="595">
      <formula>AND(IF($Q36=3,1,IF($Q36=4,1,0)),IF($F36&lt;=85,1,0))</formula>
    </cfRule>
  </conditionalFormatting>
  <conditionalFormatting sqref="AI36">
    <cfRule type="expression" dxfId="18351" priority="588">
      <formula>AND(IF(OR($Q36=1,$Q36=2),1,0),IF($X36&lt;=20,1,0))</formula>
    </cfRule>
    <cfRule type="expression" dxfId="18350" priority="589">
      <formula>AND(IF($Q36=2,1,0),IF($X36&lt;30,1,0))</formula>
    </cfRule>
    <cfRule type="expression" dxfId="18349" priority="590">
      <formula>AND(IF($Q36=3,1,0),IF($X36&lt;30,1,0))</formula>
    </cfRule>
    <cfRule type="expression" dxfId="18348" priority="591">
      <formula>AND(IF($Q36=3,1,IF($Q36=4,1,0)),IF($F36&lt;=85,1,0))</formula>
    </cfRule>
  </conditionalFormatting>
  <conditionalFormatting sqref="AV37">
    <cfRule type="expression" dxfId="18347" priority="586">
      <formula>AV37="X"</formula>
    </cfRule>
    <cfRule type="expression" dxfId="18346" priority="587">
      <formula>AV37="후보"</formula>
    </cfRule>
  </conditionalFormatting>
  <conditionalFormatting sqref="AC37 N37">
    <cfRule type="cellIs" dxfId="18345" priority="583" operator="greaterThan">
      <formula>0.9</formula>
    </cfRule>
    <cfRule type="cellIs" dxfId="18344" priority="584" operator="greaterThan">
      <formula>0.85</formula>
    </cfRule>
  </conditionalFormatting>
  <conditionalFormatting sqref="AV38">
    <cfRule type="expression" dxfId="18343" priority="581">
      <formula>AV38="X"</formula>
    </cfRule>
    <cfRule type="expression" dxfId="18342" priority="582">
      <formula>AV38="후보"</formula>
    </cfRule>
  </conditionalFormatting>
  <conditionalFormatting sqref="AC38">
    <cfRule type="cellIs" dxfId="18341" priority="578" operator="greaterThan">
      <formula>0.9</formula>
    </cfRule>
    <cfRule type="cellIs" dxfId="18340" priority="579" operator="greaterThan">
      <formula>0.85</formula>
    </cfRule>
  </conditionalFormatting>
  <conditionalFormatting sqref="N38">
    <cfRule type="cellIs" dxfId="18339" priority="576" operator="greaterThan">
      <formula>0.9</formula>
    </cfRule>
    <cfRule type="cellIs" dxfId="18338" priority="577" operator="greaterThan">
      <formula>0.85</formula>
    </cfRule>
  </conditionalFormatting>
  <conditionalFormatting sqref="E38">
    <cfRule type="expression" dxfId="18337" priority="572">
      <formula>AND(IF(OR($Q38=1,$Q38=2),1,0),IF($X38&lt;=20,1,0))</formula>
    </cfRule>
    <cfRule type="expression" dxfId="18336" priority="573">
      <formula>AND(IF($Q38=2,1,0),IF($X38&lt;30,1,0))</formula>
    </cfRule>
    <cfRule type="expression" dxfId="18335" priority="574">
      <formula>AND(IF($Q38=3,1,0),IF($X38&lt;30,1,0))</formula>
    </cfRule>
    <cfRule type="expression" dxfId="18334" priority="575">
      <formula>AND(IF($Q38=3,1,IF($Q38=4,1,0)),IF($F38&lt;=85,1,0))</formula>
    </cfRule>
  </conditionalFormatting>
  <conditionalFormatting sqref="X38">
    <cfRule type="expression" dxfId="18333" priority="568">
      <formula>AND(IF(OR($Q38=1,$Q38=2),1,0),IF($X38&lt;=20,1,0))</formula>
    </cfRule>
    <cfRule type="expression" dxfId="18332" priority="569">
      <formula>AND(IF($Q38=2,1,0),IF($X38&lt;30,1,0))</formula>
    </cfRule>
    <cfRule type="expression" dxfId="18331" priority="570">
      <formula>AND(IF($Q38=3,1,0),IF($X38&lt;30,1,0))</formula>
    </cfRule>
    <cfRule type="expression" dxfId="18330" priority="571">
      <formula>AND(IF($Q38=3,1,IF($Q38=4,1,0)),IF($F38&lt;=85,1,0))</formula>
    </cfRule>
  </conditionalFormatting>
  <conditionalFormatting sqref="AI38">
    <cfRule type="expression" dxfId="18329" priority="564">
      <formula>AND(IF(OR($Q38=1,$Q38=2),1,0),IF($X38&lt;=20,1,0))</formula>
    </cfRule>
    <cfRule type="expression" dxfId="18328" priority="565">
      <formula>AND(IF($Q38=2,1,0),IF($X38&lt;30,1,0))</formula>
    </cfRule>
    <cfRule type="expression" dxfId="18327" priority="566">
      <formula>AND(IF($Q38=3,1,0),IF($X38&lt;30,1,0))</formula>
    </cfRule>
    <cfRule type="expression" dxfId="18326" priority="567">
      <formula>AND(IF($Q38=3,1,IF($Q38=4,1,0)),IF($F38&lt;=85,1,0))</formula>
    </cfRule>
  </conditionalFormatting>
  <conditionalFormatting sqref="AV39">
    <cfRule type="expression" dxfId="18325" priority="562">
      <formula>AV39="X"</formula>
    </cfRule>
    <cfRule type="expression" dxfId="18324" priority="563">
      <formula>AV39="후보"</formula>
    </cfRule>
  </conditionalFormatting>
  <conditionalFormatting sqref="AC39">
    <cfRule type="cellIs" dxfId="18323" priority="559" operator="greaterThan">
      <formula>0.9</formula>
    </cfRule>
    <cfRule type="cellIs" dxfId="18322" priority="560" operator="greaterThan">
      <formula>0.85</formula>
    </cfRule>
  </conditionalFormatting>
  <conditionalFormatting sqref="N39">
    <cfRule type="cellIs" dxfId="18321" priority="557" operator="greaterThan">
      <formula>0.9</formula>
    </cfRule>
    <cfRule type="cellIs" dxfId="18320" priority="558" operator="greaterThan">
      <formula>0.85</formula>
    </cfRule>
  </conditionalFormatting>
  <conditionalFormatting sqref="E39">
    <cfRule type="expression" dxfId="18319" priority="553">
      <formula>AND(IF(OR($Q39=1,$Q39=2),1,0),IF($X39&lt;=20,1,0))</formula>
    </cfRule>
    <cfRule type="expression" dxfId="18318" priority="554">
      <formula>AND(IF($Q39=2,1,0),IF($X39&lt;30,1,0))</formula>
    </cfRule>
    <cfRule type="expression" dxfId="18317" priority="555">
      <formula>AND(IF($Q39=3,1,0),IF($X39&lt;30,1,0))</formula>
    </cfRule>
    <cfRule type="expression" dxfId="18316" priority="556">
      <formula>AND(IF($Q39=3,1,IF($Q39=4,1,0)),IF($F39&lt;=85,1,0))</formula>
    </cfRule>
  </conditionalFormatting>
  <conditionalFormatting sqref="X39">
    <cfRule type="expression" dxfId="18315" priority="549">
      <formula>AND(IF(OR($Q39=1,$Q39=2),1,0),IF($X39&lt;=20,1,0))</formula>
    </cfRule>
    <cfRule type="expression" dxfId="18314" priority="550">
      <formula>AND(IF($Q39=2,1,0),IF($X39&lt;30,1,0))</formula>
    </cfRule>
    <cfRule type="expression" dxfId="18313" priority="551">
      <formula>AND(IF($Q39=3,1,0),IF($X39&lt;30,1,0))</formula>
    </cfRule>
    <cfRule type="expression" dxfId="18312" priority="552">
      <formula>AND(IF($Q39=3,1,IF($Q39=4,1,0)),IF($F39&lt;=85,1,0))</formula>
    </cfRule>
  </conditionalFormatting>
  <conditionalFormatting sqref="AI39">
    <cfRule type="expression" dxfId="18311" priority="545">
      <formula>AND(IF(OR($Q39=1,$Q39=2),1,0),IF($X39&lt;=20,1,0))</formula>
    </cfRule>
    <cfRule type="expression" dxfId="18310" priority="546">
      <formula>AND(IF($Q39=2,1,0),IF($X39&lt;30,1,0))</formula>
    </cfRule>
    <cfRule type="expression" dxfId="18309" priority="547">
      <formula>AND(IF($Q39=3,1,0),IF($X39&lt;30,1,0))</formula>
    </cfRule>
    <cfRule type="expression" dxfId="18308" priority="548">
      <formula>AND(IF($Q39=3,1,IF($Q39=4,1,0)),IF($F39&lt;=85,1,0))</formula>
    </cfRule>
  </conditionalFormatting>
  <conditionalFormatting sqref="AV40">
    <cfRule type="expression" dxfId="18307" priority="543">
      <formula>AV40="X"</formula>
    </cfRule>
    <cfRule type="expression" dxfId="18306" priority="544">
      <formula>AV40="후보"</formula>
    </cfRule>
  </conditionalFormatting>
  <conditionalFormatting sqref="AC40">
    <cfRule type="cellIs" dxfId="18305" priority="540" operator="greaterThan">
      <formula>0.9</formula>
    </cfRule>
    <cfRule type="cellIs" dxfId="18304" priority="541" operator="greaterThan">
      <formula>0.85</formula>
    </cfRule>
  </conditionalFormatting>
  <conditionalFormatting sqref="N40">
    <cfRule type="cellIs" dxfId="18303" priority="538" operator="greaterThan">
      <formula>0.9</formula>
    </cfRule>
    <cfRule type="cellIs" dxfId="18302" priority="539" operator="greaterThan">
      <formula>0.85</formula>
    </cfRule>
  </conditionalFormatting>
  <conditionalFormatting sqref="E40">
    <cfRule type="expression" dxfId="18301" priority="534">
      <formula>AND(IF(OR($Q40=1,$Q40=2),1,0),IF($X40&lt;=20,1,0))</formula>
    </cfRule>
    <cfRule type="expression" dxfId="18300" priority="535">
      <formula>AND(IF($Q40=2,1,0),IF($X40&lt;30,1,0))</formula>
    </cfRule>
    <cfRule type="expression" dxfId="18299" priority="536">
      <formula>AND(IF($Q40=3,1,0),IF($X40&lt;30,1,0))</formula>
    </cfRule>
    <cfRule type="expression" dxfId="18298" priority="537">
      <formula>AND(IF($Q40=3,1,IF($Q40=4,1,0)),IF($F40&lt;=85,1,0))</formula>
    </cfRule>
  </conditionalFormatting>
  <conditionalFormatting sqref="X40">
    <cfRule type="expression" dxfId="18297" priority="530">
      <formula>AND(IF(OR($Q40=1,$Q40=2),1,0),IF($X40&lt;=20,1,0))</formula>
    </cfRule>
    <cfRule type="expression" dxfId="18296" priority="531">
      <formula>AND(IF($Q40=2,1,0),IF($X40&lt;30,1,0))</formula>
    </cfRule>
    <cfRule type="expression" dxfId="18295" priority="532">
      <formula>AND(IF($Q40=3,1,0),IF($X40&lt;30,1,0))</formula>
    </cfRule>
    <cfRule type="expression" dxfId="18294" priority="533">
      <formula>AND(IF($Q40=3,1,IF($Q40=4,1,0)),IF($F40&lt;=85,1,0))</formula>
    </cfRule>
  </conditionalFormatting>
  <conditionalFormatting sqref="AI40">
    <cfRule type="expression" dxfId="18293" priority="526">
      <formula>AND(IF(OR($Q40=1,$Q40=2),1,0),IF($X40&lt;=20,1,0))</formula>
    </cfRule>
    <cfRule type="expression" dxfId="18292" priority="527">
      <formula>AND(IF($Q40=2,1,0),IF($X40&lt;30,1,0))</formula>
    </cfRule>
    <cfRule type="expression" dxfId="18291" priority="528">
      <formula>AND(IF($Q40=3,1,0),IF($X40&lt;30,1,0))</formula>
    </cfRule>
    <cfRule type="expression" dxfId="18290" priority="529">
      <formula>AND(IF($Q40=3,1,IF($Q40=4,1,0)),IF($F40&lt;=85,1,0))</formula>
    </cfRule>
  </conditionalFormatting>
  <conditionalFormatting sqref="AV41">
    <cfRule type="expression" dxfId="18289" priority="524">
      <formula>AV41="X"</formula>
    </cfRule>
    <cfRule type="expression" dxfId="18288" priority="525">
      <formula>AV41="후보"</formula>
    </cfRule>
  </conditionalFormatting>
  <conditionalFormatting sqref="AC41">
    <cfRule type="cellIs" dxfId="18287" priority="521" operator="greaterThan">
      <formula>0.9</formula>
    </cfRule>
    <cfRule type="cellIs" dxfId="18286" priority="522" operator="greaterThan">
      <formula>0.85</formula>
    </cfRule>
  </conditionalFormatting>
  <conditionalFormatting sqref="N41">
    <cfRule type="cellIs" dxfId="18285" priority="519" operator="greaterThan">
      <formula>0.9</formula>
    </cfRule>
    <cfRule type="cellIs" dxfId="18284" priority="520" operator="greaterThan">
      <formula>0.85</formula>
    </cfRule>
  </conditionalFormatting>
  <conditionalFormatting sqref="E41">
    <cfRule type="expression" dxfId="18283" priority="515">
      <formula>AND(IF(OR($Q41=1,$Q41=2),1,0),IF($X41&lt;=20,1,0))</formula>
    </cfRule>
    <cfRule type="expression" dxfId="18282" priority="516">
      <formula>AND(IF($Q41=2,1,0),IF($X41&lt;30,1,0))</formula>
    </cfRule>
    <cfRule type="expression" dxfId="18281" priority="517">
      <formula>AND(IF($Q41=3,1,0),IF($X41&lt;30,1,0))</formula>
    </cfRule>
    <cfRule type="expression" dxfId="18280" priority="518">
      <formula>AND(IF($Q41=3,1,IF($Q41=4,1,0)),IF($F41&lt;=85,1,0))</formula>
    </cfRule>
  </conditionalFormatting>
  <conditionalFormatting sqref="X41">
    <cfRule type="expression" dxfId="18279" priority="511">
      <formula>AND(IF(OR($Q41=1,$Q41=2),1,0),IF($X41&lt;=20,1,0))</formula>
    </cfRule>
    <cfRule type="expression" dxfId="18278" priority="512">
      <formula>AND(IF($Q41=2,1,0),IF($X41&lt;30,1,0))</formula>
    </cfRule>
    <cfRule type="expression" dxfId="18277" priority="513">
      <formula>AND(IF($Q41=3,1,0),IF($X41&lt;30,1,0))</formula>
    </cfRule>
    <cfRule type="expression" dxfId="18276" priority="514">
      <formula>AND(IF($Q41=3,1,IF($Q41=4,1,0)),IF($F41&lt;=85,1,0))</formula>
    </cfRule>
  </conditionalFormatting>
  <conditionalFormatting sqref="AI41">
    <cfRule type="expression" dxfId="18275" priority="507">
      <formula>AND(IF(OR($Q41=1,$Q41=2),1,0),IF($X41&lt;=20,1,0))</formula>
    </cfRule>
    <cfRule type="expression" dxfId="18274" priority="508">
      <formula>AND(IF($Q41=2,1,0),IF($X41&lt;30,1,0))</formula>
    </cfRule>
    <cfRule type="expression" dxfId="18273" priority="509">
      <formula>AND(IF($Q41=3,1,0),IF($X41&lt;30,1,0))</formula>
    </cfRule>
    <cfRule type="expression" dxfId="18272" priority="510">
      <formula>AND(IF($Q41=3,1,IF($Q41=4,1,0)),IF($F41&lt;=85,1,0))</formula>
    </cfRule>
  </conditionalFormatting>
  <conditionalFormatting sqref="AV42">
    <cfRule type="expression" dxfId="18271" priority="505">
      <formula>AV42="X"</formula>
    </cfRule>
    <cfRule type="expression" dxfId="18270" priority="506">
      <formula>AV42="후보"</formula>
    </cfRule>
  </conditionalFormatting>
  <conditionalFormatting sqref="AC42">
    <cfRule type="cellIs" dxfId="18269" priority="502" operator="greaterThan">
      <formula>0.9</formula>
    </cfRule>
    <cfRule type="cellIs" dxfId="18268" priority="503" operator="greaterThan">
      <formula>0.85</formula>
    </cfRule>
  </conditionalFormatting>
  <conditionalFormatting sqref="N42">
    <cfRule type="cellIs" dxfId="18267" priority="500" operator="greaterThan">
      <formula>0.9</formula>
    </cfRule>
    <cfRule type="cellIs" dxfId="18266" priority="501" operator="greaterThan">
      <formula>0.85</formula>
    </cfRule>
  </conditionalFormatting>
  <conditionalFormatting sqref="E42">
    <cfRule type="expression" dxfId="18265" priority="496">
      <formula>AND(IF(OR($Q42=1,$Q42=2),1,0),IF($X42&lt;=20,1,0))</formula>
    </cfRule>
    <cfRule type="expression" dxfId="18264" priority="497">
      <formula>AND(IF($Q42=2,1,0),IF($X42&lt;30,1,0))</formula>
    </cfRule>
    <cfRule type="expression" dxfId="18263" priority="498">
      <formula>AND(IF($Q42=3,1,0),IF($X42&lt;30,1,0))</formula>
    </cfRule>
    <cfRule type="expression" dxfId="18262" priority="499">
      <formula>AND(IF($Q42=3,1,IF($Q42=4,1,0)),IF($F42&lt;=85,1,0))</formula>
    </cfRule>
  </conditionalFormatting>
  <conditionalFormatting sqref="X42">
    <cfRule type="expression" dxfId="18261" priority="492">
      <formula>AND(IF(OR($Q42=1,$Q42=2),1,0),IF($X42&lt;=20,1,0))</formula>
    </cfRule>
    <cfRule type="expression" dxfId="18260" priority="493">
      <formula>AND(IF($Q42=2,1,0),IF($X42&lt;30,1,0))</formula>
    </cfRule>
    <cfRule type="expression" dxfId="18259" priority="494">
      <formula>AND(IF($Q42=3,1,0),IF($X42&lt;30,1,0))</formula>
    </cfRule>
    <cfRule type="expression" dxfId="18258" priority="495">
      <formula>AND(IF($Q42=3,1,IF($Q42=4,1,0)),IF($F42&lt;=85,1,0))</formula>
    </cfRule>
  </conditionalFormatting>
  <conditionalFormatting sqref="AI42">
    <cfRule type="expression" dxfId="18257" priority="488">
      <formula>AND(IF(OR($Q42=1,$Q42=2),1,0),IF($X42&lt;=20,1,0))</formula>
    </cfRule>
    <cfRule type="expression" dxfId="18256" priority="489">
      <formula>AND(IF($Q42=2,1,0),IF($X42&lt;30,1,0))</formula>
    </cfRule>
    <cfRule type="expression" dxfId="18255" priority="490">
      <formula>AND(IF($Q42=3,1,0),IF($X42&lt;30,1,0))</formula>
    </cfRule>
    <cfRule type="expression" dxfId="18254" priority="491">
      <formula>AND(IF($Q42=3,1,IF($Q42=4,1,0)),IF($F42&lt;=85,1,0))</formula>
    </cfRule>
  </conditionalFormatting>
  <conditionalFormatting sqref="AV43">
    <cfRule type="expression" dxfId="18253" priority="486">
      <formula>AV43="X"</formula>
    </cfRule>
    <cfRule type="expression" dxfId="18252" priority="487">
      <formula>AV43="후보"</formula>
    </cfRule>
  </conditionalFormatting>
  <conditionalFormatting sqref="AC43">
    <cfRule type="cellIs" dxfId="18251" priority="483" operator="greaterThan">
      <formula>0.9</formula>
    </cfRule>
    <cfRule type="cellIs" dxfId="18250" priority="484" operator="greaterThan">
      <formula>0.85</formula>
    </cfRule>
  </conditionalFormatting>
  <conditionalFormatting sqref="N43">
    <cfRule type="cellIs" dxfId="18249" priority="481" operator="greaterThan">
      <formula>0.9</formula>
    </cfRule>
    <cfRule type="cellIs" dxfId="18248" priority="482" operator="greaterThan">
      <formula>0.85</formula>
    </cfRule>
  </conditionalFormatting>
  <conditionalFormatting sqref="E43">
    <cfRule type="expression" dxfId="18247" priority="477">
      <formula>AND(IF(OR($Q43=1,$Q43=2),1,0),IF($X43&lt;=20,1,0))</formula>
    </cfRule>
    <cfRule type="expression" dxfId="18246" priority="478">
      <formula>AND(IF($Q43=2,1,0),IF($X43&lt;30,1,0))</formula>
    </cfRule>
    <cfRule type="expression" dxfId="18245" priority="479">
      <formula>AND(IF($Q43=3,1,0),IF($X43&lt;30,1,0))</formula>
    </cfRule>
    <cfRule type="expression" dxfId="18244" priority="480">
      <formula>AND(IF($Q43=3,1,IF($Q43=4,1,0)),IF($F43&lt;=85,1,0))</formula>
    </cfRule>
  </conditionalFormatting>
  <conditionalFormatting sqref="X43">
    <cfRule type="expression" dxfId="18243" priority="473">
      <formula>AND(IF(OR($Q43=1,$Q43=2),1,0),IF($X43&lt;=20,1,0))</formula>
    </cfRule>
    <cfRule type="expression" dxfId="18242" priority="474">
      <formula>AND(IF($Q43=2,1,0),IF($X43&lt;30,1,0))</formula>
    </cfRule>
    <cfRule type="expression" dxfId="18241" priority="475">
      <formula>AND(IF($Q43=3,1,0),IF($X43&lt;30,1,0))</formula>
    </cfRule>
    <cfRule type="expression" dxfId="18240" priority="476">
      <formula>AND(IF($Q43=3,1,IF($Q43=4,1,0)),IF($F43&lt;=85,1,0))</formula>
    </cfRule>
  </conditionalFormatting>
  <conditionalFormatting sqref="AI43">
    <cfRule type="expression" dxfId="18239" priority="469">
      <formula>AND(IF(OR($Q43=1,$Q43=2),1,0),IF($X43&lt;=20,1,0))</formula>
    </cfRule>
    <cfRule type="expression" dxfId="18238" priority="470">
      <formula>AND(IF($Q43=2,1,0),IF($X43&lt;30,1,0))</formula>
    </cfRule>
    <cfRule type="expression" dxfId="18237" priority="471">
      <formula>AND(IF($Q43=3,1,0),IF($X43&lt;30,1,0))</formula>
    </cfRule>
    <cfRule type="expression" dxfId="18236" priority="472">
      <formula>AND(IF($Q43=3,1,IF($Q43=4,1,0)),IF($F43&lt;=85,1,0))</formula>
    </cfRule>
  </conditionalFormatting>
  <conditionalFormatting sqref="AV44">
    <cfRule type="expression" dxfId="18235" priority="467">
      <formula>AV44="X"</formula>
    </cfRule>
    <cfRule type="expression" dxfId="18234" priority="468">
      <formula>AV44="후보"</formula>
    </cfRule>
  </conditionalFormatting>
  <conditionalFormatting sqref="AC44">
    <cfRule type="cellIs" dxfId="18233" priority="464" operator="greaterThan">
      <formula>0.9</formula>
    </cfRule>
    <cfRule type="cellIs" dxfId="18232" priority="465" operator="greaterThan">
      <formula>0.85</formula>
    </cfRule>
  </conditionalFormatting>
  <conditionalFormatting sqref="N44">
    <cfRule type="cellIs" dxfId="18231" priority="462" operator="greaterThan">
      <formula>0.9</formula>
    </cfRule>
    <cfRule type="cellIs" dxfId="18230" priority="463" operator="greaterThan">
      <formula>0.85</formula>
    </cfRule>
  </conditionalFormatting>
  <conditionalFormatting sqref="E44">
    <cfRule type="expression" dxfId="18229" priority="458">
      <formula>AND(IF(OR($Q44=1,$Q44=2),1,0),IF($X44&lt;=20,1,0))</formula>
    </cfRule>
    <cfRule type="expression" dxfId="18228" priority="459">
      <formula>AND(IF($Q44=2,1,0),IF($X44&lt;30,1,0))</formula>
    </cfRule>
    <cfRule type="expression" dxfId="18227" priority="460">
      <formula>AND(IF($Q44=3,1,0),IF($X44&lt;30,1,0))</formula>
    </cfRule>
    <cfRule type="expression" dxfId="18226" priority="461">
      <formula>AND(IF($Q44=3,1,IF($Q44=4,1,0)),IF($F44&lt;=85,1,0))</formula>
    </cfRule>
  </conditionalFormatting>
  <conditionalFormatting sqref="X44">
    <cfRule type="expression" dxfId="18225" priority="454">
      <formula>AND(IF(OR($Q44=1,$Q44=2),1,0),IF($X44&lt;=20,1,0))</formula>
    </cfRule>
    <cfRule type="expression" dxfId="18224" priority="455">
      <formula>AND(IF($Q44=2,1,0),IF($X44&lt;30,1,0))</formula>
    </cfRule>
    <cfRule type="expression" dxfId="18223" priority="456">
      <formula>AND(IF($Q44=3,1,0),IF($X44&lt;30,1,0))</formula>
    </cfRule>
    <cfRule type="expression" dxfId="18222" priority="457">
      <formula>AND(IF($Q44=3,1,IF($Q44=4,1,0)),IF($F44&lt;=85,1,0))</formula>
    </cfRule>
  </conditionalFormatting>
  <conditionalFormatting sqref="AI44">
    <cfRule type="expression" dxfId="18221" priority="450">
      <formula>AND(IF(OR($Q44=1,$Q44=2),1,0),IF($X44&lt;=20,1,0))</formula>
    </cfRule>
    <cfRule type="expression" dxfId="18220" priority="451">
      <formula>AND(IF($Q44=2,1,0),IF($X44&lt;30,1,0))</formula>
    </cfRule>
    <cfRule type="expression" dxfId="18219" priority="452">
      <formula>AND(IF($Q44=3,1,0),IF($X44&lt;30,1,0))</formula>
    </cfRule>
    <cfRule type="expression" dxfId="18218" priority="453">
      <formula>AND(IF($Q44=3,1,IF($Q44=4,1,0)),IF($F44&lt;=85,1,0))</formula>
    </cfRule>
  </conditionalFormatting>
  <conditionalFormatting sqref="AV45">
    <cfRule type="expression" dxfId="18217" priority="448">
      <formula>AV45="X"</formula>
    </cfRule>
    <cfRule type="expression" dxfId="18216" priority="449">
      <formula>AV45="후보"</formula>
    </cfRule>
  </conditionalFormatting>
  <conditionalFormatting sqref="AC45">
    <cfRule type="cellIs" dxfId="18215" priority="445" operator="greaterThan">
      <formula>0.9</formula>
    </cfRule>
    <cfRule type="cellIs" dxfId="18214" priority="446" operator="greaterThan">
      <formula>0.85</formula>
    </cfRule>
  </conditionalFormatting>
  <conditionalFormatting sqref="N45">
    <cfRule type="cellIs" dxfId="18213" priority="443" operator="greaterThan">
      <formula>0.9</formula>
    </cfRule>
    <cfRule type="cellIs" dxfId="18212" priority="444" operator="greaterThan">
      <formula>0.85</formula>
    </cfRule>
  </conditionalFormatting>
  <conditionalFormatting sqref="E45">
    <cfRule type="expression" dxfId="18211" priority="439">
      <formula>AND(IF(OR($Q45=1,$Q45=2),1,0),IF($X45&lt;=20,1,0))</formula>
    </cfRule>
    <cfRule type="expression" dxfId="18210" priority="440">
      <formula>AND(IF($Q45=2,1,0),IF($X45&lt;30,1,0))</formula>
    </cfRule>
    <cfRule type="expression" dxfId="18209" priority="441">
      <formula>AND(IF($Q45=3,1,0),IF($X45&lt;30,1,0))</formula>
    </cfRule>
    <cfRule type="expression" dxfId="18208" priority="442">
      <formula>AND(IF($Q45=3,1,IF($Q45=4,1,0)),IF($F45&lt;=85,1,0))</formula>
    </cfRule>
  </conditionalFormatting>
  <conditionalFormatting sqref="X45">
    <cfRule type="expression" dxfId="18207" priority="435">
      <formula>AND(IF(OR($Q45=1,$Q45=2),1,0),IF($X45&lt;=20,1,0))</formula>
    </cfRule>
    <cfRule type="expression" dxfId="18206" priority="436">
      <formula>AND(IF($Q45=2,1,0),IF($X45&lt;30,1,0))</formula>
    </cfRule>
    <cfRule type="expression" dxfId="18205" priority="437">
      <formula>AND(IF($Q45=3,1,0),IF($X45&lt;30,1,0))</formula>
    </cfRule>
    <cfRule type="expression" dxfId="18204" priority="438">
      <formula>AND(IF($Q45=3,1,IF($Q45=4,1,0)),IF($F45&lt;=85,1,0))</formula>
    </cfRule>
  </conditionalFormatting>
  <conditionalFormatting sqref="AI45">
    <cfRule type="expression" dxfId="18203" priority="431">
      <formula>AND(IF(OR($Q45=1,$Q45=2),1,0),IF($X45&lt;=20,1,0))</formula>
    </cfRule>
    <cfRule type="expression" dxfId="18202" priority="432">
      <formula>AND(IF($Q45=2,1,0),IF($X45&lt;30,1,0))</formula>
    </cfRule>
    <cfRule type="expression" dxfId="18201" priority="433">
      <formula>AND(IF($Q45=3,1,0),IF($X45&lt;30,1,0))</formula>
    </cfRule>
    <cfRule type="expression" dxfId="18200" priority="434">
      <formula>AND(IF($Q45=3,1,IF($Q45=4,1,0)),IF($F45&lt;=85,1,0))</formula>
    </cfRule>
  </conditionalFormatting>
  <conditionalFormatting sqref="AV46">
    <cfRule type="expression" dxfId="18199" priority="429">
      <formula>AV46="X"</formula>
    </cfRule>
    <cfRule type="expression" dxfId="18198" priority="430">
      <formula>AV46="후보"</formula>
    </cfRule>
  </conditionalFormatting>
  <conditionalFormatting sqref="AC46">
    <cfRule type="cellIs" dxfId="18197" priority="426" operator="greaterThan">
      <formula>0.9</formula>
    </cfRule>
    <cfRule type="cellIs" dxfId="18196" priority="427" operator="greaterThan">
      <formula>0.85</formula>
    </cfRule>
  </conditionalFormatting>
  <conditionalFormatting sqref="N46">
    <cfRule type="cellIs" dxfId="18195" priority="424" operator="greaterThan">
      <formula>0.9</formula>
    </cfRule>
    <cfRule type="cellIs" dxfId="18194" priority="425" operator="greaterThan">
      <formula>0.85</formula>
    </cfRule>
  </conditionalFormatting>
  <conditionalFormatting sqref="E46">
    <cfRule type="expression" dxfId="18193" priority="420">
      <formula>AND(IF(OR($Q46=1,$Q46=2),1,0),IF($X46&lt;=20,1,0))</formula>
    </cfRule>
    <cfRule type="expression" dxfId="18192" priority="421">
      <formula>AND(IF($Q46=2,1,0),IF($X46&lt;30,1,0))</formula>
    </cfRule>
    <cfRule type="expression" dxfId="18191" priority="422">
      <formula>AND(IF($Q46=3,1,0),IF($X46&lt;30,1,0))</formula>
    </cfRule>
    <cfRule type="expression" dxfId="18190" priority="423">
      <formula>AND(IF($Q46=3,1,IF($Q46=4,1,0)),IF($F46&lt;=85,1,0))</formula>
    </cfRule>
  </conditionalFormatting>
  <conditionalFormatting sqref="X46">
    <cfRule type="expression" dxfId="18189" priority="416">
      <formula>AND(IF(OR($Q46=1,$Q46=2),1,0),IF($X46&lt;=20,1,0))</formula>
    </cfRule>
    <cfRule type="expression" dxfId="18188" priority="417">
      <formula>AND(IF($Q46=2,1,0),IF($X46&lt;30,1,0))</formula>
    </cfRule>
    <cfRule type="expression" dxfId="18187" priority="418">
      <formula>AND(IF($Q46=3,1,0),IF($X46&lt;30,1,0))</formula>
    </cfRule>
    <cfRule type="expression" dxfId="18186" priority="419">
      <formula>AND(IF($Q46=3,1,IF($Q46=4,1,0)),IF($F46&lt;=85,1,0))</formula>
    </cfRule>
  </conditionalFormatting>
  <conditionalFormatting sqref="AI46">
    <cfRule type="expression" dxfId="18185" priority="412">
      <formula>AND(IF(OR($Q46=1,$Q46=2),1,0),IF($X46&lt;=20,1,0))</formula>
    </cfRule>
    <cfRule type="expression" dxfId="18184" priority="413">
      <formula>AND(IF($Q46=2,1,0),IF($X46&lt;30,1,0))</formula>
    </cfRule>
    <cfRule type="expression" dxfId="18183" priority="414">
      <formula>AND(IF($Q46=3,1,0),IF($X46&lt;30,1,0))</formula>
    </cfRule>
    <cfRule type="expression" dxfId="18182" priority="415">
      <formula>AND(IF($Q46=3,1,IF($Q46=4,1,0)),IF($F46&lt;=85,1,0))</formula>
    </cfRule>
  </conditionalFormatting>
  <conditionalFormatting sqref="AV47">
    <cfRule type="expression" dxfId="18181" priority="410">
      <formula>AV47="X"</formula>
    </cfRule>
    <cfRule type="expression" dxfId="18180" priority="411">
      <formula>AV47="후보"</formula>
    </cfRule>
  </conditionalFormatting>
  <conditionalFormatting sqref="AC47">
    <cfRule type="cellIs" dxfId="18179" priority="407" operator="greaterThan">
      <formula>0.9</formula>
    </cfRule>
    <cfRule type="cellIs" dxfId="18178" priority="408" operator="greaterThan">
      <formula>0.85</formula>
    </cfRule>
  </conditionalFormatting>
  <conditionalFormatting sqref="N47">
    <cfRule type="cellIs" dxfId="18177" priority="405" operator="greaterThan">
      <formula>0.9</formula>
    </cfRule>
    <cfRule type="cellIs" dxfId="18176" priority="406" operator="greaterThan">
      <formula>0.85</formula>
    </cfRule>
  </conditionalFormatting>
  <conditionalFormatting sqref="E47">
    <cfRule type="expression" dxfId="18175" priority="401">
      <formula>AND(IF(OR($Q47=1,$Q47=2),1,0),IF($X47&lt;=20,1,0))</formula>
    </cfRule>
    <cfRule type="expression" dxfId="18174" priority="402">
      <formula>AND(IF($Q47=2,1,0),IF($X47&lt;30,1,0))</formula>
    </cfRule>
    <cfRule type="expression" dxfId="18173" priority="403">
      <formula>AND(IF($Q47=3,1,0),IF($X47&lt;30,1,0))</formula>
    </cfRule>
    <cfRule type="expression" dxfId="18172" priority="404">
      <formula>AND(IF($Q47=3,1,IF($Q47=4,1,0)),IF($F47&lt;=85,1,0))</formula>
    </cfRule>
  </conditionalFormatting>
  <conditionalFormatting sqref="X47">
    <cfRule type="expression" dxfId="18171" priority="397">
      <formula>AND(IF(OR($Q47=1,$Q47=2),1,0),IF($X47&lt;=20,1,0))</formula>
    </cfRule>
    <cfRule type="expression" dxfId="18170" priority="398">
      <formula>AND(IF($Q47=2,1,0),IF($X47&lt;30,1,0))</formula>
    </cfRule>
    <cfRule type="expression" dxfId="18169" priority="399">
      <formula>AND(IF($Q47=3,1,0),IF($X47&lt;30,1,0))</formula>
    </cfRule>
    <cfRule type="expression" dxfId="18168" priority="400">
      <formula>AND(IF($Q47=3,1,IF($Q47=4,1,0)),IF($F47&lt;=85,1,0))</formula>
    </cfRule>
  </conditionalFormatting>
  <conditionalFormatting sqref="AI47">
    <cfRule type="expression" dxfId="18167" priority="393">
      <formula>AND(IF(OR($Q47=1,$Q47=2),1,0),IF($X47&lt;=20,1,0))</formula>
    </cfRule>
    <cfRule type="expression" dxfId="18166" priority="394">
      <formula>AND(IF($Q47=2,1,0),IF($X47&lt;30,1,0))</formula>
    </cfRule>
    <cfRule type="expression" dxfId="18165" priority="395">
      <formula>AND(IF($Q47=3,1,0),IF($X47&lt;30,1,0))</formula>
    </cfRule>
    <cfRule type="expression" dxfId="18164" priority="396">
      <formula>AND(IF($Q47=3,1,IF($Q47=4,1,0)),IF($F47&lt;=85,1,0))</formula>
    </cfRule>
  </conditionalFormatting>
  <conditionalFormatting sqref="AV48">
    <cfRule type="expression" dxfId="18163" priority="391">
      <formula>AV48="X"</formula>
    </cfRule>
    <cfRule type="expression" dxfId="18162" priority="392">
      <formula>AV48="후보"</formula>
    </cfRule>
  </conditionalFormatting>
  <conditionalFormatting sqref="AC48">
    <cfRule type="cellIs" dxfId="18161" priority="388" operator="greaterThan">
      <formula>0.9</formula>
    </cfRule>
    <cfRule type="cellIs" dxfId="18160" priority="389" operator="greaterThan">
      <formula>0.85</formula>
    </cfRule>
  </conditionalFormatting>
  <conditionalFormatting sqref="N48">
    <cfRule type="cellIs" dxfId="18159" priority="386" operator="greaterThan">
      <formula>0.9</formula>
    </cfRule>
    <cfRule type="cellIs" dxfId="18158" priority="387" operator="greaterThan">
      <formula>0.85</formula>
    </cfRule>
  </conditionalFormatting>
  <conditionalFormatting sqref="E48">
    <cfRule type="expression" dxfId="18157" priority="382">
      <formula>AND(IF(OR($Q48=1,$Q48=2),1,0),IF($X48&lt;=20,1,0))</formula>
    </cfRule>
    <cfRule type="expression" dxfId="18156" priority="383">
      <formula>AND(IF($Q48=2,1,0),IF($X48&lt;30,1,0))</formula>
    </cfRule>
    <cfRule type="expression" dxfId="18155" priority="384">
      <formula>AND(IF($Q48=3,1,0),IF($X48&lt;30,1,0))</formula>
    </cfRule>
    <cfRule type="expression" dxfId="18154" priority="385">
      <formula>AND(IF($Q48=3,1,IF($Q48=4,1,0)),IF($F48&lt;=85,1,0))</formula>
    </cfRule>
  </conditionalFormatting>
  <conditionalFormatting sqref="X48">
    <cfRule type="expression" dxfId="18153" priority="378">
      <formula>AND(IF(OR($Q48=1,$Q48=2),1,0),IF($X48&lt;=20,1,0))</formula>
    </cfRule>
    <cfRule type="expression" dxfId="18152" priority="379">
      <formula>AND(IF($Q48=2,1,0),IF($X48&lt;30,1,0))</formula>
    </cfRule>
    <cfRule type="expression" dxfId="18151" priority="380">
      <formula>AND(IF($Q48=3,1,0),IF($X48&lt;30,1,0))</formula>
    </cfRule>
    <cfRule type="expression" dxfId="18150" priority="381">
      <formula>AND(IF($Q48=3,1,IF($Q48=4,1,0)),IF($F48&lt;=85,1,0))</formula>
    </cfRule>
  </conditionalFormatting>
  <conditionalFormatting sqref="AI48">
    <cfRule type="expression" dxfId="18149" priority="374">
      <formula>AND(IF(OR($Q48=1,$Q48=2),1,0),IF($X48&lt;=20,1,0))</formula>
    </cfRule>
    <cfRule type="expression" dxfId="18148" priority="375">
      <formula>AND(IF($Q48=2,1,0),IF($X48&lt;30,1,0))</formula>
    </cfRule>
    <cfRule type="expression" dxfId="18147" priority="376">
      <formula>AND(IF($Q48=3,1,0),IF($X48&lt;30,1,0))</formula>
    </cfRule>
    <cfRule type="expression" dxfId="18146" priority="377">
      <formula>AND(IF($Q48=3,1,IF($Q48=4,1,0)),IF($F48&lt;=85,1,0))</formula>
    </cfRule>
  </conditionalFormatting>
  <conditionalFormatting sqref="AV49">
    <cfRule type="expression" dxfId="18145" priority="372">
      <formula>AV49="X"</formula>
    </cfRule>
    <cfRule type="expression" dxfId="18144" priority="373">
      <formula>AV49="후보"</formula>
    </cfRule>
  </conditionalFormatting>
  <conditionalFormatting sqref="AC49 N49">
    <cfRule type="cellIs" dxfId="18143" priority="369" operator="greaterThan">
      <formula>0.9</formula>
    </cfRule>
    <cfRule type="cellIs" dxfId="18142" priority="370" operator="greaterThan">
      <formula>0.85</formula>
    </cfRule>
  </conditionalFormatting>
  <conditionalFormatting sqref="AV50">
    <cfRule type="expression" dxfId="18141" priority="367">
      <formula>AV50="X"</formula>
    </cfRule>
    <cfRule type="expression" dxfId="18140" priority="368">
      <formula>AV50="후보"</formula>
    </cfRule>
  </conditionalFormatting>
  <conditionalFormatting sqref="AC50">
    <cfRule type="cellIs" dxfId="18139" priority="364" operator="greaterThan">
      <formula>0.9</formula>
    </cfRule>
    <cfRule type="cellIs" dxfId="18138" priority="365" operator="greaterThan">
      <formula>0.85</formula>
    </cfRule>
  </conditionalFormatting>
  <conditionalFormatting sqref="N50">
    <cfRule type="cellIs" dxfId="18137" priority="362" operator="greaterThan">
      <formula>0.9</formula>
    </cfRule>
    <cfRule type="cellIs" dxfId="18136" priority="363" operator="greaterThan">
      <formula>0.85</formula>
    </cfRule>
  </conditionalFormatting>
  <conditionalFormatting sqref="E50">
    <cfRule type="expression" dxfId="18135" priority="358">
      <formula>AND(IF(OR($Q50=1,$Q50=2),1,0),IF($X50&lt;=20,1,0))</formula>
    </cfRule>
    <cfRule type="expression" dxfId="18134" priority="359">
      <formula>AND(IF($Q50=2,1,0),IF($X50&lt;30,1,0))</formula>
    </cfRule>
    <cfRule type="expression" dxfId="18133" priority="360">
      <formula>AND(IF($Q50=3,1,0),IF($X50&lt;30,1,0))</formula>
    </cfRule>
    <cfRule type="expression" dxfId="18132" priority="361">
      <formula>AND(IF($Q50=3,1,IF($Q50=4,1,0)),IF($F50&lt;=85,1,0))</formula>
    </cfRule>
  </conditionalFormatting>
  <conditionalFormatting sqref="X50">
    <cfRule type="expression" dxfId="18131" priority="354">
      <formula>AND(IF(OR($Q50=1,$Q50=2),1,0),IF($X50&lt;=20,1,0))</formula>
    </cfRule>
    <cfRule type="expression" dxfId="18130" priority="355">
      <formula>AND(IF($Q50=2,1,0),IF($X50&lt;30,1,0))</formula>
    </cfRule>
    <cfRule type="expression" dxfId="18129" priority="356">
      <formula>AND(IF($Q50=3,1,0),IF($X50&lt;30,1,0))</formula>
    </cfRule>
    <cfRule type="expression" dxfId="18128" priority="357">
      <formula>AND(IF($Q50=3,1,IF($Q50=4,1,0)),IF($F50&lt;=85,1,0))</formula>
    </cfRule>
  </conditionalFormatting>
  <conditionalFormatting sqref="AI50">
    <cfRule type="expression" dxfId="18127" priority="350">
      <formula>AND(IF(OR($Q50=1,$Q50=2),1,0),IF($X50&lt;=20,1,0))</formula>
    </cfRule>
    <cfRule type="expression" dxfId="18126" priority="351">
      <formula>AND(IF($Q50=2,1,0),IF($X50&lt;30,1,0))</formula>
    </cfRule>
    <cfRule type="expression" dxfId="18125" priority="352">
      <formula>AND(IF($Q50=3,1,0),IF($X50&lt;30,1,0))</formula>
    </cfRule>
    <cfRule type="expression" dxfId="18124" priority="353">
      <formula>AND(IF($Q50=3,1,IF($Q50=4,1,0)),IF($F50&lt;=85,1,0))</formula>
    </cfRule>
  </conditionalFormatting>
  <conditionalFormatting sqref="AV51">
    <cfRule type="expression" dxfId="18123" priority="348">
      <formula>AV51="X"</formula>
    </cfRule>
    <cfRule type="expression" dxfId="18122" priority="349">
      <formula>AV51="후보"</formula>
    </cfRule>
  </conditionalFormatting>
  <conditionalFormatting sqref="AC51">
    <cfRule type="cellIs" dxfId="18121" priority="345" operator="greaterThan">
      <formula>0.9</formula>
    </cfRule>
    <cfRule type="cellIs" dxfId="18120" priority="346" operator="greaterThan">
      <formula>0.85</formula>
    </cfRule>
  </conditionalFormatting>
  <conditionalFormatting sqref="N51">
    <cfRule type="cellIs" dxfId="18119" priority="343" operator="greaterThan">
      <formula>0.9</formula>
    </cfRule>
    <cfRule type="cellIs" dxfId="18118" priority="344" operator="greaterThan">
      <formula>0.85</formula>
    </cfRule>
  </conditionalFormatting>
  <conditionalFormatting sqref="E51">
    <cfRule type="expression" dxfId="18117" priority="339">
      <formula>AND(IF(OR($Q51=1,$Q51=2),1,0),IF($X51&lt;=20,1,0))</formula>
    </cfRule>
    <cfRule type="expression" dxfId="18116" priority="340">
      <formula>AND(IF($Q51=2,1,0),IF($X51&lt;30,1,0))</formula>
    </cfRule>
    <cfRule type="expression" dxfId="18115" priority="341">
      <formula>AND(IF($Q51=3,1,0),IF($X51&lt;30,1,0))</formula>
    </cfRule>
    <cfRule type="expression" dxfId="18114" priority="342">
      <formula>AND(IF($Q51=3,1,IF($Q51=4,1,0)),IF($F51&lt;=85,1,0))</formula>
    </cfRule>
  </conditionalFormatting>
  <conditionalFormatting sqref="X51">
    <cfRule type="expression" dxfId="18113" priority="335">
      <formula>AND(IF(OR($Q51=1,$Q51=2),1,0),IF($X51&lt;=20,1,0))</formula>
    </cfRule>
    <cfRule type="expression" dxfId="18112" priority="336">
      <formula>AND(IF($Q51=2,1,0),IF($X51&lt;30,1,0))</formula>
    </cfRule>
    <cfRule type="expression" dxfId="18111" priority="337">
      <formula>AND(IF($Q51=3,1,0),IF($X51&lt;30,1,0))</formula>
    </cfRule>
    <cfRule type="expression" dxfId="18110" priority="338">
      <formula>AND(IF($Q51=3,1,IF($Q51=4,1,0)),IF($F51&lt;=85,1,0))</formula>
    </cfRule>
  </conditionalFormatting>
  <conditionalFormatting sqref="AI51">
    <cfRule type="expression" dxfId="18109" priority="331">
      <formula>AND(IF(OR($Q51=1,$Q51=2),1,0),IF($X51&lt;=20,1,0))</formula>
    </cfRule>
    <cfRule type="expression" dxfId="18108" priority="332">
      <formula>AND(IF($Q51=2,1,0),IF($X51&lt;30,1,0))</formula>
    </cfRule>
    <cfRule type="expression" dxfId="18107" priority="333">
      <formula>AND(IF($Q51=3,1,0),IF($X51&lt;30,1,0))</formula>
    </cfRule>
    <cfRule type="expression" dxfId="18106" priority="334">
      <formula>AND(IF($Q51=3,1,IF($Q51=4,1,0)),IF($F51&lt;=85,1,0))</formula>
    </cfRule>
  </conditionalFormatting>
  <conditionalFormatting sqref="AV52">
    <cfRule type="expression" dxfId="18105" priority="329">
      <formula>AV52="X"</formula>
    </cfRule>
    <cfRule type="expression" dxfId="18104" priority="330">
      <formula>AV52="후보"</formula>
    </cfRule>
  </conditionalFormatting>
  <conditionalFormatting sqref="AC52 N52">
    <cfRule type="cellIs" dxfId="18103" priority="326" operator="greaterThan">
      <formula>0.9</formula>
    </cfRule>
    <cfRule type="cellIs" dxfId="18102" priority="327" operator="greaterThan">
      <formula>0.85</formula>
    </cfRule>
  </conditionalFormatting>
  <conditionalFormatting sqref="AV53">
    <cfRule type="expression" dxfId="18101" priority="324">
      <formula>AV53="X"</formula>
    </cfRule>
    <cfRule type="expression" dxfId="18100" priority="325">
      <formula>AV53="후보"</formula>
    </cfRule>
  </conditionalFormatting>
  <conditionalFormatting sqref="AC53">
    <cfRule type="cellIs" dxfId="18099" priority="321" operator="greaterThan">
      <formula>0.9</formula>
    </cfRule>
    <cfRule type="cellIs" dxfId="18098" priority="322" operator="greaterThan">
      <formula>0.85</formula>
    </cfRule>
  </conditionalFormatting>
  <conditionalFormatting sqref="N53">
    <cfRule type="cellIs" dxfId="18097" priority="319" operator="greaterThan">
      <formula>0.9</formula>
    </cfRule>
    <cfRule type="cellIs" dxfId="18096" priority="320" operator="greaterThan">
      <formula>0.85</formula>
    </cfRule>
  </conditionalFormatting>
  <conditionalFormatting sqref="E53">
    <cfRule type="expression" dxfId="18095" priority="315">
      <formula>AND(IF(OR($Q53=1,$Q53=2),1,0),IF($X53&lt;=20,1,0))</formula>
    </cfRule>
    <cfRule type="expression" dxfId="18094" priority="316">
      <formula>AND(IF($Q53=2,1,0),IF($X53&lt;30,1,0))</formula>
    </cfRule>
    <cfRule type="expression" dxfId="18093" priority="317">
      <formula>AND(IF($Q53=3,1,0),IF($X53&lt;30,1,0))</formula>
    </cfRule>
    <cfRule type="expression" dxfId="18092" priority="318">
      <formula>AND(IF($Q53=3,1,IF($Q53=4,1,0)),IF($F53&lt;=85,1,0))</formula>
    </cfRule>
  </conditionalFormatting>
  <conditionalFormatting sqref="X53">
    <cfRule type="expression" dxfId="18091" priority="311">
      <formula>AND(IF(OR($Q53=1,$Q53=2),1,0),IF($X53&lt;=20,1,0))</formula>
    </cfRule>
    <cfRule type="expression" dxfId="18090" priority="312">
      <formula>AND(IF($Q53=2,1,0),IF($X53&lt;30,1,0))</formula>
    </cfRule>
    <cfRule type="expression" dxfId="18089" priority="313">
      <formula>AND(IF($Q53=3,1,0),IF($X53&lt;30,1,0))</formula>
    </cfRule>
    <cfRule type="expression" dxfId="18088" priority="314">
      <formula>AND(IF($Q53=3,1,IF($Q53=4,1,0)),IF($F53&lt;=85,1,0))</formula>
    </cfRule>
  </conditionalFormatting>
  <conditionalFormatting sqref="AI53">
    <cfRule type="expression" dxfId="18087" priority="307">
      <formula>AND(IF(OR($Q53=1,$Q53=2),1,0),IF($X53&lt;=20,1,0))</formula>
    </cfRule>
    <cfRule type="expression" dxfId="18086" priority="308">
      <formula>AND(IF($Q53=2,1,0),IF($X53&lt;30,1,0))</formula>
    </cfRule>
    <cfRule type="expression" dxfId="18085" priority="309">
      <formula>AND(IF($Q53=3,1,0),IF($X53&lt;30,1,0))</formula>
    </cfRule>
    <cfRule type="expression" dxfId="18084" priority="310">
      <formula>AND(IF($Q53=3,1,IF($Q53=4,1,0)),IF($F53&lt;=85,1,0))</formula>
    </cfRule>
  </conditionalFormatting>
  <conditionalFormatting sqref="AV54">
    <cfRule type="expression" dxfId="18083" priority="305">
      <formula>AV54="X"</formula>
    </cfRule>
    <cfRule type="expression" dxfId="18082" priority="306">
      <formula>AV54="후보"</formula>
    </cfRule>
  </conditionalFormatting>
  <conditionalFormatting sqref="AC54">
    <cfRule type="cellIs" dxfId="18081" priority="302" operator="greaterThan">
      <formula>0.9</formula>
    </cfRule>
    <cfRule type="cellIs" dxfId="18080" priority="303" operator="greaterThan">
      <formula>0.85</formula>
    </cfRule>
  </conditionalFormatting>
  <conditionalFormatting sqref="N54">
    <cfRule type="cellIs" dxfId="18079" priority="300" operator="greaterThan">
      <formula>0.9</formula>
    </cfRule>
    <cfRule type="cellIs" dxfId="18078" priority="301" operator="greaterThan">
      <formula>0.85</formula>
    </cfRule>
  </conditionalFormatting>
  <conditionalFormatting sqref="E54">
    <cfRule type="expression" dxfId="18077" priority="296">
      <formula>AND(IF(OR($Q54=1,$Q54=2),1,0),IF($X54&lt;=20,1,0))</formula>
    </cfRule>
    <cfRule type="expression" dxfId="18076" priority="297">
      <formula>AND(IF($Q54=2,1,0),IF($X54&lt;30,1,0))</formula>
    </cfRule>
    <cfRule type="expression" dxfId="18075" priority="298">
      <formula>AND(IF($Q54=3,1,0),IF($X54&lt;30,1,0))</formula>
    </cfRule>
    <cfRule type="expression" dxfId="18074" priority="299">
      <formula>AND(IF($Q54=3,1,IF($Q54=4,1,0)),IF($F54&lt;=85,1,0))</formula>
    </cfRule>
  </conditionalFormatting>
  <conditionalFormatting sqref="X54">
    <cfRule type="expression" dxfId="18073" priority="292">
      <formula>AND(IF(OR($Q54=1,$Q54=2),1,0),IF($X54&lt;=20,1,0))</formula>
    </cfRule>
    <cfRule type="expression" dxfId="18072" priority="293">
      <formula>AND(IF($Q54=2,1,0),IF($X54&lt;30,1,0))</formula>
    </cfRule>
    <cfRule type="expression" dxfId="18071" priority="294">
      <formula>AND(IF($Q54=3,1,0),IF($X54&lt;30,1,0))</formula>
    </cfRule>
    <cfRule type="expression" dxfId="18070" priority="295">
      <formula>AND(IF($Q54=3,1,IF($Q54=4,1,0)),IF($F54&lt;=85,1,0))</formula>
    </cfRule>
  </conditionalFormatting>
  <conditionalFormatting sqref="AI54">
    <cfRule type="expression" dxfId="18069" priority="288">
      <formula>AND(IF(OR($Q54=1,$Q54=2),1,0),IF($X54&lt;=20,1,0))</formula>
    </cfRule>
    <cfRule type="expression" dxfId="18068" priority="289">
      <formula>AND(IF($Q54=2,1,0),IF($X54&lt;30,1,0))</formula>
    </cfRule>
    <cfRule type="expression" dxfId="18067" priority="290">
      <formula>AND(IF($Q54=3,1,0),IF($X54&lt;30,1,0))</formula>
    </cfRule>
    <cfRule type="expression" dxfId="18066" priority="291">
      <formula>AND(IF($Q54=3,1,IF($Q54=4,1,0)),IF($F54&lt;=85,1,0))</formula>
    </cfRule>
  </conditionalFormatting>
  <conditionalFormatting sqref="AV55">
    <cfRule type="expression" dxfId="18065" priority="286">
      <formula>AV55="X"</formula>
    </cfRule>
    <cfRule type="expression" dxfId="18064" priority="287">
      <formula>AV55="후보"</formula>
    </cfRule>
  </conditionalFormatting>
  <conditionalFormatting sqref="AC55 N55">
    <cfRule type="cellIs" dxfId="18063" priority="283" operator="greaterThan">
      <formula>0.9</formula>
    </cfRule>
    <cfRule type="cellIs" dxfId="18062" priority="284" operator="greaterThan">
      <formula>0.85</formula>
    </cfRule>
  </conditionalFormatting>
  <conditionalFormatting sqref="AV56">
    <cfRule type="expression" dxfId="18061" priority="281">
      <formula>AV56="X"</formula>
    </cfRule>
    <cfRule type="expression" dxfId="18060" priority="282">
      <formula>AV56="후보"</formula>
    </cfRule>
  </conditionalFormatting>
  <conditionalFormatting sqref="AC56">
    <cfRule type="cellIs" dxfId="18059" priority="278" operator="greaterThan">
      <formula>0.9</formula>
    </cfRule>
    <cfRule type="cellIs" dxfId="18058" priority="279" operator="greaterThan">
      <formula>0.85</formula>
    </cfRule>
  </conditionalFormatting>
  <conditionalFormatting sqref="N56">
    <cfRule type="cellIs" dxfId="18057" priority="276" operator="greaterThan">
      <formula>0.9</formula>
    </cfRule>
    <cfRule type="cellIs" dxfId="18056" priority="277" operator="greaterThan">
      <formula>0.85</formula>
    </cfRule>
  </conditionalFormatting>
  <conditionalFormatting sqref="E56">
    <cfRule type="expression" dxfId="18055" priority="272">
      <formula>AND(IF(OR($Q56=1,$Q56=2),1,0),IF($X56&lt;=20,1,0))</formula>
    </cfRule>
    <cfRule type="expression" dxfId="18054" priority="273">
      <formula>AND(IF($Q56=2,1,0),IF($X56&lt;30,1,0))</formula>
    </cfRule>
    <cfRule type="expression" dxfId="18053" priority="274">
      <formula>AND(IF($Q56=3,1,0),IF($X56&lt;30,1,0))</formula>
    </cfRule>
    <cfRule type="expression" dxfId="18052" priority="275">
      <formula>AND(IF($Q56=3,1,IF($Q56=4,1,0)),IF($F56&lt;=85,1,0))</formula>
    </cfRule>
  </conditionalFormatting>
  <conditionalFormatting sqref="X56">
    <cfRule type="expression" dxfId="18051" priority="268">
      <formula>AND(IF(OR($Q56=1,$Q56=2),1,0),IF($X56&lt;=20,1,0))</formula>
    </cfRule>
    <cfRule type="expression" dxfId="18050" priority="269">
      <formula>AND(IF($Q56=2,1,0),IF($X56&lt;30,1,0))</formula>
    </cfRule>
    <cfRule type="expression" dxfId="18049" priority="270">
      <formula>AND(IF($Q56=3,1,0),IF($X56&lt;30,1,0))</formula>
    </cfRule>
    <cfRule type="expression" dxfId="18048" priority="271">
      <formula>AND(IF($Q56=3,1,IF($Q56=4,1,0)),IF($F56&lt;=85,1,0))</formula>
    </cfRule>
  </conditionalFormatting>
  <conditionalFormatting sqref="AI56">
    <cfRule type="expression" dxfId="18047" priority="264">
      <formula>AND(IF(OR($Q56=1,$Q56=2),1,0),IF($X56&lt;=20,1,0))</formula>
    </cfRule>
    <cfRule type="expression" dxfId="18046" priority="265">
      <formula>AND(IF($Q56=2,1,0),IF($X56&lt;30,1,0))</formula>
    </cfRule>
    <cfRule type="expression" dxfId="18045" priority="266">
      <formula>AND(IF($Q56=3,1,0),IF($X56&lt;30,1,0))</formula>
    </cfRule>
    <cfRule type="expression" dxfId="18044" priority="267">
      <formula>AND(IF($Q56=3,1,IF($Q56=4,1,0)),IF($F56&lt;=85,1,0))</formula>
    </cfRule>
  </conditionalFormatting>
  <conditionalFormatting sqref="AV57">
    <cfRule type="expression" dxfId="18043" priority="262">
      <formula>AV57="X"</formula>
    </cfRule>
    <cfRule type="expression" dxfId="18042" priority="263">
      <formula>AV57="후보"</formula>
    </cfRule>
  </conditionalFormatting>
  <conditionalFormatting sqref="AC57 N57">
    <cfRule type="cellIs" dxfId="18041" priority="259" operator="greaterThan">
      <formula>0.9</formula>
    </cfRule>
    <cfRule type="cellIs" dxfId="18040" priority="260" operator="greaterThan">
      <formula>0.85</formula>
    </cfRule>
  </conditionalFormatting>
  <conditionalFormatting sqref="AV58">
    <cfRule type="expression" dxfId="18039" priority="257">
      <formula>AV58="X"</formula>
    </cfRule>
    <cfRule type="expression" dxfId="18038" priority="258">
      <formula>AV58="후보"</formula>
    </cfRule>
  </conditionalFormatting>
  <conditionalFormatting sqref="AC58">
    <cfRule type="cellIs" dxfId="18037" priority="254" operator="greaterThan">
      <formula>0.9</formula>
    </cfRule>
    <cfRule type="cellIs" dxfId="18036" priority="255" operator="greaterThan">
      <formula>0.85</formula>
    </cfRule>
  </conditionalFormatting>
  <conditionalFormatting sqref="N58">
    <cfRule type="cellIs" dxfId="18035" priority="252" operator="greaterThan">
      <formula>0.9</formula>
    </cfRule>
    <cfRule type="cellIs" dxfId="18034" priority="253" operator="greaterThan">
      <formula>0.85</formula>
    </cfRule>
  </conditionalFormatting>
  <conditionalFormatting sqref="E58">
    <cfRule type="expression" dxfId="18033" priority="248">
      <formula>AND(IF(OR($Q58=1,$Q58=2),1,0),IF($X58&lt;=20,1,0))</formula>
    </cfRule>
    <cfRule type="expression" dxfId="18032" priority="249">
      <formula>AND(IF($Q58=2,1,0),IF($X58&lt;30,1,0))</formula>
    </cfRule>
    <cfRule type="expression" dxfId="18031" priority="250">
      <formula>AND(IF($Q58=3,1,0),IF($X58&lt;30,1,0))</formula>
    </cfRule>
    <cfRule type="expression" dxfId="18030" priority="251">
      <formula>AND(IF($Q58=3,1,IF($Q58=4,1,0)),IF($F58&lt;=85,1,0))</formula>
    </cfRule>
  </conditionalFormatting>
  <conditionalFormatting sqref="X58">
    <cfRule type="expression" dxfId="18029" priority="244">
      <formula>AND(IF(OR($Q58=1,$Q58=2),1,0),IF($X58&lt;=20,1,0))</formula>
    </cfRule>
    <cfRule type="expression" dxfId="18028" priority="245">
      <formula>AND(IF($Q58=2,1,0),IF($X58&lt;30,1,0))</formula>
    </cfRule>
    <cfRule type="expression" dxfId="18027" priority="246">
      <formula>AND(IF($Q58=3,1,0),IF($X58&lt;30,1,0))</formula>
    </cfRule>
    <cfRule type="expression" dxfId="18026" priority="247">
      <formula>AND(IF($Q58=3,1,IF($Q58=4,1,0)),IF($F58&lt;=85,1,0))</formula>
    </cfRule>
  </conditionalFormatting>
  <conditionalFormatting sqref="AI58">
    <cfRule type="expression" dxfId="18025" priority="240">
      <formula>AND(IF(OR($Q58=1,$Q58=2),1,0),IF($X58&lt;=20,1,0))</formula>
    </cfRule>
    <cfRule type="expression" dxfId="18024" priority="241">
      <formula>AND(IF($Q58=2,1,0),IF($X58&lt;30,1,0))</formula>
    </cfRule>
    <cfRule type="expression" dxfId="18023" priority="242">
      <formula>AND(IF($Q58=3,1,0),IF($X58&lt;30,1,0))</formula>
    </cfRule>
    <cfRule type="expression" dxfId="18022" priority="243">
      <formula>AND(IF($Q58=3,1,IF($Q58=4,1,0)),IF($F58&lt;=85,1,0))</formula>
    </cfRule>
  </conditionalFormatting>
  <conditionalFormatting sqref="AV59">
    <cfRule type="expression" dxfId="18021" priority="238">
      <formula>AV59="X"</formula>
    </cfRule>
    <cfRule type="expression" dxfId="18020" priority="239">
      <formula>AV59="후보"</formula>
    </cfRule>
  </conditionalFormatting>
  <conditionalFormatting sqref="AC59 N59">
    <cfRule type="cellIs" dxfId="18019" priority="235" operator="greaterThan">
      <formula>0.9</formula>
    </cfRule>
    <cfRule type="cellIs" dxfId="18018" priority="236" operator="greaterThan">
      <formula>0.85</formula>
    </cfRule>
  </conditionalFormatting>
  <conditionalFormatting sqref="AV60">
    <cfRule type="expression" dxfId="18017" priority="233">
      <formula>AV60="X"</formula>
    </cfRule>
    <cfRule type="expression" dxfId="18016" priority="234">
      <formula>AV60="후보"</formula>
    </cfRule>
  </conditionalFormatting>
  <conditionalFormatting sqref="AC60">
    <cfRule type="cellIs" dxfId="18015" priority="230" operator="greaterThan">
      <formula>0.9</formula>
    </cfRule>
    <cfRule type="cellIs" dxfId="18014" priority="231" operator="greaterThan">
      <formula>0.85</formula>
    </cfRule>
  </conditionalFormatting>
  <conditionalFormatting sqref="N60">
    <cfRule type="cellIs" dxfId="18013" priority="228" operator="greaterThan">
      <formula>0.9</formula>
    </cfRule>
    <cfRule type="cellIs" dxfId="18012" priority="229" operator="greaterThan">
      <formula>0.85</formula>
    </cfRule>
  </conditionalFormatting>
  <conditionalFormatting sqref="E60">
    <cfRule type="expression" dxfId="18011" priority="224">
      <formula>AND(IF(OR($Q60=1,$Q60=2),1,0),IF($X60&lt;=20,1,0))</formula>
    </cfRule>
    <cfRule type="expression" dxfId="18010" priority="225">
      <formula>AND(IF($Q60=2,1,0),IF($X60&lt;30,1,0))</formula>
    </cfRule>
    <cfRule type="expression" dxfId="18009" priority="226">
      <formula>AND(IF($Q60=3,1,0),IF($X60&lt;30,1,0))</formula>
    </cfRule>
    <cfRule type="expression" dxfId="18008" priority="227">
      <formula>AND(IF($Q60=3,1,IF($Q60=4,1,0)),IF($F60&lt;=85,1,0))</formula>
    </cfRule>
  </conditionalFormatting>
  <conditionalFormatting sqref="X60">
    <cfRule type="expression" dxfId="18007" priority="220">
      <formula>AND(IF(OR($Q60=1,$Q60=2),1,0),IF($X60&lt;=20,1,0))</formula>
    </cfRule>
    <cfRule type="expression" dxfId="18006" priority="221">
      <formula>AND(IF($Q60=2,1,0),IF($X60&lt;30,1,0))</formula>
    </cfRule>
    <cfRule type="expression" dxfId="18005" priority="222">
      <formula>AND(IF($Q60=3,1,0),IF($X60&lt;30,1,0))</formula>
    </cfRule>
    <cfRule type="expression" dxfId="18004" priority="223">
      <formula>AND(IF($Q60=3,1,IF($Q60=4,1,0)),IF($F60&lt;=85,1,0))</formula>
    </cfRule>
  </conditionalFormatting>
  <conditionalFormatting sqref="AI60">
    <cfRule type="expression" dxfId="18003" priority="216">
      <formula>AND(IF(OR($Q60=1,$Q60=2),1,0),IF($X60&lt;=20,1,0))</formula>
    </cfRule>
    <cfRule type="expression" dxfId="18002" priority="217">
      <formula>AND(IF($Q60=2,1,0),IF($X60&lt;30,1,0))</formula>
    </cfRule>
    <cfRule type="expression" dxfId="18001" priority="218">
      <formula>AND(IF($Q60=3,1,0),IF($X60&lt;30,1,0))</formula>
    </cfRule>
    <cfRule type="expression" dxfId="18000" priority="219">
      <formula>AND(IF($Q60=3,1,IF($Q60=4,1,0)),IF($F60&lt;=85,1,0))</formula>
    </cfRule>
  </conditionalFormatting>
  <conditionalFormatting sqref="AV61">
    <cfRule type="expression" dxfId="17999" priority="214">
      <formula>AV61="X"</formula>
    </cfRule>
    <cfRule type="expression" dxfId="17998" priority="215">
      <formula>AV61="후보"</formula>
    </cfRule>
  </conditionalFormatting>
  <conditionalFormatting sqref="AC61 N61">
    <cfRule type="cellIs" dxfId="17997" priority="211" operator="greaterThan">
      <formula>0.9</formula>
    </cfRule>
    <cfRule type="cellIs" dxfId="17996" priority="212" operator="greaterThan">
      <formula>0.85</formula>
    </cfRule>
  </conditionalFormatting>
  <conditionalFormatting sqref="AV62">
    <cfRule type="expression" dxfId="17995" priority="209">
      <formula>AV62="X"</formula>
    </cfRule>
    <cfRule type="expression" dxfId="17994" priority="210">
      <formula>AV62="후보"</formula>
    </cfRule>
  </conditionalFormatting>
  <conditionalFormatting sqref="AC62">
    <cfRule type="cellIs" dxfId="17993" priority="206" operator="greaterThan">
      <formula>0.9</formula>
    </cfRule>
    <cfRule type="cellIs" dxfId="17992" priority="207" operator="greaterThan">
      <formula>0.85</formula>
    </cfRule>
  </conditionalFormatting>
  <conditionalFormatting sqref="N62">
    <cfRule type="cellIs" dxfId="17991" priority="204" operator="greaterThan">
      <formula>0.9</formula>
    </cfRule>
    <cfRule type="cellIs" dxfId="17990" priority="205" operator="greaterThan">
      <formula>0.85</formula>
    </cfRule>
  </conditionalFormatting>
  <conditionalFormatting sqref="E62">
    <cfRule type="expression" dxfId="17989" priority="200">
      <formula>AND(IF(OR($Q62=1,$Q62=2),1,0),IF($X62&lt;=20,1,0))</formula>
    </cfRule>
    <cfRule type="expression" dxfId="17988" priority="201">
      <formula>AND(IF($Q62=2,1,0),IF($X62&lt;30,1,0))</formula>
    </cfRule>
    <cfRule type="expression" dxfId="17987" priority="202">
      <formula>AND(IF($Q62=3,1,0),IF($X62&lt;30,1,0))</formula>
    </cfRule>
    <cfRule type="expression" dxfId="17986" priority="203">
      <formula>AND(IF($Q62=3,1,IF($Q62=4,1,0)),IF($F62&lt;=85,1,0))</formula>
    </cfRule>
  </conditionalFormatting>
  <conditionalFormatting sqref="X62">
    <cfRule type="expression" dxfId="17985" priority="196">
      <formula>AND(IF(OR($Q62=1,$Q62=2),1,0),IF($X62&lt;=20,1,0))</formula>
    </cfRule>
    <cfRule type="expression" dxfId="17984" priority="197">
      <formula>AND(IF($Q62=2,1,0),IF($X62&lt;30,1,0))</formula>
    </cfRule>
    <cfRule type="expression" dxfId="17983" priority="198">
      <formula>AND(IF($Q62=3,1,0),IF($X62&lt;30,1,0))</formula>
    </cfRule>
    <cfRule type="expression" dxfId="17982" priority="199">
      <formula>AND(IF($Q62=3,1,IF($Q62=4,1,0)),IF($F62&lt;=85,1,0))</formula>
    </cfRule>
  </conditionalFormatting>
  <conditionalFormatting sqref="AI62">
    <cfRule type="expression" dxfId="17981" priority="192">
      <formula>AND(IF(OR($Q62=1,$Q62=2),1,0),IF($X62&lt;=20,1,0))</formula>
    </cfRule>
    <cfRule type="expression" dxfId="17980" priority="193">
      <formula>AND(IF($Q62=2,1,0),IF($X62&lt;30,1,0))</formula>
    </cfRule>
    <cfRule type="expression" dxfId="17979" priority="194">
      <formula>AND(IF($Q62=3,1,0),IF($X62&lt;30,1,0))</formula>
    </cfRule>
    <cfRule type="expression" dxfId="17978" priority="195">
      <formula>AND(IF($Q62=3,1,IF($Q62=4,1,0)),IF($F62&lt;=85,1,0))</formula>
    </cfRule>
  </conditionalFormatting>
  <conditionalFormatting sqref="AV63">
    <cfRule type="expression" dxfId="17977" priority="190">
      <formula>AV63="X"</formula>
    </cfRule>
    <cfRule type="expression" dxfId="17976" priority="191">
      <formula>AV63="후보"</formula>
    </cfRule>
  </conditionalFormatting>
  <conditionalFormatting sqref="AC63">
    <cfRule type="cellIs" dxfId="17975" priority="187" operator="greaterThan">
      <formula>0.9</formula>
    </cfRule>
    <cfRule type="cellIs" dxfId="17974" priority="188" operator="greaterThan">
      <formula>0.85</formula>
    </cfRule>
  </conditionalFormatting>
  <conditionalFormatting sqref="N63">
    <cfRule type="cellIs" dxfId="17973" priority="185" operator="greaterThan">
      <formula>0.9</formula>
    </cfRule>
    <cfRule type="cellIs" dxfId="17972" priority="186" operator="greaterThan">
      <formula>0.85</formula>
    </cfRule>
  </conditionalFormatting>
  <conditionalFormatting sqref="E63">
    <cfRule type="expression" dxfId="17971" priority="181">
      <formula>AND(IF(OR($Q63=1,$Q63=2),1,0),IF($X63&lt;=20,1,0))</formula>
    </cfRule>
    <cfRule type="expression" dxfId="17970" priority="182">
      <formula>AND(IF($Q63=2,1,0),IF($X63&lt;30,1,0))</formula>
    </cfRule>
    <cfRule type="expression" dxfId="17969" priority="183">
      <formula>AND(IF($Q63=3,1,0),IF($X63&lt;30,1,0))</formula>
    </cfRule>
    <cfRule type="expression" dxfId="17968" priority="184">
      <formula>AND(IF($Q63=3,1,IF($Q63=4,1,0)),IF($F63&lt;=85,1,0))</formula>
    </cfRule>
  </conditionalFormatting>
  <conditionalFormatting sqref="X63">
    <cfRule type="expression" dxfId="17967" priority="177">
      <formula>AND(IF(OR($Q63=1,$Q63=2),1,0),IF($X63&lt;=20,1,0))</formula>
    </cfRule>
    <cfRule type="expression" dxfId="17966" priority="178">
      <formula>AND(IF($Q63=2,1,0),IF($X63&lt;30,1,0))</formula>
    </cfRule>
    <cfRule type="expression" dxfId="17965" priority="179">
      <formula>AND(IF($Q63=3,1,0),IF($X63&lt;30,1,0))</formula>
    </cfRule>
    <cfRule type="expression" dxfId="17964" priority="180">
      <formula>AND(IF($Q63=3,1,IF($Q63=4,1,0)),IF($F63&lt;=85,1,0))</formula>
    </cfRule>
  </conditionalFormatting>
  <conditionalFormatting sqref="AI63">
    <cfRule type="expression" dxfId="17963" priority="173">
      <formula>AND(IF(OR($Q63=1,$Q63=2),1,0),IF($X63&lt;=20,1,0))</formula>
    </cfRule>
    <cfRule type="expression" dxfId="17962" priority="174">
      <formula>AND(IF($Q63=2,1,0),IF($X63&lt;30,1,0))</formula>
    </cfRule>
    <cfRule type="expression" dxfId="17961" priority="175">
      <formula>AND(IF($Q63=3,1,0),IF($X63&lt;30,1,0))</formula>
    </cfRule>
    <cfRule type="expression" dxfId="17960" priority="176">
      <formula>AND(IF($Q63=3,1,IF($Q63=4,1,0)),IF($F63&lt;=85,1,0))</formula>
    </cfRule>
  </conditionalFormatting>
  <conditionalFormatting sqref="AV64">
    <cfRule type="expression" dxfId="17959" priority="171">
      <formula>AV64="X"</formula>
    </cfRule>
    <cfRule type="expression" dxfId="17958" priority="172">
      <formula>AV64="후보"</formula>
    </cfRule>
  </conditionalFormatting>
  <conditionalFormatting sqref="AC64 N64">
    <cfRule type="cellIs" dxfId="17957" priority="168" operator="greaterThan">
      <formula>0.9</formula>
    </cfRule>
    <cfRule type="cellIs" dxfId="17956" priority="169" operator="greaterThan">
      <formula>0.85</formula>
    </cfRule>
  </conditionalFormatting>
  <conditionalFormatting sqref="AV65">
    <cfRule type="expression" dxfId="17955" priority="166">
      <formula>AV65="X"</formula>
    </cfRule>
    <cfRule type="expression" dxfId="17954" priority="167">
      <formula>AV65="후보"</formula>
    </cfRule>
  </conditionalFormatting>
  <conditionalFormatting sqref="AC65">
    <cfRule type="cellIs" dxfId="17953" priority="163" operator="greaterThan">
      <formula>0.9</formula>
    </cfRule>
    <cfRule type="cellIs" dxfId="17952" priority="164" operator="greaterThan">
      <formula>0.85</formula>
    </cfRule>
  </conditionalFormatting>
  <conditionalFormatting sqref="N65">
    <cfRule type="cellIs" dxfId="17951" priority="161" operator="greaterThan">
      <formula>0.9</formula>
    </cfRule>
    <cfRule type="cellIs" dxfId="17950" priority="162" operator="greaterThan">
      <formula>0.85</formula>
    </cfRule>
  </conditionalFormatting>
  <conditionalFormatting sqref="E65">
    <cfRule type="expression" dxfId="17949" priority="157">
      <formula>AND(IF(OR($Q65=1,$Q65=2),1,0),IF($X65&lt;=20,1,0))</formula>
    </cfRule>
    <cfRule type="expression" dxfId="17948" priority="158">
      <formula>AND(IF($Q65=2,1,0),IF($X65&lt;30,1,0))</formula>
    </cfRule>
    <cfRule type="expression" dxfId="17947" priority="159">
      <formula>AND(IF($Q65=3,1,0),IF($X65&lt;30,1,0))</formula>
    </cfRule>
    <cfRule type="expression" dxfId="17946" priority="160">
      <formula>AND(IF($Q65=3,1,IF($Q65=4,1,0)),IF($F65&lt;=85,1,0))</formula>
    </cfRule>
  </conditionalFormatting>
  <conditionalFormatting sqref="X65">
    <cfRule type="expression" dxfId="17945" priority="153">
      <formula>AND(IF(OR($Q65=1,$Q65=2),1,0),IF($X65&lt;=20,1,0))</formula>
    </cfRule>
    <cfRule type="expression" dxfId="17944" priority="154">
      <formula>AND(IF($Q65=2,1,0),IF($X65&lt;30,1,0))</formula>
    </cfRule>
    <cfRule type="expression" dxfId="17943" priority="155">
      <formula>AND(IF($Q65=3,1,0),IF($X65&lt;30,1,0))</formula>
    </cfRule>
    <cfRule type="expression" dxfId="17942" priority="156">
      <formula>AND(IF($Q65=3,1,IF($Q65=4,1,0)),IF($F65&lt;=85,1,0))</formula>
    </cfRule>
  </conditionalFormatting>
  <conditionalFormatting sqref="AI65">
    <cfRule type="expression" dxfId="17941" priority="149">
      <formula>AND(IF(OR($Q65=1,$Q65=2),1,0),IF($X65&lt;=20,1,0))</formula>
    </cfRule>
    <cfRule type="expression" dxfId="17940" priority="150">
      <formula>AND(IF($Q65=2,1,0),IF($X65&lt;30,1,0))</formula>
    </cfRule>
    <cfRule type="expression" dxfId="17939" priority="151">
      <formula>AND(IF($Q65=3,1,0),IF($X65&lt;30,1,0))</formula>
    </cfRule>
    <cfRule type="expression" dxfId="17938" priority="152">
      <formula>AND(IF($Q65=3,1,IF($Q65=4,1,0)),IF($F65&lt;=85,1,0))</formula>
    </cfRule>
  </conditionalFormatting>
  <conditionalFormatting sqref="AV66">
    <cfRule type="expression" dxfId="17937" priority="147">
      <formula>AV66="X"</formula>
    </cfRule>
    <cfRule type="expression" dxfId="17936" priority="148">
      <formula>AV66="후보"</formula>
    </cfRule>
  </conditionalFormatting>
  <conditionalFormatting sqref="AC66">
    <cfRule type="cellIs" dxfId="17935" priority="144" operator="greaterThan">
      <formula>0.9</formula>
    </cfRule>
    <cfRule type="cellIs" dxfId="17934" priority="145" operator="greaterThan">
      <formula>0.85</formula>
    </cfRule>
  </conditionalFormatting>
  <conditionalFormatting sqref="N66">
    <cfRule type="cellIs" dxfId="17933" priority="142" operator="greaterThan">
      <formula>0.9</formula>
    </cfRule>
    <cfRule type="cellIs" dxfId="17932" priority="143" operator="greaterThan">
      <formula>0.85</formula>
    </cfRule>
  </conditionalFormatting>
  <conditionalFormatting sqref="E66">
    <cfRule type="expression" dxfId="17931" priority="138">
      <formula>AND(IF(OR($Q66=1,$Q66=2),1,0),IF($X66&lt;=20,1,0))</formula>
    </cfRule>
    <cfRule type="expression" dxfId="17930" priority="139">
      <formula>AND(IF($Q66=2,1,0),IF($X66&lt;30,1,0))</formula>
    </cfRule>
    <cfRule type="expression" dxfId="17929" priority="140">
      <formula>AND(IF($Q66=3,1,0),IF($X66&lt;30,1,0))</formula>
    </cfRule>
    <cfRule type="expression" dxfId="17928" priority="141">
      <formula>AND(IF($Q66=3,1,IF($Q66=4,1,0)),IF($F66&lt;=85,1,0))</formula>
    </cfRule>
  </conditionalFormatting>
  <conditionalFormatting sqref="X66">
    <cfRule type="expression" dxfId="17927" priority="134">
      <formula>AND(IF(OR($Q66=1,$Q66=2),1,0),IF($X66&lt;=20,1,0))</formula>
    </cfRule>
    <cfRule type="expression" dxfId="17926" priority="135">
      <formula>AND(IF($Q66=2,1,0),IF($X66&lt;30,1,0))</formula>
    </cfRule>
    <cfRule type="expression" dxfId="17925" priority="136">
      <formula>AND(IF($Q66=3,1,0),IF($X66&lt;30,1,0))</formula>
    </cfRule>
    <cfRule type="expression" dxfId="17924" priority="137">
      <formula>AND(IF($Q66=3,1,IF($Q66=4,1,0)),IF($F66&lt;=85,1,0))</formula>
    </cfRule>
  </conditionalFormatting>
  <conditionalFormatting sqref="AI66">
    <cfRule type="expression" dxfId="17923" priority="130">
      <formula>AND(IF(OR($Q66=1,$Q66=2),1,0),IF($X66&lt;=20,1,0))</formula>
    </cfRule>
    <cfRule type="expression" dxfId="17922" priority="131">
      <formula>AND(IF($Q66=2,1,0),IF($X66&lt;30,1,0))</formula>
    </cfRule>
    <cfRule type="expression" dxfId="17921" priority="132">
      <formula>AND(IF($Q66=3,1,0),IF($X66&lt;30,1,0))</formula>
    </cfRule>
    <cfRule type="expression" dxfId="17920" priority="133">
      <formula>AND(IF($Q66=3,1,IF($Q66=4,1,0)),IF($F66&lt;=85,1,0))</formula>
    </cfRule>
  </conditionalFormatting>
  <conditionalFormatting sqref="AV67">
    <cfRule type="expression" dxfId="17919" priority="128">
      <formula>AV67="X"</formula>
    </cfRule>
    <cfRule type="expression" dxfId="17918" priority="129">
      <formula>AV67="후보"</formula>
    </cfRule>
  </conditionalFormatting>
  <conditionalFormatting sqref="AC67 N67">
    <cfRule type="cellIs" dxfId="17917" priority="125" operator="greaterThan">
      <formula>0.9</formula>
    </cfRule>
    <cfRule type="cellIs" dxfId="17916" priority="126" operator="greaterThan">
      <formula>0.85</formula>
    </cfRule>
  </conditionalFormatting>
  <conditionalFormatting sqref="AV68">
    <cfRule type="expression" dxfId="17915" priority="123">
      <formula>AV68="X"</formula>
    </cfRule>
    <cfRule type="expression" dxfId="17914" priority="124">
      <formula>AV68="후보"</formula>
    </cfRule>
  </conditionalFormatting>
  <conditionalFormatting sqref="AC68">
    <cfRule type="cellIs" dxfId="17913" priority="120" operator="greaterThan">
      <formula>0.9</formula>
    </cfRule>
    <cfRule type="cellIs" dxfId="17912" priority="121" operator="greaterThan">
      <formula>0.85</formula>
    </cfRule>
  </conditionalFormatting>
  <conditionalFormatting sqref="N68">
    <cfRule type="cellIs" dxfId="17911" priority="118" operator="greaterThan">
      <formula>0.9</formula>
    </cfRule>
    <cfRule type="cellIs" dxfId="17910" priority="119" operator="greaterThan">
      <formula>0.85</formula>
    </cfRule>
  </conditionalFormatting>
  <conditionalFormatting sqref="E68">
    <cfRule type="expression" dxfId="17909" priority="114">
      <formula>AND(IF(OR($Q68=1,$Q68=2),1,0),IF($X68&lt;=20,1,0))</formula>
    </cfRule>
    <cfRule type="expression" dxfId="17908" priority="115">
      <formula>AND(IF($Q68=2,1,0),IF($X68&lt;30,1,0))</formula>
    </cfRule>
    <cfRule type="expression" dxfId="17907" priority="116">
      <formula>AND(IF($Q68=3,1,0),IF($X68&lt;30,1,0))</formula>
    </cfRule>
    <cfRule type="expression" dxfId="17906" priority="117">
      <formula>AND(IF($Q68=3,1,IF($Q68=4,1,0)),IF($F68&lt;=85,1,0))</formula>
    </cfRule>
  </conditionalFormatting>
  <conditionalFormatting sqref="X68">
    <cfRule type="expression" dxfId="17905" priority="110">
      <formula>AND(IF(OR($Q68=1,$Q68=2),1,0),IF($X68&lt;=20,1,0))</formula>
    </cfRule>
    <cfRule type="expression" dxfId="17904" priority="111">
      <formula>AND(IF($Q68=2,1,0),IF($X68&lt;30,1,0))</formula>
    </cfRule>
    <cfRule type="expression" dxfId="17903" priority="112">
      <formula>AND(IF($Q68=3,1,0),IF($X68&lt;30,1,0))</formula>
    </cfRule>
    <cfRule type="expression" dxfId="17902" priority="113">
      <formula>AND(IF($Q68=3,1,IF($Q68=4,1,0)),IF($F68&lt;=85,1,0))</formula>
    </cfRule>
  </conditionalFormatting>
  <conditionalFormatting sqref="AI68">
    <cfRule type="expression" dxfId="17901" priority="106">
      <formula>AND(IF(OR($Q68=1,$Q68=2),1,0),IF($X68&lt;=20,1,0))</formula>
    </cfRule>
    <cfRule type="expression" dxfId="17900" priority="107">
      <formula>AND(IF($Q68=2,1,0),IF($X68&lt;30,1,0))</formula>
    </cfRule>
    <cfRule type="expression" dxfId="17899" priority="108">
      <formula>AND(IF($Q68=3,1,0),IF($X68&lt;30,1,0))</formula>
    </cfRule>
    <cfRule type="expression" dxfId="17898" priority="109">
      <formula>AND(IF($Q68=3,1,IF($Q68=4,1,0)),IF($F68&lt;=85,1,0))</formula>
    </cfRule>
  </conditionalFormatting>
  <conditionalFormatting sqref="AV69">
    <cfRule type="expression" dxfId="17897" priority="104">
      <formula>AV69="X"</formula>
    </cfRule>
    <cfRule type="expression" dxfId="17896" priority="105">
      <formula>AV69="후보"</formula>
    </cfRule>
  </conditionalFormatting>
  <conditionalFormatting sqref="AC69 N69">
    <cfRule type="cellIs" dxfId="17895" priority="101" operator="greaterThan">
      <formula>0.9</formula>
    </cfRule>
    <cfRule type="cellIs" dxfId="17894" priority="102" operator="greaterThan">
      <formula>0.85</formula>
    </cfRule>
  </conditionalFormatting>
  <conditionalFormatting sqref="AV70">
    <cfRule type="expression" dxfId="17893" priority="99">
      <formula>AV70="X"</formula>
    </cfRule>
    <cfRule type="expression" dxfId="17892" priority="100">
      <formula>AV70="후보"</formula>
    </cfRule>
  </conditionalFormatting>
  <conditionalFormatting sqref="AC70">
    <cfRule type="cellIs" dxfId="17891" priority="96" operator="greaterThan">
      <formula>0.9</formula>
    </cfRule>
    <cfRule type="cellIs" dxfId="17890" priority="97" operator="greaterThan">
      <formula>0.85</formula>
    </cfRule>
  </conditionalFormatting>
  <conditionalFormatting sqref="N70">
    <cfRule type="cellIs" dxfId="17889" priority="94" operator="greaterThan">
      <formula>0.9</formula>
    </cfRule>
    <cfRule type="cellIs" dxfId="17888" priority="95" operator="greaterThan">
      <formula>0.85</formula>
    </cfRule>
  </conditionalFormatting>
  <conditionalFormatting sqref="E70">
    <cfRule type="expression" dxfId="17887" priority="90">
      <formula>AND(IF(OR($Q70=1,$Q70=2),1,0),IF($X70&lt;=20,1,0))</formula>
    </cfRule>
    <cfRule type="expression" dxfId="17886" priority="91">
      <formula>AND(IF($Q70=2,1,0),IF($X70&lt;30,1,0))</formula>
    </cfRule>
    <cfRule type="expression" dxfId="17885" priority="92">
      <formula>AND(IF($Q70=3,1,0),IF($X70&lt;30,1,0))</formula>
    </cfRule>
    <cfRule type="expression" dxfId="17884" priority="93">
      <formula>AND(IF($Q70=3,1,IF($Q70=4,1,0)),IF($F70&lt;=85,1,0))</formula>
    </cfRule>
  </conditionalFormatting>
  <conditionalFormatting sqref="X70">
    <cfRule type="expression" dxfId="17883" priority="86">
      <formula>AND(IF(OR($Q70=1,$Q70=2),1,0),IF($X70&lt;=20,1,0))</formula>
    </cfRule>
    <cfRule type="expression" dxfId="17882" priority="87">
      <formula>AND(IF($Q70=2,1,0),IF($X70&lt;30,1,0))</formula>
    </cfRule>
    <cfRule type="expression" dxfId="17881" priority="88">
      <formula>AND(IF($Q70=3,1,0),IF($X70&lt;30,1,0))</formula>
    </cfRule>
    <cfRule type="expression" dxfId="17880" priority="89">
      <formula>AND(IF($Q70=3,1,IF($Q70=4,1,0)),IF($F70&lt;=85,1,0))</formula>
    </cfRule>
  </conditionalFormatting>
  <conditionalFormatting sqref="AI70">
    <cfRule type="expression" dxfId="17879" priority="82">
      <formula>AND(IF(OR($Q70=1,$Q70=2),1,0),IF($X70&lt;=20,1,0))</formula>
    </cfRule>
    <cfRule type="expression" dxfId="17878" priority="83">
      <formula>AND(IF($Q70=2,1,0),IF($X70&lt;30,1,0))</formula>
    </cfRule>
    <cfRule type="expression" dxfId="17877" priority="84">
      <formula>AND(IF($Q70=3,1,0),IF($X70&lt;30,1,0))</formula>
    </cfRule>
    <cfRule type="expression" dxfId="17876" priority="85">
      <formula>AND(IF($Q70=3,1,IF($Q70=4,1,0)),IF($F70&lt;=85,1,0))</formula>
    </cfRule>
  </conditionalFormatting>
  <conditionalFormatting sqref="AV71">
    <cfRule type="expression" dxfId="17875" priority="80">
      <formula>AV71="X"</formula>
    </cfRule>
    <cfRule type="expression" dxfId="17874" priority="81">
      <formula>AV71="후보"</formula>
    </cfRule>
  </conditionalFormatting>
  <conditionalFormatting sqref="AC71">
    <cfRule type="cellIs" dxfId="17873" priority="77" operator="greaterThan">
      <formula>0.9</formula>
    </cfRule>
    <cfRule type="cellIs" dxfId="17872" priority="78" operator="greaterThan">
      <formula>0.85</formula>
    </cfRule>
  </conditionalFormatting>
  <conditionalFormatting sqref="N71">
    <cfRule type="cellIs" dxfId="17871" priority="75" operator="greaterThan">
      <formula>0.9</formula>
    </cfRule>
    <cfRule type="cellIs" dxfId="17870" priority="76" operator="greaterThan">
      <formula>0.85</formula>
    </cfRule>
  </conditionalFormatting>
  <conditionalFormatting sqref="E71">
    <cfRule type="expression" dxfId="17869" priority="71">
      <formula>AND(IF(OR($Q71=1,$Q71=2),1,0),IF($X71&lt;=20,1,0))</formula>
    </cfRule>
    <cfRule type="expression" dxfId="17868" priority="72">
      <formula>AND(IF($Q71=2,1,0),IF($X71&lt;30,1,0))</formula>
    </cfRule>
    <cfRule type="expression" dxfId="17867" priority="73">
      <formula>AND(IF($Q71=3,1,0),IF($X71&lt;30,1,0))</formula>
    </cfRule>
    <cfRule type="expression" dxfId="17866" priority="74">
      <formula>AND(IF($Q71=3,1,IF($Q71=4,1,0)),IF($F71&lt;=85,1,0))</formula>
    </cfRule>
  </conditionalFormatting>
  <conditionalFormatting sqref="X71">
    <cfRule type="expression" dxfId="17865" priority="67">
      <formula>AND(IF(OR($Q71=1,$Q71=2),1,0),IF($X71&lt;=20,1,0))</formula>
    </cfRule>
    <cfRule type="expression" dxfId="17864" priority="68">
      <formula>AND(IF($Q71=2,1,0),IF($X71&lt;30,1,0))</formula>
    </cfRule>
    <cfRule type="expression" dxfId="17863" priority="69">
      <formula>AND(IF($Q71=3,1,0),IF($X71&lt;30,1,0))</formula>
    </cfRule>
    <cfRule type="expression" dxfId="17862" priority="70">
      <formula>AND(IF($Q71=3,1,IF($Q71=4,1,0)),IF($F71&lt;=85,1,0))</formula>
    </cfRule>
  </conditionalFormatting>
  <conditionalFormatting sqref="AI71">
    <cfRule type="expression" dxfId="17861" priority="63">
      <formula>AND(IF(OR($Q71=1,$Q71=2),1,0),IF($X71&lt;=20,1,0))</formula>
    </cfRule>
    <cfRule type="expression" dxfId="17860" priority="64">
      <formula>AND(IF($Q71=2,1,0),IF($X71&lt;30,1,0))</formula>
    </cfRule>
    <cfRule type="expression" dxfId="17859" priority="65">
      <formula>AND(IF($Q71=3,1,0),IF($X71&lt;30,1,0))</formula>
    </cfRule>
    <cfRule type="expression" dxfId="17858" priority="66">
      <formula>AND(IF($Q71=3,1,IF($Q71=4,1,0)),IF($F71&lt;=85,1,0))</formula>
    </cfRule>
  </conditionalFormatting>
  <conditionalFormatting sqref="AV72">
    <cfRule type="expression" dxfId="17857" priority="61">
      <formula>AV72="X"</formula>
    </cfRule>
    <cfRule type="expression" dxfId="17856" priority="62">
      <formula>AV72="후보"</formula>
    </cfRule>
  </conditionalFormatting>
  <conditionalFormatting sqref="AC72">
    <cfRule type="cellIs" dxfId="17855" priority="58" operator="greaterThan">
      <formula>0.9</formula>
    </cfRule>
    <cfRule type="cellIs" dxfId="17854" priority="59" operator="greaterThan">
      <formula>0.85</formula>
    </cfRule>
  </conditionalFormatting>
  <conditionalFormatting sqref="N72">
    <cfRule type="cellIs" dxfId="17853" priority="56" operator="greaterThan">
      <formula>0.9</formula>
    </cfRule>
    <cfRule type="cellIs" dxfId="17852" priority="57" operator="greaterThan">
      <formula>0.85</formula>
    </cfRule>
  </conditionalFormatting>
  <conditionalFormatting sqref="E72">
    <cfRule type="expression" dxfId="17851" priority="52">
      <formula>AND(IF(OR($Q72=1,$Q72=2),1,0),IF($X72&lt;=20,1,0))</formula>
    </cfRule>
    <cfRule type="expression" dxfId="17850" priority="53">
      <formula>AND(IF($Q72=2,1,0),IF($X72&lt;30,1,0))</formula>
    </cfRule>
    <cfRule type="expression" dxfId="17849" priority="54">
      <formula>AND(IF($Q72=3,1,0),IF($X72&lt;30,1,0))</formula>
    </cfRule>
    <cfRule type="expression" dxfId="17848" priority="55">
      <formula>AND(IF($Q72=3,1,IF($Q72=4,1,0)),IF($F72&lt;=85,1,0))</formula>
    </cfRule>
  </conditionalFormatting>
  <conditionalFormatting sqref="X72">
    <cfRule type="expression" dxfId="17847" priority="48">
      <formula>AND(IF(OR($Q72=1,$Q72=2),1,0),IF($X72&lt;=20,1,0))</formula>
    </cfRule>
    <cfRule type="expression" dxfId="17846" priority="49">
      <formula>AND(IF($Q72=2,1,0),IF($X72&lt;30,1,0))</formula>
    </cfRule>
    <cfRule type="expression" dxfId="17845" priority="50">
      <formula>AND(IF($Q72=3,1,0),IF($X72&lt;30,1,0))</formula>
    </cfRule>
    <cfRule type="expression" dxfId="17844" priority="51">
      <formula>AND(IF($Q72=3,1,IF($Q72=4,1,0)),IF($F72&lt;=85,1,0))</formula>
    </cfRule>
  </conditionalFormatting>
  <conditionalFormatting sqref="AI72">
    <cfRule type="expression" dxfId="17843" priority="44">
      <formula>AND(IF(OR($Q72=1,$Q72=2),1,0),IF($X72&lt;=20,1,0))</formula>
    </cfRule>
    <cfRule type="expression" dxfId="17842" priority="45">
      <formula>AND(IF($Q72=2,1,0),IF($X72&lt;30,1,0))</formula>
    </cfRule>
    <cfRule type="expression" dxfId="17841" priority="46">
      <formula>AND(IF($Q72=3,1,0),IF($X72&lt;30,1,0))</formula>
    </cfRule>
    <cfRule type="expression" dxfId="17840" priority="47">
      <formula>AND(IF($Q72=3,1,IF($Q72=4,1,0)),IF($F72&lt;=85,1,0))</formula>
    </cfRule>
  </conditionalFormatting>
  <conditionalFormatting sqref="AV73">
    <cfRule type="expression" dxfId="17839" priority="42">
      <formula>AV73="X"</formula>
    </cfRule>
    <cfRule type="expression" dxfId="17838" priority="43">
      <formula>AV73="후보"</formula>
    </cfRule>
  </conditionalFormatting>
  <conditionalFormatting sqref="AC73">
    <cfRule type="cellIs" dxfId="17837" priority="39" operator="greaterThan">
      <formula>0.9</formula>
    </cfRule>
    <cfRule type="cellIs" dxfId="17836" priority="40" operator="greaterThan">
      <formula>0.85</formula>
    </cfRule>
  </conditionalFormatting>
  <conditionalFormatting sqref="N73">
    <cfRule type="cellIs" dxfId="17835" priority="37" operator="greaterThan">
      <formula>0.9</formula>
    </cfRule>
    <cfRule type="cellIs" dxfId="17834" priority="38" operator="greaterThan">
      <formula>0.85</formula>
    </cfRule>
  </conditionalFormatting>
  <conditionalFormatting sqref="E73">
    <cfRule type="expression" dxfId="17833" priority="33">
      <formula>AND(IF(OR($Q73=1,$Q73=2),1,0),IF($X73&lt;=20,1,0))</formula>
    </cfRule>
    <cfRule type="expression" dxfId="17832" priority="34">
      <formula>AND(IF($Q73=2,1,0),IF($X73&lt;30,1,0))</formula>
    </cfRule>
    <cfRule type="expression" dxfId="17831" priority="35">
      <formula>AND(IF($Q73=3,1,0),IF($X73&lt;30,1,0))</formula>
    </cfRule>
    <cfRule type="expression" dxfId="17830" priority="36">
      <formula>AND(IF($Q73=3,1,IF($Q73=4,1,0)),IF($F73&lt;=85,1,0))</formula>
    </cfRule>
  </conditionalFormatting>
  <conditionalFormatting sqref="X73">
    <cfRule type="expression" dxfId="17829" priority="29">
      <formula>AND(IF(OR($Q73=1,$Q73=2),1,0),IF($X73&lt;=20,1,0))</formula>
    </cfRule>
    <cfRule type="expression" dxfId="17828" priority="30">
      <formula>AND(IF($Q73=2,1,0),IF($X73&lt;30,1,0))</formula>
    </cfRule>
    <cfRule type="expression" dxfId="17827" priority="31">
      <formula>AND(IF($Q73=3,1,0),IF($X73&lt;30,1,0))</formula>
    </cfRule>
    <cfRule type="expression" dxfId="17826" priority="32">
      <formula>AND(IF($Q73=3,1,IF($Q73=4,1,0)),IF($F73&lt;=85,1,0))</formula>
    </cfRule>
  </conditionalFormatting>
  <conditionalFormatting sqref="AI73">
    <cfRule type="expression" dxfId="17825" priority="25">
      <formula>AND(IF(OR($Q73=1,$Q73=2),1,0),IF($X73&lt;=20,1,0))</formula>
    </cfRule>
    <cfRule type="expression" dxfId="17824" priority="26">
      <formula>AND(IF($Q73=2,1,0),IF($X73&lt;30,1,0))</formula>
    </cfRule>
    <cfRule type="expression" dxfId="17823" priority="27">
      <formula>AND(IF($Q73=3,1,0),IF($X73&lt;30,1,0))</formula>
    </cfRule>
    <cfRule type="expression" dxfId="17822" priority="28">
      <formula>AND(IF($Q73=3,1,IF($Q73=4,1,0)),IF($F73&lt;=85,1,0))</formula>
    </cfRule>
  </conditionalFormatting>
  <conditionalFormatting sqref="AV74">
    <cfRule type="expression" dxfId="17821" priority="23">
      <formula>AV74="X"</formula>
    </cfRule>
    <cfRule type="expression" dxfId="17820" priority="24">
      <formula>AV74="후보"</formula>
    </cfRule>
  </conditionalFormatting>
  <conditionalFormatting sqref="AC74 N74">
    <cfRule type="cellIs" dxfId="17819" priority="20" operator="greaterThan">
      <formula>0.9</formula>
    </cfRule>
    <cfRule type="cellIs" dxfId="17818" priority="21" operator="greaterThan">
      <formula>0.85</formula>
    </cfRule>
  </conditionalFormatting>
  <conditionalFormatting sqref="AV75">
    <cfRule type="expression" dxfId="17817" priority="18">
      <formula>AV75="X"</formula>
    </cfRule>
    <cfRule type="expression" dxfId="17816" priority="19">
      <formula>AV75="후보"</formula>
    </cfRule>
  </conditionalFormatting>
  <conditionalFormatting sqref="AC75">
    <cfRule type="cellIs" dxfId="17815" priority="15" operator="greaterThan">
      <formula>0.9</formula>
    </cfRule>
    <cfRule type="cellIs" dxfId="17814" priority="16" operator="greaterThan">
      <formula>0.85</formula>
    </cfRule>
  </conditionalFormatting>
  <conditionalFormatting sqref="N75">
    <cfRule type="cellIs" dxfId="17813" priority="13" operator="greaterThan">
      <formula>0.9</formula>
    </cfRule>
    <cfRule type="cellIs" dxfId="17812" priority="14" operator="greaterThan">
      <formula>0.85</formula>
    </cfRule>
  </conditionalFormatting>
  <conditionalFormatting sqref="E75">
    <cfRule type="expression" dxfId="17811" priority="9">
      <formula>AND(IF(OR($Q75=1,$Q75=2),1,0),IF($X75&lt;=20,1,0))</formula>
    </cfRule>
    <cfRule type="expression" dxfId="17810" priority="10">
      <formula>AND(IF($Q75=2,1,0),IF($X75&lt;30,1,0))</formula>
    </cfRule>
    <cfRule type="expression" dxfId="17809" priority="11">
      <formula>AND(IF($Q75=3,1,0),IF($X75&lt;30,1,0))</formula>
    </cfRule>
    <cfRule type="expression" dxfId="17808" priority="12">
      <formula>AND(IF($Q75=3,1,IF($Q75=4,1,0)),IF($F75&lt;=85,1,0))</formula>
    </cfRule>
  </conditionalFormatting>
  <conditionalFormatting sqref="X75">
    <cfRule type="expression" dxfId="17807" priority="5">
      <formula>AND(IF(OR($Q75=1,$Q75=2),1,0),IF($X75&lt;=20,1,0))</formula>
    </cfRule>
    <cfRule type="expression" dxfId="17806" priority="6">
      <formula>AND(IF($Q75=2,1,0),IF($X75&lt;30,1,0))</formula>
    </cfRule>
    <cfRule type="expression" dxfId="17805" priority="7">
      <formula>AND(IF($Q75=3,1,0),IF($X75&lt;30,1,0))</formula>
    </cfRule>
    <cfRule type="expression" dxfId="17804" priority="8">
      <formula>AND(IF($Q75=3,1,IF($Q75=4,1,0)),IF($F75&lt;=85,1,0))</formula>
    </cfRule>
  </conditionalFormatting>
  <conditionalFormatting sqref="AI75">
    <cfRule type="expression" dxfId="17803" priority="1">
      <formula>AND(IF(OR($Q75=1,$Q75=2),1,0),IF($X75&lt;=20,1,0))</formula>
    </cfRule>
    <cfRule type="expression" dxfId="17802" priority="2">
      <formula>AND(IF($Q75=2,1,0),IF($X75&lt;30,1,0))</formula>
    </cfRule>
    <cfRule type="expression" dxfId="17801" priority="3">
      <formula>AND(IF($Q75=3,1,0),IF($X75&lt;30,1,0))</formula>
    </cfRule>
    <cfRule type="expression" dxfId="17800" priority="4">
      <formula>AND(IF($Q75=3,1,IF($Q75=4,1,0)),IF($F75&lt;=85,1,0))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>
    <pageSetUpPr fitToPage="1"/>
  </sheetPr>
  <dimension ref="A1:AV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7" sqref="A7:XFD7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5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0" width="9" style="37" customWidth="1"/>
    <col min="51" max="16384" width="9" style="37"/>
  </cols>
  <sheetData>
    <row r="1" spans="1:48" ht="17.25" customHeight="1" x14ac:dyDescent="0.3">
      <c r="A1" s="7" t="str">
        <f>단지추출!A1</f>
        <v>인천광역시 연수구</v>
      </c>
      <c r="I1" s="42" t="s">
        <v>1827</v>
      </c>
      <c r="X1" s="37" t="s">
        <v>5</v>
      </c>
      <c r="Y1" s="37"/>
      <c r="AA1" s="39">
        <f>단지추출!AA1</f>
        <v>70000</v>
      </c>
      <c r="AH1" s="7" t="str">
        <f>A1</f>
        <v>인천광역시 연수구</v>
      </c>
      <c r="AJ1" s="117" t="str">
        <f>A1&amp;" 전체 등급"</f>
        <v>인천광역시 연수구 전체 등급</v>
      </c>
      <c r="AK1" s="118"/>
      <c r="AL1" s="118"/>
      <c r="AM1" s="118"/>
      <c r="AN1" s="119"/>
      <c r="AO1" s="22">
        <f>단지추출!AO1</f>
        <v>80</v>
      </c>
      <c r="AP1" s="22">
        <f>단지추출!AP1</f>
        <v>50000</v>
      </c>
      <c r="AQ1" s="22">
        <f>단지추출!AQ1</f>
        <v>15000</v>
      </c>
      <c r="AR1" s="22">
        <f>단지추출!AR1</f>
        <v>5000</v>
      </c>
      <c r="AS1" s="2"/>
      <c r="AT1" s="2"/>
      <c r="AU1" s="22">
        <f>단지추출!AU1</f>
        <v>300</v>
      </c>
    </row>
    <row r="2" spans="1:48" x14ac:dyDescent="0.3">
      <c r="A2" s="80">
        <f>단지추출!A2</f>
        <v>44197</v>
      </c>
      <c r="W2" s="38"/>
      <c r="X2" s="38" t="s">
        <v>10</v>
      </c>
      <c r="Y2" s="38"/>
      <c r="AA2" s="39">
        <f>단지추출!AA2</f>
        <v>10000</v>
      </c>
      <c r="AH2" s="18" t="str">
        <f>AH1 &amp;" " &amp;A4</f>
        <v>인천광역시 연수구 서완산동2가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4" t="s">
        <v>15</v>
      </c>
      <c r="AP2" s="65"/>
      <c r="AQ2" s="66"/>
      <c r="AR2" s="64" t="s">
        <v>16</v>
      </c>
      <c r="AS2" s="66"/>
      <c r="AT2" s="64" t="s">
        <v>17</v>
      </c>
      <c r="AU2" s="66"/>
      <c r="AV2" s="40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1828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106" t="s">
        <v>27</v>
      </c>
      <c r="Z3" s="12" t="s">
        <v>41</v>
      </c>
      <c r="AA3" s="12" t="s">
        <v>42</v>
      </c>
      <c r="AB3" s="12" t="s">
        <v>1828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(5억↓)</v>
      </c>
      <c r="AQ3" s="11" t="str">
        <f>"지역평단가
("&amp;AQ1&amp;"↓)"</f>
        <v>지역평단가
(15000↓)</v>
      </c>
      <c r="AR3" s="11" t="str">
        <f>"투자규모★
(갭"&amp;AR1/1000&amp;"천↓)"</f>
        <v>투자규모★
(갭5천↓)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1" t="s">
        <v>18</v>
      </c>
    </row>
    <row r="4" spans="1:48" x14ac:dyDescent="0.3">
      <c r="A4" s="8" t="s">
        <v>1006</v>
      </c>
      <c r="B4" s="76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07"/>
      <c r="R4" s="107"/>
      <c r="S4" s="76"/>
      <c r="T4" s="5"/>
      <c r="U4" s="9"/>
      <c r="W4" s="9"/>
      <c r="X4" s="9"/>
      <c r="Y4" s="91"/>
      <c r="Z4" s="9"/>
      <c r="AA4" s="9"/>
      <c r="AB4" s="9"/>
      <c r="AC4" s="9"/>
      <c r="AD4" s="9"/>
      <c r="AE4" s="76"/>
      <c r="AF4" s="5"/>
      <c r="AH4" s="20"/>
      <c r="AI4" s="108" t="str">
        <f>IF(E4="","",E4)</f>
        <v/>
      </c>
      <c r="AJ4" s="76"/>
      <c r="AK4" s="76"/>
      <c r="AL4" s="76"/>
      <c r="AM4" s="76"/>
      <c r="AN4" s="76"/>
      <c r="AO4" s="76"/>
      <c r="AP4" s="76"/>
      <c r="AQ4" s="76"/>
      <c r="AR4" s="76"/>
      <c r="AS4" s="76"/>
      <c r="AT4" s="76"/>
      <c r="AU4" s="76"/>
      <c r="AV4" s="76"/>
    </row>
    <row r="5" spans="1:48" x14ac:dyDescent="0.3">
      <c r="A5" s="9"/>
      <c r="B5" s="76"/>
      <c r="C5" s="6"/>
      <c r="D5" s="9"/>
      <c r="E5" s="14"/>
      <c r="F5" s="85"/>
      <c r="G5" s="9"/>
      <c r="H5" s="9"/>
      <c r="I5" s="9"/>
      <c r="J5" s="9"/>
      <c r="K5" s="9"/>
      <c r="L5" s="9"/>
      <c r="M5" s="9"/>
      <c r="N5" s="9"/>
      <c r="O5" s="90"/>
      <c r="P5" s="90"/>
      <c r="Q5" s="86"/>
      <c r="R5" s="86"/>
      <c r="S5" s="9"/>
      <c r="T5" s="47"/>
      <c r="U5" s="9"/>
      <c r="W5" s="67" t="str">
        <f>$A$4&amp;" "&amp;A6&amp;"("&amp;B6&amp;","&amp;C6&amp;"^)"</f>
        <v>서완산동2가 서완산골드클래스('21.06.,248^)</v>
      </c>
      <c r="X5" s="68"/>
      <c r="Y5" s="68"/>
      <c r="Z5" s="68"/>
      <c r="AA5" s="68"/>
      <c r="AB5" s="68"/>
      <c r="AC5" s="68"/>
      <c r="AD5" s="68"/>
      <c r="AE5" s="68"/>
      <c r="AF5" s="69"/>
      <c r="AH5" s="20" t="str">
        <f>IF(A5="","",A5)</f>
        <v/>
      </c>
      <c r="AI5" s="108" t="str">
        <f>IF(E5="","",E5)</f>
        <v/>
      </c>
      <c r="AJ5" s="76"/>
      <c r="AK5" s="76"/>
      <c r="AL5" s="76"/>
      <c r="AM5" s="76"/>
      <c r="AN5" s="76"/>
      <c r="AO5" s="76"/>
      <c r="AP5" s="76"/>
      <c r="AQ5" s="76"/>
      <c r="AR5" s="76"/>
      <c r="AS5" s="76"/>
      <c r="AT5" s="76"/>
      <c r="AU5" s="76"/>
      <c r="AV5" s="76"/>
    </row>
    <row r="6" spans="1:48" x14ac:dyDescent="0.3">
      <c r="A6" s="9" t="s">
        <v>1009</v>
      </c>
      <c r="B6" s="10" t="s">
        <v>1873</v>
      </c>
      <c r="C6" s="87">
        <v>248</v>
      </c>
      <c r="D6" s="85">
        <v>97.1</v>
      </c>
      <c r="E6" s="86">
        <v>29</v>
      </c>
      <c r="F6" s="85">
        <v>74.7</v>
      </c>
      <c r="G6" s="17">
        <v>23</v>
      </c>
      <c r="H6" s="87">
        <v>64</v>
      </c>
      <c r="I6" s="88"/>
      <c r="J6" s="88"/>
      <c r="K6" s="88"/>
      <c r="L6" s="88"/>
      <c r="M6" s="89">
        <f>I6-K6</f>
        <v>0</v>
      </c>
      <c r="N6" s="4" t="str">
        <f>IF(ISERROR(K6/I6),"",K6/I6)</f>
        <v/>
      </c>
      <c r="O6" s="90">
        <f>I6/E6</f>
        <v>0</v>
      </c>
      <c r="P6" s="90">
        <f>K6/E6</f>
        <v>0</v>
      </c>
      <c r="Q6" s="76">
        <v>3</v>
      </c>
      <c r="R6" s="76">
        <v>2</v>
      </c>
      <c r="S6" s="76" t="s">
        <v>61</v>
      </c>
      <c r="T6" s="5">
        <v>97</v>
      </c>
      <c r="U6" s="9"/>
      <c r="W6" s="85">
        <f>D6</f>
        <v>97.1</v>
      </c>
      <c r="X6" s="86">
        <f>E6</f>
        <v>29</v>
      </c>
      <c r="Y6" s="91">
        <f>H6</f>
        <v>64</v>
      </c>
      <c r="Z6" s="89">
        <f>I6</f>
        <v>0</v>
      </c>
      <c r="AA6" s="89">
        <f>K6</f>
        <v>0</v>
      </c>
      <c r="AB6" s="89">
        <f t="shared" ref="AB6:AD7" si="0">M6</f>
        <v>0</v>
      </c>
      <c r="AC6" s="4" t="str">
        <f t="shared" si="0"/>
        <v/>
      </c>
      <c r="AD6" s="90">
        <f t="shared" si="0"/>
        <v>0</v>
      </c>
      <c r="AE6" s="76" t="str">
        <f>S6</f>
        <v>계</v>
      </c>
      <c r="AF6" s="76" t="str">
        <f>Q6&amp;"/"&amp;R6</f>
        <v>3/2</v>
      </c>
      <c r="AH6" s="20" t="str">
        <f>IF(A6="","",A6)</f>
        <v>서완산골드클래스</v>
      </c>
      <c r="AI6" s="86">
        <f>IF(E6="","",E6)</f>
        <v>29</v>
      </c>
      <c r="AJ6" s="76" t="str">
        <f>IF(AI6="","",$AJ$2)</f>
        <v>A-</v>
      </c>
      <c r="AK6" s="76" t="s">
        <v>13</v>
      </c>
      <c r="AL6" s="76" t="s">
        <v>62</v>
      </c>
      <c r="AM6" s="76" t="s">
        <v>63</v>
      </c>
      <c r="AN6" s="76" t="str">
        <f>IF(AI6="","",$AN$2)</f>
        <v>C</v>
      </c>
      <c r="AO6" s="76" t="str">
        <f>IF(N6="","",IF(N6&gt;=$AO$1/100,"O","X"))</f>
        <v/>
      </c>
      <c r="AP6" s="76" t="str">
        <f>IF(I6="","",IF(I6&lt;=$AP$1,"O","X"))</f>
        <v/>
      </c>
      <c r="AQ6" s="76" t="str">
        <f>IF(O6="","",IF(O6&lt;=$AQ$1,"O","X"))</f>
        <v>O</v>
      </c>
      <c r="AR6" s="76" t="str">
        <f>IF(M6="","",IF(M6&lt;=$AR$1,"O","X"))</f>
        <v>O</v>
      </c>
      <c r="AS6" s="76" t="s">
        <v>2</v>
      </c>
      <c r="AT6" s="76" t="str">
        <f>IF(OR(F6="",AI6=""),"",IF(AND((F6&lt;=85),(AI6&gt;=15)),"O","X"))</f>
        <v>O</v>
      </c>
      <c r="AU6" s="76" t="str">
        <f>IF(C6="","",IF(C6&gt;=$AU$1,"O","X"))</f>
        <v>X</v>
      </c>
      <c r="AV6" s="76" t="str">
        <f>IF(AO6="","",IF(AND(AO6="O",AP6="O",AR6="O",AT6="O",AU6="O"),"후보","X"))</f>
        <v/>
      </c>
    </row>
    <row r="7" spans="1:48" x14ac:dyDescent="0.3">
      <c r="A7" s="9" t="s">
        <v>1009</v>
      </c>
      <c r="B7" s="10" t="s">
        <v>1873</v>
      </c>
      <c r="C7" s="87">
        <v>248</v>
      </c>
      <c r="D7" s="85">
        <v>110.1</v>
      </c>
      <c r="E7" s="86">
        <v>33</v>
      </c>
      <c r="F7" s="85">
        <v>85</v>
      </c>
      <c r="G7" s="17">
        <v>26</v>
      </c>
      <c r="H7" s="87">
        <v>184</v>
      </c>
      <c r="I7" s="88"/>
      <c r="J7" s="88"/>
      <c r="K7" s="88"/>
      <c r="L7" s="88"/>
      <c r="M7" s="89">
        <f>I7-K7</f>
        <v>0</v>
      </c>
      <c r="N7" s="4" t="str">
        <f>IF(ISERROR(K7/I7),"",K7/I7)</f>
        <v/>
      </c>
      <c r="O7" s="90">
        <f>I7/E7</f>
        <v>0</v>
      </c>
      <c r="P7" s="90">
        <f>K7/E7</f>
        <v>0</v>
      </c>
      <c r="Q7" s="76">
        <v>3</v>
      </c>
      <c r="R7" s="76">
        <v>2</v>
      </c>
      <c r="S7" s="76" t="s">
        <v>61</v>
      </c>
      <c r="T7" s="5">
        <v>110</v>
      </c>
      <c r="U7" s="9"/>
      <c r="W7" s="85">
        <f>D7</f>
        <v>110.1</v>
      </c>
      <c r="X7" s="86">
        <f>E7</f>
        <v>33</v>
      </c>
      <c r="Y7" s="91">
        <f>H7</f>
        <v>184</v>
      </c>
      <c r="Z7" s="89">
        <f>I7</f>
        <v>0</v>
      </c>
      <c r="AA7" s="89">
        <f>K7</f>
        <v>0</v>
      </c>
      <c r="AB7" s="89">
        <f t="shared" si="0"/>
        <v>0</v>
      </c>
      <c r="AC7" s="4" t="str">
        <f t="shared" si="0"/>
        <v/>
      </c>
      <c r="AD7" s="90">
        <f t="shared" si="0"/>
        <v>0</v>
      </c>
      <c r="AE7" s="76" t="str">
        <f>S7</f>
        <v>계</v>
      </c>
      <c r="AF7" s="76" t="str">
        <f>Q7&amp;"/"&amp;R7</f>
        <v>3/2</v>
      </c>
      <c r="AH7" s="20" t="str">
        <f>IF(A7="","",A7)</f>
        <v>서완산골드클래스</v>
      </c>
      <c r="AI7" s="86">
        <f>IF(E7="","",E7)</f>
        <v>33</v>
      </c>
      <c r="AJ7" s="76" t="str">
        <f>IF(AI7="","",$AJ$2)</f>
        <v>A-</v>
      </c>
      <c r="AK7" s="76" t="s">
        <v>13</v>
      </c>
      <c r="AL7" s="76" t="s">
        <v>62</v>
      </c>
      <c r="AM7" s="76" t="s">
        <v>63</v>
      </c>
      <c r="AN7" s="76" t="str">
        <f>IF(AI7="","",$AN$2)</f>
        <v>C</v>
      </c>
      <c r="AO7" s="76" t="str">
        <f>IF(N7="","",IF(N7&gt;=$AO$1/100,"O","X"))</f>
        <v/>
      </c>
      <c r="AP7" s="76" t="str">
        <f>IF(I7="","",IF(I7&lt;=$AP$1,"O","X"))</f>
        <v/>
      </c>
      <c r="AQ7" s="76" t="str">
        <f>IF(O7="","",IF(O7&lt;=$AQ$1,"O","X"))</f>
        <v>O</v>
      </c>
      <c r="AR7" s="76" t="str">
        <f>IF(M7="","",IF(M7&lt;=$AR$1,"O","X"))</f>
        <v>O</v>
      </c>
      <c r="AS7" s="76" t="s">
        <v>2</v>
      </c>
      <c r="AT7" s="76" t="str">
        <f>IF(OR(F7="",AI7=""),"",IF(AND((F7&lt;=85),(AI7&gt;=15)),"O","X"))</f>
        <v>O</v>
      </c>
      <c r="AU7" s="76" t="str">
        <f>IF(C7="","",IF(C7&gt;=$AU$1,"O","X"))</f>
        <v>X</v>
      </c>
      <c r="AV7" s="76" t="str">
        <f>IF(AO7="","",IF(AND(AO7="O",AP7="O",AR7="O",AT7="O",AU7="O"),"후보","X"))</f>
        <v/>
      </c>
    </row>
  </sheetData>
  <mergeCells count="1">
    <mergeCell ref="AJ1:AN1"/>
  </mergeCells>
  <phoneticPr fontId="2" type="noConversion"/>
  <conditionalFormatting sqref="AV4:AV6">
    <cfRule type="expression" dxfId="17799" priority="39">
      <formula>AV4="X"</formula>
    </cfRule>
    <cfRule type="expression" dxfId="17798" priority="40">
      <formula>AV4="후보"</formula>
    </cfRule>
  </conditionalFormatting>
  <conditionalFormatting sqref="AC1:AC2 AC4:AC6 N4:N5">
    <cfRule type="cellIs" dxfId="17797" priority="36" operator="greaterThan">
      <formula>0.9</formula>
    </cfRule>
    <cfRule type="cellIs" dxfId="17796" priority="37" operator="greaterThan">
      <formula>0.85</formula>
    </cfRule>
  </conditionalFormatting>
  <conditionalFormatting sqref="N1:N2">
    <cfRule type="cellIs" dxfId="17795" priority="34" operator="greaterThan">
      <formula>0.9</formula>
    </cfRule>
    <cfRule type="cellIs" dxfId="17794" priority="35" operator="greaterThan">
      <formula>0.85</formula>
    </cfRule>
  </conditionalFormatting>
  <conditionalFormatting sqref="N6">
    <cfRule type="cellIs" dxfId="17793" priority="32" operator="greaterThan">
      <formula>0.9</formula>
    </cfRule>
    <cfRule type="cellIs" dxfId="17792" priority="33" operator="greaterThan">
      <formula>0.85</formula>
    </cfRule>
  </conditionalFormatting>
  <conditionalFormatting sqref="E6">
    <cfRule type="expression" dxfId="17791" priority="28">
      <formula>AND(IF(OR($Q6=1,$Q6=2),1,0),IF($X6&lt;=20,1,0))</formula>
    </cfRule>
    <cfRule type="expression" dxfId="17790" priority="29">
      <formula>AND(IF($Q6=2,1,0),IF($X6&lt;30,1,0))</formula>
    </cfRule>
    <cfRule type="expression" dxfId="17789" priority="30">
      <formula>AND(IF($Q6=3,1,0),IF($X6&lt;30,1,0))</formula>
    </cfRule>
    <cfRule type="expression" dxfId="17788" priority="31">
      <formula>AND(IF($Q6=3,1,IF($Q6=4,1,0)),IF($F6&lt;=85,1,0))</formula>
    </cfRule>
  </conditionalFormatting>
  <conditionalFormatting sqref="X6">
    <cfRule type="expression" dxfId="17787" priority="24">
      <formula>AND(IF(OR($Q6=1,$Q6=2),1,0),IF($X6&lt;=20,1,0))</formula>
    </cfRule>
    <cfRule type="expression" dxfId="17786" priority="25">
      <formula>AND(IF($Q6=2,1,0),IF($X6&lt;30,1,0))</formula>
    </cfRule>
    <cfRule type="expression" dxfId="17785" priority="26">
      <formula>AND(IF($Q6=3,1,0),IF($X6&lt;30,1,0))</formula>
    </cfRule>
    <cfRule type="expression" dxfId="17784" priority="27">
      <formula>AND(IF($Q6=3,1,IF($Q6=4,1,0)),IF($F6&lt;=85,1,0))</formula>
    </cfRule>
  </conditionalFormatting>
  <conditionalFormatting sqref="AI6">
    <cfRule type="expression" dxfId="17783" priority="20">
      <formula>AND(IF(OR($Q6=1,$Q6=2),1,0),IF($X6&lt;=20,1,0))</formula>
    </cfRule>
    <cfRule type="expression" dxfId="17782" priority="21">
      <formula>AND(IF($Q6=2,1,0),IF($X6&lt;30,1,0))</formula>
    </cfRule>
    <cfRule type="expression" dxfId="17781" priority="22">
      <formula>AND(IF($Q6=3,1,0),IF($X6&lt;30,1,0))</formula>
    </cfRule>
    <cfRule type="expression" dxfId="17780" priority="23">
      <formula>AND(IF($Q6=3,1,IF($Q6=4,1,0)),IF($F6&lt;=85,1,0))</formula>
    </cfRule>
  </conditionalFormatting>
  <conditionalFormatting sqref="AV7">
    <cfRule type="expression" dxfId="17779" priority="18">
      <formula>AV7="X"</formula>
    </cfRule>
    <cfRule type="expression" dxfId="17778" priority="19">
      <formula>AV7="후보"</formula>
    </cfRule>
  </conditionalFormatting>
  <conditionalFormatting sqref="AC7">
    <cfRule type="cellIs" dxfId="17777" priority="15" operator="greaterThan">
      <formula>0.9</formula>
    </cfRule>
    <cfRule type="cellIs" dxfId="17776" priority="16" operator="greaterThan">
      <formula>0.85</formula>
    </cfRule>
  </conditionalFormatting>
  <conditionalFormatting sqref="N7">
    <cfRule type="cellIs" dxfId="17775" priority="13" operator="greaterThan">
      <formula>0.9</formula>
    </cfRule>
    <cfRule type="cellIs" dxfId="17774" priority="14" operator="greaterThan">
      <formula>0.85</formula>
    </cfRule>
  </conditionalFormatting>
  <conditionalFormatting sqref="E7">
    <cfRule type="expression" dxfId="17773" priority="9">
      <formula>AND(IF(OR($Q7=1,$Q7=2),1,0),IF($X7&lt;=20,1,0))</formula>
    </cfRule>
    <cfRule type="expression" dxfId="17772" priority="10">
      <formula>AND(IF($Q7=2,1,0),IF($X7&lt;30,1,0))</formula>
    </cfRule>
    <cfRule type="expression" dxfId="17771" priority="11">
      <formula>AND(IF($Q7=3,1,0),IF($X7&lt;30,1,0))</formula>
    </cfRule>
    <cfRule type="expression" dxfId="17770" priority="12">
      <formula>AND(IF($Q7=3,1,IF($Q7=4,1,0)),IF($F7&lt;=85,1,0))</formula>
    </cfRule>
  </conditionalFormatting>
  <conditionalFormatting sqref="X7">
    <cfRule type="expression" dxfId="17769" priority="5">
      <formula>AND(IF(OR($Q7=1,$Q7=2),1,0),IF($X7&lt;=20,1,0))</formula>
    </cfRule>
    <cfRule type="expression" dxfId="17768" priority="6">
      <formula>AND(IF($Q7=2,1,0),IF($X7&lt;30,1,0))</formula>
    </cfRule>
    <cfRule type="expression" dxfId="17767" priority="7">
      <formula>AND(IF($Q7=3,1,0),IF($X7&lt;30,1,0))</formula>
    </cfRule>
    <cfRule type="expression" dxfId="17766" priority="8">
      <formula>AND(IF($Q7=3,1,IF($Q7=4,1,0)),IF($F7&lt;=85,1,0))</formula>
    </cfRule>
  </conditionalFormatting>
  <conditionalFormatting sqref="AI7">
    <cfRule type="expression" dxfId="17765" priority="1">
      <formula>AND(IF(OR($Q7=1,$Q7=2),1,0),IF($X7&lt;=20,1,0))</formula>
    </cfRule>
    <cfRule type="expression" dxfId="17764" priority="2">
      <formula>AND(IF($Q7=2,1,0),IF($X7&lt;30,1,0))</formula>
    </cfRule>
    <cfRule type="expression" dxfId="17763" priority="3">
      <formula>AND(IF($Q7=3,1,0),IF($X7&lt;30,1,0))</formula>
    </cfRule>
    <cfRule type="expression" dxfId="17762" priority="4">
      <formula>AND(IF($Q7=3,1,IF($Q7=4,1,0)),IF($F7&lt;=85,1,0))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>
    <pageSetUpPr fitToPage="1"/>
  </sheetPr>
  <dimension ref="A1:AV1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8" sqref="A18:XFD18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5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0" width="9" style="37" customWidth="1"/>
    <col min="51" max="16384" width="9" style="37"/>
  </cols>
  <sheetData>
    <row r="1" spans="1:48" ht="17.25" customHeight="1" x14ac:dyDescent="0.3">
      <c r="A1" s="7" t="str">
        <f>단지추출!A1</f>
        <v>인천광역시 연수구</v>
      </c>
      <c r="I1" s="42" t="s">
        <v>1827</v>
      </c>
      <c r="X1" s="37" t="s">
        <v>5</v>
      </c>
      <c r="Y1" s="37"/>
      <c r="AA1" s="39">
        <f>단지추출!AA1</f>
        <v>70000</v>
      </c>
      <c r="AH1" s="7" t="str">
        <f>A1</f>
        <v>인천광역시 연수구</v>
      </c>
      <c r="AJ1" s="117" t="str">
        <f>A1&amp;" 전체 등급"</f>
        <v>인천광역시 연수구 전체 등급</v>
      </c>
      <c r="AK1" s="118"/>
      <c r="AL1" s="118"/>
      <c r="AM1" s="118"/>
      <c r="AN1" s="119"/>
      <c r="AO1" s="22">
        <f>단지추출!AO1</f>
        <v>80</v>
      </c>
      <c r="AP1" s="22">
        <f>단지추출!AP1</f>
        <v>50000</v>
      </c>
      <c r="AQ1" s="22">
        <f>단지추출!AQ1</f>
        <v>15000</v>
      </c>
      <c r="AR1" s="22">
        <f>단지추출!AR1</f>
        <v>5000</v>
      </c>
      <c r="AS1" s="2"/>
      <c r="AT1" s="2"/>
      <c r="AU1" s="22">
        <f>단지추출!AU1</f>
        <v>300</v>
      </c>
    </row>
    <row r="2" spans="1:48" x14ac:dyDescent="0.3">
      <c r="A2" s="80">
        <f>단지추출!A2</f>
        <v>44197</v>
      </c>
      <c r="W2" s="38"/>
      <c r="X2" s="38" t="s">
        <v>10</v>
      </c>
      <c r="Y2" s="38"/>
      <c r="AA2" s="39">
        <f>단지추출!AA2</f>
        <v>10000</v>
      </c>
      <c r="AH2" s="18" t="str">
        <f>AH1 &amp;" " &amp;A4</f>
        <v>인천광역시 연수구 중노송동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4" t="s">
        <v>15</v>
      </c>
      <c r="AP2" s="65"/>
      <c r="AQ2" s="66"/>
      <c r="AR2" s="64" t="s">
        <v>16</v>
      </c>
      <c r="AS2" s="66"/>
      <c r="AT2" s="64" t="s">
        <v>17</v>
      </c>
      <c r="AU2" s="66"/>
      <c r="AV2" s="40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1828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106" t="s">
        <v>27</v>
      </c>
      <c r="Z3" s="12" t="s">
        <v>41</v>
      </c>
      <c r="AA3" s="12" t="s">
        <v>42</v>
      </c>
      <c r="AB3" s="12" t="s">
        <v>1828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18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(5억↓)</v>
      </c>
      <c r="AQ3" s="11" t="str">
        <f>"지역평단가
("&amp;AQ1&amp;"↓)"</f>
        <v>지역평단가
(15000↓)</v>
      </c>
      <c r="AR3" s="11" t="str">
        <f>"투자규모★
(갭"&amp;AR1/1000&amp;"천↓)"</f>
        <v>투자규모★
(갭5천↓)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1" t="s">
        <v>18</v>
      </c>
    </row>
    <row r="4" spans="1:48" x14ac:dyDescent="0.3">
      <c r="A4" s="8" t="s">
        <v>1044</v>
      </c>
      <c r="B4" s="76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07"/>
      <c r="R4" s="107"/>
      <c r="S4" s="76"/>
      <c r="T4" s="5"/>
      <c r="U4" s="9"/>
      <c r="W4" s="9"/>
      <c r="X4" s="9"/>
      <c r="Y4" s="91"/>
      <c r="Z4" s="9"/>
      <c r="AA4" s="9"/>
      <c r="AB4" s="9"/>
      <c r="AC4" s="9"/>
      <c r="AD4" s="9"/>
      <c r="AE4" s="76"/>
      <c r="AF4" s="5"/>
      <c r="AH4" s="20"/>
      <c r="AI4" s="108" t="str">
        <f t="shared" si="0"/>
        <v/>
      </c>
      <c r="AJ4" s="76"/>
      <c r="AK4" s="76"/>
      <c r="AL4" s="76"/>
      <c r="AM4" s="76"/>
      <c r="AN4" s="76"/>
      <c r="AO4" s="76"/>
      <c r="AP4" s="76"/>
      <c r="AQ4" s="76"/>
      <c r="AR4" s="76"/>
      <c r="AS4" s="76"/>
      <c r="AT4" s="76"/>
      <c r="AU4" s="76"/>
      <c r="AV4" s="76"/>
    </row>
    <row r="5" spans="1:48" x14ac:dyDescent="0.3">
      <c r="A5" s="9"/>
      <c r="B5" s="76"/>
      <c r="C5" s="6"/>
      <c r="D5" s="9"/>
      <c r="E5" s="14"/>
      <c r="F5" s="85"/>
      <c r="G5" s="9"/>
      <c r="H5" s="9"/>
      <c r="I5" s="9"/>
      <c r="J5" s="9"/>
      <c r="K5" s="9"/>
      <c r="L5" s="9"/>
      <c r="M5" s="9"/>
      <c r="N5" s="9"/>
      <c r="O5" s="90"/>
      <c r="P5" s="90"/>
      <c r="Q5" s="86"/>
      <c r="R5" s="86"/>
      <c r="S5" s="9"/>
      <c r="T5" s="47"/>
      <c r="U5" s="9"/>
      <c r="W5" s="67" t="str">
        <f>$A$4&amp;" "&amp;A6&amp;"("&amp;B6&amp;","&amp;C6&amp;"^)"</f>
        <v>중노송동 우성해오름('05.12.,400^)</v>
      </c>
      <c r="X5" s="68"/>
      <c r="Y5" s="68"/>
      <c r="Z5" s="68"/>
      <c r="AA5" s="68"/>
      <c r="AB5" s="68"/>
      <c r="AC5" s="68"/>
      <c r="AD5" s="68"/>
      <c r="AE5" s="68"/>
      <c r="AF5" s="69"/>
      <c r="AH5" s="20" t="str">
        <f t="shared" ref="AH5:AH18" si="1">IF(A5="","",A5)</f>
        <v/>
      </c>
      <c r="AI5" s="108" t="str">
        <f t="shared" si="0"/>
        <v/>
      </c>
      <c r="AJ5" s="76"/>
      <c r="AK5" s="76"/>
      <c r="AL5" s="76"/>
      <c r="AM5" s="76"/>
      <c r="AN5" s="76"/>
      <c r="AO5" s="76"/>
      <c r="AP5" s="76"/>
      <c r="AQ5" s="76"/>
      <c r="AR5" s="76"/>
      <c r="AS5" s="76"/>
      <c r="AT5" s="76"/>
      <c r="AU5" s="76"/>
      <c r="AV5" s="76"/>
    </row>
    <row r="6" spans="1:48" x14ac:dyDescent="0.3">
      <c r="A6" s="9" t="s">
        <v>1040</v>
      </c>
      <c r="B6" s="10" t="s">
        <v>1874</v>
      </c>
      <c r="C6" s="87">
        <v>400</v>
      </c>
      <c r="D6" s="85">
        <v>74.099999999999994</v>
      </c>
      <c r="E6" s="86">
        <v>22</v>
      </c>
      <c r="F6" s="85">
        <v>58.6</v>
      </c>
      <c r="G6" s="17">
        <v>18</v>
      </c>
      <c r="H6" s="87">
        <v>32</v>
      </c>
      <c r="I6" s="88"/>
      <c r="J6" s="88"/>
      <c r="K6" s="88"/>
      <c r="L6" s="88"/>
      <c r="M6" s="89">
        <f>I6-K6</f>
        <v>0</v>
      </c>
      <c r="N6" s="4" t="str">
        <f>IF(ISERROR(K6/I6),"",K6/I6)</f>
        <v/>
      </c>
      <c r="O6" s="90">
        <f>I6/E6</f>
        <v>0</v>
      </c>
      <c r="P6" s="90">
        <f>K6/E6</f>
        <v>0</v>
      </c>
      <c r="Q6" s="76">
        <v>3</v>
      </c>
      <c r="R6" s="76">
        <v>1</v>
      </c>
      <c r="S6" s="76" t="s">
        <v>61</v>
      </c>
      <c r="T6" s="5">
        <v>74</v>
      </c>
      <c r="U6" s="9"/>
      <c r="W6" s="85">
        <f t="shared" ref="W6:X9" si="2">D6</f>
        <v>74.099999999999994</v>
      </c>
      <c r="X6" s="86">
        <f t="shared" si="2"/>
        <v>22</v>
      </c>
      <c r="Y6" s="91">
        <f t="shared" ref="Y6:Z9" si="3">H6</f>
        <v>32</v>
      </c>
      <c r="Z6" s="89">
        <f t="shared" si="3"/>
        <v>0</v>
      </c>
      <c r="AA6" s="89">
        <f>K6</f>
        <v>0</v>
      </c>
      <c r="AB6" s="89">
        <f t="shared" ref="AB6:AD9" si="4">M6</f>
        <v>0</v>
      </c>
      <c r="AC6" s="4" t="str">
        <f t="shared" si="4"/>
        <v/>
      </c>
      <c r="AD6" s="90">
        <f t="shared" si="4"/>
        <v>0</v>
      </c>
      <c r="AE6" s="76" t="str">
        <f>S6</f>
        <v>계</v>
      </c>
      <c r="AF6" s="76" t="str">
        <f>Q6&amp;"/"&amp;R6</f>
        <v>3/1</v>
      </c>
      <c r="AH6" s="20" t="str">
        <f t="shared" si="1"/>
        <v>우성해오름</v>
      </c>
      <c r="AI6" s="86">
        <f t="shared" si="0"/>
        <v>22</v>
      </c>
      <c r="AJ6" s="76" t="str">
        <f>IF(AI6="","",$AJ$2)</f>
        <v>A-</v>
      </c>
      <c r="AK6" s="76" t="s">
        <v>13</v>
      </c>
      <c r="AL6" s="76" t="s">
        <v>62</v>
      </c>
      <c r="AM6" s="76" t="s">
        <v>63</v>
      </c>
      <c r="AN6" s="76" t="str">
        <f>IF(AI6="","",$AN$2)</f>
        <v>C</v>
      </c>
      <c r="AO6" s="76" t="str">
        <f>IF(N6="","",IF(N6&gt;=$AO$1/100,"O","X"))</f>
        <v/>
      </c>
      <c r="AP6" s="76" t="str">
        <f>IF(I6="","",IF(I6&lt;=$AP$1,"O","X"))</f>
        <v/>
      </c>
      <c r="AQ6" s="76" t="str">
        <f>IF(O6="","",IF(O6&lt;=$AQ$1,"O","X"))</f>
        <v>O</v>
      </c>
      <c r="AR6" s="76" t="str">
        <f>IF(M6="","",IF(M6&lt;=$AR$1,"O","X"))</f>
        <v>O</v>
      </c>
      <c r="AS6" s="76" t="s">
        <v>2</v>
      </c>
      <c r="AT6" s="76" t="str">
        <f>IF(OR(F6="",AI6=""),"",IF(AND((F6&lt;=85),(AI6&gt;=15)),"O","X"))</f>
        <v>O</v>
      </c>
      <c r="AU6" s="76" t="str">
        <f>IF(C6="","",IF(C6&gt;=$AU$1,"O","X"))</f>
        <v>O</v>
      </c>
      <c r="AV6" s="76" t="str">
        <f>IF(AO6="","",IF(AND(AO6="O",AP6="O",AR6="O",AT6="O",AU6="O"),"후보","X"))</f>
        <v/>
      </c>
    </row>
    <row r="7" spans="1:48" x14ac:dyDescent="0.3">
      <c r="A7" s="9" t="s">
        <v>1040</v>
      </c>
      <c r="B7" s="10" t="s">
        <v>1874</v>
      </c>
      <c r="C7" s="87">
        <v>400</v>
      </c>
      <c r="D7" s="85">
        <v>102.8</v>
      </c>
      <c r="E7" s="86">
        <v>31</v>
      </c>
      <c r="F7" s="85">
        <v>81.2</v>
      </c>
      <c r="G7" s="17">
        <v>25</v>
      </c>
      <c r="H7" s="87">
        <v>68</v>
      </c>
      <c r="I7" s="88"/>
      <c r="J7" s="88"/>
      <c r="K7" s="88"/>
      <c r="L7" s="88"/>
      <c r="M7" s="89">
        <f>I7-K7</f>
        <v>0</v>
      </c>
      <c r="N7" s="4" t="str">
        <f>IF(ISERROR(K7/I7),"",K7/I7)</f>
        <v/>
      </c>
      <c r="O7" s="90">
        <f>I7/E7</f>
        <v>0</v>
      </c>
      <c r="P7" s="90">
        <f>K7/E7</f>
        <v>0</v>
      </c>
      <c r="Q7" s="76">
        <v>3</v>
      </c>
      <c r="R7" s="76">
        <v>2</v>
      </c>
      <c r="S7" s="76" t="s">
        <v>61</v>
      </c>
      <c r="T7" s="5">
        <v>102</v>
      </c>
      <c r="U7" s="9"/>
      <c r="W7" s="85">
        <f t="shared" si="2"/>
        <v>102.8</v>
      </c>
      <c r="X7" s="86">
        <f t="shared" si="2"/>
        <v>31</v>
      </c>
      <c r="Y7" s="91">
        <f t="shared" si="3"/>
        <v>68</v>
      </c>
      <c r="Z7" s="89">
        <f t="shared" si="3"/>
        <v>0</v>
      </c>
      <c r="AA7" s="89">
        <f>K7</f>
        <v>0</v>
      </c>
      <c r="AB7" s="89">
        <f t="shared" si="4"/>
        <v>0</v>
      </c>
      <c r="AC7" s="4" t="str">
        <f t="shared" si="4"/>
        <v/>
      </c>
      <c r="AD7" s="90">
        <f t="shared" si="4"/>
        <v>0</v>
      </c>
      <c r="AE7" s="76" t="str">
        <f>S7</f>
        <v>계</v>
      </c>
      <c r="AF7" s="76" t="str">
        <f>Q7&amp;"/"&amp;R7</f>
        <v>3/2</v>
      </c>
      <c r="AH7" s="20" t="str">
        <f t="shared" si="1"/>
        <v>우성해오름</v>
      </c>
      <c r="AI7" s="86">
        <f t="shared" si="0"/>
        <v>31</v>
      </c>
      <c r="AJ7" s="76" t="str">
        <f>IF(AI7="","",$AJ$2)</f>
        <v>A-</v>
      </c>
      <c r="AK7" s="76" t="s">
        <v>13</v>
      </c>
      <c r="AL7" s="76" t="s">
        <v>62</v>
      </c>
      <c r="AM7" s="76" t="s">
        <v>63</v>
      </c>
      <c r="AN7" s="76" t="str">
        <f>IF(AI7="","",$AN$2)</f>
        <v>C</v>
      </c>
      <c r="AO7" s="76" t="str">
        <f>IF(N7="","",IF(N7&gt;=$AO$1/100,"O","X"))</f>
        <v/>
      </c>
      <c r="AP7" s="76" t="str">
        <f>IF(I7="","",IF(I7&lt;=$AP$1,"O","X"))</f>
        <v/>
      </c>
      <c r="AQ7" s="76" t="str">
        <f>IF(O7="","",IF(O7&lt;=$AQ$1,"O","X"))</f>
        <v>O</v>
      </c>
      <c r="AR7" s="76" t="str">
        <f>IF(M7="","",IF(M7&lt;=$AR$1,"O","X"))</f>
        <v>O</v>
      </c>
      <c r="AS7" s="76" t="s">
        <v>2</v>
      </c>
      <c r="AT7" s="76" t="str">
        <f>IF(OR(F7="",AI7=""),"",IF(AND((F7&lt;=85),(AI7&gt;=15)),"O","X"))</f>
        <v>O</v>
      </c>
      <c r="AU7" s="76" t="str">
        <f>IF(C7="","",IF(C7&gt;=$AU$1,"O","X"))</f>
        <v>O</v>
      </c>
      <c r="AV7" s="76" t="str">
        <f>IF(AO7="","",IF(AND(AO7="O",AP7="O",AR7="O",AT7="O",AU7="O"),"후보","X"))</f>
        <v/>
      </c>
    </row>
    <row r="8" spans="1:48" x14ac:dyDescent="0.3">
      <c r="A8" s="9" t="s">
        <v>1040</v>
      </c>
      <c r="B8" s="10" t="s">
        <v>1874</v>
      </c>
      <c r="C8" s="87">
        <v>400</v>
      </c>
      <c r="D8" s="85">
        <v>125.6</v>
      </c>
      <c r="E8" s="86">
        <v>38</v>
      </c>
      <c r="F8" s="85">
        <v>100</v>
      </c>
      <c r="G8" s="17">
        <v>30</v>
      </c>
      <c r="H8" s="87">
        <v>200</v>
      </c>
      <c r="I8" s="88">
        <v>24000</v>
      </c>
      <c r="J8" s="88" t="s">
        <v>89</v>
      </c>
      <c r="K8" s="88"/>
      <c r="L8" s="88"/>
      <c r="M8" s="89">
        <f>I8-K8</f>
        <v>24000</v>
      </c>
      <c r="N8" s="4">
        <f>IF(ISERROR(K8/I8),"",K8/I8)</f>
        <v>0</v>
      </c>
      <c r="O8" s="90">
        <f>I8/E8</f>
        <v>631.57894736842104</v>
      </c>
      <c r="P8" s="90">
        <f>K8/E8</f>
        <v>0</v>
      </c>
      <c r="Q8" s="76">
        <v>3</v>
      </c>
      <c r="R8" s="76">
        <v>2</v>
      </c>
      <c r="S8" s="76" t="s">
        <v>61</v>
      </c>
      <c r="T8" s="5">
        <v>125</v>
      </c>
      <c r="U8" s="9"/>
      <c r="W8" s="85">
        <f t="shared" si="2"/>
        <v>125.6</v>
      </c>
      <c r="X8" s="86">
        <f t="shared" si="2"/>
        <v>38</v>
      </c>
      <c r="Y8" s="91">
        <f t="shared" si="3"/>
        <v>200</v>
      </c>
      <c r="Z8" s="89">
        <f t="shared" si="3"/>
        <v>24000</v>
      </c>
      <c r="AA8" s="89">
        <f>K8</f>
        <v>0</v>
      </c>
      <c r="AB8" s="89">
        <f t="shared" si="4"/>
        <v>24000</v>
      </c>
      <c r="AC8" s="4">
        <f t="shared" si="4"/>
        <v>0</v>
      </c>
      <c r="AD8" s="90">
        <f t="shared" si="4"/>
        <v>631.57894736842104</v>
      </c>
      <c r="AE8" s="76" t="str">
        <f>S8</f>
        <v>계</v>
      </c>
      <c r="AF8" s="76" t="str">
        <f>Q8&amp;"/"&amp;R8</f>
        <v>3/2</v>
      </c>
      <c r="AH8" s="20" t="str">
        <f t="shared" si="1"/>
        <v>우성해오름</v>
      </c>
      <c r="AI8" s="86">
        <f t="shared" si="0"/>
        <v>38</v>
      </c>
      <c r="AJ8" s="76" t="str">
        <f>IF(AI8="","",$AJ$2)</f>
        <v>A-</v>
      </c>
      <c r="AK8" s="76" t="s">
        <v>13</v>
      </c>
      <c r="AL8" s="76" t="s">
        <v>62</v>
      </c>
      <c r="AM8" s="76" t="s">
        <v>63</v>
      </c>
      <c r="AN8" s="76" t="str">
        <f>IF(AI8="","",$AN$2)</f>
        <v>C</v>
      </c>
      <c r="AO8" s="76" t="str">
        <f>IF(N8="","",IF(N8&gt;=$AO$1/100,"O","X"))</f>
        <v>X</v>
      </c>
      <c r="AP8" s="76" t="str">
        <f>IF(I8="","",IF(I8&lt;=$AP$1,"O","X"))</f>
        <v>O</v>
      </c>
      <c r="AQ8" s="76" t="str">
        <f>IF(O8="","",IF(O8&lt;=$AQ$1,"O","X"))</f>
        <v>O</v>
      </c>
      <c r="AR8" s="76" t="str">
        <f>IF(M8="","",IF(M8&lt;=$AR$1,"O","X"))</f>
        <v>X</v>
      </c>
      <c r="AS8" s="76" t="s">
        <v>2</v>
      </c>
      <c r="AT8" s="76" t="str">
        <f>IF(OR(F8="",AI8=""),"",IF(AND((F8&lt;=85),(AI8&gt;=15)),"O","X"))</f>
        <v>X</v>
      </c>
      <c r="AU8" s="76" t="str">
        <f>IF(C8="","",IF(C8&gt;=$AU$1,"O","X"))</f>
        <v>O</v>
      </c>
      <c r="AV8" s="76" t="str">
        <f>IF(AO8="","",IF(AND(AO8="O",AP8="O",AR8="O",AT8="O",AU8="O"),"후보","X"))</f>
        <v>X</v>
      </c>
    </row>
    <row r="9" spans="1:48" x14ac:dyDescent="0.3">
      <c r="A9" s="9" t="s">
        <v>1040</v>
      </c>
      <c r="B9" s="10" t="s">
        <v>1874</v>
      </c>
      <c r="C9" s="87">
        <v>400</v>
      </c>
      <c r="D9" s="85">
        <v>169.2</v>
      </c>
      <c r="E9" s="86">
        <v>51</v>
      </c>
      <c r="F9" s="85">
        <v>136.1</v>
      </c>
      <c r="G9" s="17">
        <v>41</v>
      </c>
      <c r="H9" s="87">
        <v>100</v>
      </c>
      <c r="I9" s="88">
        <v>29300</v>
      </c>
      <c r="J9" s="88" t="s">
        <v>89</v>
      </c>
      <c r="K9" s="88"/>
      <c r="L9" s="88"/>
      <c r="M9" s="89">
        <f>I9-K9</f>
        <v>29300</v>
      </c>
      <c r="N9" s="4">
        <f>IF(ISERROR(K9/I9),"",K9/I9)</f>
        <v>0</v>
      </c>
      <c r="O9" s="90">
        <f>I9/E9</f>
        <v>574.50980392156862</v>
      </c>
      <c r="P9" s="90">
        <f>K9/E9</f>
        <v>0</v>
      </c>
      <c r="Q9" s="76">
        <v>4</v>
      </c>
      <c r="R9" s="76">
        <v>2</v>
      </c>
      <c r="S9" s="76" t="s">
        <v>61</v>
      </c>
      <c r="T9" s="5">
        <v>169</v>
      </c>
      <c r="U9" s="9"/>
      <c r="W9" s="85">
        <f t="shared" si="2"/>
        <v>169.2</v>
      </c>
      <c r="X9" s="86">
        <f t="shared" si="2"/>
        <v>51</v>
      </c>
      <c r="Y9" s="91">
        <f t="shared" si="3"/>
        <v>100</v>
      </c>
      <c r="Z9" s="89">
        <f t="shared" si="3"/>
        <v>29300</v>
      </c>
      <c r="AA9" s="89">
        <f>K9</f>
        <v>0</v>
      </c>
      <c r="AB9" s="89">
        <f t="shared" si="4"/>
        <v>29300</v>
      </c>
      <c r="AC9" s="4">
        <f t="shared" si="4"/>
        <v>0</v>
      </c>
      <c r="AD9" s="90">
        <f t="shared" si="4"/>
        <v>574.50980392156862</v>
      </c>
      <c r="AE9" s="76" t="str">
        <f>S9</f>
        <v>계</v>
      </c>
      <c r="AF9" s="76" t="str">
        <f>Q9&amp;"/"&amp;R9</f>
        <v>4/2</v>
      </c>
      <c r="AH9" s="20" t="str">
        <f t="shared" si="1"/>
        <v>우성해오름</v>
      </c>
      <c r="AI9" s="86">
        <f t="shared" si="0"/>
        <v>51</v>
      </c>
      <c r="AJ9" s="76" t="str">
        <f>IF(AI9="","",$AJ$2)</f>
        <v>A-</v>
      </c>
      <c r="AK9" s="76" t="s">
        <v>13</v>
      </c>
      <c r="AL9" s="76" t="s">
        <v>62</v>
      </c>
      <c r="AM9" s="76" t="s">
        <v>63</v>
      </c>
      <c r="AN9" s="76" t="str">
        <f>IF(AI9="","",$AN$2)</f>
        <v>C</v>
      </c>
      <c r="AO9" s="76" t="str">
        <f>IF(N9="","",IF(N9&gt;=$AO$1/100,"O","X"))</f>
        <v>X</v>
      </c>
      <c r="AP9" s="76" t="str">
        <f>IF(I9="","",IF(I9&lt;=$AP$1,"O","X"))</f>
        <v>O</v>
      </c>
      <c r="AQ9" s="76" t="str">
        <f>IF(O9="","",IF(O9&lt;=$AQ$1,"O","X"))</f>
        <v>O</v>
      </c>
      <c r="AR9" s="76" t="str">
        <f>IF(M9="","",IF(M9&lt;=$AR$1,"O","X"))</f>
        <v>X</v>
      </c>
      <c r="AS9" s="76" t="s">
        <v>2</v>
      </c>
      <c r="AT9" s="76" t="str">
        <f>IF(OR(F9="",AI9=""),"",IF(AND((F9&lt;=85),(AI9&gt;=15)),"O","X"))</f>
        <v>X</v>
      </c>
      <c r="AU9" s="76" t="str">
        <f>IF(C9="","",IF(C9&gt;=$AU$1,"O","X"))</f>
        <v>O</v>
      </c>
      <c r="AV9" s="76" t="str">
        <f>IF(AO9="","",IF(AND(AO9="O",AP9="O",AR9="O",AT9="O",AU9="O"),"후보","X"))</f>
        <v>X</v>
      </c>
    </row>
    <row r="10" spans="1:48" x14ac:dyDescent="0.3">
      <c r="A10" s="9"/>
      <c r="B10" s="76"/>
      <c r="C10" s="6"/>
      <c r="D10" s="9"/>
      <c r="E10" s="14"/>
      <c r="F10" s="85"/>
      <c r="G10" s="9"/>
      <c r="H10" s="9"/>
      <c r="I10" s="9"/>
      <c r="J10" s="9"/>
      <c r="K10" s="9"/>
      <c r="L10" s="9"/>
      <c r="M10" s="9"/>
      <c r="N10" s="9"/>
      <c r="O10" s="90"/>
      <c r="P10" s="90"/>
      <c r="Q10" s="86"/>
      <c r="R10" s="86"/>
      <c r="S10" s="9"/>
      <c r="T10" s="47"/>
      <c r="U10" s="9"/>
      <c r="W10" s="67" t="str">
        <f>$A$4&amp;" "&amp;A11&amp;"("&amp;B11&amp;","&amp;C11&amp;"^)"</f>
        <v>중노송동 한옥마을서해그랑블('18.03.,821^)</v>
      </c>
      <c r="X10" s="68"/>
      <c r="Y10" s="68"/>
      <c r="Z10" s="68"/>
      <c r="AA10" s="68"/>
      <c r="AB10" s="68"/>
      <c r="AC10" s="68"/>
      <c r="AD10" s="68"/>
      <c r="AE10" s="68"/>
      <c r="AF10" s="69"/>
      <c r="AH10" s="20" t="str">
        <f t="shared" si="1"/>
        <v/>
      </c>
      <c r="AI10" s="108" t="str">
        <f t="shared" si="0"/>
        <v/>
      </c>
      <c r="AJ10" s="76"/>
      <c r="AK10" s="76"/>
      <c r="AL10" s="76"/>
      <c r="AM10" s="76"/>
      <c r="AN10" s="76"/>
      <c r="AO10" s="76"/>
      <c r="AP10" s="76"/>
      <c r="AQ10" s="76"/>
      <c r="AR10" s="76"/>
      <c r="AS10" s="76"/>
      <c r="AT10" s="76"/>
      <c r="AU10" s="76"/>
      <c r="AV10" s="76"/>
    </row>
    <row r="11" spans="1:48" x14ac:dyDescent="0.3">
      <c r="A11" s="9" t="s">
        <v>1046</v>
      </c>
      <c r="B11" s="10" t="s">
        <v>1875</v>
      </c>
      <c r="C11" s="87">
        <v>821</v>
      </c>
      <c r="D11" s="85">
        <v>78.7</v>
      </c>
      <c r="E11" s="86">
        <v>24</v>
      </c>
      <c r="F11" s="85">
        <v>59.9</v>
      </c>
      <c r="G11" s="17">
        <v>18</v>
      </c>
      <c r="H11" s="87">
        <v>32</v>
      </c>
      <c r="I11" s="88"/>
      <c r="J11" s="88"/>
      <c r="K11" s="88"/>
      <c r="L11" s="88"/>
      <c r="M11" s="89">
        <f t="shared" ref="M11:M16" si="5">I11-K11</f>
        <v>0</v>
      </c>
      <c r="N11" s="4" t="str">
        <f t="shared" ref="N11:N16" si="6">IF(ISERROR(K11/I11),"",K11/I11)</f>
        <v/>
      </c>
      <c r="O11" s="90">
        <f t="shared" ref="O11:O16" si="7">I11/E11</f>
        <v>0</v>
      </c>
      <c r="P11" s="90">
        <f t="shared" ref="P11:P16" si="8">K11/E11</f>
        <v>0</v>
      </c>
      <c r="Q11" s="76">
        <v>3</v>
      </c>
      <c r="R11" s="76">
        <v>2</v>
      </c>
      <c r="S11" s="76" t="s">
        <v>61</v>
      </c>
      <c r="T11" s="5">
        <v>78</v>
      </c>
      <c r="U11" s="9"/>
      <c r="W11" s="85">
        <f t="shared" ref="W11:X16" si="9">D11</f>
        <v>78.7</v>
      </c>
      <c r="X11" s="86">
        <f t="shared" si="9"/>
        <v>24</v>
      </c>
      <c r="Y11" s="91">
        <f t="shared" ref="Y11:Z16" si="10">H11</f>
        <v>32</v>
      </c>
      <c r="Z11" s="89">
        <f t="shared" si="10"/>
        <v>0</v>
      </c>
      <c r="AA11" s="89">
        <f t="shared" ref="AA11:AA16" si="11">K11</f>
        <v>0</v>
      </c>
      <c r="AB11" s="89">
        <f t="shared" ref="AB11:AD16" si="12">M11</f>
        <v>0</v>
      </c>
      <c r="AC11" s="4" t="str">
        <f t="shared" si="12"/>
        <v/>
      </c>
      <c r="AD11" s="90">
        <f t="shared" si="12"/>
        <v>0</v>
      </c>
      <c r="AE11" s="76" t="str">
        <f t="shared" ref="AE11:AE16" si="13">S11</f>
        <v>계</v>
      </c>
      <c r="AF11" s="76" t="str">
        <f t="shared" ref="AF11:AF16" si="14">Q11&amp;"/"&amp;R11</f>
        <v>3/2</v>
      </c>
      <c r="AH11" s="20" t="str">
        <f t="shared" si="1"/>
        <v>한옥마을서해그랑블</v>
      </c>
      <c r="AI11" s="86">
        <f t="shared" si="0"/>
        <v>24</v>
      </c>
      <c r="AJ11" s="76" t="str">
        <f t="shared" ref="AJ11:AJ16" si="15">IF(AI11="","",$AJ$2)</f>
        <v>A-</v>
      </c>
      <c r="AK11" s="76" t="s">
        <v>13</v>
      </c>
      <c r="AL11" s="76" t="s">
        <v>62</v>
      </c>
      <c r="AM11" s="76" t="s">
        <v>63</v>
      </c>
      <c r="AN11" s="76" t="str">
        <f t="shared" ref="AN11:AN16" si="16">IF(AI11="","",$AN$2)</f>
        <v>C</v>
      </c>
      <c r="AO11" s="76" t="str">
        <f t="shared" ref="AO11:AO16" si="17">IF(N11="","",IF(N11&gt;=$AO$1/100,"O","X"))</f>
        <v/>
      </c>
      <c r="AP11" s="76" t="str">
        <f t="shared" ref="AP11:AP16" si="18">IF(I11="","",IF(I11&lt;=$AP$1,"O","X"))</f>
        <v/>
      </c>
      <c r="AQ11" s="76" t="str">
        <f t="shared" ref="AQ11:AQ16" si="19">IF(O11="","",IF(O11&lt;=$AQ$1,"O","X"))</f>
        <v>O</v>
      </c>
      <c r="AR11" s="76" t="str">
        <f t="shared" ref="AR11:AR16" si="20">IF(M11="","",IF(M11&lt;=$AR$1,"O","X"))</f>
        <v>O</v>
      </c>
      <c r="AS11" s="76" t="s">
        <v>2</v>
      </c>
      <c r="AT11" s="76" t="str">
        <f t="shared" ref="AT11:AT16" si="21">IF(OR(F11="",AI11=""),"",IF(AND((F11&lt;=85),(AI11&gt;=15)),"O","X"))</f>
        <v>O</v>
      </c>
      <c r="AU11" s="76" t="str">
        <f t="shared" ref="AU11:AU16" si="22">IF(C11="","",IF(C11&gt;=$AU$1,"O","X"))</f>
        <v>O</v>
      </c>
      <c r="AV11" s="76" t="str">
        <f t="shared" ref="AV11:AV16" si="23">IF(AO11="","",IF(AND(AO11="O",AP11="O",AR11="O",AT11="O",AU11="O"),"후보","X"))</f>
        <v/>
      </c>
    </row>
    <row r="12" spans="1:48" x14ac:dyDescent="0.3">
      <c r="A12" s="9" t="s">
        <v>1046</v>
      </c>
      <c r="B12" s="10" t="s">
        <v>1875</v>
      </c>
      <c r="C12" s="87">
        <v>821</v>
      </c>
      <c r="D12" s="85">
        <v>95.1</v>
      </c>
      <c r="E12" s="86">
        <v>29</v>
      </c>
      <c r="F12" s="85">
        <v>72.3</v>
      </c>
      <c r="G12" s="17">
        <v>22</v>
      </c>
      <c r="H12" s="87">
        <v>35</v>
      </c>
      <c r="I12" s="88">
        <v>35000</v>
      </c>
      <c r="J12" s="88" t="s">
        <v>111</v>
      </c>
      <c r="K12" s="88"/>
      <c r="L12" s="88"/>
      <c r="M12" s="89">
        <f t="shared" si="5"/>
        <v>35000</v>
      </c>
      <c r="N12" s="4">
        <f t="shared" si="6"/>
        <v>0</v>
      </c>
      <c r="O12" s="90">
        <f t="shared" si="7"/>
        <v>1206.8965517241379</v>
      </c>
      <c r="P12" s="90">
        <f t="shared" si="8"/>
        <v>0</v>
      </c>
      <c r="Q12" s="76">
        <v>3</v>
      </c>
      <c r="R12" s="76">
        <v>2</v>
      </c>
      <c r="S12" s="76" t="s">
        <v>61</v>
      </c>
      <c r="T12" s="5" t="s">
        <v>217</v>
      </c>
      <c r="U12" s="9"/>
      <c r="W12" s="85">
        <f t="shared" si="9"/>
        <v>95.1</v>
      </c>
      <c r="X12" s="86">
        <f t="shared" si="9"/>
        <v>29</v>
      </c>
      <c r="Y12" s="91">
        <f t="shared" si="10"/>
        <v>35</v>
      </c>
      <c r="Z12" s="89">
        <f t="shared" si="10"/>
        <v>35000</v>
      </c>
      <c r="AA12" s="89">
        <f t="shared" si="11"/>
        <v>0</v>
      </c>
      <c r="AB12" s="89">
        <f t="shared" si="12"/>
        <v>35000</v>
      </c>
      <c r="AC12" s="4">
        <f t="shared" si="12"/>
        <v>0</v>
      </c>
      <c r="AD12" s="90">
        <f t="shared" si="12"/>
        <v>1206.8965517241379</v>
      </c>
      <c r="AE12" s="76" t="str">
        <f t="shared" si="13"/>
        <v>계</v>
      </c>
      <c r="AF12" s="76" t="str">
        <f t="shared" si="14"/>
        <v>3/2</v>
      </c>
      <c r="AH12" s="20" t="str">
        <f t="shared" si="1"/>
        <v>한옥마을서해그랑블</v>
      </c>
      <c r="AI12" s="86">
        <f t="shared" si="0"/>
        <v>29</v>
      </c>
      <c r="AJ12" s="76" t="str">
        <f t="shared" si="15"/>
        <v>A-</v>
      </c>
      <c r="AK12" s="76" t="s">
        <v>13</v>
      </c>
      <c r="AL12" s="76" t="s">
        <v>62</v>
      </c>
      <c r="AM12" s="76" t="s">
        <v>63</v>
      </c>
      <c r="AN12" s="76" t="str">
        <f t="shared" si="16"/>
        <v>C</v>
      </c>
      <c r="AO12" s="76" t="str">
        <f t="shared" si="17"/>
        <v>X</v>
      </c>
      <c r="AP12" s="76" t="str">
        <f t="shared" si="18"/>
        <v>O</v>
      </c>
      <c r="AQ12" s="76" t="str">
        <f t="shared" si="19"/>
        <v>O</v>
      </c>
      <c r="AR12" s="76" t="str">
        <f t="shared" si="20"/>
        <v>X</v>
      </c>
      <c r="AS12" s="76" t="s">
        <v>2</v>
      </c>
      <c r="AT12" s="76" t="str">
        <f t="shared" si="21"/>
        <v>O</v>
      </c>
      <c r="AU12" s="76" t="str">
        <f t="shared" si="22"/>
        <v>O</v>
      </c>
      <c r="AV12" s="76" t="str">
        <f t="shared" si="23"/>
        <v>X</v>
      </c>
    </row>
    <row r="13" spans="1:48" x14ac:dyDescent="0.3">
      <c r="A13" s="9" t="s">
        <v>1046</v>
      </c>
      <c r="B13" s="10" t="s">
        <v>1875</v>
      </c>
      <c r="C13" s="87">
        <v>821</v>
      </c>
      <c r="D13" s="85">
        <v>95.5</v>
      </c>
      <c r="E13" s="86">
        <v>29</v>
      </c>
      <c r="F13" s="85">
        <v>72.3</v>
      </c>
      <c r="G13" s="17">
        <v>22</v>
      </c>
      <c r="H13" s="87">
        <v>20</v>
      </c>
      <c r="I13" s="88"/>
      <c r="J13" s="88"/>
      <c r="K13" s="88"/>
      <c r="L13" s="88"/>
      <c r="M13" s="89">
        <f t="shared" si="5"/>
        <v>0</v>
      </c>
      <c r="N13" s="4" t="str">
        <f t="shared" si="6"/>
        <v/>
      </c>
      <c r="O13" s="90">
        <f t="shared" si="7"/>
        <v>0</v>
      </c>
      <c r="P13" s="90">
        <f t="shared" si="8"/>
        <v>0</v>
      </c>
      <c r="Q13" s="76">
        <v>3</v>
      </c>
      <c r="R13" s="76">
        <v>2</v>
      </c>
      <c r="S13" s="76" t="s">
        <v>61</v>
      </c>
      <c r="T13" s="5" t="s">
        <v>218</v>
      </c>
      <c r="U13" s="9"/>
      <c r="W13" s="85">
        <f t="shared" si="9"/>
        <v>95.5</v>
      </c>
      <c r="X13" s="86">
        <f t="shared" si="9"/>
        <v>29</v>
      </c>
      <c r="Y13" s="91">
        <f t="shared" si="10"/>
        <v>20</v>
      </c>
      <c r="Z13" s="89">
        <f t="shared" si="10"/>
        <v>0</v>
      </c>
      <c r="AA13" s="89">
        <f t="shared" si="11"/>
        <v>0</v>
      </c>
      <c r="AB13" s="89">
        <f t="shared" si="12"/>
        <v>0</v>
      </c>
      <c r="AC13" s="4" t="str">
        <f t="shared" si="12"/>
        <v/>
      </c>
      <c r="AD13" s="90">
        <f t="shared" si="12"/>
        <v>0</v>
      </c>
      <c r="AE13" s="76" t="str">
        <f t="shared" si="13"/>
        <v>계</v>
      </c>
      <c r="AF13" s="76" t="str">
        <f t="shared" si="14"/>
        <v>3/2</v>
      </c>
      <c r="AH13" s="20" t="str">
        <f t="shared" si="1"/>
        <v>한옥마을서해그랑블</v>
      </c>
      <c r="AI13" s="86">
        <f t="shared" si="0"/>
        <v>29</v>
      </c>
      <c r="AJ13" s="76" t="str">
        <f t="shared" si="15"/>
        <v>A-</v>
      </c>
      <c r="AK13" s="76" t="s">
        <v>13</v>
      </c>
      <c r="AL13" s="76" t="s">
        <v>62</v>
      </c>
      <c r="AM13" s="76" t="s">
        <v>63</v>
      </c>
      <c r="AN13" s="76" t="str">
        <f t="shared" si="16"/>
        <v>C</v>
      </c>
      <c r="AO13" s="76" t="str">
        <f t="shared" si="17"/>
        <v/>
      </c>
      <c r="AP13" s="76" t="str">
        <f t="shared" si="18"/>
        <v/>
      </c>
      <c r="AQ13" s="76" t="str">
        <f t="shared" si="19"/>
        <v>O</v>
      </c>
      <c r="AR13" s="76" t="str">
        <f t="shared" si="20"/>
        <v>O</v>
      </c>
      <c r="AS13" s="76" t="s">
        <v>2</v>
      </c>
      <c r="AT13" s="76" t="str">
        <f t="shared" si="21"/>
        <v>O</v>
      </c>
      <c r="AU13" s="76" t="str">
        <f t="shared" si="22"/>
        <v>O</v>
      </c>
      <c r="AV13" s="76" t="str">
        <f t="shared" si="23"/>
        <v/>
      </c>
    </row>
    <row r="14" spans="1:48" x14ac:dyDescent="0.3">
      <c r="A14" s="9" t="s">
        <v>1046</v>
      </c>
      <c r="B14" s="10" t="s">
        <v>1875</v>
      </c>
      <c r="C14" s="87">
        <v>821</v>
      </c>
      <c r="D14" s="85">
        <v>111.3</v>
      </c>
      <c r="E14" s="86">
        <v>34</v>
      </c>
      <c r="F14" s="85">
        <v>85</v>
      </c>
      <c r="G14" s="17">
        <v>26</v>
      </c>
      <c r="H14" s="87">
        <v>332</v>
      </c>
      <c r="I14" s="88">
        <v>39000</v>
      </c>
      <c r="J14" s="88" t="s">
        <v>219</v>
      </c>
      <c r="K14" s="88">
        <v>32000</v>
      </c>
      <c r="L14" s="88" t="s">
        <v>72</v>
      </c>
      <c r="M14" s="89">
        <f t="shared" si="5"/>
        <v>7000</v>
      </c>
      <c r="N14" s="4">
        <f t="shared" si="6"/>
        <v>0.82051282051282048</v>
      </c>
      <c r="O14" s="90">
        <f t="shared" si="7"/>
        <v>1147.0588235294117</v>
      </c>
      <c r="P14" s="90">
        <f t="shared" si="8"/>
        <v>941.17647058823525</v>
      </c>
      <c r="Q14" s="76">
        <v>3</v>
      </c>
      <c r="R14" s="76">
        <v>2</v>
      </c>
      <c r="S14" s="76" t="s">
        <v>61</v>
      </c>
      <c r="T14" s="5" t="s">
        <v>220</v>
      </c>
      <c r="U14" s="9"/>
      <c r="W14" s="85">
        <f t="shared" si="9"/>
        <v>111.3</v>
      </c>
      <c r="X14" s="86">
        <f t="shared" si="9"/>
        <v>34</v>
      </c>
      <c r="Y14" s="91">
        <f t="shared" si="10"/>
        <v>332</v>
      </c>
      <c r="Z14" s="89">
        <f t="shared" si="10"/>
        <v>39000</v>
      </c>
      <c r="AA14" s="89">
        <f t="shared" si="11"/>
        <v>32000</v>
      </c>
      <c r="AB14" s="89">
        <f t="shared" si="12"/>
        <v>7000</v>
      </c>
      <c r="AC14" s="4">
        <f t="shared" si="12"/>
        <v>0.82051282051282048</v>
      </c>
      <c r="AD14" s="90">
        <f t="shared" si="12"/>
        <v>1147.0588235294117</v>
      </c>
      <c r="AE14" s="76" t="str">
        <f t="shared" si="13"/>
        <v>계</v>
      </c>
      <c r="AF14" s="76" t="str">
        <f t="shared" si="14"/>
        <v>3/2</v>
      </c>
      <c r="AH14" s="20" t="str">
        <f t="shared" si="1"/>
        <v>한옥마을서해그랑블</v>
      </c>
      <c r="AI14" s="86">
        <f t="shared" si="0"/>
        <v>34</v>
      </c>
      <c r="AJ14" s="76" t="str">
        <f t="shared" si="15"/>
        <v>A-</v>
      </c>
      <c r="AK14" s="76" t="s">
        <v>13</v>
      </c>
      <c r="AL14" s="76" t="s">
        <v>62</v>
      </c>
      <c r="AM14" s="76" t="s">
        <v>63</v>
      </c>
      <c r="AN14" s="76" t="str">
        <f t="shared" si="16"/>
        <v>C</v>
      </c>
      <c r="AO14" s="76" t="str">
        <f t="shared" si="17"/>
        <v>O</v>
      </c>
      <c r="AP14" s="76" t="str">
        <f t="shared" si="18"/>
        <v>O</v>
      </c>
      <c r="AQ14" s="76" t="str">
        <f t="shared" si="19"/>
        <v>O</v>
      </c>
      <c r="AR14" s="76" t="str">
        <f t="shared" si="20"/>
        <v>X</v>
      </c>
      <c r="AS14" s="76" t="s">
        <v>2</v>
      </c>
      <c r="AT14" s="76" t="str">
        <f t="shared" si="21"/>
        <v>O</v>
      </c>
      <c r="AU14" s="76" t="str">
        <f t="shared" si="22"/>
        <v>O</v>
      </c>
      <c r="AV14" s="76" t="str">
        <f t="shared" si="23"/>
        <v>X</v>
      </c>
    </row>
    <row r="15" spans="1:48" x14ac:dyDescent="0.3">
      <c r="A15" s="9" t="s">
        <v>1046</v>
      </c>
      <c r="B15" s="10" t="s">
        <v>1875</v>
      </c>
      <c r="C15" s="87">
        <v>821</v>
      </c>
      <c r="D15" s="85">
        <v>111.1</v>
      </c>
      <c r="E15" s="86">
        <v>34</v>
      </c>
      <c r="F15" s="85">
        <v>85</v>
      </c>
      <c r="G15" s="17">
        <v>26</v>
      </c>
      <c r="H15" s="87">
        <v>262</v>
      </c>
      <c r="I15" s="88">
        <v>36500</v>
      </c>
      <c r="J15" s="88" t="s">
        <v>104</v>
      </c>
      <c r="K15" s="88">
        <v>34000</v>
      </c>
      <c r="L15" s="88" t="s">
        <v>131</v>
      </c>
      <c r="M15" s="89">
        <f t="shared" si="5"/>
        <v>2500</v>
      </c>
      <c r="N15" s="4">
        <f t="shared" si="6"/>
        <v>0.93150684931506844</v>
      </c>
      <c r="O15" s="90">
        <f t="shared" si="7"/>
        <v>1073.5294117647059</v>
      </c>
      <c r="P15" s="90">
        <f t="shared" si="8"/>
        <v>1000</v>
      </c>
      <c r="Q15" s="76">
        <v>3</v>
      </c>
      <c r="R15" s="76">
        <v>2</v>
      </c>
      <c r="S15" s="76" t="s">
        <v>61</v>
      </c>
      <c r="T15" s="5" t="s">
        <v>221</v>
      </c>
      <c r="U15" s="9"/>
      <c r="W15" s="85">
        <f t="shared" si="9"/>
        <v>111.1</v>
      </c>
      <c r="X15" s="86">
        <f t="shared" si="9"/>
        <v>34</v>
      </c>
      <c r="Y15" s="91">
        <f t="shared" si="10"/>
        <v>262</v>
      </c>
      <c r="Z15" s="89">
        <f t="shared" si="10"/>
        <v>36500</v>
      </c>
      <c r="AA15" s="89">
        <f t="shared" si="11"/>
        <v>34000</v>
      </c>
      <c r="AB15" s="89">
        <f t="shared" si="12"/>
        <v>2500</v>
      </c>
      <c r="AC15" s="4">
        <f t="shared" si="12"/>
        <v>0.93150684931506844</v>
      </c>
      <c r="AD15" s="90">
        <f t="shared" si="12"/>
        <v>1073.5294117647059</v>
      </c>
      <c r="AE15" s="76" t="str">
        <f t="shared" si="13"/>
        <v>계</v>
      </c>
      <c r="AF15" s="76" t="str">
        <f t="shared" si="14"/>
        <v>3/2</v>
      </c>
      <c r="AH15" s="20" t="str">
        <f t="shared" si="1"/>
        <v>한옥마을서해그랑블</v>
      </c>
      <c r="AI15" s="86">
        <f t="shared" si="0"/>
        <v>34</v>
      </c>
      <c r="AJ15" s="76" t="str">
        <f t="shared" si="15"/>
        <v>A-</v>
      </c>
      <c r="AK15" s="76" t="s">
        <v>13</v>
      </c>
      <c r="AL15" s="76" t="s">
        <v>62</v>
      </c>
      <c r="AM15" s="76" t="s">
        <v>63</v>
      </c>
      <c r="AN15" s="76" t="str">
        <f t="shared" si="16"/>
        <v>C</v>
      </c>
      <c r="AO15" s="76" t="str">
        <f t="shared" si="17"/>
        <v>O</v>
      </c>
      <c r="AP15" s="76" t="str">
        <f t="shared" si="18"/>
        <v>O</v>
      </c>
      <c r="AQ15" s="76" t="str">
        <f t="shared" si="19"/>
        <v>O</v>
      </c>
      <c r="AR15" s="76" t="str">
        <f t="shared" si="20"/>
        <v>O</v>
      </c>
      <c r="AS15" s="76" t="s">
        <v>2</v>
      </c>
      <c r="AT15" s="76" t="str">
        <f t="shared" si="21"/>
        <v>O</v>
      </c>
      <c r="AU15" s="76" t="str">
        <f t="shared" si="22"/>
        <v>O</v>
      </c>
      <c r="AV15" s="76" t="str">
        <f t="shared" si="23"/>
        <v>후보</v>
      </c>
    </row>
    <row r="16" spans="1:48" x14ac:dyDescent="0.3">
      <c r="A16" s="9" t="s">
        <v>1046</v>
      </c>
      <c r="B16" s="10" t="s">
        <v>1875</v>
      </c>
      <c r="C16" s="87">
        <v>821</v>
      </c>
      <c r="D16" s="85">
        <v>135.19999999999999</v>
      </c>
      <c r="E16" s="86">
        <v>41</v>
      </c>
      <c r="F16" s="85">
        <v>103.8</v>
      </c>
      <c r="G16" s="17">
        <v>31</v>
      </c>
      <c r="H16" s="87">
        <v>70</v>
      </c>
      <c r="I16" s="88">
        <v>59000</v>
      </c>
      <c r="J16" s="88" t="s">
        <v>83</v>
      </c>
      <c r="K16" s="88"/>
      <c r="L16" s="88"/>
      <c r="M16" s="89">
        <f t="shared" si="5"/>
        <v>59000</v>
      </c>
      <c r="N16" s="4">
        <f t="shared" si="6"/>
        <v>0</v>
      </c>
      <c r="O16" s="90">
        <f t="shared" si="7"/>
        <v>1439.0243902439024</v>
      </c>
      <c r="P16" s="90">
        <f t="shared" si="8"/>
        <v>0</v>
      </c>
      <c r="Q16" s="76">
        <v>4</v>
      </c>
      <c r="R16" s="76">
        <v>2</v>
      </c>
      <c r="S16" s="76" t="s">
        <v>61</v>
      </c>
      <c r="T16" s="5">
        <v>135</v>
      </c>
      <c r="U16" s="9"/>
      <c r="W16" s="85">
        <f t="shared" si="9"/>
        <v>135.19999999999999</v>
      </c>
      <c r="X16" s="86">
        <f t="shared" si="9"/>
        <v>41</v>
      </c>
      <c r="Y16" s="91">
        <f t="shared" si="10"/>
        <v>70</v>
      </c>
      <c r="Z16" s="89">
        <f t="shared" si="10"/>
        <v>59000</v>
      </c>
      <c r="AA16" s="89">
        <f t="shared" si="11"/>
        <v>0</v>
      </c>
      <c r="AB16" s="89">
        <f t="shared" si="12"/>
        <v>59000</v>
      </c>
      <c r="AC16" s="4">
        <f t="shared" si="12"/>
        <v>0</v>
      </c>
      <c r="AD16" s="90">
        <f t="shared" si="12"/>
        <v>1439.0243902439024</v>
      </c>
      <c r="AE16" s="76" t="str">
        <f t="shared" si="13"/>
        <v>계</v>
      </c>
      <c r="AF16" s="76" t="str">
        <f t="shared" si="14"/>
        <v>4/2</v>
      </c>
      <c r="AH16" s="20" t="str">
        <f t="shared" si="1"/>
        <v>한옥마을서해그랑블</v>
      </c>
      <c r="AI16" s="86">
        <f t="shared" si="0"/>
        <v>41</v>
      </c>
      <c r="AJ16" s="76" t="str">
        <f t="shared" si="15"/>
        <v>A-</v>
      </c>
      <c r="AK16" s="76" t="s">
        <v>13</v>
      </c>
      <c r="AL16" s="76" t="s">
        <v>62</v>
      </c>
      <c r="AM16" s="76" t="s">
        <v>63</v>
      </c>
      <c r="AN16" s="76" t="str">
        <f t="shared" si="16"/>
        <v>C</v>
      </c>
      <c r="AO16" s="76" t="str">
        <f t="shared" si="17"/>
        <v>X</v>
      </c>
      <c r="AP16" s="76" t="str">
        <f t="shared" si="18"/>
        <v>X</v>
      </c>
      <c r="AQ16" s="76" t="str">
        <f t="shared" si="19"/>
        <v>O</v>
      </c>
      <c r="AR16" s="76" t="str">
        <f t="shared" si="20"/>
        <v>X</v>
      </c>
      <c r="AS16" s="76" t="s">
        <v>2</v>
      </c>
      <c r="AT16" s="76" t="str">
        <f t="shared" si="21"/>
        <v>X</v>
      </c>
      <c r="AU16" s="76" t="str">
        <f t="shared" si="22"/>
        <v>O</v>
      </c>
      <c r="AV16" s="76" t="str">
        <f t="shared" si="23"/>
        <v>X</v>
      </c>
    </row>
    <row r="17" spans="1:48" x14ac:dyDescent="0.3">
      <c r="A17" s="9"/>
      <c r="B17" s="76"/>
      <c r="C17" s="6"/>
      <c r="D17" s="9"/>
      <c r="E17" s="14"/>
      <c r="F17" s="85"/>
      <c r="G17" s="9"/>
      <c r="H17" s="9"/>
      <c r="I17" s="9"/>
      <c r="J17" s="9"/>
      <c r="K17" s="9"/>
      <c r="L17" s="9"/>
      <c r="M17" s="9"/>
      <c r="N17" s="9"/>
      <c r="O17" s="90"/>
      <c r="P17" s="90"/>
      <c r="Q17" s="86"/>
      <c r="R17" s="86"/>
      <c r="S17" s="9"/>
      <c r="T17" s="47"/>
      <c r="U17" s="9"/>
      <c r="W17" s="67" t="str">
        <f>$A$4&amp;" "&amp;A18&amp;"("&amp;B18&amp;","&amp;C18&amp;"^)"</f>
        <v>중노송동 기린봉('93.08.,302^)</v>
      </c>
      <c r="X17" s="68"/>
      <c r="Y17" s="68"/>
      <c r="Z17" s="68"/>
      <c r="AA17" s="68"/>
      <c r="AB17" s="68"/>
      <c r="AC17" s="68"/>
      <c r="AD17" s="68"/>
      <c r="AE17" s="68"/>
      <c r="AF17" s="69"/>
      <c r="AH17" s="20" t="str">
        <f t="shared" si="1"/>
        <v/>
      </c>
      <c r="AI17" s="108" t="str">
        <f t="shared" si="0"/>
        <v/>
      </c>
      <c r="AJ17" s="76"/>
      <c r="AK17" s="76"/>
      <c r="AL17" s="76"/>
      <c r="AM17" s="76"/>
      <c r="AN17" s="76"/>
      <c r="AO17" s="76"/>
      <c r="AP17" s="76"/>
      <c r="AQ17" s="76"/>
      <c r="AR17" s="76"/>
      <c r="AS17" s="76"/>
      <c r="AT17" s="76"/>
      <c r="AU17" s="76"/>
      <c r="AV17" s="76"/>
    </row>
    <row r="18" spans="1:48" x14ac:dyDescent="0.3">
      <c r="A18" s="9" t="s">
        <v>1051</v>
      </c>
      <c r="B18" s="10" t="s">
        <v>1876</v>
      </c>
      <c r="C18" s="87">
        <v>302</v>
      </c>
      <c r="D18" s="85">
        <v>102.9</v>
      </c>
      <c r="E18" s="86">
        <v>31</v>
      </c>
      <c r="F18" s="85">
        <v>84.9</v>
      </c>
      <c r="G18" s="17">
        <v>26</v>
      </c>
      <c r="H18" s="87">
        <v>302</v>
      </c>
      <c r="I18" s="88">
        <v>13000</v>
      </c>
      <c r="J18" s="88" t="s">
        <v>89</v>
      </c>
      <c r="K18" s="88"/>
      <c r="L18" s="88"/>
      <c r="M18" s="89">
        <f>I18-K18</f>
        <v>13000</v>
      </c>
      <c r="N18" s="4">
        <f>IF(ISERROR(K18/I18),"",K18/I18)</f>
        <v>0</v>
      </c>
      <c r="O18" s="90">
        <f>I18/E18</f>
        <v>419.35483870967744</v>
      </c>
      <c r="P18" s="90">
        <f>K18/E18</f>
        <v>0</v>
      </c>
      <c r="Q18" s="76">
        <v>3</v>
      </c>
      <c r="R18" s="76">
        <v>2</v>
      </c>
      <c r="S18" s="76" t="s">
        <v>61</v>
      </c>
      <c r="T18" s="5">
        <v>102</v>
      </c>
      <c r="U18" s="9"/>
      <c r="W18" s="85">
        <f>D18</f>
        <v>102.9</v>
      </c>
      <c r="X18" s="86">
        <f>E18</f>
        <v>31</v>
      </c>
      <c r="Y18" s="91">
        <f>H18</f>
        <v>302</v>
      </c>
      <c r="Z18" s="89">
        <f>I18</f>
        <v>13000</v>
      </c>
      <c r="AA18" s="89">
        <f>K18</f>
        <v>0</v>
      </c>
      <c r="AB18" s="89">
        <f>M18</f>
        <v>13000</v>
      </c>
      <c r="AC18" s="4">
        <f>N18</f>
        <v>0</v>
      </c>
      <c r="AD18" s="90">
        <f>O18</f>
        <v>419.35483870967744</v>
      </c>
      <c r="AE18" s="76" t="str">
        <f>S18</f>
        <v>계</v>
      </c>
      <c r="AF18" s="76" t="str">
        <f>Q18&amp;"/"&amp;R18</f>
        <v>3/2</v>
      </c>
      <c r="AH18" s="20" t="str">
        <f t="shared" si="1"/>
        <v>기린봉</v>
      </c>
      <c r="AI18" s="86">
        <f t="shared" si="0"/>
        <v>31</v>
      </c>
      <c r="AJ18" s="76" t="str">
        <f>IF(AI18="","",$AJ$2)</f>
        <v>A-</v>
      </c>
      <c r="AK18" s="76" t="s">
        <v>13</v>
      </c>
      <c r="AL18" s="76" t="s">
        <v>62</v>
      </c>
      <c r="AM18" s="76" t="s">
        <v>63</v>
      </c>
      <c r="AN18" s="76" t="str">
        <f>IF(AI18="","",$AN$2)</f>
        <v>C</v>
      </c>
      <c r="AO18" s="76" t="str">
        <f>IF(N18="","",IF(N18&gt;=$AO$1/100,"O","X"))</f>
        <v>X</v>
      </c>
      <c r="AP18" s="76" t="str">
        <f>IF(I18="","",IF(I18&lt;=$AP$1,"O","X"))</f>
        <v>O</v>
      </c>
      <c r="AQ18" s="76" t="str">
        <f>IF(O18="","",IF(O18&lt;=$AQ$1,"O","X"))</f>
        <v>O</v>
      </c>
      <c r="AR18" s="76" t="str">
        <f>IF(M18="","",IF(M18&lt;=$AR$1,"O","X"))</f>
        <v>X</v>
      </c>
      <c r="AS18" s="76" t="s">
        <v>2</v>
      </c>
      <c r="AT18" s="76" t="str">
        <f>IF(OR(F18="",AI18=""),"",IF(AND((F18&lt;=85),(AI18&gt;=15)),"O","X"))</f>
        <v>O</v>
      </c>
      <c r="AU18" s="76" t="str">
        <f>IF(C18="","",IF(C18&gt;=$AU$1,"O","X"))</f>
        <v>O</v>
      </c>
      <c r="AV18" s="76" t="str">
        <f>IF(AO18="","",IF(AND(AO18="O",AP18="O",AR18="O",AT18="O",AU18="O"),"후보","X"))</f>
        <v>X</v>
      </c>
    </row>
  </sheetData>
  <mergeCells count="1">
    <mergeCell ref="AJ1:AN1"/>
  </mergeCells>
  <phoneticPr fontId="2" type="noConversion"/>
  <conditionalFormatting sqref="AV4:AV6">
    <cfRule type="expression" dxfId="17761" priority="220">
      <formula>AV4="X"</formula>
    </cfRule>
    <cfRule type="expression" dxfId="17760" priority="221">
      <formula>AV4="후보"</formula>
    </cfRule>
  </conditionalFormatting>
  <conditionalFormatting sqref="AC1:AC2 AC4:AC6 N4:N5">
    <cfRule type="cellIs" dxfId="17759" priority="217" operator="greaterThan">
      <formula>0.9</formula>
    </cfRule>
    <cfRule type="cellIs" dxfId="17758" priority="218" operator="greaterThan">
      <formula>0.85</formula>
    </cfRule>
  </conditionalFormatting>
  <conditionalFormatting sqref="N1:N2">
    <cfRule type="cellIs" dxfId="17757" priority="215" operator="greaterThan">
      <formula>0.9</formula>
    </cfRule>
    <cfRule type="cellIs" dxfId="17756" priority="216" operator="greaterThan">
      <formula>0.85</formula>
    </cfRule>
  </conditionalFormatting>
  <conditionalFormatting sqref="N6">
    <cfRule type="cellIs" dxfId="17755" priority="213" operator="greaterThan">
      <formula>0.9</formula>
    </cfRule>
    <cfRule type="cellIs" dxfId="17754" priority="214" operator="greaterThan">
      <formula>0.85</formula>
    </cfRule>
  </conditionalFormatting>
  <conditionalFormatting sqref="E6">
    <cfRule type="expression" dxfId="17753" priority="209">
      <formula>AND(IF(OR($Q6=1,$Q6=2),1,0),IF($X6&lt;=20,1,0))</formula>
    </cfRule>
    <cfRule type="expression" dxfId="17752" priority="210">
      <formula>AND(IF($Q6=2,1,0),IF($X6&lt;30,1,0))</formula>
    </cfRule>
    <cfRule type="expression" dxfId="17751" priority="211">
      <formula>AND(IF($Q6=3,1,0),IF($X6&lt;30,1,0))</formula>
    </cfRule>
    <cfRule type="expression" dxfId="17750" priority="212">
      <formula>AND(IF($Q6=3,1,IF($Q6=4,1,0)),IF($F6&lt;=85,1,0))</formula>
    </cfRule>
  </conditionalFormatting>
  <conditionalFormatting sqref="X6">
    <cfRule type="expression" dxfId="17749" priority="205">
      <formula>AND(IF(OR($Q6=1,$Q6=2),1,0),IF($X6&lt;=20,1,0))</formula>
    </cfRule>
    <cfRule type="expression" dxfId="17748" priority="206">
      <formula>AND(IF($Q6=2,1,0),IF($X6&lt;30,1,0))</formula>
    </cfRule>
    <cfRule type="expression" dxfId="17747" priority="207">
      <formula>AND(IF($Q6=3,1,0),IF($X6&lt;30,1,0))</formula>
    </cfRule>
    <cfRule type="expression" dxfId="17746" priority="208">
      <formula>AND(IF($Q6=3,1,IF($Q6=4,1,0)),IF($F6&lt;=85,1,0))</formula>
    </cfRule>
  </conditionalFormatting>
  <conditionalFormatting sqref="AI6">
    <cfRule type="expression" dxfId="17745" priority="201">
      <formula>AND(IF(OR($Q6=1,$Q6=2),1,0),IF($X6&lt;=20,1,0))</formula>
    </cfRule>
    <cfRule type="expression" dxfId="17744" priority="202">
      <formula>AND(IF($Q6=2,1,0),IF($X6&lt;30,1,0))</formula>
    </cfRule>
    <cfRule type="expression" dxfId="17743" priority="203">
      <formula>AND(IF($Q6=3,1,0),IF($X6&lt;30,1,0))</formula>
    </cfRule>
    <cfRule type="expression" dxfId="17742" priority="204">
      <formula>AND(IF($Q6=3,1,IF($Q6=4,1,0)),IF($F6&lt;=85,1,0))</formula>
    </cfRule>
  </conditionalFormatting>
  <conditionalFormatting sqref="AV7">
    <cfRule type="expression" dxfId="17741" priority="199">
      <formula>AV7="X"</formula>
    </cfRule>
    <cfRule type="expression" dxfId="17740" priority="200">
      <formula>AV7="후보"</formula>
    </cfRule>
  </conditionalFormatting>
  <conditionalFormatting sqref="AC7">
    <cfRule type="cellIs" dxfId="17739" priority="196" operator="greaterThan">
      <formula>0.9</formula>
    </cfRule>
    <cfRule type="cellIs" dxfId="17738" priority="197" operator="greaterThan">
      <formula>0.85</formula>
    </cfRule>
  </conditionalFormatting>
  <conditionalFormatting sqref="N7">
    <cfRule type="cellIs" dxfId="17737" priority="194" operator="greaterThan">
      <formula>0.9</formula>
    </cfRule>
    <cfRule type="cellIs" dxfId="17736" priority="195" operator="greaterThan">
      <formula>0.85</formula>
    </cfRule>
  </conditionalFormatting>
  <conditionalFormatting sqref="E7">
    <cfRule type="expression" dxfId="17735" priority="190">
      <formula>AND(IF(OR($Q7=1,$Q7=2),1,0),IF($X7&lt;=20,1,0))</formula>
    </cfRule>
    <cfRule type="expression" dxfId="17734" priority="191">
      <formula>AND(IF($Q7=2,1,0),IF($X7&lt;30,1,0))</formula>
    </cfRule>
    <cfRule type="expression" dxfId="17733" priority="192">
      <formula>AND(IF($Q7=3,1,0),IF($X7&lt;30,1,0))</formula>
    </cfRule>
    <cfRule type="expression" dxfId="17732" priority="193">
      <formula>AND(IF($Q7=3,1,IF($Q7=4,1,0)),IF($F7&lt;=85,1,0))</formula>
    </cfRule>
  </conditionalFormatting>
  <conditionalFormatting sqref="X7">
    <cfRule type="expression" dxfId="17731" priority="186">
      <formula>AND(IF(OR($Q7=1,$Q7=2),1,0),IF($X7&lt;=20,1,0))</formula>
    </cfRule>
    <cfRule type="expression" dxfId="17730" priority="187">
      <formula>AND(IF($Q7=2,1,0),IF($X7&lt;30,1,0))</formula>
    </cfRule>
    <cfRule type="expression" dxfId="17729" priority="188">
      <formula>AND(IF($Q7=3,1,0),IF($X7&lt;30,1,0))</formula>
    </cfRule>
    <cfRule type="expression" dxfId="17728" priority="189">
      <formula>AND(IF($Q7=3,1,IF($Q7=4,1,0)),IF($F7&lt;=85,1,0))</formula>
    </cfRule>
  </conditionalFormatting>
  <conditionalFormatting sqref="AI7">
    <cfRule type="expression" dxfId="17727" priority="182">
      <formula>AND(IF(OR($Q7=1,$Q7=2),1,0),IF($X7&lt;=20,1,0))</formula>
    </cfRule>
    <cfRule type="expression" dxfId="17726" priority="183">
      <formula>AND(IF($Q7=2,1,0),IF($X7&lt;30,1,0))</formula>
    </cfRule>
    <cfRule type="expression" dxfId="17725" priority="184">
      <formula>AND(IF($Q7=3,1,0),IF($X7&lt;30,1,0))</formula>
    </cfRule>
    <cfRule type="expression" dxfId="17724" priority="185">
      <formula>AND(IF($Q7=3,1,IF($Q7=4,1,0)),IF($F7&lt;=85,1,0))</formula>
    </cfRule>
  </conditionalFormatting>
  <conditionalFormatting sqref="AV8">
    <cfRule type="expression" dxfId="17723" priority="180">
      <formula>AV8="X"</formula>
    </cfRule>
    <cfRule type="expression" dxfId="17722" priority="181">
      <formula>AV8="후보"</formula>
    </cfRule>
  </conditionalFormatting>
  <conditionalFormatting sqref="AC8">
    <cfRule type="cellIs" dxfId="17721" priority="177" operator="greaterThan">
      <formula>0.9</formula>
    </cfRule>
    <cfRule type="cellIs" dxfId="17720" priority="178" operator="greaterThan">
      <formula>0.85</formula>
    </cfRule>
  </conditionalFormatting>
  <conditionalFormatting sqref="N8">
    <cfRule type="cellIs" dxfId="17719" priority="175" operator="greaterThan">
      <formula>0.9</formula>
    </cfRule>
    <cfRule type="cellIs" dxfId="17718" priority="176" operator="greaterThan">
      <formula>0.85</formula>
    </cfRule>
  </conditionalFormatting>
  <conditionalFormatting sqref="E8">
    <cfRule type="expression" dxfId="17717" priority="171">
      <formula>AND(IF(OR($Q8=1,$Q8=2),1,0),IF($X8&lt;=20,1,0))</formula>
    </cfRule>
    <cfRule type="expression" dxfId="17716" priority="172">
      <formula>AND(IF($Q8=2,1,0),IF($X8&lt;30,1,0))</formula>
    </cfRule>
    <cfRule type="expression" dxfId="17715" priority="173">
      <formula>AND(IF($Q8=3,1,0),IF($X8&lt;30,1,0))</formula>
    </cfRule>
    <cfRule type="expression" dxfId="17714" priority="174">
      <formula>AND(IF($Q8=3,1,IF($Q8=4,1,0)),IF($F8&lt;=85,1,0))</formula>
    </cfRule>
  </conditionalFormatting>
  <conditionalFormatting sqref="X8">
    <cfRule type="expression" dxfId="17713" priority="167">
      <formula>AND(IF(OR($Q8=1,$Q8=2),1,0),IF($X8&lt;=20,1,0))</formula>
    </cfRule>
    <cfRule type="expression" dxfId="17712" priority="168">
      <formula>AND(IF($Q8=2,1,0),IF($X8&lt;30,1,0))</formula>
    </cfRule>
    <cfRule type="expression" dxfId="17711" priority="169">
      <formula>AND(IF($Q8=3,1,0),IF($X8&lt;30,1,0))</formula>
    </cfRule>
    <cfRule type="expression" dxfId="17710" priority="170">
      <formula>AND(IF($Q8=3,1,IF($Q8=4,1,0)),IF($F8&lt;=85,1,0))</formula>
    </cfRule>
  </conditionalFormatting>
  <conditionalFormatting sqref="AI8">
    <cfRule type="expression" dxfId="17709" priority="163">
      <formula>AND(IF(OR($Q8=1,$Q8=2),1,0),IF($X8&lt;=20,1,0))</formula>
    </cfRule>
    <cfRule type="expression" dxfId="17708" priority="164">
      <formula>AND(IF($Q8=2,1,0),IF($X8&lt;30,1,0))</formula>
    </cfRule>
    <cfRule type="expression" dxfId="17707" priority="165">
      <formula>AND(IF($Q8=3,1,0),IF($X8&lt;30,1,0))</formula>
    </cfRule>
    <cfRule type="expression" dxfId="17706" priority="166">
      <formula>AND(IF($Q8=3,1,IF($Q8=4,1,0)),IF($F8&lt;=85,1,0))</formula>
    </cfRule>
  </conditionalFormatting>
  <conditionalFormatting sqref="AV9">
    <cfRule type="expression" dxfId="17705" priority="161">
      <formula>AV9="X"</formula>
    </cfRule>
    <cfRule type="expression" dxfId="17704" priority="162">
      <formula>AV9="후보"</formula>
    </cfRule>
  </conditionalFormatting>
  <conditionalFormatting sqref="AC9">
    <cfRule type="cellIs" dxfId="17703" priority="158" operator="greaterThan">
      <formula>0.9</formula>
    </cfRule>
    <cfRule type="cellIs" dxfId="17702" priority="159" operator="greaterThan">
      <formula>0.85</formula>
    </cfRule>
  </conditionalFormatting>
  <conditionalFormatting sqref="N9">
    <cfRule type="cellIs" dxfId="17701" priority="156" operator="greaterThan">
      <formula>0.9</formula>
    </cfRule>
    <cfRule type="cellIs" dxfId="17700" priority="157" operator="greaterThan">
      <formula>0.85</formula>
    </cfRule>
  </conditionalFormatting>
  <conditionalFormatting sqref="E9">
    <cfRule type="expression" dxfId="17699" priority="152">
      <formula>AND(IF(OR($Q9=1,$Q9=2),1,0),IF($X9&lt;=20,1,0))</formula>
    </cfRule>
    <cfRule type="expression" dxfId="17698" priority="153">
      <formula>AND(IF($Q9=2,1,0),IF($X9&lt;30,1,0))</formula>
    </cfRule>
    <cfRule type="expression" dxfId="17697" priority="154">
      <formula>AND(IF($Q9=3,1,0),IF($X9&lt;30,1,0))</formula>
    </cfRule>
    <cfRule type="expression" dxfId="17696" priority="155">
      <formula>AND(IF($Q9=3,1,IF($Q9=4,1,0)),IF($F9&lt;=85,1,0))</formula>
    </cfRule>
  </conditionalFormatting>
  <conditionalFormatting sqref="X9">
    <cfRule type="expression" dxfId="17695" priority="148">
      <formula>AND(IF(OR($Q9=1,$Q9=2),1,0),IF($X9&lt;=20,1,0))</formula>
    </cfRule>
    <cfRule type="expression" dxfId="17694" priority="149">
      <formula>AND(IF($Q9=2,1,0),IF($X9&lt;30,1,0))</formula>
    </cfRule>
    <cfRule type="expression" dxfId="17693" priority="150">
      <formula>AND(IF($Q9=3,1,0),IF($X9&lt;30,1,0))</formula>
    </cfRule>
    <cfRule type="expression" dxfId="17692" priority="151">
      <formula>AND(IF($Q9=3,1,IF($Q9=4,1,0)),IF($F9&lt;=85,1,0))</formula>
    </cfRule>
  </conditionalFormatting>
  <conditionalFormatting sqref="AI9">
    <cfRule type="expression" dxfId="17691" priority="144">
      <formula>AND(IF(OR($Q9=1,$Q9=2),1,0),IF($X9&lt;=20,1,0))</formula>
    </cfRule>
    <cfRule type="expression" dxfId="17690" priority="145">
      <formula>AND(IF($Q9=2,1,0),IF($X9&lt;30,1,0))</formula>
    </cfRule>
    <cfRule type="expression" dxfId="17689" priority="146">
      <formula>AND(IF($Q9=3,1,0),IF($X9&lt;30,1,0))</formula>
    </cfRule>
    <cfRule type="expression" dxfId="17688" priority="147">
      <formula>AND(IF($Q9=3,1,IF($Q9=4,1,0)),IF($F9&lt;=85,1,0))</formula>
    </cfRule>
  </conditionalFormatting>
  <conditionalFormatting sqref="AV10">
    <cfRule type="expression" dxfId="17687" priority="142">
      <formula>AV10="X"</formula>
    </cfRule>
    <cfRule type="expression" dxfId="17686" priority="143">
      <formula>AV10="후보"</formula>
    </cfRule>
  </conditionalFormatting>
  <conditionalFormatting sqref="AC10 N10">
    <cfRule type="cellIs" dxfId="17685" priority="139" operator="greaterThan">
      <formula>0.9</formula>
    </cfRule>
    <cfRule type="cellIs" dxfId="17684" priority="140" operator="greaterThan">
      <formula>0.85</formula>
    </cfRule>
  </conditionalFormatting>
  <conditionalFormatting sqref="AV11">
    <cfRule type="expression" dxfId="17683" priority="137">
      <formula>AV11="X"</formula>
    </cfRule>
    <cfRule type="expression" dxfId="17682" priority="138">
      <formula>AV11="후보"</formula>
    </cfRule>
  </conditionalFormatting>
  <conditionalFormatting sqref="AC11">
    <cfRule type="cellIs" dxfId="17681" priority="134" operator="greaterThan">
      <formula>0.9</formula>
    </cfRule>
    <cfRule type="cellIs" dxfId="17680" priority="135" operator="greaterThan">
      <formula>0.85</formula>
    </cfRule>
  </conditionalFormatting>
  <conditionalFormatting sqref="N11">
    <cfRule type="cellIs" dxfId="17679" priority="132" operator="greaterThan">
      <formula>0.9</formula>
    </cfRule>
    <cfRule type="cellIs" dxfId="17678" priority="133" operator="greaterThan">
      <formula>0.85</formula>
    </cfRule>
  </conditionalFormatting>
  <conditionalFormatting sqref="E11">
    <cfRule type="expression" dxfId="17677" priority="128">
      <formula>AND(IF(OR($Q11=1,$Q11=2),1,0),IF($X11&lt;=20,1,0))</formula>
    </cfRule>
    <cfRule type="expression" dxfId="17676" priority="129">
      <formula>AND(IF($Q11=2,1,0),IF($X11&lt;30,1,0))</formula>
    </cfRule>
    <cfRule type="expression" dxfId="17675" priority="130">
      <formula>AND(IF($Q11=3,1,0),IF($X11&lt;30,1,0))</formula>
    </cfRule>
    <cfRule type="expression" dxfId="17674" priority="131">
      <formula>AND(IF($Q11=3,1,IF($Q11=4,1,0)),IF($F11&lt;=85,1,0))</formula>
    </cfRule>
  </conditionalFormatting>
  <conditionalFormatting sqref="X11">
    <cfRule type="expression" dxfId="17673" priority="124">
      <formula>AND(IF(OR($Q11=1,$Q11=2),1,0),IF($X11&lt;=20,1,0))</formula>
    </cfRule>
    <cfRule type="expression" dxfId="17672" priority="125">
      <formula>AND(IF($Q11=2,1,0),IF($X11&lt;30,1,0))</formula>
    </cfRule>
    <cfRule type="expression" dxfId="17671" priority="126">
      <formula>AND(IF($Q11=3,1,0),IF($X11&lt;30,1,0))</formula>
    </cfRule>
    <cfRule type="expression" dxfId="17670" priority="127">
      <formula>AND(IF($Q11=3,1,IF($Q11=4,1,0)),IF($F11&lt;=85,1,0))</formula>
    </cfRule>
  </conditionalFormatting>
  <conditionalFormatting sqref="AI11">
    <cfRule type="expression" dxfId="17669" priority="120">
      <formula>AND(IF(OR($Q11=1,$Q11=2),1,0),IF($X11&lt;=20,1,0))</formula>
    </cfRule>
    <cfRule type="expression" dxfId="17668" priority="121">
      <formula>AND(IF($Q11=2,1,0),IF($X11&lt;30,1,0))</formula>
    </cfRule>
    <cfRule type="expression" dxfId="17667" priority="122">
      <formula>AND(IF($Q11=3,1,0),IF($X11&lt;30,1,0))</formula>
    </cfRule>
    <cfRule type="expression" dxfId="17666" priority="123">
      <formula>AND(IF($Q11=3,1,IF($Q11=4,1,0)),IF($F11&lt;=85,1,0))</formula>
    </cfRule>
  </conditionalFormatting>
  <conditionalFormatting sqref="AV12">
    <cfRule type="expression" dxfId="17665" priority="118">
      <formula>AV12="X"</formula>
    </cfRule>
    <cfRule type="expression" dxfId="17664" priority="119">
      <formula>AV12="후보"</formula>
    </cfRule>
  </conditionalFormatting>
  <conditionalFormatting sqref="AC12">
    <cfRule type="cellIs" dxfId="17663" priority="115" operator="greaterThan">
      <formula>0.9</formula>
    </cfRule>
    <cfRule type="cellIs" dxfId="17662" priority="116" operator="greaterThan">
      <formula>0.85</formula>
    </cfRule>
  </conditionalFormatting>
  <conditionalFormatting sqref="N12">
    <cfRule type="cellIs" dxfId="17661" priority="113" operator="greaterThan">
      <formula>0.9</formula>
    </cfRule>
    <cfRule type="cellIs" dxfId="17660" priority="114" operator="greaterThan">
      <formula>0.85</formula>
    </cfRule>
  </conditionalFormatting>
  <conditionalFormatting sqref="E12">
    <cfRule type="expression" dxfId="17659" priority="109">
      <formula>AND(IF(OR($Q12=1,$Q12=2),1,0),IF($X12&lt;=20,1,0))</formula>
    </cfRule>
    <cfRule type="expression" dxfId="17658" priority="110">
      <formula>AND(IF($Q12=2,1,0),IF($X12&lt;30,1,0))</formula>
    </cfRule>
    <cfRule type="expression" dxfId="17657" priority="111">
      <formula>AND(IF($Q12=3,1,0),IF($X12&lt;30,1,0))</formula>
    </cfRule>
    <cfRule type="expression" dxfId="17656" priority="112">
      <formula>AND(IF($Q12=3,1,IF($Q12=4,1,0)),IF($F12&lt;=85,1,0))</formula>
    </cfRule>
  </conditionalFormatting>
  <conditionalFormatting sqref="X12">
    <cfRule type="expression" dxfId="17655" priority="105">
      <formula>AND(IF(OR($Q12=1,$Q12=2),1,0),IF($X12&lt;=20,1,0))</formula>
    </cfRule>
    <cfRule type="expression" dxfId="17654" priority="106">
      <formula>AND(IF($Q12=2,1,0),IF($X12&lt;30,1,0))</formula>
    </cfRule>
    <cfRule type="expression" dxfId="17653" priority="107">
      <formula>AND(IF($Q12=3,1,0),IF($X12&lt;30,1,0))</formula>
    </cfRule>
    <cfRule type="expression" dxfId="17652" priority="108">
      <formula>AND(IF($Q12=3,1,IF($Q12=4,1,0)),IF($F12&lt;=85,1,0))</formula>
    </cfRule>
  </conditionalFormatting>
  <conditionalFormatting sqref="AI12">
    <cfRule type="expression" dxfId="17651" priority="101">
      <formula>AND(IF(OR($Q12=1,$Q12=2),1,0),IF($X12&lt;=20,1,0))</formula>
    </cfRule>
    <cfRule type="expression" dxfId="17650" priority="102">
      <formula>AND(IF($Q12=2,1,0),IF($X12&lt;30,1,0))</formula>
    </cfRule>
    <cfRule type="expression" dxfId="17649" priority="103">
      <formula>AND(IF($Q12=3,1,0),IF($X12&lt;30,1,0))</formula>
    </cfRule>
    <cfRule type="expression" dxfId="17648" priority="104">
      <formula>AND(IF($Q12=3,1,IF($Q12=4,1,0)),IF($F12&lt;=85,1,0))</formula>
    </cfRule>
  </conditionalFormatting>
  <conditionalFormatting sqref="AV13">
    <cfRule type="expression" dxfId="17647" priority="99">
      <formula>AV13="X"</formula>
    </cfRule>
    <cfRule type="expression" dxfId="17646" priority="100">
      <formula>AV13="후보"</formula>
    </cfRule>
  </conditionalFormatting>
  <conditionalFormatting sqref="AC13">
    <cfRule type="cellIs" dxfId="17645" priority="96" operator="greaterThan">
      <formula>0.9</formula>
    </cfRule>
    <cfRule type="cellIs" dxfId="17644" priority="97" operator="greaterThan">
      <formula>0.85</formula>
    </cfRule>
  </conditionalFormatting>
  <conditionalFormatting sqref="N13">
    <cfRule type="cellIs" dxfId="17643" priority="94" operator="greaterThan">
      <formula>0.9</formula>
    </cfRule>
    <cfRule type="cellIs" dxfId="17642" priority="95" operator="greaterThan">
      <formula>0.85</formula>
    </cfRule>
  </conditionalFormatting>
  <conditionalFormatting sqref="E13">
    <cfRule type="expression" dxfId="17641" priority="90">
      <formula>AND(IF(OR($Q13=1,$Q13=2),1,0),IF($X13&lt;=20,1,0))</formula>
    </cfRule>
    <cfRule type="expression" dxfId="17640" priority="91">
      <formula>AND(IF($Q13=2,1,0),IF($X13&lt;30,1,0))</formula>
    </cfRule>
    <cfRule type="expression" dxfId="17639" priority="92">
      <formula>AND(IF($Q13=3,1,0),IF($X13&lt;30,1,0))</formula>
    </cfRule>
    <cfRule type="expression" dxfId="17638" priority="93">
      <formula>AND(IF($Q13=3,1,IF($Q13=4,1,0)),IF($F13&lt;=85,1,0))</formula>
    </cfRule>
  </conditionalFormatting>
  <conditionalFormatting sqref="X13">
    <cfRule type="expression" dxfId="17637" priority="86">
      <formula>AND(IF(OR($Q13=1,$Q13=2),1,0),IF($X13&lt;=20,1,0))</formula>
    </cfRule>
    <cfRule type="expression" dxfId="17636" priority="87">
      <formula>AND(IF($Q13=2,1,0),IF($X13&lt;30,1,0))</formula>
    </cfRule>
    <cfRule type="expression" dxfId="17635" priority="88">
      <formula>AND(IF($Q13=3,1,0),IF($X13&lt;30,1,0))</formula>
    </cfRule>
    <cfRule type="expression" dxfId="17634" priority="89">
      <formula>AND(IF($Q13=3,1,IF($Q13=4,1,0)),IF($F13&lt;=85,1,0))</formula>
    </cfRule>
  </conditionalFormatting>
  <conditionalFormatting sqref="AI13">
    <cfRule type="expression" dxfId="17633" priority="82">
      <formula>AND(IF(OR($Q13=1,$Q13=2),1,0),IF($X13&lt;=20,1,0))</formula>
    </cfRule>
    <cfRule type="expression" dxfId="17632" priority="83">
      <formula>AND(IF($Q13=2,1,0),IF($X13&lt;30,1,0))</formula>
    </cfRule>
    <cfRule type="expression" dxfId="17631" priority="84">
      <formula>AND(IF($Q13=3,1,0),IF($X13&lt;30,1,0))</formula>
    </cfRule>
    <cfRule type="expression" dxfId="17630" priority="85">
      <formula>AND(IF($Q13=3,1,IF($Q13=4,1,0)),IF($F13&lt;=85,1,0))</formula>
    </cfRule>
  </conditionalFormatting>
  <conditionalFormatting sqref="AV14">
    <cfRule type="expression" dxfId="17629" priority="80">
      <formula>AV14="X"</formula>
    </cfRule>
    <cfRule type="expression" dxfId="17628" priority="81">
      <formula>AV14="후보"</formula>
    </cfRule>
  </conditionalFormatting>
  <conditionalFormatting sqref="AC14">
    <cfRule type="cellIs" dxfId="17627" priority="77" operator="greaterThan">
      <formula>0.9</formula>
    </cfRule>
    <cfRule type="cellIs" dxfId="17626" priority="78" operator="greaterThan">
      <formula>0.85</formula>
    </cfRule>
  </conditionalFormatting>
  <conditionalFormatting sqref="N14">
    <cfRule type="cellIs" dxfId="17625" priority="75" operator="greaterThan">
      <formula>0.9</formula>
    </cfRule>
    <cfRule type="cellIs" dxfId="17624" priority="76" operator="greaterThan">
      <formula>0.85</formula>
    </cfRule>
  </conditionalFormatting>
  <conditionalFormatting sqref="E14">
    <cfRule type="expression" dxfId="17623" priority="71">
      <formula>AND(IF(OR($Q14=1,$Q14=2),1,0),IF($X14&lt;=20,1,0))</formula>
    </cfRule>
    <cfRule type="expression" dxfId="17622" priority="72">
      <formula>AND(IF($Q14=2,1,0),IF($X14&lt;30,1,0))</formula>
    </cfRule>
    <cfRule type="expression" dxfId="17621" priority="73">
      <formula>AND(IF($Q14=3,1,0),IF($X14&lt;30,1,0))</formula>
    </cfRule>
    <cfRule type="expression" dxfId="17620" priority="74">
      <formula>AND(IF($Q14=3,1,IF($Q14=4,1,0)),IF($F14&lt;=85,1,0))</formula>
    </cfRule>
  </conditionalFormatting>
  <conditionalFormatting sqref="X14">
    <cfRule type="expression" dxfId="17619" priority="67">
      <formula>AND(IF(OR($Q14=1,$Q14=2),1,0),IF($X14&lt;=20,1,0))</formula>
    </cfRule>
    <cfRule type="expression" dxfId="17618" priority="68">
      <formula>AND(IF($Q14=2,1,0),IF($X14&lt;30,1,0))</formula>
    </cfRule>
    <cfRule type="expression" dxfId="17617" priority="69">
      <formula>AND(IF($Q14=3,1,0),IF($X14&lt;30,1,0))</formula>
    </cfRule>
    <cfRule type="expression" dxfId="17616" priority="70">
      <formula>AND(IF($Q14=3,1,IF($Q14=4,1,0)),IF($F14&lt;=85,1,0))</formula>
    </cfRule>
  </conditionalFormatting>
  <conditionalFormatting sqref="AI14">
    <cfRule type="expression" dxfId="17615" priority="63">
      <formula>AND(IF(OR($Q14=1,$Q14=2),1,0),IF($X14&lt;=20,1,0))</formula>
    </cfRule>
    <cfRule type="expression" dxfId="17614" priority="64">
      <formula>AND(IF($Q14=2,1,0),IF($X14&lt;30,1,0))</formula>
    </cfRule>
    <cfRule type="expression" dxfId="17613" priority="65">
      <formula>AND(IF($Q14=3,1,0),IF($X14&lt;30,1,0))</formula>
    </cfRule>
    <cfRule type="expression" dxfId="17612" priority="66">
      <formula>AND(IF($Q14=3,1,IF($Q14=4,1,0)),IF($F14&lt;=85,1,0))</formula>
    </cfRule>
  </conditionalFormatting>
  <conditionalFormatting sqref="AV15">
    <cfRule type="expression" dxfId="17611" priority="61">
      <formula>AV15="X"</formula>
    </cfRule>
    <cfRule type="expression" dxfId="17610" priority="62">
      <formula>AV15="후보"</formula>
    </cfRule>
  </conditionalFormatting>
  <conditionalFormatting sqref="AC15">
    <cfRule type="cellIs" dxfId="17609" priority="58" operator="greaterThan">
      <formula>0.9</formula>
    </cfRule>
    <cfRule type="cellIs" dxfId="17608" priority="59" operator="greaterThan">
      <formula>0.85</formula>
    </cfRule>
  </conditionalFormatting>
  <conditionalFormatting sqref="N15">
    <cfRule type="cellIs" dxfId="17607" priority="56" operator="greaterThan">
      <formula>0.9</formula>
    </cfRule>
    <cfRule type="cellIs" dxfId="17606" priority="57" operator="greaterThan">
      <formula>0.85</formula>
    </cfRule>
  </conditionalFormatting>
  <conditionalFormatting sqref="E15">
    <cfRule type="expression" dxfId="17605" priority="52">
      <formula>AND(IF(OR($Q15=1,$Q15=2),1,0),IF($X15&lt;=20,1,0))</formula>
    </cfRule>
    <cfRule type="expression" dxfId="17604" priority="53">
      <formula>AND(IF($Q15=2,1,0),IF($X15&lt;30,1,0))</formula>
    </cfRule>
    <cfRule type="expression" dxfId="17603" priority="54">
      <formula>AND(IF($Q15=3,1,0),IF($X15&lt;30,1,0))</formula>
    </cfRule>
    <cfRule type="expression" dxfId="17602" priority="55">
      <formula>AND(IF($Q15=3,1,IF($Q15=4,1,0)),IF($F15&lt;=85,1,0))</formula>
    </cfRule>
  </conditionalFormatting>
  <conditionalFormatting sqref="X15">
    <cfRule type="expression" dxfId="17601" priority="48">
      <formula>AND(IF(OR($Q15=1,$Q15=2),1,0),IF($X15&lt;=20,1,0))</formula>
    </cfRule>
    <cfRule type="expression" dxfId="17600" priority="49">
      <formula>AND(IF($Q15=2,1,0),IF($X15&lt;30,1,0))</formula>
    </cfRule>
    <cfRule type="expression" dxfId="17599" priority="50">
      <formula>AND(IF($Q15=3,1,0),IF($X15&lt;30,1,0))</formula>
    </cfRule>
    <cfRule type="expression" dxfId="17598" priority="51">
      <formula>AND(IF($Q15=3,1,IF($Q15=4,1,0)),IF($F15&lt;=85,1,0))</formula>
    </cfRule>
  </conditionalFormatting>
  <conditionalFormatting sqref="AI15">
    <cfRule type="expression" dxfId="17597" priority="44">
      <formula>AND(IF(OR($Q15=1,$Q15=2),1,0),IF($X15&lt;=20,1,0))</formula>
    </cfRule>
    <cfRule type="expression" dxfId="17596" priority="45">
      <formula>AND(IF($Q15=2,1,0),IF($X15&lt;30,1,0))</formula>
    </cfRule>
    <cfRule type="expression" dxfId="17595" priority="46">
      <formula>AND(IF($Q15=3,1,0),IF($X15&lt;30,1,0))</formula>
    </cfRule>
    <cfRule type="expression" dxfId="17594" priority="47">
      <formula>AND(IF($Q15=3,1,IF($Q15=4,1,0)),IF($F15&lt;=85,1,0))</formula>
    </cfRule>
  </conditionalFormatting>
  <conditionalFormatting sqref="AV16">
    <cfRule type="expression" dxfId="17593" priority="42">
      <formula>AV16="X"</formula>
    </cfRule>
    <cfRule type="expression" dxfId="17592" priority="43">
      <formula>AV16="후보"</formula>
    </cfRule>
  </conditionalFormatting>
  <conditionalFormatting sqref="AC16">
    <cfRule type="cellIs" dxfId="17591" priority="39" operator="greaterThan">
      <formula>0.9</formula>
    </cfRule>
    <cfRule type="cellIs" dxfId="17590" priority="40" operator="greaterThan">
      <formula>0.85</formula>
    </cfRule>
  </conditionalFormatting>
  <conditionalFormatting sqref="N16">
    <cfRule type="cellIs" dxfId="17589" priority="37" operator="greaterThan">
      <formula>0.9</formula>
    </cfRule>
    <cfRule type="cellIs" dxfId="17588" priority="38" operator="greaterThan">
      <formula>0.85</formula>
    </cfRule>
  </conditionalFormatting>
  <conditionalFormatting sqref="E16">
    <cfRule type="expression" dxfId="17587" priority="33">
      <formula>AND(IF(OR($Q16=1,$Q16=2),1,0),IF($X16&lt;=20,1,0))</formula>
    </cfRule>
    <cfRule type="expression" dxfId="17586" priority="34">
      <formula>AND(IF($Q16=2,1,0),IF($X16&lt;30,1,0))</formula>
    </cfRule>
    <cfRule type="expression" dxfId="17585" priority="35">
      <formula>AND(IF($Q16=3,1,0),IF($X16&lt;30,1,0))</formula>
    </cfRule>
    <cfRule type="expression" dxfId="17584" priority="36">
      <formula>AND(IF($Q16=3,1,IF($Q16=4,1,0)),IF($F16&lt;=85,1,0))</formula>
    </cfRule>
  </conditionalFormatting>
  <conditionalFormatting sqref="X16">
    <cfRule type="expression" dxfId="17583" priority="29">
      <formula>AND(IF(OR($Q16=1,$Q16=2),1,0),IF($X16&lt;=20,1,0))</formula>
    </cfRule>
    <cfRule type="expression" dxfId="17582" priority="30">
      <formula>AND(IF($Q16=2,1,0),IF($X16&lt;30,1,0))</formula>
    </cfRule>
    <cfRule type="expression" dxfId="17581" priority="31">
      <formula>AND(IF($Q16=3,1,0),IF($X16&lt;30,1,0))</formula>
    </cfRule>
    <cfRule type="expression" dxfId="17580" priority="32">
      <formula>AND(IF($Q16=3,1,IF($Q16=4,1,0)),IF($F16&lt;=85,1,0))</formula>
    </cfRule>
  </conditionalFormatting>
  <conditionalFormatting sqref="AI16">
    <cfRule type="expression" dxfId="17579" priority="25">
      <formula>AND(IF(OR($Q16=1,$Q16=2),1,0),IF($X16&lt;=20,1,0))</formula>
    </cfRule>
    <cfRule type="expression" dxfId="17578" priority="26">
      <formula>AND(IF($Q16=2,1,0),IF($X16&lt;30,1,0))</formula>
    </cfRule>
    <cfRule type="expression" dxfId="17577" priority="27">
      <formula>AND(IF($Q16=3,1,0),IF($X16&lt;30,1,0))</formula>
    </cfRule>
    <cfRule type="expression" dxfId="17576" priority="28">
      <formula>AND(IF($Q16=3,1,IF($Q16=4,1,0)),IF($F16&lt;=85,1,0))</formula>
    </cfRule>
  </conditionalFormatting>
  <conditionalFormatting sqref="AV17">
    <cfRule type="expression" dxfId="17575" priority="23">
      <formula>AV17="X"</formula>
    </cfRule>
    <cfRule type="expression" dxfId="17574" priority="24">
      <formula>AV17="후보"</formula>
    </cfRule>
  </conditionalFormatting>
  <conditionalFormatting sqref="AC17 N17">
    <cfRule type="cellIs" dxfId="17573" priority="20" operator="greaterThan">
      <formula>0.9</formula>
    </cfRule>
    <cfRule type="cellIs" dxfId="17572" priority="21" operator="greaterThan">
      <formula>0.85</formula>
    </cfRule>
  </conditionalFormatting>
  <conditionalFormatting sqref="AV18">
    <cfRule type="expression" dxfId="17571" priority="18">
      <formula>AV18="X"</formula>
    </cfRule>
    <cfRule type="expression" dxfId="17570" priority="19">
      <formula>AV18="후보"</formula>
    </cfRule>
  </conditionalFormatting>
  <conditionalFormatting sqref="AC18">
    <cfRule type="cellIs" dxfId="17569" priority="15" operator="greaterThan">
      <formula>0.9</formula>
    </cfRule>
    <cfRule type="cellIs" dxfId="17568" priority="16" operator="greaterThan">
      <formula>0.85</formula>
    </cfRule>
  </conditionalFormatting>
  <conditionalFormatting sqref="N18">
    <cfRule type="cellIs" dxfId="17567" priority="13" operator="greaterThan">
      <formula>0.9</formula>
    </cfRule>
    <cfRule type="cellIs" dxfId="17566" priority="14" operator="greaterThan">
      <formula>0.85</formula>
    </cfRule>
  </conditionalFormatting>
  <conditionalFormatting sqref="E18">
    <cfRule type="expression" dxfId="17565" priority="9">
      <formula>AND(IF(OR($Q18=1,$Q18=2),1,0),IF($X18&lt;=20,1,0))</formula>
    </cfRule>
    <cfRule type="expression" dxfId="17564" priority="10">
      <formula>AND(IF($Q18=2,1,0),IF($X18&lt;30,1,0))</formula>
    </cfRule>
    <cfRule type="expression" dxfId="17563" priority="11">
      <formula>AND(IF($Q18=3,1,0),IF($X18&lt;30,1,0))</formula>
    </cfRule>
    <cfRule type="expression" dxfId="17562" priority="12">
      <formula>AND(IF($Q18=3,1,IF($Q18=4,1,0)),IF($F18&lt;=85,1,0))</formula>
    </cfRule>
  </conditionalFormatting>
  <conditionalFormatting sqref="X18">
    <cfRule type="expression" dxfId="17561" priority="5">
      <formula>AND(IF(OR($Q18=1,$Q18=2),1,0),IF($X18&lt;=20,1,0))</formula>
    </cfRule>
    <cfRule type="expression" dxfId="17560" priority="6">
      <formula>AND(IF($Q18=2,1,0),IF($X18&lt;30,1,0))</formula>
    </cfRule>
    <cfRule type="expression" dxfId="17559" priority="7">
      <formula>AND(IF($Q18=3,1,0),IF($X18&lt;30,1,0))</formula>
    </cfRule>
    <cfRule type="expression" dxfId="17558" priority="8">
      <formula>AND(IF($Q18=3,1,IF($Q18=4,1,0)),IF($F18&lt;=85,1,0))</formula>
    </cfRule>
  </conditionalFormatting>
  <conditionalFormatting sqref="AI18">
    <cfRule type="expression" dxfId="17557" priority="1">
      <formula>AND(IF(OR($Q18=1,$Q18=2),1,0),IF($X18&lt;=20,1,0))</formula>
    </cfRule>
    <cfRule type="expression" dxfId="17556" priority="2">
      <formula>AND(IF($Q18=2,1,0),IF($X18&lt;30,1,0))</formula>
    </cfRule>
    <cfRule type="expression" dxfId="17555" priority="3">
      <formula>AND(IF($Q18=3,1,0),IF($X18&lt;30,1,0))</formula>
    </cfRule>
    <cfRule type="expression" dxfId="17554" priority="4">
      <formula>AND(IF($Q18=3,1,IF($Q18=4,1,0)),IF($F18&lt;=85,1,0))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>
    <pageSetUpPr fitToPage="1"/>
  </sheetPr>
  <dimension ref="A1:AV1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0" sqref="A10:XFD10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5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0" width="9" style="37" customWidth="1"/>
    <col min="51" max="16384" width="9" style="37"/>
  </cols>
  <sheetData>
    <row r="1" spans="1:48" ht="17.25" customHeight="1" x14ac:dyDescent="0.3">
      <c r="A1" s="7" t="str">
        <f>단지추출!A1</f>
        <v>인천광역시 연수구</v>
      </c>
      <c r="I1" s="42" t="s">
        <v>1827</v>
      </c>
      <c r="X1" s="37" t="s">
        <v>5</v>
      </c>
      <c r="Y1" s="37"/>
      <c r="AA1" s="39">
        <f>단지추출!AA1</f>
        <v>70000</v>
      </c>
      <c r="AH1" s="7" t="str">
        <f>A1</f>
        <v>인천광역시 연수구</v>
      </c>
      <c r="AJ1" s="117" t="str">
        <f>A1&amp;" 전체 등급"</f>
        <v>인천광역시 연수구 전체 등급</v>
      </c>
      <c r="AK1" s="118"/>
      <c r="AL1" s="118"/>
      <c r="AM1" s="118"/>
      <c r="AN1" s="119"/>
      <c r="AO1" s="22">
        <f>단지추출!AO1</f>
        <v>80</v>
      </c>
      <c r="AP1" s="22">
        <f>단지추출!AP1</f>
        <v>50000</v>
      </c>
      <c r="AQ1" s="22">
        <f>단지추출!AQ1</f>
        <v>15000</v>
      </c>
      <c r="AR1" s="22">
        <f>단지추출!AR1</f>
        <v>5000</v>
      </c>
      <c r="AS1" s="2"/>
      <c r="AT1" s="2"/>
      <c r="AU1" s="22">
        <f>단지추출!AU1</f>
        <v>300</v>
      </c>
    </row>
    <row r="2" spans="1:48" x14ac:dyDescent="0.3">
      <c r="A2" s="80">
        <f>단지추출!A2</f>
        <v>44197</v>
      </c>
      <c r="W2" s="38"/>
      <c r="X2" s="38" t="s">
        <v>10</v>
      </c>
      <c r="Y2" s="38"/>
      <c r="AA2" s="39">
        <f>단지추출!AA2</f>
        <v>10000</v>
      </c>
      <c r="AH2" s="18" t="str">
        <f>AH1 &amp;" " &amp;A4</f>
        <v>인천광역시 연수구 중인동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4" t="s">
        <v>15</v>
      </c>
      <c r="AP2" s="65"/>
      <c r="AQ2" s="66"/>
      <c r="AR2" s="64" t="s">
        <v>16</v>
      </c>
      <c r="AS2" s="66"/>
      <c r="AT2" s="64" t="s">
        <v>17</v>
      </c>
      <c r="AU2" s="66"/>
      <c r="AV2" s="40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1828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106" t="s">
        <v>27</v>
      </c>
      <c r="Z3" s="12" t="s">
        <v>41</v>
      </c>
      <c r="AA3" s="12" t="s">
        <v>42</v>
      </c>
      <c r="AB3" s="12" t="s">
        <v>1828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10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(5억↓)</v>
      </c>
      <c r="AQ3" s="11" t="str">
        <f>"지역평단가
("&amp;AQ1&amp;"↓)"</f>
        <v>지역평단가
(15000↓)</v>
      </c>
      <c r="AR3" s="11" t="str">
        <f>"투자규모★
(갭"&amp;AR1/1000&amp;"천↓)"</f>
        <v>투자규모★
(갭5천↓)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1" t="s">
        <v>18</v>
      </c>
    </row>
    <row r="4" spans="1:48" x14ac:dyDescent="0.3">
      <c r="A4" s="8" t="s">
        <v>1061</v>
      </c>
      <c r="B4" s="76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07"/>
      <c r="R4" s="107"/>
      <c r="S4" s="76"/>
      <c r="T4" s="5"/>
      <c r="U4" s="9"/>
      <c r="W4" s="9"/>
      <c r="X4" s="9"/>
      <c r="Y4" s="91"/>
      <c r="Z4" s="9"/>
      <c r="AA4" s="9"/>
      <c r="AB4" s="9"/>
      <c r="AC4" s="9"/>
      <c r="AD4" s="9"/>
      <c r="AE4" s="76"/>
      <c r="AF4" s="5"/>
      <c r="AH4" s="20"/>
      <c r="AI4" s="108" t="str">
        <f t="shared" si="0"/>
        <v/>
      </c>
      <c r="AJ4" s="76"/>
      <c r="AK4" s="76"/>
      <c r="AL4" s="76"/>
      <c r="AM4" s="76"/>
      <c r="AN4" s="76"/>
      <c r="AO4" s="76"/>
      <c r="AP4" s="76"/>
      <c r="AQ4" s="76"/>
      <c r="AR4" s="76"/>
      <c r="AS4" s="76"/>
      <c r="AT4" s="76"/>
      <c r="AU4" s="76"/>
      <c r="AV4" s="76"/>
    </row>
    <row r="5" spans="1:48" x14ac:dyDescent="0.3">
      <c r="A5" s="9"/>
      <c r="B5" s="76"/>
      <c r="C5" s="6"/>
      <c r="D5" s="9"/>
      <c r="E5" s="14"/>
      <c r="F5" s="85"/>
      <c r="G5" s="9"/>
      <c r="H5" s="9"/>
      <c r="I5" s="9"/>
      <c r="J5" s="9"/>
      <c r="K5" s="9"/>
      <c r="L5" s="9"/>
      <c r="M5" s="9"/>
      <c r="N5" s="9"/>
      <c r="O5" s="90"/>
      <c r="P5" s="90"/>
      <c r="Q5" s="86"/>
      <c r="R5" s="86"/>
      <c r="S5" s="9"/>
      <c r="T5" s="47"/>
      <c r="U5" s="9"/>
      <c r="W5" s="67" t="str">
        <f>$A$4&amp;" "&amp;A6&amp;"("&amp;B6&amp;","&amp;C6&amp;"^)"</f>
        <v>중인동 옥성골든카운티('13.05.,446^)</v>
      </c>
      <c r="X5" s="68"/>
      <c r="Y5" s="68"/>
      <c r="Z5" s="68"/>
      <c r="AA5" s="68"/>
      <c r="AB5" s="68"/>
      <c r="AC5" s="68"/>
      <c r="AD5" s="68"/>
      <c r="AE5" s="68"/>
      <c r="AF5" s="69"/>
      <c r="AH5" s="20" t="str">
        <f t="shared" ref="AH5:AH10" si="1">IF(A5="","",A5)</f>
        <v/>
      </c>
      <c r="AI5" s="108" t="str">
        <f t="shared" si="0"/>
        <v/>
      </c>
      <c r="AJ5" s="76"/>
      <c r="AK5" s="76"/>
      <c r="AL5" s="76"/>
      <c r="AM5" s="76"/>
      <c r="AN5" s="76"/>
      <c r="AO5" s="76"/>
      <c r="AP5" s="76"/>
      <c r="AQ5" s="76"/>
      <c r="AR5" s="76"/>
      <c r="AS5" s="76"/>
      <c r="AT5" s="76"/>
      <c r="AU5" s="76"/>
      <c r="AV5" s="76"/>
    </row>
    <row r="6" spans="1:48" x14ac:dyDescent="0.3">
      <c r="A6" s="9" t="s">
        <v>1057</v>
      </c>
      <c r="B6" s="10" t="s">
        <v>1877</v>
      </c>
      <c r="C6" s="87">
        <v>446</v>
      </c>
      <c r="D6" s="85">
        <v>64</v>
      </c>
      <c r="E6" s="86">
        <v>19</v>
      </c>
      <c r="F6" s="85">
        <v>48.4</v>
      </c>
      <c r="G6" s="17">
        <v>15</v>
      </c>
      <c r="H6" s="87">
        <v>56</v>
      </c>
      <c r="I6" s="88">
        <v>13500</v>
      </c>
      <c r="J6" s="88" t="s">
        <v>89</v>
      </c>
      <c r="K6" s="88"/>
      <c r="L6" s="88"/>
      <c r="M6" s="89">
        <f>I6-K6</f>
        <v>13500</v>
      </c>
      <c r="N6" s="4">
        <f>IF(ISERROR(K6/I6),"",K6/I6)</f>
        <v>0</v>
      </c>
      <c r="O6" s="90">
        <f>I6/E6</f>
        <v>710.52631578947364</v>
      </c>
      <c r="P6" s="90">
        <f>K6/E6</f>
        <v>0</v>
      </c>
      <c r="Q6" s="76">
        <v>2</v>
      </c>
      <c r="R6" s="76">
        <v>1</v>
      </c>
      <c r="S6" s="76" t="s">
        <v>61</v>
      </c>
      <c r="T6" s="5">
        <v>64</v>
      </c>
      <c r="U6" s="9"/>
      <c r="W6" s="85">
        <f t="shared" ref="W6:X10" si="2">D6</f>
        <v>64</v>
      </c>
      <c r="X6" s="86">
        <f t="shared" si="2"/>
        <v>19</v>
      </c>
      <c r="Y6" s="91">
        <f t="shared" ref="Y6:Z10" si="3">H6</f>
        <v>56</v>
      </c>
      <c r="Z6" s="89">
        <f t="shared" si="3"/>
        <v>13500</v>
      </c>
      <c r="AA6" s="89">
        <f>K6</f>
        <v>0</v>
      </c>
      <c r="AB6" s="89">
        <f t="shared" ref="AB6:AD10" si="4">M6</f>
        <v>13500</v>
      </c>
      <c r="AC6" s="4">
        <f t="shared" si="4"/>
        <v>0</v>
      </c>
      <c r="AD6" s="90">
        <f t="shared" si="4"/>
        <v>710.52631578947364</v>
      </c>
      <c r="AE6" s="76" t="str">
        <f>S6</f>
        <v>계</v>
      </c>
      <c r="AF6" s="76" t="str">
        <f>Q6&amp;"/"&amp;R6</f>
        <v>2/1</v>
      </c>
      <c r="AH6" s="20" t="str">
        <f t="shared" si="1"/>
        <v>옥성골든카운티</v>
      </c>
      <c r="AI6" s="86">
        <f t="shared" si="0"/>
        <v>19</v>
      </c>
      <c r="AJ6" s="76" t="str">
        <f>IF(AI6="","",$AJ$2)</f>
        <v>A-</v>
      </c>
      <c r="AK6" s="76" t="s">
        <v>13</v>
      </c>
      <c r="AL6" s="76" t="s">
        <v>62</v>
      </c>
      <c r="AM6" s="76" t="s">
        <v>63</v>
      </c>
      <c r="AN6" s="76" t="str">
        <f>IF(AI6="","",$AN$2)</f>
        <v>C</v>
      </c>
      <c r="AO6" s="76" t="str">
        <f>IF(N6="","",IF(N6&gt;=$AO$1/100,"O","X"))</f>
        <v>X</v>
      </c>
      <c r="AP6" s="76" t="str">
        <f>IF(I6="","",IF(I6&lt;=$AP$1,"O","X"))</f>
        <v>O</v>
      </c>
      <c r="AQ6" s="76" t="str">
        <f>IF(O6="","",IF(O6&lt;=$AQ$1,"O","X"))</f>
        <v>O</v>
      </c>
      <c r="AR6" s="76" t="str">
        <f>IF(M6="","",IF(M6&lt;=$AR$1,"O","X"))</f>
        <v>X</v>
      </c>
      <c r="AS6" s="76" t="s">
        <v>2</v>
      </c>
      <c r="AT6" s="76" t="str">
        <f>IF(OR(F6="",AI6=""),"",IF(AND((F6&lt;=85),(AI6&gt;=15)),"O","X"))</f>
        <v>O</v>
      </c>
      <c r="AU6" s="76" t="str">
        <f>IF(C6="","",IF(C6&gt;=$AU$1,"O","X"))</f>
        <v>O</v>
      </c>
      <c r="AV6" s="76" t="str">
        <f>IF(AO6="","",IF(AND(AO6="O",AP6="O",AR6="O",AT6="O",AU6="O"),"후보","X"))</f>
        <v>X</v>
      </c>
    </row>
    <row r="7" spans="1:48" x14ac:dyDescent="0.3">
      <c r="A7" s="9" t="s">
        <v>1057</v>
      </c>
      <c r="B7" s="10" t="s">
        <v>1877</v>
      </c>
      <c r="C7" s="87">
        <v>446</v>
      </c>
      <c r="D7" s="85">
        <v>91.5</v>
      </c>
      <c r="E7" s="86">
        <v>28</v>
      </c>
      <c r="F7" s="85">
        <v>70.2</v>
      </c>
      <c r="G7" s="17">
        <v>21</v>
      </c>
      <c r="H7" s="87">
        <v>84</v>
      </c>
      <c r="I7" s="88"/>
      <c r="J7" s="88"/>
      <c r="K7" s="88"/>
      <c r="L7" s="88"/>
      <c r="M7" s="89">
        <f>I7-K7</f>
        <v>0</v>
      </c>
      <c r="N7" s="4" t="str">
        <f>IF(ISERROR(K7/I7),"",K7/I7)</f>
        <v/>
      </c>
      <c r="O7" s="90">
        <f>I7/E7</f>
        <v>0</v>
      </c>
      <c r="P7" s="90">
        <f>K7/E7</f>
        <v>0</v>
      </c>
      <c r="Q7" s="76">
        <v>3</v>
      </c>
      <c r="R7" s="76">
        <v>2</v>
      </c>
      <c r="S7" s="76" t="s">
        <v>61</v>
      </c>
      <c r="T7" s="5">
        <v>91</v>
      </c>
      <c r="U7" s="9"/>
      <c r="W7" s="85">
        <f t="shared" si="2"/>
        <v>91.5</v>
      </c>
      <c r="X7" s="86">
        <f t="shared" si="2"/>
        <v>28</v>
      </c>
      <c r="Y7" s="91">
        <f t="shared" si="3"/>
        <v>84</v>
      </c>
      <c r="Z7" s="89">
        <f t="shared" si="3"/>
        <v>0</v>
      </c>
      <c r="AA7" s="89">
        <f>K7</f>
        <v>0</v>
      </c>
      <c r="AB7" s="89">
        <f t="shared" si="4"/>
        <v>0</v>
      </c>
      <c r="AC7" s="4" t="str">
        <f t="shared" si="4"/>
        <v/>
      </c>
      <c r="AD7" s="90">
        <f t="shared" si="4"/>
        <v>0</v>
      </c>
      <c r="AE7" s="76" t="str">
        <f>S7</f>
        <v>계</v>
      </c>
      <c r="AF7" s="76" t="str">
        <f>Q7&amp;"/"&amp;R7</f>
        <v>3/2</v>
      </c>
      <c r="AH7" s="20" t="str">
        <f t="shared" si="1"/>
        <v>옥성골든카운티</v>
      </c>
      <c r="AI7" s="86">
        <f t="shared" si="0"/>
        <v>28</v>
      </c>
      <c r="AJ7" s="76" t="str">
        <f>IF(AI7="","",$AJ$2)</f>
        <v>A-</v>
      </c>
      <c r="AK7" s="76" t="s">
        <v>13</v>
      </c>
      <c r="AL7" s="76" t="s">
        <v>62</v>
      </c>
      <c r="AM7" s="76" t="s">
        <v>63</v>
      </c>
      <c r="AN7" s="76" t="str">
        <f>IF(AI7="","",$AN$2)</f>
        <v>C</v>
      </c>
      <c r="AO7" s="76" t="str">
        <f>IF(N7="","",IF(N7&gt;=$AO$1/100,"O","X"))</f>
        <v/>
      </c>
      <c r="AP7" s="76" t="str">
        <f>IF(I7="","",IF(I7&lt;=$AP$1,"O","X"))</f>
        <v/>
      </c>
      <c r="AQ7" s="76" t="str">
        <f>IF(O7="","",IF(O7&lt;=$AQ$1,"O","X"))</f>
        <v>O</v>
      </c>
      <c r="AR7" s="76" t="str">
        <f>IF(M7="","",IF(M7&lt;=$AR$1,"O","X"))</f>
        <v>O</v>
      </c>
      <c r="AS7" s="76" t="s">
        <v>2</v>
      </c>
      <c r="AT7" s="76" t="str">
        <f>IF(OR(F7="",AI7=""),"",IF(AND((F7&lt;=85),(AI7&gt;=15)),"O","X"))</f>
        <v>O</v>
      </c>
      <c r="AU7" s="76" t="str">
        <f>IF(C7="","",IF(C7&gt;=$AU$1,"O","X"))</f>
        <v>O</v>
      </c>
      <c r="AV7" s="76" t="str">
        <f>IF(AO7="","",IF(AND(AO7="O",AP7="O",AR7="O",AT7="O",AU7="O"),"후보","X"))</f>
        <v/>
      </c>
    </row>
    <row r="8" spans="1:48" x14ac:dyDescent="0.3">
      <c r="A8" s="9" t="s">
        <v>1057</v>
      </c>
      <c r="B8" s="10" t="s">
        <v>1877</v>
      </c>
      <c r="C8" s="87">
        <v>446</v>
      </c>
      <c r="D8" s="85">
        <v>103.4</v>
      </c>
      <c r="E8" s="86">
        <v>31</v>
      </c>
      <c r="F8" s="85">
        <v>84.7</v>
      </c>
      <c r="G8" s="17">
        <v>26</v>
      </c>
      <c r="H8" s="87">
        <v>90</v>
      </c>
      <c r="I8" s="88">
        <v>21500</v>
      </c>
      <c r="J8" s="88" t="s">
        <v>89</v>
      </c>
      <c r="K8" s="88"/>
      <c r="L8" s="88"/>
      <c r="M8" s="89">
        <f>I8-K8</f>
        <v>21500</v>
      </c>
      <c r="N8" s="4">
        <f>IF(ISERROR(K8/I8),"",K8/I8)</f>
        <v>0</v>
      </c>
      <c r="O8" s="90">
        <f>I8/E8</f>
        <v>693.54838709677415</v>
      </c>
      <c r="P8" s="90">
        <f>K8/E8</f>
        <v>0</v>
      </c>
      <c r="Q8" s="76">
        <v>3</v>
      </c>
      <c r="R8" s="76">
        <v>2</v>
      </c>
      <c r="S8" s="76" t="s">
        <v>61</v>
      </c>
      <c r="T8" s="5" t="s">
        <v>226</v>
      </c>
      <c r="U8" s="9"/>
      <c r="W8" s="85">
        <f t="shared" si="2"/>
        <v>103.4</v>
      </c>
      <c r="X8" s="86">
        <f t="shared" si="2"/>
        <v>31</v>
      </c>
      <c r="Y8" s="91">
        <f t="shared" si="3"/>
        <v>90</v>
      </c>
      <c r="Z8" s="89">
        <f t="shared" si="3"/>
        <v>21500</v>
      </c>
      <c r="AA8" s="89">
        <f>K8</f>
        <v>0</v>
      </c>
      <c r="AB8" s="89">
        <f t="shared" si="4"/>
        <v>21500</v>
      </c>
      <c r="AC8" s="4">
        <f t="shared" si="4"/>
        <v>0</v>
      </c>
      <c r="AD8" s="90">
        <f t="shared" si="4"/>
        <v>693.54838709677415</v>
      </c>
      <c r="AE8" s="76" t="str">
        <f>S8</f>
        <v>계</v>
      </c>
      <c r="AF8" s="76" t="str">
        <f>Q8&amp;"/"&amp;R8</f>
        <v>3/2</v>
      </c>
      <c r="AH8" s="20" t="str">
        <f t="shared" si="1"/>
        <v>옥성골든카운티</v>
      </c>
      <c r="AI8" s="86">
        <f t="shared" si="0"/>
        <v>31</v>
      </c>
      <c r="AJ8" s="76" t="str">
        <f>IF(AI8="","",$AJ$2)</f>
        <v>A-</v>
      </c>
      <c r="AK8" s="76" t="s">
        <v>13</v>
      </c>
      <c r="AL8" s="76" t="s">
        <v>62</v>
      </c>
      <c r="AM8" s="76" t="s">
        <v>63</v>
      </c>
      <c r="AN8" s="76" t="str">
        <f>IF(AI8="","",$AN$2)</f>
        <v>C</v>
      </c>
      <c r="AO8" s="76" t="str">
        <f>IF(N8="","",IF(N8&gt;=$AO$1/100,"O","X"))</f>
        <v>X</v>
      </c>
      <c r="AP8" s="76" t="str">
        <f>IF(I8="","",IF(I8&lt;=$AP$1,"O","X"))</f>
        <v>O</v>
      </c>
      <c r="AQ8" s="76" t="str">
        <f>IF(O8="","",IF(O8&lt;=$AQ$1,"O","X"))</f>
        <v>O</v>
      </c>
      <c r="AR8" s="76" t="str">
        <f>IF(M8="","",IF(M8&lt;=$AR$1,"O","X"))</f>
        <v>X</v>
      </c>
      <c r="AS8" s="76" t="s">
        <v>2</v>
      </c>
      <c r="AT8" s="76" t="str">
        <f>IF(OR(F8="",AI8=""),"",IF(AND((F8&lt;=85),(AI8&gt;=15)),"O","X"))</f>
        <v>O</v>
      </c>
      <c r="AU8" s="76" t="str">
        <f>IF(C8="","",IF(C8&gt;=$AU$1,"O","X"))</f>
        <v>O</v>
      </c>
      <c r="AV8" s="76" t="str">
        <f>IF(AO8="","",IF(AND(AO8="O",AP8="O",AR8="O",AT8="O",AU8="O"),"후보","X"))</f>
        <v>X</v>
      </c>
    </row>
    <row r="9" spans="1:48" x14ac:dyDescent="0.3">
      <c r="A9" s="9" t="s">
        <v>1057</v>
      </c>
      <c r="B9" s="10" t="s">
        <v>1877</v>
      </c>
      <c r="C9" s="87">
        <v>446</v>
      </c>
      <c r="D9" s="85">
        <v>103.7</v>
      </c>
      <c r="E9" s="86">
        <v>31</v>
      </c>
      <c r="F9" s="85">
        <v>84.9</v>
      </c>
      <c r="G9" s="17">
        <v>26</v>
      </c>
      <c r="H9" s="87">
        <v>90</v>
      </c>
      <c r="I9" s="88"/>
      <c r="J9" s="88"/>
      <c r="K9" s="88"/>
      <c r="L9" s="88"/>
      <c r="M9" s="89">
        <f>I9-K9</f>
        <v>0</v>
      </c>
      <c r="N9" s="4" t="str">
        <f>IF(ISERROR(K9/I9),"",K9/I9)</f>
        <v/>
      </c>
      <c r="O9" s="90">
        <f>I9/E9</f>
        <v>0</v>
      </c>
      <c r="P9" s="90">
        <f>K9/E9</f>
        <v>0</v>
      </c>
      <c r="Q9" s="76">
        <v>3</v>
      </c>
      <c r="R9" s="76">
        <v>2</v>
      </c>
      <c r="S9" s="76" t="s">
        <v>61</v>
      </c>
      <c r="T9" s="5" t="s">
        <v>227</v>
      </c>
      <c r="U9" s="9"/>
      <c r="W9" s="85">
        <f t="shared" si="2"/>
        <v>103.7</v>
      </c>
      <c r="X9" s="86">
        <f t="shared" si="2"/>
        <v>31</v>
      </c>
      <c r="Y9" s="91">
        <f t="shared" si="3"/>
        <v>90</v>
      </c>
      <c r="Z9" s="89">
        <f t="shared" si="3"/>
        <v>0</v>
      </c>
      <c r="AA9" s="89">
        <f>K9</f>
        <v>0</v>
      </c>
      <c r="AB9" s="89">
        <f t="shared" si="4"/>
        <v>0</v>
      </c>
      <c r="AC9" s="4" t="str">
        <f t="shared" si="4"/>
        <v/>
      </c>
      <c r="AD9" s="90">
        <f t="shared" si="4"/>
        <v>0</v>
      </c>
      <c r="AE9" s="76" t="str">
        <f>S9</f>
        <v>계</v>
      </c>
      <c r="AF9" s="76" t="str">
        <f>Q9&amp;"/"&amp;R9</f>
        <v>3/2</v>
      </c>
      <c r="AH9" s="20" t="str">
        <f t="shared" si="1"/>
        <v>옥성골든카운티</v>
      </c>
      <c r="AI9" s="86">
        <f t="shared" si="0"/>
        <v>31</v>
      </c>
      <c r="AJ9" s="76" t="str">
        <f>IF(AI9="","",$AJ$2)</f>
        <v>A-</v>
      </c>
      <c r="AK9" s="76" t="s">
        <v>13</v>
      </c>
      <c r="AL9" s="76" t="s">
        <v>62</v>
      </c>
      <c r="AM9" s="76" t="s">
        <v>63</v>
      </c>
      <c r="AN9" s="76" t="str">
        <f>IF(AI9="","",$AN$2)</f>
        <v>C</v>
      </c>
      <c r="AO9" s="76" t="str">
        <f>IF(N9="","",IF(N9&gt;=$AO$1/100,"O","X"))</f>
        <v/>
      </c>
      <c r="AP9" s="76" t="str">
        <f>IF(I9="","",IF(I9&lt;=$AP$1,"O","X"))</f>
        <v/>
      </c>
      <c r="AQ9" s="76" t="str">
        <f>IF(O9="","",IF(O9&lt;=$AQ$1,"O","X"))</f>
        <v>O</v>
      </c>
      <c r="AR9" s="76" t="str">
        <f>IF(M9="","",IF(M9&lt;=$AR$1,"O","X"))</f>
        <v>O</v>
      </c>
      <c r="AS9" s="76" t="s">
        <v>2</v>
      </c>
      <c r="AT9" s="76" t="str">
        <f>IF(OR(F9="",AI9=""),"",IF(AND((F9&lt;=85),(AI9&gt;=15)),"O","X"))</f>
        <v>O</v>
      </c>
      <c r="AU9" s="76" t="str">
        <f>IF(C9="","",IF(C9&gt;=$AU$1,"O","X"))</f>
        <v>O</v>
      </c>
      <c r="AV9" s="76" t="str">
        <f>IF(AO9="","",IF(AND(AO9="O",AP9="O",AR9="O",AT9="O",AU9="O"),"후보","X"))</f>
        <v/>
      </c>
    </row>
    <row r="10" spans="1:48" x14ac:dyDescent="0.3">
      <c r="A10" s="9" t="s">
        <v>1057</v>
      </c>
      <c r="B10" s="10" t="s">
        <v>1877</v>
      </c>
      <c r="C10" s="87">
        <v>446</v>
      </c>
      <c r="D10" s="85">
        <v>108.5</v>
      </c>
      <c r="E10" s="86">
        <v>33</v>
      </c>
      <c r="F10" s="85">
        <v>84.8</v>
      </c>
      <c r="G10" s="17">
        <v>26</v>
      </c>
      <c r="H10" s="87">
        <v>126</v>
      </c>
      <c r="I10" s="88">
        <v>21200</v>
      </c>
      <c r="J10" s="88" t="s">
        <v>89</v>
      </c>
      <c r="K10" s="88"/>
      <c r="L10" s="88"/>
      <c r="M10" s="89">
        <f>I10-K10</f>
        <v>21200</v>
      </c>
      <c r="N10" s="4">
        <f>IF(ISERROR(K10/I10),"",K10/I10)</f>
        <v>0</v>
      </c>
      <c r="O10" s="90">
        <f>I10/E10</f>
        <v>642.42424242424238</v>
      </c>
      <c r="P10" s="90">
        <f>K10/E10</f>
        <v>0</v>
      </c>
      <c r="Q10" s="76">
        <v>3</v>
      </c>
      <c r="R10" s="76">
        <v>2</v>
      </c>
      <c r="S10" s="76" t="s">
        <v>61</v>
      </c>
      <c r="T10" s="5">
        <v>108</v>
      </c>
      <c r="U10" s="9"/>
      <c r="W10" s="85">
        <f t="shared" si="2"/>
        <v>108.5</v>
      </c>
      <c r="X10" s="86">
        <f t="shared" si="2"/>
        <v>33</v>
      </c>
      <c r="Y10" s="91">
        <f t="shared" si="3"/>
        <v>126</v>
      </c>
      <c r="Z10" s="89">
        <f t="shared" si="3"/>
        <v>21200</v>
      </c>
      <c r="AA10" s="89">
        <f>K10</f>
        <v>0</v>
      </c>
      <c r="AB10" s="89">
        <f t="shared" si="4"/>
        <v>21200</v>
      </c>
      <c r="AC10" s="4">
        <f t="shared" si="4"/>
        <v>0</v>
      </c>
      <c r="AD10" s="90">
        <f t="shared" si="4"/>
        <v>642.42424242424238</v>
      </c>
      <c r="AE10" s="76" t="str">
        <f>S10</f>
        <v>계</v>
      </c>
      <c r="AF10" s="76" t="str">
        <f>Q10&amp;"/"&amp;R10</f>
        <v>3/2</v>
      </c>
      <c r="AH10" s="20" t="str">
        <f t="shared" si="1"/>
        <v>옥성골든카운티</v>
      </c>
      <c r="AI10" s="86">
        <f t="shared" si="0"/>
        <v>33</v>
      </c>
      <c r="AJ10" s="76" t="str">
        <f>IF(AI10="","",$AJ$2)</f>
        <v>A-</v>
      </c>
      <c r="AK10" s="76" t="s">
        <v>13</v>
      </c>
      <c r="AL10" s="76" t="s">
        <v>62</v>
      </c>
      <c r="AM10" s="76" t="s">
        <v>63</v>
      </c>
      <c r="AN10" s="76" t="str">
        <f>IF(AI10="","",$AN$2)</f>
        <v>C</v>
      </c>
      <c r="AO10" s="76" t="str">
        <f>IF(N10="","",IF(N10&gt;=$AO$1/100,"O","X"))</f>
        <v>X</v>
      </c>
      <c r="AP10" s="76" t="str">
        <f>IF(I10="","",IF(I10&lt;=$AP$1,"O","X"))</f>
        <v>O</v>
      </c>
      <c r="AQ10" s="76" t="str">
        <f>IF(O10="","",IF(O10&lt;=$AQ$1,"O","X"))</f>
        <v>O</v>
      </c>
      <c r="AR10" s="76" t="str">
        <f>IF(M10="","",IF(M10&lt;=$AR$1,"O","X"))</f>
        <v>X</v>
      </c>
      <c r="AS10" s="76" t="s">
        <v>2</v>
      </c>
      <c r="AT10" s="76" t="str">
        <f>IF(OR(F10="",AI10=""),"",IF(AND((F10&lt;=85),(AI10&gt;=15)),"O","X"))</f>
        <v>O</v>
      </c>
      <c r="AU10" s="76" t="str">
        <f>IF(C10="","",IF(C10&gt;=$AU$1,"O","X"))</f>
        <v>O</v>
      </c>
      <c r="AV10" s="76" t="str">
        <f>IF(AO10="","",IF(AND(AO10="O",AP10="O",AR10="O",AT10="O",AU10="O"),"후보","X"))</f>
        <v>X</v>
      </c>
    </row>
  </sheetData>
  <mergeCells count="1">
    <mergeCell ref="AJ1:AN1"/>
  </mergeCells>
  <phoneticPr fontId="2" type="noConversion"/>
  <conditionalFormatting sqref="AV4:AV6">
    <cfRule type="expression" dxfId="17553" priority="96">
      <formula>AV4="X"</formula>
    </cfRule>
    <cfRule type="expression" dxfId="17552" priority="97">
      <formula>AV4="후보"</formula>
    </cfRule>
  </conditionalFormatting>
  <conditionalFormatting sqref="AC1:AC2 AC4:AC6 N4:N5">
    <cfRule type="cellIs" dxfId="17551" priority="93" operator="greaterThan">
      <formula>0.9</formula>
    </cfRule>
    <cfRule type="cellIs" dxfId="17550" priority="94" operator="greaterThan">
      <formula>0.85</formula>
    </cfRule>
  </conditionalFormatting>
  <conditionalFormatting sqref="N1:N2">
    <cfRule type="cellIs" dxfId="17549" priority="91" operator="greaterThan">
      <formula>0.9</formula>
    </cfRule>
    <cfRule type="cellIs" dxfId="17548" priority="92" operator="greaterThan">
      <formula>0.85</formula>
    </cfRule>
  </conditionalFormatting>
  <conditionalFormatting sqref="N6">
    <cfRule type="cellIs" dxfId="17547" priority="89" operator="greaterThan">
      <formula>0.9</formula>
    </cfRule>
    <cfRule type="cellIs" dxfId="17546" priority="90" operator="greaterThan">
      <formula>0.85</formula>
    </cfRule>
  </conditionalFormatting>
  <conditionalFormatting sqref="E6">
    <cfRule type="expression" dxfId="17545" priority="85">
      <formula>AND(IF(OR($Q6=1,$Q6=2),1,0),IF($X6&lt;=20,1,0))</formula>
    </cfRule>
    <cfRule type="expression" dxfId="17544" priority="86">
      <formula>AND(IF($Q6=2,1,0),IF($X6&lt;30,1,0))</formula>
    </cfRule>
    <cfRule type="expression" dxfId="17543" priority="87">
      <formula>AND(IF($Q6=3,1,0),IF($X6&lt;30,1,0))</formula>
    </cfRule>
    <cfRule type="expression" dxfId="17542" priority="88">
      <formula>AND(IF($Q6=3,1,IF($Q6=4,1,0)),IF($F6&lt;=85,1,0))</formula>
    </cfRule>
  </conditionalFormatting>
  <conditionalFormatting sqref="X6">
    <cfRule type="expression" dxfId="17541" priority="81">
      <formula>AND(IF(OR($Q6=1,$Q6=2),1,0),IF($X6&lt;=20,1,0))</formula>
    </cfRule>
    <cfRule type="expression" dxfId="17540" priority="82">
      <formula>AND(IF($Q6=2,1,0),IF($X6&lt;30,1,0))</formula>
    </cfRule>
    <cfRule type="expression" dxfId="17539" priority="83">
      <formula>AND(IF($Q6=3,1,0),IF($X6&lt;30,1,0))</formula>
    </cfRule>
    <cfRule type="expression" dxfId="17538" priority="84">
      <formula>AND(IF($Q6=3,1,IF($Q6=4,1,0)),IF($F6&lt;=85,1,0))</formula>
    </cfRule>
  </conditionalFormatting>
  <conditionalFormatting sqref="AI6">
    <cfRule type="expression" dxfId="17537" priority="77">
      <formula>AND(IF(OR($Q6=1,$Q6=2),1,0),IF($X6&lt;=20,1,0))</formula>
    </cfRule>
    <cfRule type="expression" dxfId="17536" priority="78">
      <formula>AND(IF($Q6=2,1,0),IF($X6&lt;30,1,0))</formula>
    </cfRule>
    <cfRule type="expression" dxfId="17535" priority="79">
      <formula>AND(IF($Q6=3,1,0),IF($X6&lt;30,1,0))</formula>
    </cfRule>
    <cfRule type="expression" dxfId="17534" priority="80">
      <formula>AND(IF($Q6=3,1,IF($Q6=4,1,0)),IF($F6&lt;=85,1,0))</formula>
    </cfRule>
  </conditionalFormatting>
  <conditionalFormatting sqref="AV7">
    <cfRule type="expression" dxfId="17533" priority="75">
      <formula>AV7="X"</formula>
    </cfRule>
    <cfRule type="expression" dxfId="17532" priority="76">
      <formula>AV7="후보"</formula>
    </cfRule>
  </conditionalFormatting>
  <conditionalFormatting sqref="AC7">
    <cfRule type="cellIs" dxfId="17531" priority="72" operator="greaterThan">
      <formula>0.9</formula>
    </cfRule>
    <cfRule type="cellIs" dxfId="17530" priority="73" operator="greaterThan">
      <formula>0.85</formula>
    </cfRule>
  </conditionalFormatting>
  <conditionalFormatting sqref="N7">
    <cfRule type="cellIs" dxfId="17529" priority="70" operator="greaterThan">
      <formula>0.9</formula>
    </cfRule>
    <cfRule type="cellIs" dxfId="17528" priority="71" operator="greaterThan">
      <formula>0.85</formula>
    </cfRule>
  </conditionalFormatting>
  <conditionalFormatting sqref="E7">
    <cfRule type="expression" dxfId="17527" priority="66">
      <formula>AND(IF(OR($Q7=1,$Q7=2),1,0),IF($X7&lt;=20,1,0))</formula>
    </cfRule>
    <cfRule type="expression" dxfId="17526" priority="67">
      <formula>AND(IF($Q7=2,1,0),IF($X7&lt;30,1,0))</formula>
    </cfRule>
    <cfRule type="expression" dxfId="17525" priority="68">
      <formula>AND(IF($Q7=3,1,0),IF($X7&lt;30,1,0))</formula>
    </cfRule>
    <cfRule type="expression" dxfId="17524" priority="69">
      <formula>AND(IF($Q7=3,1,IF($Q7=4,1,0)),IF($F7&lt;=85,1,0))</formula>
    </cfRule>
  </conditionalFormatting>
  <conditionalFormatting sqref="X7">
    <cfRule type="expression" dxfId="17523" priority="62">
      <formula>AND(IF(OR($Q7=1,$Q7=2),1,0),IF($X7&lt;=20,1,0))</formula>
    </cfRule>
    <cfRule type="expression" dxfId="17522" priority="63">
      <formula>AND(IF($Q7=2,1,0),IF($X7&lt;30,1,0))</formula>
    </cfRule>
    <cfRule type="expression" dxfId="17521" priority="64">
      <formula>AND(IF($Q7=3,1,0),IF($X7&lt;30,1,0))</formula>
    </cfRule>
    <cfRule type="expression" dxfId="17520" priority="65">
      <formula>AND(IF($Q7=3,1,IF($Q7=4,1,0)),IF($F7&lt;=85,1,0))</formula>
    </cfRule>
  </conditionalFormatting>
  <conditionalFormatting sqref="AI7">
    <cfRule type="expression" dxfId="17519" priority="58">
      <formula>AND(IF(OR($Q7=1,$Q7=2),1,0),IF($X7&lt;=20,1,0))</formula>
    </cfRule>
    <cfRule type="expression" dxfId="17518" priority="59">
      <formula>AND(IF($Q7=2,1,0),IF($X7&lt;30,1,0))</formula>
    </cfRule>
    <cfRule type="expression" dxfId="17517" priority="60">
      <formula>AND(IF($Q7=3,1,0),IF($X7&lt;30,1,0))</formula>
    </cfRule>
    <cfRule type="expression" dxfId="17516" priority="61">
      <formula>AND(IF($Q7=3,1,IF($Q7=4,1,0)),IF($F7&lt;=85,1,0))</formula>
    </cfRule>
  </conditionalFormatting>
  <conditionalFormatting sqref="AV8">
    <cfRule type="expression" dxfId="17515" priority="56">
      <formula>AV8="X"</formula>
    </cfRule>
    <cfRule type="expression" dxfId="17514" priority="57">
      <formula>AV8="후보"</formula>
    </cfRule>
  </conditionalFormatting>
  <conditionalFormatting sqref="AC8">
    <cfRule type="cellIs" dxfId="17513" priority="53" operator="greaterThan">
      <formula>0.9</formula>
    </cfRule>
    <cfRule type="cellIs" dxfId="17512" priority="54" operator="greaterThan">
      <formula>0.85</formula>
    </cfRule>
  </conditionalFormatting>
  <conditionalFormatting sqref="N8">
    <cfRule type="cellIs" dxfId="17511" priority="51" operator="greaterThan">
      <formula>0.9</formula>
    </cfRule>
    <cfRule type="cellIs" dxfId="17510" priority="52" operator="greaterThan">
      <formula>0.85</formula>
    </cfRule>
  </conditionalFormatting>
  <conditionalFormatting sqref="E8">
    <cfRule type="expression" dxfId="17509" priority="47">
      <formula>AND(IF(OR($Q8=1,$Q8=2),1,0),IF($X8&lt;=20,1,0))</formula>
    </cfRule>
    <cfRule type="expression" dxfId="17508" priority="48">
      <formula>AND(IF($Q8=2,1,0),IF($X8&lt;30,1,0))</formula>
    </cfRule>
    <cfRule type="expression" dxfId="17507" priority="49">
      <formula>AND(IF($Q8=3,1,0),IF($X8&lt;30,1,0))</formula>
    </cfRule>
    <cfRule type="expression" dxfId="17506" priority="50">
      <formula>AND(IF($Q8=3,1,IF($Q8=4,1,0)),IF($F8&lt;=85,1,0))</formula>
    </cfRule>
  </conditionalFormatting>
  <conditionalFormatting sqref="X8">
    <cfRule type="expression" dxfId="17505" priority="43">
      <formula>AND(IF(OR($Q8=1,$Q8=2),1,0),IF($X8&lt;=20,1,0))</formula>
    </cfRule>
    <cfRule type="expression" dxfId="17504" priority="44">
      <formula>AND(IF($Q8=2,1,0),IF($X8&lt;30,1,0))</formula>
    </cfRule>
    <cfRule type="expression" dxfId="17503" priority="45">
      <formula>AND(IF($Q8=3,1,0),IF($X8&lt;30,1,0))</formula>
    </cfRule>
    <cfRule type="expression" dxfId="17502" priority="46">
      <formula>AND(IF($Q8=3,1,IF($Q8=4,1,0)),IF($F8&lt;=85,1,0))</formula>
    </cfRule>
  </conditionalFormatting>
  <conditionalFormatting sqref="AI8">
    <cfRule type="expression" dxfId="17501" priority="39">
      <formula>AND(IF(OR($Q8=1,$Q8=2),1,0),IF($X8&lt;=20,1,0))</formula>
    </cfRule>
    <cfRule type="expression" dxfId="17500" priority="40">
      <formula>AND(IF($Q8=2,1,0),IF($X8&lt;30,1,0))</formula>
    </cfRule>
    <cfRule type="expression" dxfId="17499" priority="41">
      <formula>AND(IF($Q8=3,1,0),IF($X8&lt;30,1,0))</formula>
    </cfRule>
    <cfRule type="expression" dxfId="17498" priority="42">
      <formula>AND(IF($Q8=3,1,IF($Q8=4,1,0)),IF($F8&lt;=85,1,0))</formula>
    </cfRule>
  </conditionalFormatting>
  <conditionalFormatting sqref="AV9">
    <cfRule type="expression" dxfId="17497" priority="37">
      <formula>AV9="X"</formula>
    </cfRule>
    <cfRule type="expression" dxfId="17496" priority="38">
      <formula>AV9="후보"</formula>
    </cfRule>
  </conditionalFormatting>
  <conditionalFormatting sqref="AC9">
    <cfRule type="cellIs" dxfId="17495" priority="34" operator="greaterThan">
      <formula>0.9</formula>
    </cfRule>
    <cfRule type="cellIs" dxfId="17494" priority="35" operator="greaterThan">
      <formula>0.85</formula>
    </cfRule>
  </conditionalFormatting>
  <conditionalFormatting sqref="N9">
    <cfRule type="cellIs" dxfId="17493" priority="32" operator="greaterThan">
      <formula>0.9</formula>
    </cfRule>
    <cfRule type="cellIs" dxfId="17492" priority="33" operator="greaterThan">
      <formula>0.85</formula>
    </cfRule>
  </conditionalFormatting>
  <conditionalFormatting sqref="E9">
    <cfRule type="expression" dxfId="17491" priority="28">
      <formula>AND(IF(OR($Q9=1,$Q9=2),1,0),IF($X9&lt;=20,1,0))</formula>
    </cfRule>
    <cfRule type="expression" dxfId="17490" priority="29">
      <formula>AND(IF($Q9=2,1,0),IF($X9&lt;30,1,0))</formula>
    </cfRule>
    <cfRule type="expression" dxfId="17489" priority="30">
      <formula>AND(IF($Q9=3,1,0),IF($X9&lt;30,1,0))</formula>
    </cfRule>
    <cfRule type="expression" dxfId="17488" priority="31">
      <formula>AND(IF($Q9=3,1,IF($Q9=4,1,0)),IF($F9&lt;=85,1,0))</formula>
    </cfRule>
  </conditionalFormatting>
  <conditionalFormatting sqref="X9">
    <cfRule type="expression" dxfId="17487" priority="24">
      <formula>AND(IF(OR($Q9=1,$Q9=2),1,0),IF($X9&lt;=20,1,0))</formula>
    </cfRule>
    <cfRule type="expression" dxfId="17486" priority="25">
      <formula>AND(IF($Q9=2,1,0),IF($X9&lt;30,1,0))</formula>
    </cfRule>
    <cfRule type="expression" dxfId="17485" priority="26">
      <formula>AND(IF($Q9=3,1,0),IF($X9&lt;30,1,0))</formula>
    </cfRule>
    <cfRule type="expression" dxfId="17484" priority="27">
      <formula>AND(IF($Q9=3,1,IF($Q9=4,1,0)),IF($F9&lt;=85,1,0))</formula>
    </cfRule>
  </conditionalFormatting>
  <conditionalFormatting sqref="AI9">
    <cfRule type="expression" dxfId="17483" priority="20">
      <formula>AND(IF(OR($Q9=1,$Q9=2),1,0),IF($X9&lt;=20,1,0))</formula>
    </cfRule>
    <cfRule type="expression" dxfId="17482" priority="21">
      <formula>AND(IF($Q9=2,1,0),IF($X9&lt;30,1,0))</formula>
    </cfRule>
    <cfRule type="expression" dxfId="17481" priority="22">
      <formula>AND(IF($Q9=3,1,0),IF($X9&lt;30,1,0))</formula>
    </cfRule>
    <cfRule type="expression" dxfId="17480" priority="23">
      <formula>AND(IF($Q9=3,1,IF($Q9=4,1,0)),IF($F9&lt;=85,1,0))</formula>
    </cfRule>
  </conditionalFormatting>
  <conditionalFormatting sqref="AV10">
    <cfRule type="expression" dxfId="17479" priority="18">
      <formula>AV10="X"</formula>
    </cfRule>
    <cfRule type="expression" dxfId="17478" priority="19">
      <formula>AV10="후보"</formula>
    </cfRule>
  </conditionalFormatting>
  <conditionalFormatting sqref="AC10">
    <cfRule type="cellIs" dxfId="17477" priority="15" operator="greaterThan">
      <formula>0.9</formula>
    </cfRule>
    <cfRule type="cellIs" dxfId="17476" priority="16" operator="greaterThan">
      <formula>0.85</formula>
    </cfRule>
  </conditionalFormatting>
  <conditionalFormatting sqref="N10">
    <cfRule type="cellIs" dxfId="17475" priority="13" operator="greaterThan">
      <formula>0.9</formula>
    </cfRule>
    <cfRule type="cellIs" dxfId="17474" priority="14" operator="greaterThan">
      <formula>0.85</formula>
    </cfRule>
  </conditionalFormatting>
  <conditionalFormatting sqref="E10">
    <cfRule type="expression" dxfId="17473" priority="9">
      <formula>AND(IF(OR($Q10=1,$Q10=2),1,0),IF($X10&lt;=20,1,0))</formula>
    </cfRule>
    <cfRule type="expression" dxfId="17472" priority="10">
      <formula>AND(IF($Q10=2,1,0),IF($X10&lt;30,1,0))</formula>
    </cfRule>
    <cfRule type="expression" dxfId="17471" priority="11">
      <formula>AND(IF($Q10=3,1,0),IF($X10&lt;30,1,0))</formula>
    </cfRule>
    <cfRule type="expression" dxfId="17470" priority="12">
      <formula>AND(IF($Q10=3,1,IF($Q10=4,1,0)),IF($F10&lt;=85,1,0))</formula>
    </cfRule>
  </conditionalFormatting>
  <conditionalFormatting sqref="X10">
    <cfRule type="expression" dxfId="17469" priority="5">
      <formula>AND(IF(OR($Q10=1,$Q10=2),1,0),IF($X10&lt;=20,1,0))</formula>
    </cfRule>
    <cfRule type="expression" dxfId="17468" priority="6">
      <formula>AND(IF($Q10=2,1,0),IF($X10&lt;30,1,0))</formula>
    </cfRule>
    <cfRule type="expression" dxfId="17467" priority="7">
      <formula>AND(IF($Q10=3,1,0),IF($X10&lt;30,1,0))</formula>
    </cfRule>
    <cfRule type="expression" dxfId="17466" priority="8">
      <formula>AND(IF($Q10=3,1,IF($Q10=4,1,0)),IF($F10&lt;=85,1,0))</formula>
    </cfRule>
  </conditionalFormatting>
  <conditionalFormatting sqref="AI10">
    <cfRule type="expression" dxfId="17465" priority="1">
      <formula>AND(IF(OR($Q10=1,$Q10=2),1,0),IF($X10&lt;=20,1,0))</formula>
    </cfRule>
    <cfRule type="expression" dxfId="17464" priority="2">
      <formula>AND(IF($Q10=2,1,0),IF($X10&lt;30,1,0))</formula>
    </cfRule>
    <cfRule type="expression" dxfId="17463" priority="3">
      <formula>AND(IF($Q10=3,1,0),IF($X10&lt;30,1,0))</formula>
    </cfRule>
    <cfRule type="expression" dxfId="17462" priority="4">
      <formula>AND(IF($Q10=3,1,IF($Q10=4,1,0)),IF($F10&lt;=85,1,0))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>
    <pageSetUpPr fitToPage="1"/>
  </sheetPr>
  <dimension ref="A1:AV22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2" sqref="A22:XFD22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5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0" width="9" style="37" customWidth="1"/>
    <col min="51" max="16384" width="9" style="37"/>
  </cols>
  <sheetData>
    <row r="1" spans="1:48" ht="17.25" customHeight="1" x14ac:dyDescent="0.3">
      <c r="A1" s="7" t="str">
        <f>단지추출!A1</f>
        <v>인천광역시 연수구</v>
      </c>
      <c r="I1" s="42" t="s">
        <v>1827</v>
      </c>
      <c r="X1" s="37" t="s">
        <v>5</v>
      </c>
      <c r="Y1" s="37"/>
      <c r="AA1" s="39">
        <f>단지추출!AA1</f>
        <v>70000</v>
      </c>
      <c r="AH1" s="7" t="str">
        <f>A1</f>
        <v>인천광역시 연수구</v>
      </c>
      <c r="AJ1" s="117" t="str">
        <f>A1&amp;" 전체 등급"</f>
        <v>인천광역시 연수구 전체 등급</v>
      </c>
      <c r="AK1" s="118"/>
      <c r="AL1" s="118"/>
      <c r="AM1" s="118"/>
      <c r="AN1" s="119"/>
      <c r="AO1" s="22">
        <f>단지추출!AO1</f>
        <v>80</v>
      </c>
      <c r="AP1" s="22">
        <f>단지추출!AP1</f>
        <v>50000</v>
      </c>
      <c r="AQ1" s="22">
        <f>단지추출!AQ1</f>
        <v>15000</v>
      </c>
      <c r="AR1" s="22">
        <f>단지추출!AR1</f>
        <v>5000</v>
      </c>
      <c r="AS1" s="2"/>
      <c r="AT1" s="2"/>
      <c r="AU1" s="22">
        <f>단지추출!AU1</f>
        <v>300</v>
      </c>
    </row>
    <row r="2" spans="1:48" x14ac:dyDescent="0.3">
      <c r="A2" s="80">
        <f>단지추출!A2</f>
        <v>44197</v>
      </c>
      <c r="W2" s="38"/>
      <c r="X2" s="38" t="s">
        <v>10</v>
      </c>
      <c r="Y2" s="38"/>
      <c r="AA2" s="39">
        <f>단지추출!AA2</f>
        <v>10000</v>
      </c>
      <c r="AH2" s="18" t="str">
        <f>AH1 &amp;" " &amp;A4</f>
        <v>인천광역시 연수구 중화산동1가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4" t="s">
        <v>15</v>
      </c>
      <c r="AP2" s="65"/>
      <c r="AQ2" s="66"/>
      <c r="AR2" s="64" t="s">
        <v>16</v>
      </c>
      <c r="AS2" s="66"/>
      <c r="AT2" s="64" t="s">
        <v>17</v>
      </c>
      <c r="AU2" s="66"/>
      <c r="AV2" s="40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1828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106" t="s">
        <v>27</v>
      </c>
      <c r="Z3" s="12" t="s">
        <v>41</v>
      </c>
      <c r="AA3" s="12" t="s">
        <v>42</v>
      </c>
      <c r="AB3" s="12" t="s">
        <v>1828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22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(5억↓)</v>
      </c>
      <c r="AQ3" s="11" t="str">
        <f>"지역평단가
("&amp;AQ1&amp;"↓)"</f>
        <v>지역평단가
(15000↓)</v>
      </c>
      <c r="AR3" s="11" t="str">
        <f>"투자규모★
(갭"&amp;AR1/1000&amp;"천↓)"</f>
        <v>투자규모★
(갭5천↓)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1" t="s">
        <v>18</v>
      </c>
    </row>
    <row r="4" spans="1:48" x14ac:dyDescent="0.3">
      <c r="A4" s="8" t="s">
        <v>1067</v>
      </c>
      <c r="B4" s="76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07"/>
      <c r="R4" s="107"/>
      <c r="S4" s="76"/>
      <c r="T4" s="5"/>
      <c r="U4" s="9"/>
      <c r="W4" s="9"/>
      <c r="X4" s="9"/>
      <c r="Y4" s="91"/>
      <c r="Z4" s="9"/>
      <c r="AA4" s="9"/>
      <c r="AB4" s="9"/>
      <c r="AC4" s="9"/>
      <c r="AD4" s="9"/>
      <c r="AE4" s="76"/>
      <c r="AF4" s="5"/>
      <c r="AH4" s="20"/>
      <c r="AI4" s="108" t="str">
        <f t="shared" si="0"/>
        <v/>
      </c>
      <c r="AJ4" s="76"/>
      <c r="AK4" s="76"/>
      <c r="AL4" s="76"/>
      <c r="AM4" s="76"/>
      <c r="AN4" s="76"/>
      <c r="AO4" s="76"/>
      <c r="AP4" s="76"/>
      <c r="AQ4" s="76"/>
      <c r="AR4" s="76"/>
      <c r="AS4" s="76"/>
      <c r="AT4" s="76"/>
      <c r="AU4" s="76"/>
      <c r="AV4" s="76"/>
    </row>
    <row r="5" spans="1:48" x14ac:dyDescent="0.3">
      <c r="A5" s="9"/>
      <c r="B5" s="76"/>
      <c r="C5" s="6"/>
      <c r="D5" s="9"/>
      <c r="E5" s="14"/>
      <c r="F5" s="85"/>
      <c r="G5" s="9"/>
      <c r="H5" s="9"/>
      <c r="I5" s="9"/>
      <c r="J5" s="9"/>
      <c r="K5" s="9"/>
      <c r="L5" s="9"/>
      <c r="M5" s="9"/>
      <c r="N5" s="9"/>
      <c r="O5" s="90"/>
      <c r="P5" s="90"/>
      <c r="Q5" s="86"/>
      <c r="R5" s="86"/>
      <c r="S5" s="9"/>
      <c r="T5" s="47"/>
      <c r="U5" s="9"/>
      <c r="W5" s="67" t="str">
        <f>$A$4&amp;" "&amp;A6&amp;"("&amp;B6&amp;","&amp;C6&amp;"^)"</f>
        <v>중화산동1가 남양서원('93.09.,230^)</v>
      </c>
      <c r="X5" s="68"/>
      <c r="Y5" s="68"/>
      <c r="Z5" s="68"/>
      <c r="AA5" s="68"/>
      <c r="AB5" s="68"/>
      <c r="AC5" s="68"/>
      <c r="AD5" s="68"/>
      <c r="AE5" s="68"/>
      <c r="AF5" s="69"/>
      <c r="AH5" s="20" t="str">
        <f t="shared" ref="AH5:AH22" si="1">IF(A5="","",A5)</f>
        <v/>
      </c>
      <c r="AI5" s="108" t="str">
        <f t="shared" si="0"/>
        <v/>
      </c>
      <c r="AJ5" s="76"/>
      <c r="AK5" s="76"/>
      <c r="AL5" s="76"/>
      <c r="AM5" s="76"/>
      <c r="AN5" s="76"/>
      <c r="AO5" s="76"/>
      <c r="AP5" s="76"/>
      <c r="AQ5" s="76"/>
      <c r="AR5" s="76"/>
      <c r="AS5" s="76"/>
      <c r="AT5" s="76"/>
      <c r="AU5" s="76"/>
      <c r="AV5" s="76"/>
    </row>
    <row r="6" spans="1:48" x14ac:dyDescent="0.3">
      <c r="A6" s="9" t="s">
        <v>1069</v>
      </c>
      <c r="B6" s="10" t="s">
        <v>1878</v>
      </c>
      <c r="C6" s="87">
        <v>230</v>
      </c>
      <c r="D6" s="85">
        <v>85.1</v>
      </c>
      <c r="E6" s="86">
        <v>26</v>
      </c>
      <c r="F6" s="85">
        <v>59.9</v>
      </c>
      <c r="G6" s="17">
        <v>18</v>
      </c>
      <c r="H6" s="87">
        <v>230</v>
      </c>
      <c r="I6" s="88"/>
      <c r="J6" s="88"/>
      <c r="K6" s="88"/>
      <c r="L6" s="88"/>
      <c r="M6" s="89">
        <f>I6-K6</f>
        <v>0</v>
      </c>
      <c r="N6" s="4" t="str">
        <f>IF(ISERROR(K6/I6),"",K6/I6)</f>
        <v/>
      </c>
      <c r="O6" s="90">
        <f>I6/E6</f>
        <v>0</v>
      </c>
      <c r="P6" s="90">
        <f>K6/E6</f>
        <v>0</v>
      </c>
      <c r="Q6" s="76">
        <v>3</v>
      </c>
      <c r="R6" s="76">
        <v>1</v>
      </c>
      <c r="S6" s="76" t="s">
        <v>68</v>
      </c>
      <c r="T6" s="5">
        <v>85</v>
      </c>
      <c r="U6" s="9"/>
      <c r="W6" s="85">
        <f>D6</f>
        <v>85.1</v>
      </c>
      <c r="X6" s="86">
        <f>E6</f>
        <v>26</v>
      </c>
      <c r="Y6" s="91">
        <f>H6</f>
        <v>230</v>
      </c>
      <c r="Z6" s="89">
        <f>I6</f>
        <v>0</v>
      </c>
      <c r="AA6" s="89">
        <f>K6</f>
        <v>0</v>
      </c>
      <c r="AB6" s="89">
        <f>M6</f>
        <v>0</v>
      </c>
      <c r="AC6" s="4" t="str">
        <f>N6</f>
        <v/>
      </c>
      <c r="AD6" s="90">
        <f>O6</f>
        <v>0</v>
      </c>
      <c r="AE6" s="76" t="str">
        <f>S6</f>
        <v>복</v>
      </c>
      <c r="AF6" s="76" t="str">
        <f>Q6&amp;"/"&amp;R6</f>
        <v>3/1</v>
      </c>
      <c r="AH6" s="20" t="str">
        <f t="shared" si="1"/>
        <v>남양서원</v>
      </c>
      <c r="AI6" s="86">
        <f t="shared" si="0"/>
        <v>26</v>
      </c>
      <c r="AJ6" s="76" t="str">
        <f>IF(AI6="","",$AJ$2)</f>
        <v>A-</v>
      </c>
      <c r="AK6" s="76" t="s">
        <v>13</v>
      </c>
      <c r="AL6" s="76" t="s">
        <v>62</v>
      </c>
      <c r="AM6" s="76" t="s">
        <v>63</v>
      </c>
      <c r="AN6" s="76" t="str">
        <f>IF(AI6="","",$AN$2)</f>
        <v>C</v>
      </c>
      <c r="AO6" s="76" t="str">
        <f>IF(N6="","",IF(N6&gt;=$AO$1/100,"O","X"))</f>
        <v/>
      </c>
      <c r="AP6" s="76" t="str">
        <f>IF(I6="","",IF(I6&lt;=$AP$1,"O","X"))</f>
        <v/>
      </c>
      <c r="AQ6" s="76" t="str">
        <f>IF(O6="","",IF(O6&lt;=$AQ$1,"O","X"))</f>
        <v>O</v>
      </c>
      <c r="AR6" s="76" t="str">
        <f>IF(M6="","",IF(M6&lt;=$AR$1,"O","X"))</f>
        <v>O</v>
      </c>
      <c r="AS6" s="76" t="s">
        <v>2</v>
      </c>
      <c r="AT6" s="76" t="str">
        <f>IF(OR(F6="",AI6=""),"",IF(AND((F6&lt;=85),(AI6&gt;=15)),"O","X"))</f>
        <v>O</v>
      </c>
      <c r="AU6" s="76" t="str">
        <f>IF(C6="","",IF(C6&gt;=$AU$1,"O","X"))</f>
        <v>X</v>
      </c>
      <c r="AV6" s="76" t="str">
        <f>IF(AO6="","",IF(AND(AO6="O",AP6="O",AR6="O",AT6="O",AU6="O"),"후보","X"))</f>
        <v/>
      </c>
    </row>
    <row r="7" spans="1:48" x14ac:dyDescent="0.3">
      <c r="A7" s="9"/>
      <c r="B7" s="76"/>
      <c r="C7" s="6"/>
      <c r="D7" s="9"/>
      <c r="E7" s="14"/>
      <c r="F7" s="85"/>
      <c r="G7" s="9"/>
      <c r="H7" s="9"/>
      <c r="I7" s="9"/>
      <c r="J7" s="9"/>
      <c r="K7" s="9"/>
      <c r="L7" s="9"/>
      <c r="M7" s="9"/>
      <c r="N7" s="9"/>
      <c r="O7" s="90"/>
      <c r="P7" s="90"/>
      <c r="Q7" s="86"/>
      <c r="R7" s="86"/>
      <c r="S7" s="9"/>
      <c r="T7" s="47"/>
      <c r="U7" s="9"/>
      <c r="W7" s="67" t="str">
        <f>$A$4&amp;" "&amp;A8&amp;"("&amp;B8&amp;","&amp;C8&amp;"^)"</f>
        <v>중화산동1가 중화산신일('95.11.,440^)</v>
      </c>
      <c r="X7" s="68"/>
      <c r="Y7" s="68"/>
      <c r="Z7" s="68"/>
      <c r="AA7" s="68"/>
      <c r="AB7" s="68"/>
      <c r="AC7" s="68"/>
      <c r="AD7" s="68"/>
      <c r="AE7" s="68"/>
      <c r="AF7" s="69"/>
      <c r="AH7" s="20" t="str">
        <f t="shared" si="1"/>
        <v/>
      </c>
      <c r="AI7" s="108" t="str">
        <f t="shared" si="0"/>
        <v/>
      </c>
      <c r="AJ7" s="76"/>
      <c r="AK7" s="76"/>
      <c r="AL7" s="76"/>
      <c r="AM7" s="76"/>
      <c r="AN7" s="76"/>
      <c r="AO7" s="76"/>
      <c r="AP7" s="76"/>
      <c r="AQ7" s="76"/>
      <c r="AR7" s="76"/>
      <c r="AS7" s="76"/>
      <c r="AT7" s="76"/>
      <c r="AU7" s="76"/>
      <c r="AV7" s="76"/>
    </row>
    <row r="8" spans="1:48" x14ac:dyDescent="0.3">
      <c r="A8" s="9" t="s">
        <v>1078</v>
      </c>
      <c r="B8" s="10" t="s">
        <v>1860</v>
      </c>
      <c r="C8" s="87">
        <v>440</v>
      </c>
      <c r="D8" s="85">
        <v>76.3</v>
      </c>
      <c r="E8" s="86">
        <v>23</v>
      </c>
      <c r="F8" s="85">
        <v>60</v>
      </c>
      <c r="G8" s="17">
        <v>18</v>
      </c>
      <c r="H8" s="87">
        <v>178</v>
      </c>
      <c r="I8" s="88">
        <v>9500</v>
      </c>
      <c r="J8" s="88" t="s">
        <v>104</v>
      </c>
      <c r="K8" s="88"/>
      <c r="L8" s="88"/>
      <c r="M8" s="89">
        <f>I8-K8</f>
        <v>9500</v>
      </c>
      <c r="N8" s="4">
        <f>IF(ISERROR(K8/I8),"",K8/I8)</f>
        <v>0</v>
      </c>
      <c r="O8" s="90">
        <f>I8/E8</f>
        <v>413.04347826086956</v>
      </c>
      <c r="P8" s="90">
        <f>K8/E8</f>
        <v>0</v>
      </c>
      <c r="Q8" s="76">
        <v>3</v>
      </c>
      <c r="R8" s="76">
        <v>1</v>
      </c>
      <c r="S8" s="76" t="s">
        <v>68</v>
      </c>
      <c r="T8" s="5">
        <v>76</v>
      </c>
      <c r="U8" s="9"/>
      <c r="W8" s="85">
        <f t="shared" ref="W8:X11" si="2">D8</f>
        <v>76.3</v>
      </c>
      <c r="X8" s="86">
        <f t="shared" si="2"/>
        <v>23</v>
      </c>
      <c r="Y8" s="91">
        <f t="shared" ref="Y8:Z11" si="3">H8</f>
        <v>178</v>
      </c>
      <c r="Z8" s="89">
        <f t="shared" si="3"/>
        <v>9500</v>
      </c>
      <c r="AA8" s="89">
        <f>K8</f>
        <v>0</v>
      </c>
      <c r="AB8" s="89">
        <f t="shared" ref="AB8:AD11" si="4">M8</f>
        <v>9500</v>
      </c>
      <c r="AC8" s="4">
        <f t="shared" si="4"/>
        <v>0</v>
      </c>
      <c r="AD8" s="90">
        <f t="shared" si="4"/>
        <v>413.04347826086956</v>
      </c>
      <c r="AE8" s="76" t="str">
        <f>S8</f>
        <v>복</v>
      </c>
      <c r="AF8" s="76" t="str">
        <f>Q8&amp;"/"&amp;R8</f>
        <v>3/1</v>
      </c>
      <c r="AH8" s="20" t="str">
        <f t="shared" si="1"/>
        <v>중화산신일</v>
      </c>
      <c r="AI8" s="86">
        <f t="shared" si="0"/>
        <v>23</v>
      </c>
      <c r="AJ8" s="76" t="str">
        <f>IF(AI8="","",$AJ$2)</f>
        <v>A-</v>
      </c>
      <c r="AK8" s="76" t="s">
        <v>13</v>
      </c>
      <c r="AL8" s="76" t="s">
        <v>62</v>
      </c>
      <c r="AM8" s="76" t="s">
        <v>63</v>
      </c>
      <c r="AN8" s="76" t="str">
        <f>IF(AI8="","",$AN$2)</f>
        <v>C</v>
      </c>
      <c r="AO8" s="76" t="str">
        <f>IF(N8="","",IF(N8&gt;=$AO$1/100,"O","X"))</f>
        <v>X</v>
      </c>
      <c r="AP8" s="76" t="str">
        <f>IF(I8="","",IF(I8&lt;=$AP$1,"O","X"))</f>
        <v>O</v>
      </c>
      <c r="AQ8" s="76" t="str">
        <f>IF(O8="","",IF(O8&lt;=$AQ$1,"O","X"))</f>
        <v>O</v>
      </c>
      <c r="AR8" s="76" t="str">
        <f>IF(M8="","",IF(M8&lt;=$AR$1,"O","X"))</f>
        <v>X</v>
      </c>
      <c r="AS8" s="76" t="s">
        <v>2</v>
      </c>
      <c r="AT8" s="76" t="str">
        <f>IF(OR(F8="",AI8=""),"",IF(AND((F8&lt;=85),(AI8&gt;=15)),"O","X"))</f>
        <v>O</v>
      </c>
      <c r="AU8" s="76" t="str">
        <f>IF(C8="","",IF(C8&gt;=$AU$1,"O","X"))</f>
        <v>O</v>
      </c>
      <c r="AV8" s="76" t="str">
        <f>IF(AO8="","",IF(AND(AO8="O",AP8="O",AR8="O",AT8="O",AU8="O"),"후보","X"))</f>
        <v>X</v>
      </c>
    </row>
    <row r="9" spans="1:48" x14ac:dyDescent="0.3">
      <c r="A9" s="9" t="s">
        <v>1078</v>
      </c>
      <c r="B9" s="10" t="s">
        <v>1860</v>
      </c>
      <c r="C9" s="87">
        <v>440</v>
      </c>
      <c r="D9" s="85">
        <v>108.4</v>
      </c>
      <c r="E9" s="86">
        <v>33</v>
      </c>
      <c r="F9" s="85">
        <v>84.9</v>
      </c>
      <c r="G9" s="17">
        <v>26</v>
      </c>
      <c r="H9" s="87">
        <v>172</v>
      </c>
      <c r="I9" s="88"/>
      <c r="J9" s="88"/>
      <c r="K9" s="88">
        <v>16500</v>
      </c>
      <c r="L9" s="88" t="s">
        <v>90</v>
      </c>
      <c r="M9" s="89">
        <f>I9-K9</f>
        <v>-16500</v>
      </c>
      <c r="N9" s="4" t="str">
        <f>IF(ISERROR(K9/I9),"",K9/I9)</f>
        <v/>
      </c>
      <c r="O9" s="90">
        <f>I9/E9</f>
        <v>0</v>
      </c>
      <c r="P9" s="90">
        <f>K9/E9</f>
        <v>500</v>
      </c>
      <c r="Q9" s="76">
        <v>3</v>
      </c>
      <c r="R9" s="76">
        <v>2</v>
      </c>
      <c r="S9" s="76" t="s">
        <v>61</v>
      </c>
      <c r="T9" s="5">
        <v>108</v>
      </c>
      <c r="U9" s="9"/>
      <c r="W9" s="85">
        <f t="shared" si="2"/>
        <v>108.4</v>
      </c>
      <c r="X9" s="86">
        <f t="shared" si="2"/>
        <v>33</v>
      </c>
      <c r="Y9" s="91">
        <f t="shared" si="3"/>
        <v>172</v>
      </c>
      <c r="Z9" s="89">
        <f t="shared" si="3"/>
        <v>0</v>
      </c>
      <c r="AA9" s="89">
        <f>K9</f>
        <v>16500</v>
      </c>
      <c r="AB9" s="89">
        <f t="shared" si="4"/>
        <v>-16500</v>
      </c>
      <c r="AC9" s="4" t="str">
        <f t="shared" si="4"/>
        <v/>
      </c>
      <c r="AD9" s="90">
        <f t="shared" si="4"/>
        <v>0</v>
      </c>
      <c r="AE9" s="76" t="str">
        <f>S9</f>
        <v>계</v>
      </c>
      <c r="AF9" s="76" t="str">
        <f>Q9&amp;"/"&amp;R9</f>
        <v>3/2</v>
      </c>
      <c r="AH9" s="20" t="str">
        <f t="shared" si="1"/>
        <v>중화산신일</v>
      </c>
      <c r="AI9" s="86">
        <f t="shared" si="0"/>
        <v>33</v>
      </c>
      <c r="AJ9" s="76" t="str">
        <f>IF(AI9="","",$AJ$2)</f>
        <v>A-</v>
      </c>
      <c r="AK9" s="76" t="s">
        <v>13</v>
      </c>
      <c r="AL9" s="76" t="s">
        <v>62</v>
      </c>
      <c r="AM9" s="76" t="s">
        <v>63</v>
      </c>
      <c r="AN9" s="76" t="str">
        <f>IF(AI9="","",$AN$2)</f>
        <v>C</v>
      </c>
      <c r="AO9" s="76" t="str">
        <f>IF(N9="","",IF(N9&gt;=$AO$1/100,"O","X"))</f>
        <v/>
      </c>
      <c r="AP9" s="76" t="str">
        <f>IF(I9="","",IF(I9&lt;=$AP$1,"O","X"))</f>
        <v/>
      </c>
      <c r="AQ9" s="76" t="str">
        <f>IF(O9="","",IF(O9&lt;=$AQ$1,"O","X"))</f>
        <v>O</v>
      </c>
      <c r="AR9" s="76" t="str">
        <f>IF(M9="","",IF(M9&lt;=$AR$1,"O","X"))</f>
        <v>O</v>
      </c>
      <c r="AS9" s="76" t="s">
        <v>2</v>
      </c>
      <c r="AT9" s="76" t="str">
        <f>IF(OR(F9="",AI9=""),"",IF(AND((F9&lt;=85),(AI9&gt;=15)),"O","X"))</f>
        <v>O</v>
      </c>
      <c r="AU9" s="76" t="str">
        <f>IF(C9="","",IF(C9&gt;=$AU$1,"O","X"))</f>
        <v>O</v>
      </c>
      <c r="AV9" s="76" t="str">
        <f>IF(AO9="","",IF(AND(AO9="O",AP9="O",AR9="O",AT9="O",AU9="O"),"후보","X"))</f>
        <v/>
      </c>
    </row>
    <row r="10" spans="1:48" x14ac:dyDescent="0.3">
      <c r="A10" s="9" t="s">
        <v>1078</v>
      </c>
      <c r="B10" s="10" t="s">
        <v>1860</v>
      </c>
      <c r="C10" s="87">
        <v>440</v>
      </c>
      <c r="D10" s="85">
        <v>157.6</v>
      </c>
      <c r="E10" s="86">
        <v>48</v>
      </c>
      <c r="F10" s="85">
        <v>129.69999999999999</v>
      </c>
      <c r="G10" s="17">
        <v>39</v>
      </c>
      <c r="H10" s="87">
        <v>72</v>
      </c>
      <c r="I10" s="88"/>
      <c r="J10" s="88"/>
      <c r="K10" s="88"/>
      <c r="L10" s="88"/>
      <c r="M10" s="89">
        <f>I10-K10</f>
        <v>0</v>
      </c>
      <c r="N10" s="4" t="str">
        <f>IF(ISERROR(K10/I10),"",K10/I10)</f>
        <v/>
      </c>
      <c r="O10" s="90">
        <f>I10/E10</f>
        <v>0</v>
      </c>
      <c r="P10" s="90">
        <f>K10/E10</f>
        <v>0</v>
      </c>
      <c r="Q10" s="76">
        <v>4</v>
      </c>
      <c r="R10" s="76">
        <v>2</v>
      </c>
      <c r="S10" s="76" t="s">
        <v>61</v>
      </c>
      <c r="T10" s="5">
        <v>157</v>
      </c>
      <c r="U10" s="9"/>
      <c r="W10" s="85">
        <f t="shared" si="2"/>
        <v>157.6</v>
      </c>
      <c r="X10" s="86">
        <f t="shared" si="2"/>
        <v>48</v>
      </c>
      <c r="Y10" s="91">
        <f t="shared" si="3"/>
        <v>72</v>
      </c>
      <c r="Z10" s="89">
        <f t="shared" si="3"/>
        <v>0</v>
      </c>
      <c r="AA10" s="89">
        <f>K10</f>
        <v>0</v>
      </c>
      <c r="AB10" s="89">
        <f t="shared" si="4"/>
        <v>0</v>
      </c>
      <c r="AC10" s="4" t="str">
        <f t="shared" si="4"/>
        <v/>
      </c>
      <c r="AD10" s="90">
        <f t="shared" si="4"/>
        <v>0</v>
      </c>
      <c r="AE10" s="76" t="str">
        <f>S10</f>
        <v>계</v>
      </c>
      <c r="AF10" s="76" t="str">
        <f>Q10&amp;"/"&amp;R10</f>
        <v>4/2</v>
      </c>
      <c r="AH10" s="20" t="str">
        <f t="shared" si="1"/>
        <v>중화산신일</v>
      </c>
      <c r="AI10" s="86">
        <f t="shared" si="0"/>
        <v>48</v>
      </c>
      <c r="AJ10" s="76" t="str">
        <f>IF(AI10="","",$AJ$2)</f>
        <v>A-</v>
      </c>
      <c r="AK10" s="76" t="s">
        <v>13</v>
      </c>
      <c r="AL10" s="76" t="s">
        <v>62</v>
      </c>
      <c r="AM10" s="76" t="s">
        <v>63</v>
      </c>
      <c r="AN10" s="76" t="str">
        <f>IF(AI10="","",$AN$2)</f>
        <v>C</v>
      </c>
      <c r="AO10" s="76" t="str">
        <f>IF(N10="","",IF(N10&gt;=$AO$1/100,"O","X"))</f>
        <v/>
      </c>
      <c r="AP10" s="76" t="str">
        <f>IF(I10="","",IF(I10&lt;=$AP$1,"O","X"))</f>
        <v/>
      </c>
      <c r="AQ10" s="76" t="str">
        <f>IF(O10="","",IF(O10&lt;=$AQ$1,"O","X"))</f>
        <v>O</v>
      </c>
      <c r="AR10" s="76" t="str">
        <f>IF(M10="","",IF(M10&lt;=$AR$1,"O","X"))</f>
        <v>O</v>
      </c>
      <c r="AS10" s="76" t="s">
        <v>2</v>
      </c>
      <c r="AT10" s="76" t="str">
        <f>IF(OR(F10="",AI10=""),"",IF(AND((F10&lt;=85),(AI10&gt;=15)),"O","X"))</f>
        <v>X</v>
      </c>
      <c r="AU10" s="76" t="str">
        <f>IF(C10="","",IF(C10&gt;=$AU$1,"O","X"))</f>
        <v>O</v>
      </c>
      <c r="AV10" s="76" t="str">
        <f>IF(AO10="","",IF(AND(AO10="O",AP10="O",AR10="O",AT10="O",AU10="O"),"후보","X"))</f>
        <v/>
      </c>
    </row>
    <row r="11" spans="1:48" x14ac:dyDescent="0.3">
      <c r="A11" s="9" t="s">
        <v>1078</v>
      </c>
      <c r="B11" s="10" t="s">
        <v>1860</v>
      </c>
      <c r="C11" s="87">
        <v>440</v>
      </c>
      <c r="D11" s="85">
        <v>201.9</v>
      </c>
      <c r="E11" s="86">
        <v>61</v>
      </c>
      <c r="F11" s="85">
        <v>164.7</v>
      </c>
      <c r="G11" s="17">
        <v>50</v>
      </c>
      <c r="H11" s="87">
        <v>18</v>
      </c>
      <c r="I11" s="88">
        <v>27700</v>
      </c>
      <c r="J11" s="88" t="s">
        <v>72</v>
      </c>
      <c r="K11" s="88"/>
      <c r="L11" s="88"/>
      <c r="M11" s="89">
        <f>I11-K11</f>
        <v>27700</v>
      </c>
      <c r="N11" s="4">
        <f>IF(ISERROR(K11/I11),"",K11/I11)</f>
        <v>0</v>
      </c>
      <c r="O11" s="90">
        <f>I11/E11</f>
        <v>454.09836065573768</v>
      </c>
      <c r="P11" s="90">
        <f>K11/E11</f>
        <v>0</v>
      </c>
      <c r="Q11" s="76">
        <v>5</v>
      </c>
      <c r="R11" s="76">
        <v>2</v>
      </c>
      <c r="S11" s="76" t="s">
        <v>61</v>
      </c>
      <c r="T11" s="5">
        <v>201</v>
      </c>
      <c r="U11" s="9"/>
      <c r="W11" s="85">
        <f t="shared" si="2"/>
        <v>201.9</v>
      </c>
      <c r="X11" s="86">
        <f t="shared" si="2"/>
        <v>61</v>
      </c>
      <c r="Y11" s="91">
        <f t="shared" si="3"/>
        <v>18</v>
      </c>
      <c r="Z11" s="89">
        <f t="shared" si="3"/>
        <v>27700</v>
      </c>
      <c r="AA11" s="89">
        <f>K11</f>
        <v>0</v>
      </c>
      <c r="AB11" s="89">
        <f t="shared" si="4"/>
        <v>27700</v>
      </c>
      <c r="AC11" s="4">
        <f t="shared" si="4"/>
        <v>0</v>
      </c>
      <c r="AD11" s="90">
        <f t="shared" si="4"/>
        <v>454.09836065573768</v>
      </c>
      <c r="AE11" s="76" t="str">
        <f>S11</f>
        <v>계</v>
      </c>
      <c r="AF11" s="76" t="str">
        <f>Q11&amp;"/"&amp;R11</f>
        <v>5/2</v>
      </c>
      <c r="AH11" s="20" t="str">
        <f t="shared" si="1"/>
        <v>중화산신일</v>
      </c>
      <c r="AI11" s="86">
        <f t="shared" si="0"/>
        <v>61</v>
      </c>
      <c r="AJ11" s="76" t="str">
        <f>IF(AI11="","",$AJ$2)</f>
        <v>A-</v>
      </c>
      <c r="AK11" s="76" t="s">
        <v>13</v>
      </c>
      <c r="AL11" s="76" t="s">
        <v>62</v>
      </c>
      <c r="AM11" s="76" t="s">
        <v>63</v>
      </c>
      <c r="AN11" s="76" t="str">
        <f>IF(AI11="","",$AN$2)</f>
        <v>C</v>
      </c>
      <c r="AO11" s="76" t="str">
        <f>IF(N11="","",IF(N11&gt;=$AO$1/100,"O","X"))</f>
        <v>X</v>
      </c>
      <c r="AP11" s="76" t="str">
        <f>IF(I11="","",IF(I11&lt;=$AP$1,"O","X"))</f>
        <v>O</v>
      </c>
      <c r="AQ11" s="76" t="str">
        <f>IF(O11="","",IF(O11&lt;=$AQ$1,"O","X"))</f>
        <v>O</v>
      </c>
      <c r="AR11" s="76" t="str">
        <f>IF(M11="","",IF(M11&lt;=$AR$1,"O","X"))</f>
        <v>X</v>
      </c>
      <c r="AS11" s="76" t="s">
        <v>2</v>
      </c>
      <c r="AT11" s="76" t="str">
        <f>IF(OR(F11="",AI11=""),"",IF(AND((F11&lt;=85),(AI11&gt;=15)),"O","X"))</f>
        <v>X</v>
      </c>
      <c r="AU11" s="76" t="str">
        <f>IF(C11="","",IF(C11&gt;=$AU$1,"O","X"))</f>
        <v>O</v>
      </c>
      <c r="AV11" s="76" t="str">
        <f>IF(AO11="","",IF(AND(AO11="O",AP11="O",AR11="O",AT11="O",AU11="O"),"후보","X"))</f>
        <v>X</v>
      </c>
    </row>
    <row r="12" spans="1:48" x14ac:dyDescent="0.3">
      <c r="A12" s="9"/>
      <c r="B12" s="76"/>
      <c r="C12" s="6"/>
      <c r="D12" s="9"/>
      <c r="E12" s="14"/>
      <c r="F12" s="85"/>
      <c r="G12" s="9"/>
      <c r="H12" s="9"/>
      <c r="I12" s="9"/>
      <c r="J12" s="9"/>
      <c r="K12" s="9"/>
      <c r="L12" s="9"/>
      <c r="M12" s="9"/>
      <c r="N12" s="9"/>
      <c r="O12" s="90"/>
      <c r="P12" s="90"/>
      <c r="Q12" s="86"/>
      <c r="R12" s="86"/>
      <c r="S12" s="9"/>
      <c r="T12" s="47"/>
      <c r="U12" s="9"/>
      <c r="W12" s="67" t="str">
        <f>$A$4&amp;" "&amp;A13&amp;"("&amp;B13&amp;","&amp;C13&amp;"^)"</f>
        <v>중화산동1가 동신2차('95.07.,258^)</v>
      </c>
      <c r="X12" s="68"/>
      <c r="Y12" s="68"/>
      <c r="Z12" s="68"/>
      <c r="AA12" s="68"/>
      <c r="AB12" s="68"/>
      <c r="AC12" s="68"/>
      <c r="AD12" s="68"/>
      <c r="AE12" s="68"/>
      <c r="AF12" s="69"/>
      <c r="AH12" s="20" t="str">
        <f t="shared" si="1"/>
        <v/>
      </c>
      <c r="AI12" s="108" t="str">
        <f t="shared" si="0"/>
        <v/>
      </c>
      <c r="AJ12" s="76"/>
      <c r="AK12" s="76"/>
      <c r="AL12" s="76"/>
      <c r="AM12" s="76"/>
      <c r="AN12" s="76"/>
      <c r="AO12" s="76"/>
      <c r="AP12" s="76"/>
      <c r="AQ12" s="76"/>
      <c r="AR12" s="76"/>
      <c r="AS12" s="76"/>
      <c r="AT12" s="76"/>
      <c r="AU12" s="76"/>
      <c r="AV12" s="76"/>
    </row>
    <row r="13" spans="1:48" x14ac:dyDescent="0.3">
      <c r="A13" s="9" t="s">
        <v>1082</v>
      </c>
      <c r="B13" s="10" t="s">
        <v>1879</v>
      </c>
      <c r="C13" s="87">
        <v>258</v>
      </c>
      <c r="D13" s="85">
        <v>69</v>
      </c>
      <c r="E13" s="86">
        <v>21</v>
      </c>
      <c r="F13" s="85">
        <v>47.3</v>
      </c>
      <c r="G13" s="17">
        <v>14</v>
      </c>
      <c r="H13" s="87">
        <v>87</v>
      </c>
      <c r="I13" s="88"/>
      <c r="J13" s="88"/>
      <c r="K13" s="88"/>
      <c r="L13" s="88"/>
      <c r="M13" s="89">
        <f>I13-K13</f>
        <v>0</v>
      </c>
      <c r="N13" s="4" t="str">
        <f>IF(ISERROR(K13/I13),"",K13/I13)</f>
        <v/>
      </c>
      <c r="O13" s="90">
        <f>I13/E13</f>
        <v>0</v>
      </c>
      <c r="P13" s="90">
        <f>K13/E13</f>
        <v>0</v>
      </c>
      <c r="Q13" s="76">
        <v>2</v>
      </c>
      <c r="R13" s="76">
        <v>1</v>
      </c>
      <c r="S13" s="76" t="s">
        <v>68</v>
      </c>
      <c r="T13" s="5">
        <v>68</v>
      </c>
      <c r="U13" s="9"/>
      <c r="W13" s="85">
        <f t="shared" ref="W13:X17" si="5">D13</f>
        <v>69</v>
      </c>
      <c r="X13" s="86">
        <f t="shared" si="5"/>
        <v>21</v>
      </c>
      <c r="Y13" s="91">
        <f t="shared" ref="Y13:Z17" si="6">H13</f>
        <v>87</v>
      </c>
      <c r="Z13" s="89">
        <f t="shared" si="6"/>
        <v>0</v>
      </c>
      <c r="AA13" s="89">
        <f>K13</f>
        <v>0</v>
      </c>
      <c r="AB13" s="89">
        <f t="shared" ref="AB13:AD17" si="7">M13</f>
        <v>0</v>
      </c>
      <c r="AC13" s="4" t="str">
        <f t="shared" si="7"/>
        <v/>
      </c>
      <c r="AD13" s="90">
        <f t="shared" si="7"/>
        <v>0</v>
      </c>
      <c r="AE13" s="76" t="str">
        <f>S13</f>
        <v>복</v>
      </c>
      <c r="AF13" s="76" t="str">
        <f>Q13&amp;"/"&amp;R13</f>
        <v>2/1</v>
      </c>
      <c r="AH13" s="20" t="str">
        <f t="shared" si="1"/>
        <v>동신2차</v>
      </c>
      <c r="AI13" s="86">
        <f t="shared" si="0"/>
        <v>21</v>
      </c>
      <c r="AJ13" s="76" t="str">
        <f>IF(AI13="","",$AJ$2)</f>
        <v>A-</v>
      </c>
      <c r="AK13" s="76" t="s">
        <v>13</v>
      </c>
      <c r="AL13" s="76" t="s">
        <v>62</v>
      </c>
      <c r="AM13" s="76" t="s">
        <v>63</v>
      </c>
      <c r="AN13" s="76" t="str">
        <f>IF(AI13="","",$AN$2)</f>
        <v>C</v>
      </c>
      <c r="AO13" s="76" t="str">
        <f>IF(N13="","",IF(N13&gt;=$AO$1/100,"O","X"))</f>
        <v/>
      </c>
      <c r="AP13" s="76" t="str">
        <f>IF(I13="","",IF(I13&lt;=$AP$1,"O","X"))</f>
        <v/>
      </c>
      <c r="AQ13" s="76" t="str">
        <f>IF(O13="","",IF(O13&lt;=$AQ$1,"O","X"))</f>
        <v>O</v>
      </c>
      <c r="AR13" s="76" t="str">
        <f>IF(M13="","",IF(M13&lt;=$AR$1,"O","X"))</f>
        <v>O</v>
      </c>
      <c r="AS13" s="76" t="s">
        <v>2</v>
      </c>
      <c r="AT13" s="76" t="str">
        <f>IF(OR(F13="",AI13=""),"",IF(AND((F13&lt;=85),(AI13&gt;=15)),"O","X"))</f>
        <v>O</v>
      </c>
      <c r="AU13" s="76" t="str">
        <f>IF(C13="","",IF(C13&gt;=$AU$1,"O","X"))</f>
        <v>X</v>
      </c>
      <c r="AV13" s="76" t="str">
        <f>IF(AO13="","",IF(AND(AO13="O",AP13="O",AR13="O",AT13="O",AU13="O"),"후보","X"))</f>
        <v/>
      </c>
    </row>
    <row r="14" spans="1:48" x14ac:dyDescent="0.3">
      <c r="A14" s="9" t="s">
        <v>1082</v>
      </c>
      <c r="B14" s="10" t="s">
        <v>1879</v>
      </c>
      <c r="C14" s="87">
        <v>258</v>
      </c>
      <c r="D14" s="85">
        <v>75.8</v>
      </c>
      <c r="E14" s="86">
        <v>23</v>
      </c>
      <c r="F14" s="85">
        <v>52</v>
      </c>
      <c r="G14" s="17">
        <v>16</v>
      </c>
      <c r="H14" s="87">
        <v>19</v>
      </c>
      <c r="I14" s="88"/>
      <c r="J14" s="88"/>
      <c r="K14" s="88"/>
      <c r="L14" s="88"/>
      <c r="M14" s="89">
        <f>I14-K14</f>
        <v>0</v>
      </c>
      <c r="N14" s="4" t="str">
        <f>IF(ISERROR(K14/I14),"",K14/I14)</f>
        <v/>
      </c>
      <c r="O14" s="90">
        <f>I14/E14</f>
        <v>0</v>
      </c>
      <c r="P14" s="90">
        <f>K14/E14</f>
        <v>0</v>
      </c>
      <c r="Q14" s="76">
        <v>2</v>
      </c>
      <c r="R14" s="76">
        <v>1</v>
      </c>
      <c r="S14" s="76" t="s">
        <v>68</v>
      </c>
      <c r="T14" s="5">
        <v>75</v>
      </c>
      <c r="U14" s="9"/>
      <c r="W14" s="85">
        <f t="shared" si="5"/>
        <v>75.8</v>
      </c>
      <c r="X14" s="86">
        <f t="shared" si="5"/>
        <v>23</v>
      </c>
      <c r="Y14" s="91">
        <f t="shared" si="6"/>
        <v>19</v>
      </c>
      <c r="Z14" s="89">
        <f t="shared" si="6"/>
        <v>0</v>
      </c>
      <c r="AA14" s="89">
        <f>K14</f>
        <v>0</v>
      </c>
      <c r="AB14" s="89">
        <f t="shared" si="7"/>
        <v>0</v>
      </c>
      <c r="AC14" s="4" t="str">
        <f t="shared" si="7"/>
        <v/>
      </c>
      <c r="AD14" s="90">
        <f t="shared" si="7"/>
        <v>0</v>
      </c>
      <c r="AE14" s="76" t="str">
        <f>S14</f>
        <v>복</v>
      </c>
      <c r="AF14" s="76" t="str">
        <f>Q14&amp;"/"&amp;R14</f>
        <v>2/1</v>
      </c>
      <c r="AH14" s="20" t="str">
        <f t="shared" si="1"/>
        <v>동신2차</v>
      </c>
      <c r="AI14" s="86">
        <f t="shared" si="0"/>
        <v>23</v>
      </c>
      <c r="AJ14" s="76" t="str">
        <f>IF(AI14="","",$AJ$2)</f>
        <v>A-</v>
      </c>
      <c r="AK14" s="76" t="s">
        <v>13</v>
      </c>
      <c r="AL14" s="76" t="s">
        <v>62</v>
      </c>
      <c r="AM14" s="76" t="s">
        <v>63</v>
      </c>
      <c r="AN14" s="76" t="str">
        <f>IF(AI14="","",$AN$2)</f>
        <v>C</v>
      </c>
      <c r="AO14" s="76" t="str">
        <f>IF(N14="","",IF(N14&gt;=$AO$1/100,"O","X"))</f>
        <v/>
      </c>
      <c r="AP14" s="76" t="str">
        <f>IF(I14="","",IF(I14&lt;=$AP$1,"O","X"))</f>
        <v/>
      </c>
      <c r="AQ14" s="76" t="str">
        <f>IF(O14="","",IF(O14&lt;=$AQ$1,"O","X"))</f>
        <v>O</v>
      </c>
      <c r="AR14" s="76" t="str">
        <f>IF(M14="","",IF(M14&lt;=$AR$1,"O","X"))</f>
        <v>O</v>
      </c>
      <c r="AS14" s="76" t="s">
        <v>2</v>
      </c>
      <c r="AT14" s="76" t="str">
        <f>IF(OR(F14="",AI14=""),"",IF(AND((F14&lt;=85),(AI14&gt;=15)),"O","X"))</f>
        <v>O</v>
      </c>
      <c r="AU14" s="76" t="str">
        <f>IF(C14="","",IF(C14&gt;=$AU$1,"O","X"))</f>
        <v>X</v>
      </c>
      <c r="AV14" s="76" t="str">
        <f>IF(AO14="","",IF(AND(AO14="O",AP14="O",AR14="O",AT14="O",AU14="O"),"후보","X"))</f>
        <v/>
      </c>
    </row>
    <row r="15" spans="1:48" x14ac:dyDescent="0.3">
      <c r="A15" s="9" t="s">
        <v>1082</v>
      </c>
      <c r="B15" s="10" t="s">
        <v>1879</v>
      </c>
      <c r="C15" s="87">
        <v>258</v>
      </c>
      <c r="D15" s="85">
        <v>93.6</v>
      </c>
      <c r="E15" s="86">
        <v>28</v>
      </c>
      <c r="F15" s="85">
        <v>77.8</v>
      </c>
      <c r="G15" s="17">
        <v>24</v>
      </c>
      <c r="H15" s="87">
        <v>38</v>
      </c>
      <c r="I15" s="88"/>
      <c r="J15" s="88"/>
      <c r="K15" s="88"/>
      <c r="L15" s="88"/>
      <c r="M15" s="89">
        <f>I15-K15</f>
        <v>0</v>
      </c>
      <c r="N15" s="4" t="str">
        <f>IF(ISERROR(K15/I15),"",K15/I15)</f>
        <v/>
      </c>
      <c r="O15" s="90">
        <f>I15/E15</f>
        <v>0</v>
      </c>
      <c r="P15" s="90">
        <f>K15/E15</f>
        <v>0</v>
      </c>
      <c r="Q15" s="76">
        <v>3</v>
      </c>
      <c r="R15" s="76">
        <v>1</v>
      </c>
      <c r="S15" s="76" t="s">
        <v>68</v>
      </c>
      <c r="T15" s="5">
        <v>93</v>
      </c>
      <c r="U15" s="9"/>
      <c r="W15" s="85">
        <f t="shared" si="5"/>
        <v>93.6</v>
      </c>
      <c r="X15" s="86">
        <f t="shared" si="5"/>
        <v>28</v>
      </c>
      <c r="Y15" s="91">
        <f t="shared" si="6"/>
        <v>38</v>
      </c>
      <c r="Z15" s="89">
        <f t="shared" si="6"/>
        <v>0</v>
      </c>
      <c r="AA15" s="89">
        <f>K15</f>
        <v>0</v>
      </c>
      <c r="AB15" s="89">
        <f t="shared" si="7"/>
        <v>0</v>
      </c>
      <c r="AC15" s="4" t="str">
        <f t="shared" si="7"/>
        <v/>
      </c>
      <c r="AD15" s="90">
        <f t="shared" si="7"/>
        <v>0</v>
      </c>
      <c r="AE15" s="76" t="str">
        <f>S15</f>
        <v>복</v>
      </c>
      <c r="AF15" s="76" t="str">
        <f>Q15&amp;"/"&amp;R15</f>
        <v>3/1</v>
      </c>
      <c r="AH15" s="20" t="str">
        <f t="shared" si="1"/>
        <v>동신2차</v>
      </c>
      <c r="AI15" s="86">
        <f t="shared" si="0"/>
        <v>28</v>
      </c>
      <c r="AJ15" s="76" t="str">
        <f>IF(AI15="","",$AJ$2)</f>
        <v>A-</v>
      </c>
      <c r="AK15" s="76" t="s">
        <v>13</v>
      </c>
      <c r="AL15" s="76" t="s">
        <v>62</v>
      </c>
      <c r="AM15" s="76" t="s">
        <v>63</v>
      </c>
      <c r="AN15" s="76" t="str">
        <f>IF(AI15="","",$AN$2)</f>
        <v>C</v>
      </c>
      <c r="AO15" s="76" t="str">
        <f>IF(N15="","",IF(N15&gt;=$AO$1/100,"O","X"))</f>
        <v/>
      </c>
      <c r="AP15" s="76" t="str">
        <f>IF(I15="","",IF(I15&lt;=$AP$1,"O","X"))</f>
        <v/>
      </c>
      <c r="AQ15" s="76" t="str">
        <f>IF(O15="","",IF(O15&lt;=$AQ$1,"O","X"))</f>
        <v>O</v>
      </c>
      <c r="AR15" s="76" t="str">
        <f>IF(M15="","",IF(M15&lt;=$AR$1,"O","X"))</f>
        <v>O</v>
      </c>
      <c r="AS15" s="76" t="s">
        <v>2</v>
      </c>
      <c r="AT15" s="76" t="str">
        <f>IF(OR(F15="",AI15=""),"",IF(AND((F15&lt;=85),(AI15&gt;=15)),"O","X"))</f>
        <v>O</v>
      </c>
      <c r="AU15" s="76" t="str">
        <f>IF(C15="","",IF(C15&gt;=$AU$1,"O","X"))</f>
        <v>X</v>
      </c>
      <c r="AV15" s="76" t="str">
        <f>IF(AO15="","",IF(AND(AO15="O",AP15="O",AR15="O",AT15="O",AU15="O"),"후보","X"))</f>
        <v/>
      </c>
    </row>
    <row r="16" spans="1:48" x14ac:dyDescent="0.3">
      <c r="A16" s="9" t="s">
        <v>1082</v>
      </c>
      <c r="B16" s="10" t="s">
        <v>1879</v>
      </c>
      <c r="C16" s="87">
        <v>258</v>
      </c>
      <c r="D16" s="85">
        <v>102.2</v>
      </c>
      <c r="E16" s="86">
        <v>31</v>
      </c>
      <c r="F16" s="85">
        <v>84.9</v>
      </c>
      <c r="G16" s="17">
        <v>26</v>
      </c>
      <c r="H16" s="87">
        <v>38</v>
      </c>
      <c r="I16" s="88"/>
      <c r="J16" s="88"/>
      <c r="K16" s="88"/>
      <c r="L16" s="88"/>
      <c r="M16" s="89">
        <f>I16-K16</f>
        <v>0</v>
      </c>
      <c r="N16" s="4" t="str">
        <f>IF(ISERROR(K16/I16),"",K16/I16)</f>
        <v/>
      </c>
      <c r="O16" s="90">
        <f>I16/E16</f>
        <v>0</v>
      </c>
      <c r="P16" s="90">
        <f>K16/E16</f>
        <v>0</v>
      </c>
      <c r="Q16" s="76">
        <v>3</v>
      </c>
      <c r="R16" s="76">
        <v>2</v>
      </c>
      <c r="S16" s="76" t="s">
        <v>68</v>
      </c>
      <c r="T16" s="5">
        <v>102</v>
      </c>
      <c r="U16" s="9"/>
      <c r="W16" s="85">
        <f t="shared" si="5"/>
        <v>102.2</v>
      </c>
      <c r="X16" s="86">
        <f t="shared" si="5"/>
        <v>31</v>
      </c>
      <c r="Y16" s="91">
        <f t="shared" si="6"/>
        <v>38</v>
      </c>
      <c r="Z16" s="89">
        <f t="shared" si="6"/>
        <v>0</v>
      </c>
      <c r="AA16" s="89">
        <f>K16</f>
        <v>0</v>
      </c>
      <c r="AB16" s="89">
        <f t="shared" si="7"/>
        <v>0</v>
      </c>
      <c r="AC16" s="4" t="str">
        <f t="shared" si="7"/>
        <v/>
      </c>
      <c r="AD16" s="90">
        <f t="shared" si="7"/>
        <v>0</v>
      </c>
      <c r="AE16" s="76" t="str">
        <f>S16</f>
        <v>복</v>
      </c>
      <c r="AF16" s="76" t="str">
        <f>Q16&amp;"/"&amp;R16</f>
        <v>3/2</v>
      </c>
      <c r="AH16" s="20" t="str">
        <f t="shared" si="1"/>
        <v>동신2차</v>
      </c>
      <c r="AI16" s="86">
        <f t="shared" si="0"/>
        <v>31</v>
      </c>
      <c r="AJ16" s="76" t="str">
        <f>IF(AI16="","",$AJ$2)</f>
        <v>A-</v>
      </c>
      <c r="AK16" s="76" t="s">
        <v>13</v>
      </c>
      <c r="AL16" s="76" t="s">
        <v>62</v>
      </c>
      <c r="AM16" s="76" t="s">
        <v>63</v>
      </c>
      <c r="AN16" s="76" t="str">
        <f>IF(AI16="","",$AN$2)</f>
        <v>C</v>
      </c>
      <c r="AO16" s="76" t="str">
        <f>IF(N16="","",IF(N16&gt;=$AO$1/100,"O","X"))</f>
        <v/>
      </c>
      <c r="AP16" s="76" t="str">
        <f>IF(I16="","",IF(I16&lt;=$AP$1,"O","X"))</f>
        <v/>
      </c>
      <c r="AQ16" s="76" t="str">
        <f>IF(O16="","",IF(O16&lt;=$AQ$1,"O","X"))</f>
        <v>O</v>
      </c>
      <c r="AR16" s="76" t="str">
        <f>IF(M16="","",IF(M16&lt;=$AR$1,"O","X"))</f>
        <v>O</v>
      </c>
      <c r="AS16" s="76" t="s">
        <v>2</v>
      </c>
      <c r="AT16" s="76" t="str">
        <f>IF(OR(F16="",AI16=""),"",IF(AND((F16&lt;=85),(AI16&gt;=15)),"O","X"))</f>
        <v>O</v>
      </c>
      <c r="AU16" s="76" t="str">
        <f>IF(C16="","",IF(C16&gt;=$AU$1,"O","X"))</f>
        <v>X</v>
      </c>
      <c r="AV16" s="76" t="str">
        <f>IF(AO16="","",IF(AND(AO16="O",AP16="O",AR16="O",AT16="O",AU16="O"),"후보","X"))</f>
        <v/>
      </c>
    </row>
    <row r="17" spans="1:48" x14ac:dyDescent="0.3">
      <c r="A17" s="9" t="s">
        <v>1082</v>
      </c>
      <c r="B17" s="10" t="s">
        <v>1879</v>
      </c>
      <c r="C17" s="87">
        <v>258</v>
      </c>
      <c r="D17" s="85">
        <v>139.9</v>
      </c>
      <c r="E17" s="86">
        <v>42</v>
      </c>
      <c r="F17" s="85">
        <v>119.8</v>
      </c>
      <c r="G17" s="17">
        <v>36</v>
      </c>
      <c r="H17" s="87">
        <v>76</v>
      </c>
      <c r="I17" s="88"/>
      <c r="J17" s="88"/>
      <c r="K17" s="88"/>
      <c r="L17" s="88"/>
      <c r="M17" s="89">
        <f>I17-K17</f>
        <v>0</v>
      </c>
      <c r="N17" s="4" t="str">
        <f>IF(ISERROR(K17/I17),"",K17/I17)</f>
        <v/>
      </c>
      <c r="O17" s="90">
        <f>I17/E17</f>
        <v>0</v>
      </c>
      <c r="P17" s="90">
        <f>K17/E17</f>
        <v>0</v>
      </c>
      <c r="Q17" s="76">
        <v>4</v>
      </c>
      <c r="R17" s="76">
        <v>2</v>
      </c>
      <c r="S17" s="76" t="s">
        <v>61</v>
      </c>
      <c r="T17" s="5">
        <v>139</v>
      </c>
      <c r="U17" s="9"/>
      <c r="W17" s="85">
        <f t="shared" si="5"/>
        <v>139.9</v>
      </c>
      <c r="X17" s="86">
        <f t="shared" si="5"/>
        <v>42</v>
      </c>
      <c r="Y17" s="91">
        <f t="shared" si="6"/>
        <v>76</v>
      </c>
      <c r="Z17" s="89">
        <f t="shared" si="6"/>
        <v>0</v>
      </c>
      <c r="AA17" s="89">
        <f>K17</f>
        <v>0</v>
      </c>
      <c r="AB17" s="89">
        <f t="shared" si="7"/>
        <v>0</v>
      </c>
      <c r="AC17" s="4" t="str">
        <f t="shared" si="7"/>
        <v/>
      </c>
      <c r="AD17" s="90">
        <f t="shared" si="7"/>
        <v>0</v>
      </c>
      <c r="AE17" s="76" t="str">
        <f>S17</f>
        <v>계</v>
      </c>
      <c r="AF17" s="76" t="str">
        <f>Q17&amp;"/"&amp;R17</f>
        <v>4/2</v>
      </c>
      <c r="AH17" s="20" t="str">
        <f t="shared" si="1"/>
        <v>동신2차</v>
      </c>
      <c r="AI17" s="86">
        <f t="shared" si="0"/>
        <v>42</v>
      </c>
      <c r="AJ17" s="76" t="str">
        <f>IF(AI17="","",$AJ$2)</f>
        <v>A-</v>
      </c>
      <c r="AK17" s="76" t="s">
        <v>13</v>
      </c>
      <c r="AL17" s="76" t="s">
        <v>62</v>
      </c>
      <c r="AM17" s="76" t="s">
        <v>63</v>
      </c>
      <c r="AN17" s="76" t="str">
        <f>IF(AI17="","",$AN$2)</f>
        <v>C</v>
      </c>
      <c r="AO17" s="76" t="str">
        <f>IF(N17="","",IF(N17&gt;=$AO$1/100,"O","X"))</f>
        <v/>
      </c>
      <c r="AP17" s="76" t="str">
        <f>IF(I17="","",IF(I17&lt;=$AP$1,"O","X"))</f>
        <v/>
      </c>
      <c r="AQ17" s="76" t="str">
        <f>IF(O17="","",IF(O17&lt;=$AQ$1,"O","X"))</f>
        <v>O</v>
      </c>
      <c r="AR17" s="76" t="str">
        <f>IF(M17="","",IF(M17&lt;=$AR$1,"O","X"))</f>
        <v>O</v>
      </c>
      <c r="AS17" s="76" t="s">
        <v>2</v>
      </c>
      <c r="AT17" s="76" t="str">
        <f>IF(OR(F17="",AI17=""),"",IF(AND((F17&lt;=85),(AI17&gt;=15)),"O","X"))</f>
        <v>X</v>
      </c>
      <c r="AU17" s="76" t="str">
        <f>IF(C17="","",IF(C17&gt;=$AU$1,"O","X"))</f>
        <v>X</v>
      </c>
      <c r="AV17" s="76" t="str">
        <f>IF(AO17="","",IF(AND(AO17="O",AP17="O",AR17="O",AT17="O",AU17="O"),"후보","X"))</f>
        <v/>
      </c>
    </row>
    <row r="18" spans="1:48" x14ac:dyDescent="0.3">
      <c r="A18" s="9"/>
      <c r="B18" s="76"/>
      <c r="C18" s="6"/>
      <c r="D18" s="9"/>
      <c r="E18" s="14"/>
      <c r="F18" s="85"/>
      <c r="G18" s="9"/>
      <c r="H18" s="9"/>
      <c r="I18" s="9"/>
      <c r="J18" s="9"/>
      <c r="K18" s="9"/>
      <c r="L18" s="9"/>
      <c r="M18" s="9"/>
      <c r="N18" s="9"/>
      <c r="O18" s="90"/>
      <c r="P18" s="90"/>
      <c r="Q18" s="86"/>
      <c r="R18" s="86"/>
      <c r="S18" s="9"/>
      <c r="T18" s="47"/>
      <c r="U18" s="9"/>
      <c r="W18" s="67" t="str">
        <f>$A$4&amp;" "&amp;A19&amp;"("&amp;B19&amp;","&amp;C19&amp;"^)"</f>
        <v>중화산동1가 현대A단지('99.04.,323^)</v>
      </c>
      <c r="X18" s="68"/>
      <c r="Y18" s="68"/>
      <c r="Z18" s="68"/>
      <c r="AA18" s="68"/>
      <c r="AB18" s="68"/>
      <c r="AC18" s="68"/>
      <c r="AD18" s="68"/>
      <c r="AE18" s="68"/>
      <c r="AF18" s="69"/>
      <c r="AH18" s="20" t="str">
        <f t="shared" si="1"/>
        <v/>
      </c>
      <c r="AI18" s="108" t="str">
        <f t="shared" si="0"/>
        <v/>
      </c>
      <c r="AJ18" s="76"/>
      <c r="AK18" s="76"/>
      <c r="AL18" s="76"/>
      <c r="AM18" s="76"/>
      <c r="AN18" s="76"/>
      <c r="AO18" s="76"/>
      <c r="AP18" s="76"/>
      <c r="AQ18" s="76"/>
      <c r="AR18" s="76"/>
      <c r="AS18" s="76"/>
      <c r="AT18" s="76"/>
      <c r="AU18" s="76"/>
      <c r="AV18" s="76"/>
    </row>
    <row r="19" spans="1:48" x14ac:dyDescent="0.3">
      <c r="A19" s="9" t="s">
        <v>1102</v>
      </c>
      <c r="B19" s="10" t="s">
        <v>1880</v>
      </c>
      <c r="C19" s="87">
        <v>323</v>
      </c>
      <c r="D19" s="85">
        <v>86.9</v>
      </c>
      <c r="E19" s="86">
        <v>26</v>
      </c>
      <c r="F19" s="85">
        <v>59.9</v>
      </c>
      <c r="G19" s="17">
        <v>18</v>
      </c>
      <c r="H19" s="87">
        <v>38</v>
      </c>
      <c r="I19" s="88">
        <v>17000</v>
      </c>
      <c r="J19" s="88" t="s">
        <v>71</v>
      </c>
      <c r="K19" s="88"/>
      <c r="L19" s="88"/>
      <c r="M19" s="89">
        <f>I19-K19</f>
        <v>17000</v>
      </c>
      <c r="N19" s="4">
        <f>IF(ISERROR(K19/I19),"",K19/I19)</f>
        <v>0</v>
      </c>
      <c r="O19" s="90">
        <f>I19/E19</f>
        <v>653.84615384615381</v>
      </c>
      <c r="P19" s="90">
        <f>K19/E19</f>
        <v>0</v>
      </c>
      <c r="Q19" s="76">
        <v>3</v>
      </c>
      <c r="R19" s="76">
        <v>1</v>
      </c>
      <c r="S19" s="76" t="s">
        <v>61</v>
      </c>
      <c r="T19" s="5">
        <v>86</v>
      </c>
      <c r="U19" s="9"/>
      <c r="W19" s="85">
        <f t="shared" ref="W19:X22" si="8">D19</f>
        <v>86.9</v>
      </c>
      <c r="X19" s="86">
        <f t="shared" si="8"/>
        <v>26</v>
      </c>
      <c r="Y19" s="91">
        <f t="shared" ref="Y19:Z22" si="9">H19</f>
        <v>38</v>
      </c>
      <c r="Z19" s="89">
        <f t="shared" si="9"/>
        <v>17000</v>
      </c>
      <c r="AA19" s="89">
        <f>K19</f>
        <v>0</v>
      </c>
      <c r="AB19" s="89">
        <f t="shared" ref="AB19:AD22" si="10">M19</f>
        <v>17000</v>
      </c>
      <c r="AC19" s="4">
        <f t="shared" si="10"/>
        <v>0</v>
      </c>
      <c r="AD19" s="90">
        <f t="shared" si="10"/>
        <v>653.84615384615381</v>
      </c>
      <c r="AE19" s="76" t="str">
        <f>S19</f>
        <v>계</v>
      </c>
      <c r="AF19" s="76" t="str">
        <f>Q19&amp;"/"&amp;R19</f>
        <v>3/1</v>
      </c>
      <c r="AH19" s="20" t="str">
        <f t="shared" si="1"/>
        <v>현대A단지</v>
      </c>
      <c r="AI19" s="86">
        <f t="shared" si="0"/>
        <v>26</v>
      </c>
      <c r="AJ19" s="76" t="str">
        <f>IF(AI19="","",$AJ$2)</f>
        <v>A-</v>
      </c>
      <c r="AK19" s="76" t="s">
        <v>13</v>
      </c>
      <c r="AL19" s="76" t="s">
        <v>62</v>
      </c>
      <c r="AM19" s="76" t="s">
        <v>63</v>
      </c>
      <c r="AN19" s="76" t="str">
        <f>IF(AI19="","",$AN$2)</f>
        <v>C</v>
      </c>
      <c r="AO19" s="76" t="str">
        <f>IF(N19="","",IF(N19&gt;=$AO$1/100,"O","X"))</f>
        <v>X</v>
      </c>
      <c r="AP19" s="76" t="str">
        <f>IF(I19="","",IF(I19&lt;=$AP$1,"O","X"))</f>
        <v>O</v>
      </c>
      <c r="AQ19" s="76" t="str">
        <f>IF(O19="","",IF(O19&lt;=$AQ$1,"O","X"))</f>
        <v>O</v>
      </c>
      <c r="AR19" s="76" t="str">
        <f>IF(M19="","",IF(M19&lt;=$AR$1,"O","X"))</f>
        <v>X</v>
      </c>
      <c r="AS19" s="76" t="s">
        <v>2</v>
      </c>
      <c r="AT19" s="76" t="str">
        <f>IF(OR(F19="",AI19=""),"",IF(AND((F19&lt;=85),(AI19&gt;=15)),"O","X"))</f>
        <v>O</v>
      </c>
      <c r="AU19" s="76" t="str">
        <f>IF(C19="","",IF(C19&gt;=$AU$1,"O","X"))</f>
        <v>O</v>
      </c>
      <c r="AV19" s="76" t="str">
        <f>IF(AO19="","",IF(AND(AO19="O",AP19="O",AR19="O",AT19="O",AU19="O"),"후보","X"))</f>
        <v>X</v>
      </c>
    </row>
    <row r="20" spans="1:48" x14ac:dyDescent="0.3">
      <c r="A20" s="9" t="s">
        <v>1102</v>
      </c>
      <c r="B20" s="10" t="s">
        <v>1880</v>
      </c>
      <c r="C20" s="87">
        <v>323</v>
      </c>
      <c r="D20" s="85">
        <v>116.7</v>
      </c>
      <c r="E20" s="86">
        <v>35</v>
      </c>
      <c r="F20" s="85">
        <v>85</v>
      </c>
      <c r="G20" s="17">
        <v>26</v>
      </c>
      <c r="H20" s="87">
        <v>202</v>
      </c>
      <c r="I20" s="88"/>
      <c r="J20" s="88"/>
      <c r="K20" s="88"/>
      <c r="L20" s="88"/>
      <c r="M20" s="89">
        <f>I20-K20</f>
        <v>0</v>
      </c>
      <c r="N20" s="4" t="str">
        <f>IF(ISERROR(K20/I20),"",K20/I20)</f>
        <v/>
      </c>
      <c r="O20" s="90">
        <f>I20/E20</f>
        <v>0</v>
      </c>
      <c r="P20" s="90">
        <f>K20/E20</f>
        <v>0</v>
      </c>
      <c r="Q20" s="76">
        <v>3</v>
      </c>
      <c r="R20" s="76">
        <v>2</v>
      </c>
      <c r="S20" s="76" t="s">
        <v>61</v>
      </c>
      <c r="T20" s="5">
        <v>116</v>
      </c>
      <c r="U20" s="9"/>
      <c r="W20" s="85">
        <f t="shared" si="8"/>
        <v>116.7</v>
      </c>
      <c r="X20" s="86">
        <f t="shared" si="8"/>
        <v>35</v>
      </c>
      <c r="Y20" s="91">
        <f t="shared" si="9"/>
        <v>202</v>
      </c>
      <c r="Z20" s="89">
        <f t="shared" si="9"/>
        <v>0</v>
      </c>
      <c r="AA20" s="89">
        <f>K20</f>
        <v>0</v>
      </c>
      <c r="AB20" s="89">
        <f t="shared" si="10"/>
        <v>0</v>
      </c>
      <c r="AC20" s="4" t="str">
        <f t="shared" si="10"/>
        <v/>
      </c>
      <c r="AD20" s="90">
        <f t="shared" si="10"/>
        <v>0</v>
      </c>
      <c r="AE20" s="76" t="str">
        <f>S20</f>
        <v>계</v>
      </c>
      <c r="AF20" s="76" t="str">
        <f>Q20&amp;"/"&amp;R20</f>
        <v>3/2</v>
      </c>
      <c r="AH20" s="20" t="str">
        <f t="shared" si="1"/>
        <v>현대A단지</v>
      </c>
      <c r="AI20" s="86">
        <f t="shared" si="0"/>
        <v>35</v>
      </c>
      <c r="AJ20" s="76" t="str">
        <f>IF(AI20="","",$AJ$2)</f>
        <v>A-</v>
      </c>
      <c r="AK20" s="76" t="s">
        <v>13</v>
      </c>
      <c r="AL20" s="76" t="s">
        <v>62</v>
      </c>
      <c r="AM20" s="76" t="s">
        <v>63</v>
      </c>
      <c r="AN20" s="76" t="str">
        <f>IF(AI20="","",$AN$2)</f>
        <v>C</v>
      </c>
      <c r="AO20" s="76" t="str">
        <f>IF(N20="","",IF(N20&gt;=$AO$1/100,"O","X"))</f>
        <v/>
      </c>
      <c r="AP20" s="76" t="str">
        <f>IF(I20="","",IF(I20&lt;=$AP$1,"O","X"))</f>
        <v/>
      </c>
      <c r="AQ20" s="76" t="str">
        <f>IF(O20="","",IF(O20&lt;=$AQ$1,"O","X"))</f>
        <v>O</v>
      </c>
      <c r="AR20" s="76" t="str">
        <f>IF(M20="","",IF(M20&lt;=$AR$1,"O","X"))</f>
        <v>O</v>
      </c>
      <c r="AS20" s="76" t="s">
        <v>2</v>
      </c>
      <c r="AT20" s="76" t="str">
        <f>IF(OR(F20="",AI20=""),"",IF(AND((F20&lt;=85),(AI20&gt;=15)),"O","X"))</f>
        <v>O</v>
      </c>
      <c r="AU20" s="76" t="str">
        <f>IF(C20="","",IF(C20&gt;=$AU$1,"O","X"))</f>
        <v>O</v>
      </c>
      <c r="AV20" s="76" t="str">
        <f>IF(AO20="","",IF(AND(AO20="O",AP20="O",AR20="O",AT20="O",AU20="O"),"후보","X"))</f>
        <v/>
      </c>
    </row>
    <row r="21" spans="1:48" x14ac:dyDescent="0.3">
      <c r="A21" s="9" t="s">
        <v>1102</v>
      </c>
      <c r="B21" s="10" t="s">
        <v>1880</v>
      </c>
      <c r="C21" s="87">
        <v>323</v>
      </c>
      <c r="D21" s="85">
        <v>151.30000000000001</v>
      </c>
      <c r="E21" s="86">
        <v>46</v>
      </c>
      <c r="F21" s="85">
        <v>114</v>
      </c>
      <c r="G21" s="17">
        <v>34</v>
      </c>
      <c r="H21" s="87">
        <v>51</v>
      </c>
      <c r="I21" s="88"/>
      <c r="J21" s="88"/>
      <c r="K21" s="88"/>
      <c r="L21" s="88"/>
      <c r="M21" s="89">
        <f>I21-K21</f>
        <v>0</v>
      </c>
      <c r="N21" s="4" t="str">
        <f>IF(ISERROR(K21/I21),"",K21/I21)</f>
        <v/>
      </c>
      <c r="O21" s="90">
        <f>I21/E21</f>
        <v>0</v>
      </c>
      <c r="P21" s="90">
        <f>K21/E21</f>
        <v>0</v>
      </c>
      <c r="Q21" s="76">
        <v>4</v>
      </c>
      <c r="R21" s="76">
        <v>2</v>
      </c>
      <c r="S21" s="76" t="s">
        <v>61</v>
      </c>
      <c r="T21" s="5">
        <v>151</v>
      </c>
      <c r="U21" s="9"/>
      <c r="W21" s="85">
        <f t="shared" si="8"/>
        <v>151.30000000000001</v>
      </c>
      <c r="X21" s="86">
        <f t="shared" si="8"/>
        <v>46</v>
      </c>
      <c r="Y21" s="91">
        <f t="shared" si="9"/>
        <v>51</v>
      </c>
      <c r="Z21" s="89">
        <f t="shared" si="9"/>
        <v>0</v>
      </c>
      <c r="AA21" s="89">
        <f>K21</f>
        <v>0</v>
      </c>
      <c r="AB21" s="89">
        <f t="shared" si="10"/>
        <v>0</v>
      </c>
      <c r="AC21" s="4" t="str">
        <f t="shared" si="10"/>
        <v/>
      </c>
      <c r="AD21" s="90">
        <f t="shared" si="10"/>
        <v>0</v>
      </c>
      <c r="AE21" s="76" t="str">
        <f>S21</f>
        <v>계</v>
      </c>
      <c r="AF21" s="76" t="str">
        <f>Q21&amp;"/"&amp;R21</f>
        <v>4/2</v>
      </c>
      <c r="AH21" s="20" t="str">
        <f t="shared" si="1"/>
        <v>현대A단지</v>
      </c>
      <c r="AI21" s="86">
        <f t="shared" si="0"/>
        <v>46</v>
      </c>
      <c r="AJ21" s="76" t="str">
        <f>IF(AI21="","",$AJ$2)</f>
        <v>A-</v>
      </c>
      <c r="AK21" s="76" t="s">
        <v>13</v>
      </c>
      <c r="AL21" s="76" t="s">
        <v>62</v>
      </c>
      <c r="AM21" s="76" t="s">
        <v>63</v>
      </c>
      <c r="AN21" s="76" t="str">
        <f>IF(AI21="","",$AN$2)</f>
        <v>C</v>
      </c>
      <c r="AO21" s="76" t="str">
        <f>IF(N21="","",IF(N21&gt;=$AO$1/100,"O","X"))</f>
        <v/>
      </c>
      <c r="AP21" s="76" t="str">
        <f>IF(I21="","",IF(I21&lt;=$AP$1,"O","X"))</f>
        <v/>
      </c>
      <c r="AQ21" s="76" t="str">
        <f>IF(O21="","",IF(O21&lt;=$AQ$1,"O","X"))</f>
        <v>O</v>
      </c>
      <c r="AR21" s="76" t="str">
        <f>IF(M21="","",IF(M21&lt;=$AR$1,"O","X"))</f>
        <v>O</v>
      </c>
      <c r="AS21" s="76" t="s">
        <v>2</v>
      </c>
      <c r="AT21" s="76" t="str">
        <f>IF(OR(F21="",AI21=""),"",IF(AND((F21&lt;=85),(AI21&gt;=15)),"O","X"))</f>
        <v>X</v>
      </c>
      <c r="AU21" s="76" t="str">
        <f>IF(C21="","",IF(C21&gt;=$AU$1,"O","X"))</f>
        <v>O</v>
      </c>
      <c r="AV21" s="76" t="str">
        <f>IF(AO21="","",IF(AND(AO21="O",AP21="O",AR21="O",AT21="O",AU21="O"),"후보","X"))</f>
        <v/>
      </c>
    </row>
    <row r="22" spans="1:48" x14ac:dyDescent="0.3">
      <c r="A22" s="9" t="s">
        <v>1102</v>
      </c>
      <c r="B22" s="10" t="s">
        <v>1880</v>
      </c>
      <c r="C22" s="87">
        <v>323</v>
      </c>
      <c r="D22" s="85">
        <v>180.2</v>
      </c>
      <c r="E22" s="86">
        <v>55</v>
      </c>
      <c r="F22" s="85">
        <v>138.30000000000001</v>
      </c>
      <c r="G22" s="17">
        <v>42</v>
      </c>
      <c r="H22" s="87">
        <v>32</v>
      </c>
      <c r="I22" s="88"/>
      <c r="J22" s="88"/>
      <c r="K22" s="88"/>
      <c r="L22" s="88"/>
      <c r="M22" s="89">
        <f>I22-K22</f>
        <v>0</v>
      </c>
      <c r="N22" s="4" t="str">
        <f>IF(ISERROR(K22/I22),"",K22/I22)</f>
        <v/>
      </c>
      <c r="O22" s="90">
        <f>I22/E22</f>
        <v>0</v>
      </c>
      <c r="P22" s="90">
        <f>K22/E22</f>
        <v>0</v>
      </c>
      <c r="Q22" s="76">
        <v>4</v>
      </c>
      <c r="R22" s="76">
        <v>2</v>
      </c>
      <c r="S22" s="76" t="s">
        <v>61</v>
      </c>
      <c r="T22" s="5">
        <v>180</v>
      </c>
      <c r="U22" s="9"/>
      <c r="W22" s="85">
        <f t="shared" si="8"/>
        <v>180.2</v>
      </c>
      <c r="X22" s="86">
        <f t="shared" si="8"/>
        <v>55</v>
      </c>
      <c r="Y22" s="91">
        <f t="shared" si="9"/>
        <v>32</v>
      </c>
      <c r="Z22" s="89">
        <f t="shared" si="9"/>
        <v>0</v>
      </c>
      <c r="AA22" s="89">
        <f>K22</f>
        <v>0</v>
      </c>
      <c r="AB22" s="89">
        <f t="shared" si="10"/>
        <v>0</v>
      </c>
      <c r="AC22" s="4" t="str">
        <f t="shared" si="10"/>
        <v/>
      </c>
      <c r="AD22" s="90">
        <f t="shared" si="10"/>
        <v>0</v>
      </c>
      <c r="AE22" s="76" t="str">
        <f>S22</f>
        <v>계</v>
      </c>
      <c r="AF22" s="76" t="str">
        <f>Q22&amp;"/"&amp;R22</f>
        <v>4/2</v>
      </c>
      <c r="AH22" s="20" t="str">
        <f t="shared" si="1"/>
        <v>현대A단지</v>
      </c>
      <c r="AI22" s="86">
        <f t="shared" si="0"/>
        <v>55</v>
      </c>
      <c r="AJ22" s="76" t="str">
        <f>IF(AI22="","",$AJ$2)</f>
        <v>A-</v>
      </c>
      <c r="AK22" s="76" t="s">
        <v>13</v>
      </c>
      <c r="AL22" s="76" t="s">
        <v>62</v>
      </c>
      <c r="AM22" s="76" t="s">
        <v>63</v>
      </c>
      <c r="AN22" s="76" t="str">
        <f>IF(AI22="","",$AN$2)</f>
        <v>C</v>
      </c>
      <c r="AO22" s="76" t="str">
        <f>IF(N22="","",IF(N22&gt;=$AO$1/100,"O","X"))</f>
        <v/>
      </c>
      <c r="AP22" s="76" t="str">
        <f>IF(I22="","",IF(I22&lt;=$AP$1,"O","X"))</f>
        <v/>
      </c>
      <c r="AQ22" s="76" t="str">
        <f>IF(O22="","",IF(O22&lt;=$AQ$1,"O","X"))</f>
        <v>O</v>
      </c>
      <c r="AR22" s="76" t="str">
        <f>IF(M22="","",IF(M22&lt;=$AR$1,"O","X"))</f>
        <v>O</v>
      </c>
      <c r="AS22" s="76" t="s">
        <v>2</v>
      </c>
      <c r="AT22" s="76" t="str">
        <f>IF(OR(F22="",AI22=""),"",IF(AND((F22&lt;=85),(AI22&gt;=15)),"O","X"))</f>
        <v>X</v>
      </c>
      <c r="AU22" s="76" t="str">
        <f>IF(C22="","",IF(C22&gt;=$AU$1,"O","X"))</f>
        <v>O</v>
      </c>
      <c r="AV22" s="76" t="str">
        <f>IF(AO22="","",IF(AND(AO22="O",AP22="O",AR22="O",AT22="O",AU22="O"),"후보","X"))</f>
        <v/>
      </c>
    </row>
  </sheetData>
  <mergeCells count="1">
    <mergeCell ref="AJ1:AN1"/>
  </mergeCells>
  <phoneticPr fontId="2" type="noConversion"/>
  <conditionalFormatting sqref="AV4:AV6">
    <cfRule type="expression" dxfId="17461" priority="282">
      <formula>AV4="X"</formula>
    </cfRule>
    <cfRule type="expression" dxfId="17460" priority="283">
      <formula>AV4="후보"</formula>
    </cfRule>
  </conditionalFormatting>
  <conditionalFormatting sqref="AC1:AC2 AC4:AC6 N4:N5">
    <cfRule type="cellIs" dxfId="17459" priority="279" operator="greaterThan">
      <formula>0.9</formula>
    </cfRule>
    <cfRule type="cellIs" dxfId="17458" priority="280" operator="greaterThan">
      <formula>0.85</formula>
    </cfRule>
  </conditionalFormatting>
  <conditionalFormatting sqref="N1:N2">
    <cfRule type="cellIs" dxfId="17457" priority="277" operator="greaterThan">
      <formula>0.9</formula>
    </cfRule>
    <cfRule type="cellIs" dxfId="17456" priority="278" operator="greaterThan">
      <formula>0.85</formula>
    </cfRule>
  </conditionalFormatting>
  <conditionalFormatting sqref="N6">
    <cfRule type="cellIs" dxfId="17455" priority="275" operator="greaterThan">
      <formula>0.9</formula>
    </cfRule>
    <cfRule type="cellIs" dxfId="17454" priority="276" operator="greaterThan">
      <formula>0.85</formula>
    </cfRule>
  </conditionalFormatting>
  <conditionalFormatting sqref="E6">
    <cfRule type="expression" dxfId="17453" priority="271">
      <formula>AND(IF(OR($Q6=1,$Q6=2),1,0),IF($X6&lt;=20,1,0))</formula>
    </cfRule>
    <cfRule type="expression" dxfId="17452" priority="272">
      <formula>AND(IF($Q6=2,1,0),IF($X6&lt;30,1,0))</formula>
    </cfRule>
    <cfRule type="expression" dxfId="17451" priority="273">
      <formula>AND(IF($Q6=3,1,0),IF($X6&lt;30,1,0))</formula>
    </cfRule>
    <cfRule type="expression" dxfId="17450" priority="274">
      <formula>AND(IF($Q6=3,1,IF($Q6=4,1,0)),IF($F6&lt;=85,1,0))</formula>
    </cfRule>
  </conditionalFormatting>
  <conditionalFormatting sqref="X6">
    <cfRule type="expression" dxfId="17449" priority="267">
      <formula>AND(IF(OR($Q6=1,$Q6=2),1,0),IF($X6&lt;=20,1,0))</formula>
    </cfRule>
    <cfRule type="expression" dxfId="17448" priority="268">
      <formula>AND(IF($Q6=2,1,0),IF($X6&lt;30,1,0))</formula>
    </cfRule>
    <cfRule type="expression" dxfId="17447" priority="269">
      <formula>AND(IF($Q6=3,1,0),IF($X6&lt;30,1,0))</formula>
    </cfRule>
    <cfRule type="expression" dxfId="17446" priority="270">
      <formula>AND(IF($Q6=3,1,IF($Q6=4,1,0)),IF($F6&lt;=85,1,0))</formula>
    </cfRule>
  </conditionalFormatting>
  <conditionalFormatting sqref="AI6">
    <cfRule type="expression" dxfId="17445" priority="263">
      <formula>AND(IF(OR($Q6=1,$Q6=2),1,0),IF($X6&lt;=20,1,0))</formula>
    </cfRule>
    <cfRule type="expression" dxfId="17444" priority="264">
      <formula>AND(IF($Q6=2,1,0),IF($X6&lt;30,1,0))</formula>
    </cfRule>
    <cfRule type="expression" dxfId="17443" priority="265">
      <formula>AND(IF($Q6=3,1,0),IF($X6&lt;30,1,0))</formula>
    </cfRule>
    <cfRule type="expression" dxfId="17442" priority="266">
      <formula>AND(IF($Q6=3,1,IF($Q6=4,1,0)),IF($F6&lt;=85,1,0))</formula>
    </cfRule>
  </conditionalFormatting>
  <conditionalFormatting sqref="AV7">
    <cfRule type="expression" dxfId="17441" priority="261">
      <formula>AV7="X"</formula>
    </cfRule>
    <cfRule type="expression" dxfId="17440" priority="262">
      <formula>AV7="후보"</formula>
    </cfRule>
  </conditionalFormatting>
  <conditionalFormatting sqref="AC7 N7">
    <cfRule type="cellIs" dxfId="17439" priority="258" operator="greaterThan">
      <formula>0.9</formula>
    </cfRule>
    <cfRule type="cellIs" dxfId="17438" priority="259" operator="greaterThan">
      <formula>0.85</formula>
    </cfRule>
  </conditionalFormatting>
  <conditionalFormatting sqref="AV8">
    <cfRule type="expression" dxfId="17437" priority="256">
      <formula>AV8="X"</formula>
    </cfRule>
    <cfRule type="expression" dxfId="17436" priority="257">
      <formula>AV8="후보"</formula>
    </cfRule>
  </conditionalFormatting>
  <conditionalFormatting sqref="AC8">
    <cfRule type="cellIs" dxfId="17435" priority="253" operator="greaterThan">
      <formula>0.9</formula>
    </cfRule>
    <cfRule type="cellIs" dxfId="17434" priority="254" operator="greaterThan">
      <formula>0.85</formula>
    </cfRule>
  </conditionalFormatting>
  <conditionalFormatting sqref="N8">
    <cfRule type="cellIs" dxfId="17433" priority="251" operator="greaterThan">
      <formula>0.9</formula>
    </cfRule>
    <cfRule type="cellIs" dxfId="17432" priority="252" operator="greaterThan">
      <formula>0.85</formula>
    </cfRule>
  </conditionalFormatting>
  <conditionalFormatting sqref="E8">
    <cfRule type="expression" dxfId="17431" priority="247">
      <formula>AND(IF(OR($Q8=1,$Q8=2),1,0),IF($X8&lt;=20,1,0))</formula>
    </cfRule>
    <cfRule type="expression" dxfId="17430" priority="248">
      <formula>AND(IF($Q8=2,1,0),IF($X8&lt;30,1,0))</formula>
    </cfRule>
    <cfRule type="expression" dxfId="17429" priority="249">
      <formula>AND(IF($Q8=3,1,0),IF($X8&lt;30,1,0))</formula>
    </cfRule>
    <cfRule type="expression" dxfId="17428" priority="250">
      <formula>AND(IF($Q8=3,1,IF($Q8=4,1,0)),IF($F8&lt;=85,1,0))</formula>
    </cfRule>
  </conditionalFormatting>
  <conditionalFormatting sqref="X8">
    <cfRule type="expression" dxfId="17427" priority="243">
      <formula>AND(IF(OR($Q8=1,$Q8=2),1,0),IF($X8&lt;=20,1,0))</formula>
    </cfRule>
    <cfRule type="expression" dxfId="17426" priority="244">
      <formula>AND(IF($Q8=2,1,0),IF($X8&lt;30,1,0))</formula>
    </cfRule>
    <cfRule type="expression" dxfId="17425" priority="245">
      <formula>AND(IF($Q8=3,1,0),IF($X8&lt;30,1,0))</formula>
    </cfRule>
    <cfRule type="expression" dxfId="17424" priority="246">
      <formula>AND(IF($Q8=3,1,IF($Q8=4,1,0)),IF($F8&lt;=85,1,0))</formula>
    </cfRule>
  </conditionalFormatting>
  <conditionalFormatting sqref="AI8">
    <cfRule type="expression" dxfId="17423" priority="239">
      <formula>AND(IF(OR($Q8=1,$Q8=2),1,0),IF($X8&lt;=20,1,0))</formula>
    </cfRule>
    <cfRule type="expression" dxfId="17422" priority="240">
      <formula>AND(IF($Q8=2,1,0),IF($X8&lt;30,1,0))</formula>
    </cfRule>
    <cfRule type="expression" dxfId="17421" priority="241">
      <formula>AND(IF($Q8=3,1,0),IF($X8&lt;30,1,0))</formula>
    </cfRule>
    <cfRule type="expression" dxfId="17420" priority="242">
      <formula>AND(IF($Q8=3,1,IF($Q8=4,1,0)),IF($F8&lt;=85,1,0))</formula>
    </cfRule>
  </conditionalFormatting>
  <conditionalFormatting sqref="AV9">
    <cfRule type="expression" dxfId="17419" priority="237">
      <formula>AV9="X"</formula>
    </cfRule>
    <cfRule type="expression" dxfId="17418" priority="238">
      <formula>AV9="후보"</formula>
    </cfRule>
  </conditionalFormatting>
  <conditionalFormatting sqref="AC9">
    <cfRule type="cellIs" dxfId="17417" priority="234" operator="greaterThan">
      <formula>0.9</formula>
    </cfRule>
    <cfRule type="cellIs" dxfId="17416" priority="235" operator="greaterThan">
      <formula>0.85</formula>
    </cfRule>
  </conditionalFormatting>
  <conditionalFormatting sqref="N9">
    <cfRule type="cellIs" dxfId="17415" priority="232" operator="greaterThan">
      <formula>0.9</formula>
    </cfRule>
    <cfRule type="cellIs" dxfId="17414" priority="233" operator="greaterThan">
      <formula>0.85</formula>
    </cfRule>
  </conditionalFormatting>
  <conditionalFormatting sqref="E9">
    <cfRule type="expression" dxfId="17413" priority="228">
      <formula>AND(IF(OR($Q9=1,$Q9=2),1,0),IF($X9&lt;=20,1,0))</formula>
    </cfRule>
    <cfRule type="expression" dxfId="17412" priority="229">
      <formula>AND(IF($Q9=2,1,0),IF($X9&lt;30,1,0))</formula>
    </cfRule>
    <cfRule type="expression" dxfId="17411" priority="230">
      <formula>AND(IF($Q9=3,1,0),IF($X9&lt;30,1,0))</formula>
    </cfRule>
    <cfRule type="expression" dxfId="17410" priority="231">
      <formula>AND(IF($Q9=3,1,IF($Q9=4,1,0)),IF($F9&lt;=85,1,0))</formula>
    </cfRule>
  </conditionalFormatting>
  <conditionalFormatting sqref="X9">
    <cfRule type="expression" dxfId="17409" priority="224">
      <formula>AND(IF(OR($Q9=1,$Q9=2),1,0),IF($X9&lt;=20,1,0))</formula>
    </cfRule>
    <cfRule type="expression" dxfId="17408" priority="225">
      <formula>AND(IF($Q9=2,1,0),IF($X9&lt;30,1,0))</formula>
    </cfRule>
    <cfRule type="expression" dxfId="17407" priority="226">
      <formula>AND(IF($Q9=3,1,0),IF($X9&lt;30,1,0))</formula>
    </cfRule>
    <cfRule type="expression" dxfId="17406" priority="227">
      <formula>AND(IF($Q9=3,1,IF($Q9=4,1,0)),IF($F9&lt;=85,1,0))</formula>
    </cfRule>
  </conditionalFormatting>
  <conditionalFormatting sqref="AI9">
    <cfRule type="expression" dxfId="17405" priority="220">
      <formula>AND(IF(OR($Q9=1,$Q9=2),1,0),IF($X9&lt;=20,1,0))</formula>
    </cfRule>
    <cfRule type="expression" dxfId="17404" priority="221">
      <formula>AND(IF($Q9=2,1,0),IF($X9&lt;30,1,0))</formula>
    </cfRule>
    <cfRule type="expression" dxfId="17403" priority="222">
      <formula>AND(IF($Q9=3,1,0),IF($X9&lt;30,1,0))</formula>
    </cfRule>
    <cfRule type="expression" dxfId="17402" priority="223">
      <formula>AND(IF($Q9=3,1,IF($Q9=4,1,0)),IF($F9&lt;=85,1,0))</formula>
    </cfRule>
  </conditionalFormatting>
  <conditionalFormatting sqref="AV10">
    <cfRule type="expression" dxfId="17401" priority="218">
      <formula>AV10="X"</formula>
    </cfRule>
    <cfRule type="expression" dxfId="17400" priority="219">
      <formula>AV10="후보"</formula>
    </cfRule>
  </conditionalFormatting>
  <conditionalFormatting sqref="AC10">
    <cfRule type="cellIs" dxfId="17399" priority="215" operator="greaterThan">
      <formula>0.9</formula>
    </cfRule>
    <cfRule type="cellIs" dxfId="17398" priority="216" operator="greaterThan">
      <formula>0.85</formula>
    </cfRule>
  </conditionalFormatting>
  <conditionalFormatting sqref="N10">
    <cfRule type="cellIs" dxfId="17397" priority="213" operator="greaterThan">
      <formula>0.9</formula>
    </cfRule>
    <cfRule type="cellIs" dxfId="17396" priority="214" operator="greaterThan">
      <formula>0.85</formula>
    </cfRule>
  </conditionalFormatting>
  <conditionalFormatting sqref="E10">
    <cfRule type="expression" dxfId="17395" priority="209">
      <formula>AND(IF(OR($Q10=1,$Q10=2),1,0),IF($X10&lt;=20,1,0))</formula>
    </cfRule>
    <cfRule type="expression" dxfId="17394" priority="210">
      <formula>AND(IF($Q10=2,1,0),IF($X10&lt;30,1,0))</formula>
    </cfRule>
    <cfRule type="expression" dxfId="17393" priority="211">
      <formula>AND(IF($Q10=3,1,0),IF($X10&lt;30,1,0))</formula>
    </cfRule>
    <cfRule type="expression" dxfId="17392" priority="212">
      <formula>AND(IF($Q10=3,1,IF($Q10=4,1,0)),IF($F10&lt;=85,1,0))</formula>
    </cfRule>
  </conditionalFormatting>
  <conditionalFormatting sqref="X10">
    <cfRule type="expression" dxfId="17391" priority="205">
      <formula>AND(IF(OR($Q10=1,$Q10=2),1,0),IF($X10&lt;=20,1,0))</formula>
    </cfRule>
    <cfRule type="expression" dxfId="17390" priority="206">
      <formula>AND(IF($Q10=2,1,0),IF($X10&lt;30,1,0))</formula>
    </cfRule>
    <cfRule type="expression" dxfId="17389" priority="207">
      <formula>AND(IF($Q10=3,1,0),IF($X10&lt;30,1,0))</formula>
    </cfRule>
    <cfRule type="expression" dxfId="17388" priority="208">
      <formula>AND(IF($Q10=3,1,IF($Q10=4,1,0)),IF($F10&lt;=85,1,0))</formula>
    </cfRule>
  </conditionalFormatting>
  <conditionalFormatting sqref="AI10">
    <cfRule type="expression" dxfId="17387" priority="201">
      <formula>AND(IF(OR($Q10=1,$Q10=2),1,0),IF($X10&lt;=20,1,0))</formula>
    </cfRule>
    <cfRule type="expression" dxfId="17386" priority="202">
      <formula>AND(IF($Q10=2,1,0),IF($X10&lt;30,1,0))</formula>
    </cfRule>
    <cfRule type="expression" dxfId="17385" priority="203">
      <formula>AND(IF($Q10=3,1,0),IF($X10&lt;30,1,0))</formula>
    </cfRule>
    <cfRule type="expression" dxfId="17384" priority="204">
      <formula>AND(IF($Q10=3,1,IF($Q10=4,1,0)),IF($F10&lt;=85,1,0))</formula>
    </cfRule>
  </conditionalFormatting>
  <conditionalFormatting sqref="AV11">
    <cfRule type="expression" dxfId="17383" priority="199">
      <formula>AV11="X"</formula>
    </cfRule>
    <cfRule type="expression" dxfId="17382" priority="200">
      <formula>AV11="후보"</formula>
    </cfRule>
  </conditionalFormatting>
  <conditionalFormatting sqref="AC11">
    <cfRule type="cellIs" dxfId="17381" priority="196" operator="greaterThan">
      <formula>0.9</formula>
    </cfRule>
    <cfRule type="cellIs" dxfId="17380" priority="197" operator="greaterThan">
      <formula>0.85</formula>
    </cfRule>
  </conditionalFormatting>
  <conditionalFormatting sqref="N11">
    <cfRule type="cellIs" dxfId="17379" priority="194" operator="greaterThan">
      <formula>0.9</formula>
    </cfRule>
    <cfRule type="cellIs" dxfId="17378" priority="195" operator="greaterThan">
      <formula>0.85</formula>
    </cfRule>
  </conditionalFormatting>
  <conditionalFormatting sqref="E11">
    <cfRule type="expression" dxfId="17377" priority="190">
      <formula>AND(IF(OR($Q11=1,$Q11=2),1,0),IF($X11&lt;=20,1,0))</formula>
    </cfRule>
    <cfRule type="expression" dxfId="17376" priority="191">
      <formula>AND(IF($Q11=2,1,0),IF($X11&lt;30,1,0))</formula>
    </cfRule>
    <cfRule type="expression" dxfId="17375" priority="192">
      <formula>AND(IF($Q11=3,1,0),IF($X11&lt;30,1,0))</formula>
    </cfRule>
    <cfRule type="expression" dxfId="17374" priority="193">
      <formula>AND(IF($Q11=3,1,IF($Q11=4,1,0)),IF($F11&lt;=85,1,0))</formula>
    </cfRule>
  </conditionalFormatting>
  <conditionalFormatting sqref="X11">
    <cfRule type="expression" dxfId="17373" priority="186">
      <formula>AND(IF(OR($Q11=1,$Q11=2),1,0),IF($X11&lt;=20,1,0))</formula>
    </cfRule>
    <cfRule type="expression" dxfId="17372" priority="187">
      <formula>AND(IF($Q11=2,1,0),IF($X11&lt;30,1,0))</formula>
    </cfRule>
    <cfRule type="expression" dxfId="17371" priority="188">
      <formula>AND(IF($Q11=3,1,0),IF($X11&lt;30,1,0))</formula>
    </cfRule>
    <cfRule type="expression" dxfId="17370" priority="189">
      <formula>AND(IF($Q11=3,1,IF($Q11=4,1,0)),IF($F11&lt;=85,1,0))</formula>
    </cfRule>
  </conditionalFormatting>
  <conditionalFormatting sqref="AI11">
    <cfRule type="expression" dxfId="17369" priority="182">
      <formula>AND(IF(OR($Q11=1,$Q11=2),1,0),IF($X11&lt;=20,1,0))</formula>
    </cfRule>
    <cfRule type="expression" dxfId="17368" priority="183">
      <formula>AND(IF($Q11=2,1,0),IF($X11&lt;30,1,0))</formula>
    </cfRule>
    <cfRule type="expression" dxfId="17367" priority="184">
      <formula>AND(IF($Q11=3,1,0),IF($X11&lt;30,1,0))</formula>
    </cfRule>
    <cfRule type="expression" dxfId="17366" priority="185">
      <formula>AND(IF($Q11=3,1,IF($Q11=4,1,0)),IF($F11&lt;=85,1,0))</formula>
    </cfRule>
  </conditionalFormatting>
  <conditionalFormatting sqref="AV12">
    <cfRule type="expression" dxfId="17365" priority="180">
      <formula>AV12="X"</formula>
    </cfRule>
    <cfRule type="expression" dxfId="17364" priority="181">
      <formula>AV12="후보"</formula>
    </cfRule>
  </conditionalFormatting>
  <conditionalFormatting sqref="AC12 N12">
    <cfRule type="cellIs" dxfId="17363" priority="177" operator="greaterThan">
      <formula>0.9</formula>
    </cfRule>
    <cfRule type="cellIs" dxfId="17362" priority="178" operator="greaterThan">
      <formula>0.85</formula>
    </cfRule>
  </conditionalFormatting>
  <conditionalFormatting sqref="AV13">
    <cfRule type="expression" dxfId="17361" priority="175">
      <formula>AV13="X"</formula>
    </cfRule>
    <cfRule type="expression" dxfId="17360" priority="176">
      <formula>AV13="후보"</formula>
    </cfRule>
  </conditionalFormatting>
  <conditionalFormatting sqref="AC13">
    <cfRule type="cellIs" dxfId="17359" priority="172" operator="greaterThan">
      <formula>0.9</formula>
    </cfRule>
    <cfRule type="cellIs" dxfId="17358" priority="173" operator="greaterThan">
      <formula>0.85</formula>
    </cfRule>
  </conditionalFormatting>
  <conditionalFormatting sqref="N13">
    <cfRule type="cellIs" dxfId="17357" priority="170" operator="greaterThan">
      <formula>0.9</formula>
    </cfRule>
    <cfRule type="cellIs" dxfId="17356" priority="171" operator="greaterThan">
      <formula>0.85</formula>
    </cfRule>
  </conditionalFormatting>
  <conditionalFormatting sqref="E13">
    <cfRule type="expression" dxfId="17355" priority="166">
      <formula>AND(IF(OR($Q13=1,$Q13=2),1,0),IF($X13&lt;=20,1,0))</formula>
    </cfRule>
    <cfRule type="expression" dxfId="17354" priority="167">
      <formula>AND(IF($Q13=2,1,0),IF($X13&lt;30,1,0))</formula>
    </cfRule>
    <cfRule type="expression" dxfId="17353" priority="168">
      <formula>AND(IF($Q13=3,1,0),IF($X13&lt;30,1,0))</formula>
    </cfRule>
    <cfRule type="expression" dxfId="17352" priority="169">
      <formula>AND(IF($Q13=3,1,IF($Q13=4,1,0)),IF($F13&lt;=85,1,0))</formula>
    </cfRule>
  </conditionalFormatting>
  <conditionalFormatting sqref="X13">
    <cfRule type="expression" dxfId="17351" priority="162">
      <formula>AND(IF(OR($Q13=1,$Q13=2),1,0),IF($X13&lt;=20,1,0))</formula>
    </cfRule>
    <cfRule type="expression" dxfId="17350" priority="163">
      <formula>AND(IF($Q13=2,1,0),IF($X13&lt;30,1,0))</formula>
    </cfRule>
    <cfRule type="expression" dxfId="17349" priority="164">
      <formula>AND(IF($Q13=3,1,0),IF($X13&lt;30,1,0))</formula>
    </cfRule>
    <cfRule type="expression" dxfId="17348" priority="165">
      <formula>AND(IF($Q13=3,1,IF($Q13=4,1,0)),IF($F13&lt;=85,1,0))</formula>
    </cfRule>
  </conditionalFormatting>
  <conditionalFormatting sqref="AI13">
    <cfRule type="expression" dxfId="17347" priority="158">
      <formula>AND(IF(OR($Q13=1,$Q13=2),1,0),IF($X13&lt;=20,1,0))</formula>
    </cfRule>
    <cfRule type="expression" dxfId="17346" priority="159">
      <formula>AND(IF($Q13=2,1,0),IF($X13&lt;30,1,0))</formula>
    </cfRule>
    <cfRule type="expression" dxfId="17345" priority="160">
      <formula>AND(IF($Q13=3,1,0),IF($X13&lt;30,1,0))</formula>
    </cfRule>
    <cfRule type="expression" dxfId="17344" priority="161">
      <formula>AND(IF($Q13=3,1,IF($Q13=4,1,0)),IF($F13&lt;=85,1,0))</formula>
    </cfRule>
  </conditionalFormatting>
  <conditionalFormatting sqref="AV14">
    <cfRule type="expression" dxfId="17343" priority="156">
      <formula>AV14="X"</formula>
    </cfRule>
    <cfRule type="expression" dxfId="17342" priority="157">
      <formula>AV14="후보"</formula>
    </cfRule>
  </conditionalFormatting>
  <conditionalFormatting sqref="AC14">
    <cfRule type="cellIs" dxfId="17341" priority="153" operator="greaterThan">
      <formula>0.9</formula>
    </cfRule>
    <cfRule type="cellIs" dxfId="17340" priority="154" operator="greaterThan">
      <formula>0.85</formula>
    </cfRule>
  </conditionalFormatting>
  <conditionalFormatting sqref="N14">
    <cfRule type="cellIs" dxfId="17339" priority="151" operator="greaterThan">
      <formula>0.9</formula>
    </cfRule>
    <cfRule type="cellIs" dxfId="17338" priority="152" operator="greaterThan">
      <formula>0.85</formula>
    </cfRule>
  </conditionalFormatting>
  <conditionalFormatting sqref="E14">
    <cfRule type="expression" dxfId="17337" priority="147">
      <formula>AND(IF(OR($Q14=1,$Q14=2),1,0),IF($X14&lt;=20,1,0))</formula>
    </cfRule>
    <cfRule type="expression" dxfId="17336" priority="148">
      <formula>AND(IF($Q14=2,1,0),IF($X14&lt;30,1,0))</formula>
    </cfRule>
    <cfRule type="expression" dxfId="17335" priority="149">
      <formula>AND(IF($Q14=3,1,0),IF($X14&lt;30,1,0))</formula>
    </cfRule>
    <cfRule type="expression" dxfId="17334" priority="150">
      <formula>AND(IF($Q14=3,1,IF($Q14=4,1,0)),IF($F14&lt;=85,1,0))</formula>
    </cfRule>
  </conditionalFormatting>
  <conditionalFormatting sqref="X14">
    <cfRule type="expression" dxfId="17333" priority="143">
      <formula>AND(IF(OR($Q14=1,$Q14=2),1,0),IF($X14&lt;=20,1,0))</formula>
    </cfRule>
    <cfRule type="expression" dxfId="17332" priority="144">
      <formula>AND(IF($Q14=2,1,0),IF($X14&lt;30,1,0))</formula>
    </cfRule>
    <cfRule type="expression" dxfId="17331" priority="145">
      <formula>AND(IF($Q14=3,1,0),IF($X14&lt;30,1,0))</formula>
    </cfRule>
    <cfRule type="expression" dxfId="17330" priority="146">
      <formula>AND(IF($Q14=3,1,IF($Q14=4,1,0)),IF($F14&lt;=85,1,0))</formula>
    </cfRule>
  </conditionalFormatting>
  <conditionalFormatting sqref="AI14">
    <cfRule type="expression" dxfId="17329" priority="139">
      <formula>AND(IF(OR($Q14=1,$Q14=2),1,0),IF($X14&lt;=20,1,0))</formula>
    </cfRule>
    <cfRule type="expression" dxfId="17328" priority="140">
      <formula>AND(IF($Q14=2,1,0),IF($X14&lt;30,1,0))</formula>
    </cfRule>
    <cfRule type="expression" dxfId="17327" priority="141">
      <formula>AND(IF($Q14=3,1,0),IF($X14&lt;30,1,0))</formula>
    </cfRule>
    <cfRule type="expression" dxfId="17326" priority="142">
      <formula>AND(IF($Q14=3,1,IF($Q14=4,1,0)),IF($F14&lt;=85,1,0))</formula>
    </cfRule>
  </conditionalFormatting>
  <conditionalFormatting sqref="AV15">
    <cfRule type="expression" dxfId="17325" priority="137">
      <formula>AV15="X"</formula>
    </cfRule>
    <cfRule type="expression" dxfId="17324" priority="138">
      <formula>AV15="후보"</formula>
    </cfRule>
  </conditionalFormatting>
  <conditionalFormatting sqref="AC15">
    <cfRule type="cellIs" dxfId="17323" priority="134" operator="greaterThan">
      <formula>0.9</formula>
    </cfRule>
    <cfRule type="cellIs" dxfId="17322" priority="135" operator="greaterThan">
      <formula>0.85</formula>
    </cfRule>
  </conditionalFormatting>
  <conditionalFormatting sqref="N15">
    <cfRule type="cellIs" dxfId="17321" priority="132" operator="greaterThan">
      <formula>0.9</formula>
    </cfRule>
    <cfRule type="cellIs" dxfId="17320" priority="133" operator="greaterThan">
      <formula>0.85</formula>
    </cfRule>
  </conditionalFormatting>
  <conditionalFormatting sqref="E15">
    <cfRule type="expression" dxfId="17319" priority="128">
      <formula>AND(IF(OR($Q15=1,$Q15=2),1,0),IF($X15&lt;=20,1,0))</formula>
    </cfRule>
    <cfRule type="expression" dxfId="17318" priority="129">
      <formula>AND(IF($Q15=2,1,0),IF($X15&lt;30,1,0))</formula>
    </cfRule>
    <cfRule type="expression" dxfId="17317" priority="130">
      <formula>AND(IF($Q15=3,1,0),IF($X15&lt;30,1,0))</formula>
    </cfRule>
    <cfRule type="expression" dxfId="17316" priority="131">
      <formula>AND(IF($Q15=3,1,IF($Q15=4,1,0)),IF($F15&lt;=85,1,0))</formula>
    </cfRule>
  </conditionalFormatting>
  <conditionalFormatting sqref="X15">
    <cfRule type="expression" dxfId="17315" priority="124">
      <formula>AND(IF(OR($Q15=1,$Q15=2),1,0),IF($X15&lt;=20,1,0))</formula>
    </cfRule>
    <cfRule type="expression" dxfId="17314" priority="125">
      <formula>AND(IF($Q15=2,1,0),IF($X15&lt;30,1,0))</formula>
    </cfRule>
    <cfRule type="expression" dxfId="17313" priority="126">
      <formula>AND(IF($Q15=3,1,0),IF($X15&lt;30,1,0))</formula>
    </cfRule>
    <cfRule type="expression" dxfId="17312" priority="127">
      <formula>AND(IF($Q15=3,1,IF($Q15=4,1,0)),IF($F15&lt;=85,1,0))</formula>
    </cfRule>
  </conditionalFormatting>
  <conditionalFormatting sqref="AI15">
    <cfRule type="expression" dxfId="17311" priority="120">
      <formula>AND(IF(OR($Q15=1,$Q15=2),1,0),IF($X15&lt;=20,1,0))</formula>
    </cfRule>
    <cfRule type="expression" dxfId="17310" priority="121">
      <formula>AND(IF($Q15=2,1,0),IF($X15&lt;30,1,0))</formula>
    </cfRule>
    <cfRule type="expression" dxfId="17309" priority="122">
      <formula>AND(IF($Q15=3,1,0),IF($X15&lt;30,1,0))</formula>
    </cfRule>
    <cfRule type="expression" dxfId="17308" priority="123">
      <formula>AND(IF($Q15=3,1,IF($Q15=4,1,0)),IF($F15&lt;=85,1,0))</formula>
    </cfRule>
  </conditionalFormatting>
  <conditionalFormatting sqref="AV16">
    <cfRule type="expression" dxfId="17307" priority="118">
      <formula>AV16="X"</formula>
    </cfRule>
    <cfRule type="expression" dxfId="17306" priority="119">
      <formula>AV16="후보"</formula>
    </cfRule>
  </conditionalFormatting>
  <conditionalFormatting sqref="AC16">
    <cfRule type="cellIs" dxfId="17305" priority="115" operator="greaterThan">
      <formula>0.9</formula>
    </cfRule>
    <cfRule type="cellIs" dxfId="17304" priority="116" operator="greaterThan">
      <formula>0.85</formula>
    </cfRule>
  </conditionalFormatting>
  <conditionalFormatting sqref="N16">
    <cfRule type="cellIs" dxfId="17303" priority="113" operator="greaterThan">
      <formula>0.9</formula>
    </cfRule>
    <cfRule type="cellIs" dxfId="17302" priority="114" operator="greaterThan">
      <formula>0.85</formula>
    </cfRule>
  </conditionalFormatting>
  <conditionalFormatting sqref="E16">
    <cfRule type="expression" dxfId="17301" priority="109">
      <formula>AND(IF(OR($Q16=1,$Q16=2),1,0),IF($X16&lt;=20,1,0))</formula>
    </cfRule>
    <cfRule type="expression" dxfId="17300" priority="110">
      <formula>AND(IF($Q16=2,1,0),IF($X16&lt;30,1,0))</formula>
    </cfRule>
    <cfRule type="expression" dxfId="17299" priority="111">
      <formula>AND(IF($Q16=3,1,0),IF($X16&lt;30,1,0))</formula>
    </cfRule>
    <cfRule type="expression" dxfId="17298" priority="112">
      <formula>AND(IF($Q16=3,1,IF($Q16=4,1,0)),IF($F16&lt;=85,1,0))</formula>
    </cfRule>
  </conditionalFormatting>
  <conditionalFormatting sqref="X16">
    <cfRule type="expression" dxfId="17297" priority="105">
      <formula>AND(IF(OR($Q16=1,$Q16=2),1,0),IF($X16&lt;=20,1,0))</formula>
    </cfRule>
    <cfRule type="expression" dxfId="17296" priority="106">
      <formula>AND(IF($Q16=2,1,0),IF($X16&lt;30,1,0))</formula>
    </cfRule>
    <cfRule type="expression" dxfId="17295" priority="107">
      <formula>AND(IF($Q16=3,1,0),IF($X16&lt;30,1,0))</formula>
    </cfRule>
    <cfRule type="expression" dxfId="17294" priority="108">
      <formula>AND(IF($Q16=3,1,IF($Q16=4,1,0)),IF($F16&lt;=85,1,0))</formula>
    </cfRule>
  </conditionalFormatting>
  <conditionalFormatting sqref="AI16">
    <cfRule type="expression" dxfId="17293" priority="101">
      <formula>AND(IF(OR($Q16=1,$Q16=2),1,0),IF($X16&lt;=20,1,0))</formula>
    </cfRule>
    <cfRule type="expression" dxfId="17292" priority="102">
      <formula>AND(IF($Q16=2,1,0),IF($X16&lt;30,1,0))</formula>
    </cfRule>
    <cfRule type="expression" dxfId="17291" priority="103">
      <formula>AND(IF($Q16=3,1,0),IF($X16&lt;30,1,0))</formula>
    </cfRule>
    <cfRule type="expression" dxfId="17290" priority="104">
      <formula>AND(IF($Q16=3,1,IF($Q16=4,1,0)),IF($F16&lt;=85,1,0))</formula>
    </cfRule>
  </conditionalFormatting>
  <conditionalFormatting sqref="AV17">
    <cfRule type="expression" dxfId="17289" priority="99">
      <formula>AV17="X"</formula>
    </cfRule>
    <cfRule type="expression" dxfId="17288" priority="100">
      <formula>AV17="후보"</formula>
    </cfRule>
  </conditionalFormatting>
  <conditionalFormatting sqref="AC17">
    <cfRule type="cellIs" dxfId="17287" priority="96" operator="greaterThan">
      <formula>0.9</formula>
    </cfRule>
    <cfRule type="cellIs" dxfId="17286" priority="97" operator="greaterThan">
      <formula>0.85</formula>
    </cfRule>
  </conditionalFormatting>
  <conditionalFormatting sqref="N17">
    <cfRule type="cellIs" dxfId="17285" priority="94" operator="greaterThan">
      <formula>0.9</formula>
    </cfRule>
    <cfRule type="cellIs" dxfId="17284" priority="95" operator="greaterThan">
      <formula>0.85</formula>
    </cfRule>
  </conditionalFormatting>
  <conditionalFormatting sqref="E17">
    <cfRule type="expression" dxfId="17283" priority="90">
      <formula>AND(IF(OR($Q17=1,$Q17=2),1,0),IF($X17&lt;=20,1,0))</formula>
    </cfRule>
    <cfRule type="expression" dxfId="17282" priority="91">
      <formula>AND(IF($Q17=2,1,0),IF($X17&lt;30,1,0))</formula>
    </cfRule>
    <cfRule type="expression" dxfId="17281" priority="92">
      <formula>AND(IF($Q17=3,1,0),IF($X17&lt;30,1,0))</formula>
    </cfRule>
    <cfRule type="expression" dxfId="17280" priority="93">
      <formula>AND(IF($Q17=3,1,IF($Q17=4,1,0)),IF($F17&lt;=85,1,0))</formula>
    </cfRule>
  </conditionalFormatting>
  <conditionalFormatting sqref="X17">
    <cfRule type="expression" dxfId="17279" priority="86">
      <formula>AND(IF(OR($Q17=1,$Q17=2),1,0),IF($X17&lt;=20,1,0))</formula>
    </cfRule>
    <cfRule type="expression" dxfId="17278" priority="87">
      <formula>AND(IF($Q17=2,1,0),IF($X17&lt;30,1,0))</formula>
    </cfRule>
    <cfRule type="expression" dxfId="17277" priority="88">
      <formula>AND(IF($Q17=3,1,0),IF($X17&lt;30,1,0))</formula>
    </cfRule>
    <cfRule type="expression" dxfId="17276" priority="89">
      <formula>AND(IF($Q17=3,1,IF($Q17=4,1,0)),IF($F17&lt;=85,1,0))</formula>
    </cfRule>
  </conditionalFormatting>
  <conditionalFormatting sqref="AI17">
    <cfRule type="expression" dxfId="17275" priority="82">
      <formula>AND(IF(OR($Q17=1,$Q17=2),1,0),IF($X17&lt;=20,1,0))</formula>
    </cfRule>
    <cfRule type="expression" dxfId="17274" priority="83">
      <formula>AND(IF($Q17=2,1,0),IF($X17&lt;30,1,0))</formula>
    </cfRule>
    <cfRule type="expression" dxfId="17273" priority="84">
      <formula>AND(IF($Q17=3,1,0),IF($X17&lt;30,1,0))</formula>
    </cfRule>
    <cfRule type="expression" dxfId="17272" priority="85">
      <formula>AND(IF($Q17=3,1,IF($Q17=4,1,0)),IF($F17&lt;=85,1,0))</formula>
    </cfRule>
  </conditionalFormatting>
  <conditionalFormatting sqref="AV18">
    <cfRule type="expression" dxfId="17271" priority="80">
      <formula>AV18="X"</formula>
    </cfRule>
    <cfRule type="expression" dxfId="17270" priority="81">
      <formula>AV18="후보"</formula>
    </cfRule>
  </conditionalFormatting>
  <conditionalFormatting sqref="AC18 N18">
    <cfRule type="cellIs" dxfId="17269" priority="77" operator="greaterThan">
      <formula>0.9</formula>
    </cfRule>
    <cfRule type="cellIs" dxfId="17268" priority="78" operator="greaterThan">
      <formula>0.85</formula>
    </cfRule>
  </conditionalFormatting>
  <conditionalFormatting sqref="AV19">
    <cfRule type="expression" dxfId="17267" priority="75">
      <formula>AV19="X"</formula>
    </cfRule>
    <cfRule type="expression" dxfId="17266" priority="76">
      <formula>AV19="후보"</formula>
    </cfRule>
  </conditionalFormatting>
  <conditionalFormatting sqref="AC19">
    <cfRule type="cellIs" dxfId="17265" priority="72" operator="greaterThan">
      <formula>0.9</formula>
    </cfRule>
    <cfRule type="cellIs" dxfId="17264" priority="73" operator="greaterThan">
      <formula>0.85</formula>
    </cfRule>
  </conditionalFormatting>
  <conditionalFormatting sqref="N19">
    <cfRule type="cellIs" dxfId="17263" priority="70" operator="greaterThan">
      <formula>0.9</formula>
    </cfRule>
    <cfRule type="cellIs" dxfId="17262" priority="71" operator="greaterThan">
      <formula>0.85</formula>
    </cfRule>
  </conditionalFormatting>
  <conditionalFormatting sqref="E19">
    <cfRule type="expression" dxfId="17261" priority="66">
      <formula>AND(IF(OR($Q19=1,$Q19=2),1,0),IF($X19&lt;=20,1,0))</formula>
    </cfRule>
    <cfRule type="expression" dxfId="17260" priority="67">
      <formula>AND(IF($Q19=2,1,0),IF($X19&lt;30,1,0))</formula>
    </cfRule>
    <cfRule type="expression" dxfId="17259" priority="68">
      <formula>AND(IF($Q19=3,1,0),IF($X19&lt;30,1,0))</formula>
    </cfRule>
    <cfRule type="expression" dxfId="17258" priority="69">
      <formula>AND(IF($Q19=3,1,IF($Q19=4,1,0)),IF($F19&lt;=85,1,0))</formula>
    </cfRule>
  </conditionalFormatting>
  <conditionalFormatting sqref="X19">
    <cfRule type="expression" dxfId="17257" priority="62">
      <formula>AND(IF(OR($Q19=1,$Q19=2),1,0),IF($X19&lt;=20,1,0))</formula>
    </cfRule>
    <cfRule type="expression" dxfId="17256" priority="63">
      <formula>AND(IF($Q19=2,1,0),IF($X19&lt;30,1,0))</formula>
    </cfRule>
    <cfRule type="expression" dxfId="17255" priority="64">
      <formula>AND(IF($Q19=3,1,0),IF($X19&lt;30,1,0))</formula>
    </cfRule>
    <cfRule type="expression" dxfId="17254" priority="65">
      <formula>AND(IF($Q19=3,1,IF($Q19=4,1,0)),IF($F19&lt;=85,1,0))</formula>
    </cfRule>
  </conditionalFormatting>
  <conditionalFormatting sqref="AI19">
    <cfRule type="expression" dxfId="17253" priority="58">
      <formula>AND(IF(OR($Q19=1,$Q19=2),1,0),IF($X19&lt;=20,1,0))</formula>
    </cfRule>
    <cfRule type="expression" dxfId="17252" priority="59">
      <formula>AND(IF($Q19=2,1,0),IF($X19&lt;30,1,0))</formula>
    </cfRule>
    <cfRule type="expression" dxfId="17251" priority="60">
      <formula>AND(IF($Q19=3,1,0),IF($X19&lt;30,1,0))</formula>
    </cfRule>
    <cfRule type="expression" dxfId="17250" priority="61">
      <formula>AND(IF($Q19=3,1,IF($Q19=4,1,0)),IF($F19&lt;=85,1,0))</formula>
    </cfRule>
  </conditionalFormatting>
  <conditionalFormatting sqref="AV20">
    <cfRule type="expression" dxfId="17249" priority="56">
      <formula>AV20="X"</formula>
    </cfRule>
    <cfRule type="expression" dxfId="17248" priority="57">
      <formula>AV20="후보"</formula>
    </cfRule>
  </conditionalFormatting>
  <conditionalFormatting sqref="AC20">
    <cfRule type="cellIs" dxfId="17247" priority="53" operator="greaterThan">
      <formula>0.9</formula>
    </cfRule>
    <cfRule type="cellIs" dxfId="17246" priority="54" operator="greaterThan">
      <formula>0.85</formula>
    </cfRule>
  </conditionalFormatting>
  <conditionalFormatting sqref="N20">
    <cfRule type="cellIs" dxfId="17245" priority="51" operator="greaterThan">
      <formula>0.9</formula>
    </cfRule>
    <cfRule type="cellIs" dxfId="17244" priority="52" operator="greaterThan">
      <formula>0.85</formula>
    </cfRule>
  </conditionalFormatting>
  <conditionalFormatting sqref="E20">
    <cfRule type="expression" dxfId="17243" priority="47">
      <formula>AND(IF(OR($Q20=1,$Q20=2),1,0),IF($X20&lt;=20,1,0))</formula>
    </cfRule>
    <cfRule type="expression" dxfId="17242" priority="48">
      <formula>AND(IF($Q20=2,1,0),IF($X20&lt;30,1,0))</formula>
    </cfRule>
    <cfRule type="expression" dxfId="17241" priority="49">
      <formula>AND(IF($Q20=3,1,0),IF($X20&lt;30,1,0))</formula>
    </cfRule>
    <cfRule type="expression" dxfId="17240" priority="50">
      <formula>AND(IF($Q20=3,1,IF($Q20=4,1,0)),IF($F20&lt;=85,1,0))</formula>
    </cfRule>
  </conditionalFormatting>
  <conditionalFormatting sqref="X20">
    <cfRule type="expression" dxfId="17239" priority="43">
      <formula>AND(IF(OR($Q20=1,$Q20=2),1,0),IF($X20&lt;=20,1,0))</formula>
    </cfRule>
    <cfRule type="expression" dxfId="17238" priority="44">
      <formula>AND(IF($Q20=2,1,0),IF($X20&lt;30,1,0))</formula>
    </cfRule>
    <cfRule type="expression" dxfId="17237" priority="45">
      <formula>AND(IF($Q20=3,1,0),IF($X20&lt;30,1,0))</formula>
    </cfRule>
    <cfRule type="expression" dxfId="17236" priority="46">
      <formula>AND(IF($Q20=3,1,IF($Q20=4,1,0)),IF($F20&lt;=85,1,0))</formula>
    </cfRule>
  </conditionalFormatting>
  <conditionalFormatting sqref="AI20">
    <cfRule type="expression" dxfId="17235" priority="39">
      <formula>AND(IF(OR($Q20=1,$Q20=2),1,0),IF($X20&lt;=20,1,0))</formula>
    </cfRule>
    <cfRule type="expression" dxfId="17234" priority="40">
      <formula>AND(IF($Q20=2,1,0),IF($X20&lt;30,1,0))</formula>
    </cfRule>
    <cfRule type="expression" dxfId="17233" priority="41">
      <formula>AND(IF($Q20=3,1,0),IF($X20&lt;30,1,0))</formula>
    </cfRule>
    <cfRule type="expression" dxfId="17232" priority="42">
      <formula>AND(IF($Q20=3,1,IF($Q20=4,1,0)),IF($F20&lt;=85,1,0))</formula>
    </cfRule>
  </conditionalFormatting>
  <conditionalFormatting sqref="AV21">
    <cfRule type="expression" dxfId="17231" priority="37">
      <formula>AV21="X"</formula>
    </cfRule>
    <cfRule type="expression" dxfId="17230" priority="38">
      <formula>AV21="후보"</formula>
    </cfRule>
  </conditionalFormatting>
  <conditionalFormatting sqref="AC21">
    <cfRule type="cellIs" dxfId="17229" priority="34" operator="greaterThan">
      <formula>0.9</formula>
    </cfRule>
    <cfRule type="cellIs" dxfId="17228" priority="35" operator="greaterThan">
      <formula>0.85</formula>
    </cfRule>
  </conditionalFormatting>
  <conditionalFormatting sqref="N21">
    <cfRule type="cellIs" dxfId="17227" priority="32" operator="greaterThan">
      <formula>0.9</formula>
    </cfRule>
    <cfRule type="cellIs" dxfId="17226" priority="33" operator="greaterThan">
      <formula>0.85</formula>
    </cfRule>
  </conditionalFormatting>
  <conditionalFormatting sqref="E21">
    <cfRule type="expression" dxfId="17225" priority="28">
      <formula>AND(IF(OR($Q21=1,$Q21=2),1,0),IF($X21&lt;=20,1,0))</formula>
    </cfRule>
    <cfRule type="expression" dxfId="17224" priority="29">
      <formula>AND(IF($Q21=2,1,0),IF($X21&lt;30,1,0))</formula>
    </cfRule>
    <cfRule type="expression" dxfId="17223" priority="30">
      <formula>AND(IF($Q21=3,1,0),IF($X21&lt;30,1,0))</formula>
    </cfRule>
    <cfRule type="expression" dxfId="17222" priority="31">
      <formula>AND(IF($Q21=3,1,IF($Q21=4,1,0)),IF($F21&lt;=85,1,0))</formula>
    </cfRule>
  </conditionalFormatting>
  <conditionalFormatting sqref="X21">
    <cfRule type="expression" dxfId="17221" priority="24">
      <formula>AND(IF(OR($Q21=1,$Q21=2),1,0),IF($X21&lt;=20,1,0))</formula>
    </cfRule>
    <cfRule type="expression" dxfId="17220" priority="25">
      <formula>AND(IF($Q21=2,1,0),IF($X21&lt;30,1,0))</formula>
    </cfRule>
    <cfRule type="expression" dxfId="17219" priority="26">
      <formula>AND(IF($Q21=3,1,0),IF($X21&lt;30,1,0))</formula>
    </cfRule>
    <cfRule type="expression" dxfId="17218" priority="27">
      <formula>AND(IF($Q21=3,1,IF($Q21=4,1,0)),IF($F21&lt;=85,1,0))</formula>
    </cfRule>
  </conditionalFormatting>
  <conditionalFormatting sqref="AI21">
    <cfRule type="expression" dxfId="17217" priority="20">
      <formula>AND(IF(OR($Q21=1,$Q21=2),1,0),IF($X21&lt;=20,1,0))</formula>
    </cfRule>
    <cfRule type="expression" dxfId="17216" priority="21">
      <formula>AND(IF($Q21=2,1,0),IF($X21&lt;30,1,0))</formula>
    </cfRule>
    <cfRule type="expression" dxfId="17215" priority="22">
      <formula>AND(IF($Q21=3,1,0),IF($X21&lt;30,1,0))</formula>
    </cfRule>
    <cfRule type="expression" dxfId="17214" priority="23">
      <formula>AND(IF($Q21=3,1,IF($Q21=4,1,0)),IF($F21&lt;=85,1,0))</formula>
    </cfRule>
  </conditionalFormatting>
  <conditionalFormatting sqref="AV22">
    <cfRule type="expression" dxfId="17213" priority="18">
      <formula>AV22="X"</formula>
    </cfRule>
    <cfRule type="expression" dxfId="17212" priority="19">
      <formula>AV22="후보"</formula>
    </cfRule>
  </conditionalFormatting>
  <conditionalFormatting sqref="AC22">
    <cfRule type="cellIs" dxfId="17211" priority="15" operator="greaterThan">
      <formula>0.9</formula>
    </cfRule>
    <cfRule type="cellIs" dxfId="17210" priority="16" operator="greaterThan">
      <formula>0.85</formula>
    </cfRule>
  </conditionalFormatting>
  <conditionalFormatting sqref="N22">
    <cfRule type="cellIs" dxfId="17209" priority="13" operator="greaterThan">
      <formula>0.9</formula>
    </cfRule>
    <cfRule type="cellIs" dxfId="17208" priority="14" operator="greaterThan">
      <formula>0.85</formula>
    </cfRule>
  </conditionalFormatting>
  <conditionalFormatting sqref="E22">
    <cfRule type="expression" dxfId="17207" priority="9">
      <formula>AND(IF(OR($Q22=1,$Q22=2),1,0),IF($X22&lt;=20,1,0))</formula>
    </cfRule>
    <cfRule type="expression" dxfId="17206" priority="10">
      <formula>AND(IF($Q22=2,1,0),IF($X22&lt;30,1,0))</formula>
    </cfRule>
    <cfRule type="expression" dxfId="17205" priority="11">
      <formula>AND(IF($Q22=3,1,0),IF($X22&lt;30,1,0))</formula>
    </cfRule>
    <cfRule type="expression" dxfId="17204" priority="12">
      <formula>AND(IF($Q22=3,1,IF($Q22=4,1,0)),IF($F22&lt;=85,1,0))</formula>
    </cfRule>
  </conditionalFormatting>
  <conditionalFormatting sqref="X22">
    <cfRule type="expression" dxfId="17203" priority="5">
      <formula>AND(IF(OR($Q22=1,$Q22=2),1,0),IF($X22&lt;=20,1,0))</formula>
    </cfRule>
    <cfRule type="expression" dxfId="17202" priority="6">
      <formula>AND(IF($Q22=2,1,0),IF($X22&lt;30,1,0))</formula>
    </cfRule>
    <cfRule type="expression" dxfId="17201" priority="7">
      <formula>AND(IF($Q22=3,1,0),IF($X22&lt;30,1,0))</formula>
    </cfRule>
    <cfRule type="expression" dxfId="17200" priority="8">
      <formula>AND(IF($Q22=3,1,IF($Q22=4,1,0)),IF($F22&lt;=85,1,0))</formula>
    </cfRule>
  </conditionalFormatting>
  <conditionalFormatting sqref="AI22">
    <cfRule type="expression" dxfId="17199" priority="1">
      <formula>AND(IF(OR($Q22=1,$Q22=2),1,0),IF($X22&lt;=20,1,0))</formula>
    </cfRule>
    <cfRule type="expression" dxfId="17198" priority="2">
      <formula>AND(IF($Q22=2,1,0),IF($X22&lt;30,1,0))</formula>
    </cfRule>
    <cfRule type="expression" dxfId="17197" priority="3">
      <formula>AND(IF($Q22=3,1,0),IF($X22&lt;30,1,0))</formula>
    </cfRule>
    <cfRule type="expression" dxfId="17196" priority="4">
      <formula>AND(IF($Q22=3,1,IF($Q22=4,1,0)),IF($F22&lt;=85,1,0))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>
    <pageSetUpPr fitToPage="1"/>
  </sheetPr>
  <dimension ref="A1:AV71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71" sqref="A71:XFD71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5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0" width="9" style="37" customWidth="1"/>
    <col min="51" max="16384" width="9" style="37"/>
  </cols>
  <sheetData>
    <row r="1" spans="1:48" ht="17.25" customHeight="1" x14ac:dyDescent="0.3">
      <c r="A1" s="7" t="str">
        <f>단지추출!A1</f>
        <v>인천광역시 연수구</v>
      </c>
      <c r="I1" s="42" t="s">
        <v>1827</v>
      </c>
      <c r="X1" s="37" t="s">
        <v>5</v>
      </c>
      <c r="Y1" s="37"/>
      <c r="AA1" s="39">
        <f>단지추출!AA1</f>
        <v>70000</v>
      </c>
      <c r="AH1" s="7" t="str">
        <f>A1</f>
        <v>인천광역시 연수구</v>
      </c>
      <c r="AJ1" s="117" t="str">
        <f>A1&amp;" 전체 등급"</f>
        <v>인천광역시 연수구 전체 등급</v>
      </c>
      <c r="AK1" s="118"/>
      <c r="AL1" s="118"/>
      <c r="AM1" s="118"/>
      <c r="AN1" s="119"/>
      <c r="AO1" s="22">
        <f>단지추출!AO1</f>
        <v>80</v>
      </c>
      <c r="AP1" s="22">
        <f>단지추출!AP1</f>
        <v>50000</v>
      </c>
      <c r="AQ1" s="22">
        <f>단지추출!AQ1</f>
        <v>15000</v>
      </c>
      <c r="AR1" s="22">
        <f>단지추출!AR1</f>
        <v>5000</v>
      </c>
      <c r="AS1" s="2"/>
      <c r="AT1" s="2"/>
      <c r="AU1" s="22">
        <f>단지추출!AU1</f>
        <v>300</v>
      </c>
    </row>
    <row r="2" spans="1:48" x14ac:dyDescent="0.3">
      <c r="A2" s="80">
        <f>단지추출!A2</f>
        <v>44197</v>
      </c>
      <c r="W2" s="38"/>
      <c r="X2" s="38" t="s">
        <v>10</v>
      </c>
      <c r="Y2" s="38"/>
      <c r="AA2" s="39">
        <f>단지추출!AA2</f>
        <v>10000</v>
      </c>
      <c r="AH2" s="18" t="str">
        <f>AH1 &amp;" " &amp;A4</f>
        <v>인천광역시 연수구 중화산동2가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4" t="s">
        <v>15</v>
      </c>
      <c r="AP2" s="65"/>
      <c r="AQ2" s="66"/>
      <c r="AR2" s="64" t="s">
        <v>16</v>
      </c>
      <c r="AS2" s="66"/>
      <c r="AT2" s="64" t="s">
        <v>17</v>
      </c>
      <c r="AU2" s="66"/>
      <c r="AV2" s="40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1828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106" t="s">
        <v>27</v>
      </c>
      <c r="Z3" s="12" t="s">
        <v>41</v>
      </c>
      <c r="AA3" s="12" t="s">
        <v>42</v>
      </c>
      <c r="AB3" s="12" t="s">
        <v>1828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34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(5억↓)</v>
      </c>
      <c r="AQ3" s="11" t="str">
        <f>"지역평단가
("&amp;AQ1&amp;"↓)"</f>
        <v>지역평단가
(15000↓)</v>
      </c>
      <c r="AR3" s="11" t="str">
        <f>"투자규모★
(갭"&amp;AR1/1000&amp;"천↓)"</f>
        <v>투자규모★
(갭5천↓)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1" t="s">
        <v>18</v>
      </c>
    </row>
    <row r="4" spans="1:48" x14ac:dyDescent="0.3">
      <c r="A4" s="8" t="s">
        <v>1136</v>
      </c>
      <c r="B4" s="76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07"/>
      <c r="R4" s="107"/>
      <c r="S4" s="76"/>
      <c r="T4" s="5"/>
      <c r="U4" s="9"/>
      <c r="W4" s="9"/>
      <c r="X4" s="9"/>
      <c r="Y4" s="91"/>
      <c r="Z4" s="9"/>
      <c r="AA4" s="9"/>
      <c r="AB4" s="9"/>
      <c r="AC4" s="9"/>
      <c r="AD4" s="9"/>
      <c r="AE4" s="76"/>
      <c r="AF4" s="5"/>
      <c r="AH4" s="20"/>
      <c r="AI4" s="108" t="str">
        <f t="shared" si="0"/>
        <v/>
      </c>
      <c r="AJ4" s="76"/>
      <c r="AK4" s="76"/>
      <c r="AL4" s="76"/>
      <c r="AM4" s="76"/>
      <c r="AN4" s="76"/>
      <c r="AO4" s="76"/>
      <c r="AP4" s="76"/>
      <c r="AQ4" s="76"/>
      <c r="AR4" s="76"/>
      <c r="AS4" s="76"/>
      <c r="AT4" s="76"/>
      <c r="AU4" s="76"/>
      <c r="AV4" s="76"/>
    </row>
    <row r="5" spans="1:48" x14ac:dyDescent="0.3">
      <c r="A5" s="9"/>
      <c r="B5" s="76"/>
      <c r="C5" s="6"/>
      <c r="D5" s="9"/>
      <c r="E5" s="14"/>
      <c r="F5" s="85"/>
      <c r="G5" s="9"/>
      <c r="H5" s="9"/>
      <c r="I5" s="9"/>
      <c r="J5" s="9"/>
      <c r="K5" s="9"/>
      <c r="L5" s="9"/>
      <c r="M5" s="9"/>
      <c r="N5" s="9"/>
      <c r="O5" s="90"/>
      <c r="P5" s="90"/>
      <c r="Q5" s="86"/>
      <c r="R5" s="86"/>
      <c r="S5" s="9"/>
      <c r="T5" s="47"/>
      <c r="U5" s="9"/>
      <c r="W5" s="67" t="str">
        <f>$A$4&amp;" "&amp;A6&amp;"("&amp;B6&amp;","&amp;C6&amp;"^)"</f>
        <v>중화산동2가 광진햇빛찬('05.08.,224^)</v>
      </c>
      <c r="X5" s="68"/>
      <c r="Y5" s="68"/>
      <c r="Z5" s="68"/>
      <c r="AA5" s="68"/>
      <c r="AB5" s="68"/>
      <c r="AC5" s="68"/>
      <c r="AD5" s="68"/>
      <c r="AE5" s="68"/>
      <c r="AF5" s="69"/>
      <c r="AH5" s="20" t="str">
        <f t="shared" ref="AH5:AH36" si="1">IF(A5="","",A5)</f>
        <v/>
      </c>
      <c r="AI5" s="108" t="str">
        <f t="shared" si="0"/>
        <v/>
      </c>
      <c r="AJ5" s="76"/>
      <c r="AK5" s="76"/>
      <c r="AL5" s="76"/>
      <c r="AM5" s="76"/>
      <c r="AN5" s="76"/>
      <c r="AO5" s="76"/>
      <c r="AP5" s="76"/>
      <c r="AQ5" s="76"/>
      <c r="AR5" s="76"/>
      <c r="AS5" s="76"/>
      <c r="AT5" s="76"/>
      <c r="AU5" s="76"/>
      <c r="AV5" s="76"/>
    </row>
    <row r="6" spans="1:48" x14ac:dyDescent="0.3">
      <c r="A6" s="9" t="s">
        <v>1132</v>
      </c>
      <c r="B6" s="10" t="s">
        <v>1881</v>
      </c>
      <c r="C6" s="87">
        <v>224</v>
      </c>
      <c r="D6" s="85">
        <v>140.5</v>
      </c>
      <c r="E6" s="86">
        <v>42</v>
      </c>
      <c r="F6" s="85">
        <v>111.1</v>
      </c>
      <c r="G6" s="17">
        <v>34</v>
      </c>
      <c r="H6" s="87">
        <v>152</v>
      </c>
      <c r="I6" s="88"/>
      <c r="J6" s="88"/>
      <c r="K6" s="88"/>
      <c r="L6" s="88"/>
      <c r="M6" s="89">
        <f>I6-K6</f>
        <v>0</v>
      </c>
      <c r="N6" s="4" t="str">
        <f>IF(ISERROR(K6/I6),"",K6/I6)</f>
        <v/>
      </c>
      <c r="O6" s="90">
        <f>I6/E6</f>
        <v>0</v>
      </c>
      <c r="P6" s="90">
        <f>K6/E6</f>
        <v>0</v>
      </c>
      <c r="Q6" s="76">
        <v>4</v>
      </c>
      <c r="R6" s="76">
        <v>2</v>
      </c>
      <c r="S6" s="76" t="s">
        <v>61</v>
      </c>
      <c r="T6" s="5">
        <v>140</v>
      </c>
      <c r="U6" s="9"/>
      <c r="W6" s="85">
        <f>D6</f>
        <v>140.5</v>
      </c>
      <c r="X6" s="86">
        <f>E6</f>
        <v>42</v>
      </c>
      <c r="Y6" s="91">
        <f>H6</f>
        <v>152</v>
      </c>
      <c r="Z6" s="89">
        <f>I6</f>
        <v>0</v>
      </c>
      <c r="AA6" s="89">
        <f>K6</f>
        <v>0</v>
      </c>
      <c r="AB6" s="89">
        <f t="shared" ref="AB6:AD7" si="2">M6</f>
        <v>0</v>
      </c>
      <c r="AC6" s="4" t="str">
        <f t="shared" si="2"/>
        <v/>
      </c>
      <c r="AD6" s="90">
        <f t="shared" si="2"/>
        <v>0</v>
      </c>
      <c r="AE6" s="76" t="str">
        <f>S6</f>
        <v>계</v>
      </c>
      <c r="AF6" s="76" t="str">
        <f>Q6&amp;"/"&amp;R6</f>
        <v>4/2</v>
      </c>
      <c r="AH6" s="20" t="str">
        <f t="shared" si="1"/>
        <v>광진햇빛찬</v>
      </c>
      <c r="AI6" s="86">
        <f t="shared" si="0"/>
        <v>42</v>
      </c>
      <c r="AJ6" s="76" t="str">
        <f>IF(AI6="","",$AJ$2)</f>
        <v>A-</v>
      </c>
      <c r="AK6" s="76" t="s">
        <v>13</v>
      </c>
      <c r="AL6" s="76" t="s">
        <v>62</v>
      </c>
      <c r="AM6" s="76" t="s">
        <v>63</v>
      </c>
      <c r="AN6" s="76" t="str">
        <f>IF(AI6="","",$AN$2)</f>
        <v>C</v>
      </c>
      <c r="AO6" s="76" t="str">
        <f>IF(N6="","",IF(N6&gt;=$AO$1/100,"O","X"))</f>
        <v/>
      </c>
      <c r="AP6" s="76" t="str">
        <f>IF(I6="","",IF(I6&lt;=$AP$1,"O","X"))</f>
        <v/>
      </c>
      <c r="AQ6" s="76" t="str">
        <f>IF(O6="","",IF(O6&lt;=$AQ$1,"O","X"))</f>
        <v>O</v>
      </c>
      <c r="AR6" s="76" t="str">
        <f>IF(M6="","",IF(M6&lt;=$AR$1,"O","X"))</f>
        <v>O</v>
      </c>
      <c r="AS6" s="76" t="s">
        <v>2</v>
      </c>
      <c r="AT6" s="76" t="str">
        <f>IF(OR(F6="",AI6=""),"",IF(AND((F6&lt;=85),(AI6&gt;=15)),"O","X"))</f>
        <v>X</v>
      </c>
      <c r="AU6" s="76" t="str">
        <f>IF(C6="","",IF(C6&gt;=$AU$1,"O","X"))</f>
        <v>X</v>
      </c>
      <c r="AV6" s="76" t="str">
        <f>IF(AO6="","",IF(AND(AO6="O",AP6="O",AR6="O",AT6="O",AU6="O"),"후보","X"))</f>
        <v/>
      </c>
    </row>
    <row r="7" spans="1:48" x14ac:dyDescent="0.3">
      <c r="A7" s="9" t="s">
        <v>1132</v>
      </c>
      <c r="B7" s="10" t="s">
        <v>1881</v>
      </c>
      <c r="C7" s="87">
        <v>224</v>
      </c>
      <c r="D7" s="85">
        <v>171.4</v>
      </c>
      <c r="E7" s="86">
        <v>52</v>
      </c>
      <c r="F7" s="85">
        <v>140</v>
      </c>
      <c r="G7" s="17">
        <v>42</v>
      </c>
      <c r="H7" s="87">
        <v>72</v>
      </c>
      <c r="I7" s="88"/>
      <c r="J7" s="88"/>
      <c r="K7" s="88"/>
      <c r="L7" s="88"/>
      <c r="M7" s="89">
        <f>I7-K7</f>
        <v>0</v>
      </c>
      <c r="N7" s="4" t="str">
        <f>IF(ISERROR(K7/I7),"",K7/I7)</f>
        <v/>
      </c>
      <c r="O7" s="90">
        <f>I7/E7</f>
        <v>0</v>
      </c>
      <c r="P7" s="90">
        <f>K7/E7</f>
        <v>0</v>
      </c>
      <c r="Q7" s="76">
        <v>4</v>
      </c>
      <c r="R7" s="76">
        <v>2</v>
      </c>
      <c r="S7" s="76" t="s">
        <v>61</v>
      </c>
      <c r="T7" s="5">
        <v>171</v>
      </c>
      <c r="U7" s="9"/>
      <c r="W7" s="85">
        <f>D7</f>
        <v>171.4</v>
      </c>
      <c r="X7" s="86">
        <f>E7</f>
        <v>52</v>
      </c>
      <c r="Y7" s="91">
        <f>H7</f>
        <v>72</v>
      </c>
      <c r="Z7" s="89">
        <f>I7</f>
        <v>0</v>
      </c>
      <c r="AA7" s="89">
        <f>K7</f>
        <v>0</v>
      </c>
      <c r="AB7" s="89">
        <f t="shared" si="2"/>
        <v>0</v>
      </c>
      <c r="AC7" s="4" t="str">
        <f t="shared" si="2"/>
        <v/>
      </c>
      <c r="AD7" s="90">
        <f t="shared" si="2"/>
        <v>0</v>
      </c>
      <c r="AE7" s="76" t="str">
        <f>S7</f>
        <v>계</v>
      </c>
      <c r="AF7" s="76" t="str">
        <f>Q7&amp;"/"&amp;R7</f>
        <v>4/2</v>
      </c>
      <c r="AH7" s="20" t="str">
        <f t="shared" si="1"/>
        <v>광진햇빛찬</v>
      </c>
      <c r="AI7" s="86">
        <f t="shared" si="0"/>
        <v>52</v>
      </c>
      <c r="AJ7" s="76" t="str">
        <f>IF(AI7="","",$AJ$2)</f>
        <v>A-</v>
      </c>
      <c r="AK7" s="76" t="s">
        <v>13</v>
      </c>
      <c r="AL7" s="76" t="s">
        <v>62</v>
      </c>
      <c r="AM7" s="76" t="s">
        <v>63</v>
      </c>
      <c r="AN7" s="76" t="str">
        <f>IF(AI7="","",$AN$2)</f>
        <v>C</v>
      </c>
      <c r="AO7" s="76" t="str">
        <f>IF(N7="","",IF(N7&gt;=$AO$1/100,"O","X"))</f>
        <v/>
      </c>
      <c r="AP7" s="76" t="str">
        <f>IF(I7="","",IF(I7&lt;=$AP$1,"O","X"))</f>
        <v/>
      </c>
      <c r="AQ7" s="76" t="str">
        <f>IF(O7="","",IF(O7&lt;=$AQ$1,"O","X"))</f>
        <v>O</v>
      </c>
      <c r="AR7" s="76" t="str">
        <f>IF(M7="","",IF(M7&lt;=$AR$1,"O","X"))</f>
        <v>O</v>
      </c>
      <c r="AS7" s="76" t="s">
        <v>2</v>
      </c>
      <c r="AT7" s="76" t="str">
        <f>IF(OR(F7="",AI7=""),"",IF(AND((F7&lt;=85),(AI7&gt;=15)),"O","X"))</f>
        <v>X</v>
      </c>
      <c r="AU7" s="76" t="str">
        <f>IF(C7="","",IF(C7&gt;=$AU$1,"O","X"))</f>
        <v>X</v>
      </c>
      <c r="AV7" s="76" t="str">
        <f>IF(AO7="","",IF(AND(AO7="O",AP7="O",AR7="O",AT7="O",AU7="O"),"후보","X"))</f>
        <v/>
      </c>
    </row>
    <row r="8" spans="1:48" x14ac:dyDescent="0.3">
      <c r="A8" s="9"/>
      <c r="B8" s="76"/>
      <c r="C8" s="6"/>
      <c r="D8" s="9"/>
      <c r="E8" s="14"/>
      <c r="F8" s="85"/>
      <c r="G8" s="9"/>
      <c r="H8" s="9"/>
      <c r="I8" s="9"/>
      <c r="J8" s="9"/>
      <c r="K8" s="9"/>
      <c r="L8" s="9"/>
      <c r="M8" s="9"/>
      <c r="N8" s="9"/>
      <c r="O8" s="90"/>
      <c r="P8" s="90"/>
      <c r="Q8" s="86"/>
      <c r="R8" s="86"/>
      <c r="S8" s="9"/>
      <c r="T8" s="47"/>
      <c r="U8" s="9"/>
      <c r="W8" s="67" t="str">
        <f>$A$4&amp;" "&amp;A9&amp;"("&amp;B9&amp;","&amp;C9&amp;"^)"</f>
        <v>중화산동2가 우성근영타운('96.07.,651^)</v>
      </c>
      <c r="X8" s="68"/>
      <c r="Y8" s="68"/>
      <c r="Z8" s="68"/>
      <c r="AA8" s="68"/>
      <c r="AB8" s="68"/>
      <c r="AC8" s="68"/>
      <c r="AD8" s="68"/>
      <c r="AE8" s="68"/>
      <c r="AF8" s="69"/>
      <c r="AH8" s="20" t="str">
        <f t="shared" si="1"/>
        <v/>
      </c>
      <c r="AI8" s="108" t="str">
        <f t="shared" si="0"/>
        <v/>
      </c>
      <c r="AJ8" s="76"/>
      <c r="AK8" s="76"/>
      <c r="AL8" s="76"/>
      <c r="AM8" s="76"/>
      <c r="AN8" s="76"/>
      <c r="AO8" s="76"/>
      <c r="AP8" s="76"/>
      <c r="AQ8" s="76"/>
      <c r="AR8" s="76"/>
      <c r="AS8" s="76"/>
      <c r="AT8" s="76"/>
      <c r="AU8" s="76"/>
      <c r="AV8" s="76"/>
    </row>
    <row r="9" spans="1:48" x14ac:dyDescent="0.3">
      <c r="A9" s="9" t="s">
        <v>1138</v>
      </c>
      <c r="B9" s="10" t="s">
        <v>1882</v>
      </c>
      <c r="C9" s="87">
        <v>651</v>
      </c>
      <c r="D9" s="85">
        <v>77.599999999999994</v>
      </c>
      <c r="E9" s="86">
        <v>23</v>
      </c>
      <c r="F9" s="85">
        <v>59.4</v>
      </c>
      <c r="G9" s="17">
        <v>18</v>
      </c>
      <c r="H9" s="87">
        <v>299</v>
      </c>
      <c r="I9" s="88">
        <v>12500</v>
      </c>
      <c r="J9" s="88" t="s">
        <v>72</v>
      </c>
      <c r="K9" s="88"/>
      <c r="L9" s="88"/>
      <c r="M9" s="89">
        <f>I9-K9</f>
        <v>12500</v>
      </c>
      <c r="N9" s="4">
        <f>IF(ISERROR(K9/I9),"",K9/I9)</f>
        <v>0</v>
      </c>
      <c r="O9" s="90">
        <f>I9/E9</f>
        <v>543.47826086956525</v>
      </c>
      <c r="P9" s="90">
        <f>K9/E9</f>
        <v>0</v>
      </c>
      <c r="Q9" s="76">
        <v>3</v>
      </c>
      <c r="R9" s="76">
        <v>1</v>
      </c>
      <c r="S9" s="76" t="s">
        <v>61</v>
      </c>
      <c r="T9" s="5">
        <v>77</v>
      </c>
      <c r="U9" s="9"/>
      <c r="W9" s="85">
        <f t="shared" ref="W9:X11" si="3">D9</f>
        <v>77.599999999999994</v>
      </c>
      <c r="X9" s="86">
        <f t="shared" si="3"/>
        <v>23</v>
      </c>
      <c r="Y9" s="91">
        <f t="shared" ref="Y9:Z11" si="4">H9</f>
        <v>299</v>
      </c>
      <c r="Z9" s="89">
        <f t="shared" si="4"/>
        <v>12500</v>
      </c>
      <c r="AA9" s="89">
        <f>K9</f>
        <v>0</v>
      </c>
      <c r="AB9" s="89">
        <f t="shared" ref="AB9:AD11" si="5">M9</f>
        <v>12500</v>
      </c>
      <c r="AC9" s="4">
        <f t="shared" si="5"/>
        <v>0</v>
      </c>
      <c r="AD9" s="90">
        <f t="shared" si="5"/>
        <v>543.47826086956525</v>
      </c>
      <c r="AE9" s="76" t="str">
        <f>S9</f>
        <v>계</v>
      </c>
      <c r="AF9" s="76" t="str">
        <f>Q9&amp;"/"&amp;R9</f>
        <v>3/1</v>
      </c>
      <c r="AH9" s="20" t="str">
        <f t="shared" si="1"/>
        <v>우성근영타운</v>
      </c>
      <c r="AI9" s="86">
        <f t="shared" si="0"/>
        <v>23</v>
      </c>
      <c r="AJ9" s="76" t="str">
        <f>IF(AI9="","",$AJ$2)</f>
        <v>A-</v>
      </c>
      <c r="AK9" s="76" t="s">
        <v>13</v>
      </c>
      <c r="AL9" s="76" t="s">
        <v>62</v>
      </c>
      <c r="AM9" s="76" t="s">
        <v>63</v>
      </c>
      <c r="AN9" s="76" t="str">
        <f>IF(AI9="","",$AN$2)</f>
        <v>C</v>
      </c>
      <c r="AO9" s="76" t="str">
        <f>IF(N9="","",IF(N9&gt;=$AO$1/100,"O","X"))</f>
        <v>X</v>
      </c>
      <c r="AP9" s="76" t="str">
        <f>IF(I9="","",IF(I9&lt;=$AP$1,"O","X"))</f>
        <v>O</v>
      </c>
      <c r="AQ9" s="76" t="str">
        <f>IF(O9="","",IF(O9&lt;=$AQ$1,"O","X"))</f>
        <v>O</v>
      </c>
      <c r="AR9" s="76" t="str">
        <f>IF(M9="","",IF(M9&lt;=$AR$1,"O","X"))</f>
        <v>X</v>
      </c>
      <c r="AS9" s="76" t="s">
        <v>2</v>
      </c>
      <c r="AT9" s="76" t="str">
        <f>IF(OR(F9="",AI9=""),"",IF(AND((F9&lt;=85),(AI9&gt;=15)),"O","X"))</f>
        <v>O</v>
      </c>
      <c r="AU9" s="76" t="str">
        <f>IF(C9="","",IF(C9&gt;=$AU$1,"O","X"))</f>
        <v>O</v>
      </c>
      <c r="AV9" s="76" t="str">
        <f>IF(AO9="","",IF(AND(AO9="O",AP9="O",AR9="O",AT9="O",AU9="O"),"후보","X"))</f>
        <v>X</v>
      </c>
    </row>
    <row r="10" spans="1:48" x14ac:dyDescent="0.3">
      <c r="A10" s="9" t="s">
        <v>1138</v>
      </c>
      <c r="B10" s="10" t="s">
        <v>1882</v>
      </c>
      <c r="C10" s="87">
        <v>651</v>
      </c>
      <c r="D10" s="85">
        <v>105.2</v>
      </c>
      <c r="E10" s="86">
        <v>32</v>
      </c>
      <c r="F10" s="85">
        <v>85</v>
      </c>
      <c r="G10" s="17">
        <v>26</v>
      </c>
      <c r="H10" s="87">
        <v>312</v>
      </c>
      <c r="I10" s="88">
        <v>17500</v>
      </c>
      <c r="J10" s="88" t="s">
        <v>75</v>
      </c>
      <c r="K10" s="88">
        <v>19000</v>
      </c>
      <c r="L10" s="88" t="s">
        <v>83</v>
      </c>
      <c r="M10" s="89">
        <f>I10-K10</f>
        <v>-1500</v>
      </c>
      <c r="N10" s="4">
        <f>IF(ISERROR(K10/I10),"",K10/I10)</f>
        <v>1.0857142857142856</v>
      </c>
      <c r="O10" s="90">
        <f>I10/E10</f>
        <v>546.875</v>
      </c>
      <c r="P10" s="90">
        <f>K10/E10</f>
        <v>593.75</v>
      </c>
      <c r="Q10" s="76">
        <v>3</v>
      </c>
      <c r="R10" s="76">
        <v>2</v>
      </c>
      <c r="S10" s="76" t="s">
        <v>61</v>
      </c>
      <c r="T10" s="5">
        <v>105</v>
      </c>
      <c r="U10" s="9"/>
      <c r="W10" s="85">
        <f t="shared" si="3"/>
        <v>105.2</v>
      </c>
      <c r="X10" s="86">
        <f t="shared" si="3"/>
        <v>32</v>
      </c>
      <c r="Y10" s="91">
        <f t="shared" si="4"/>
        <v>312</v>
      </c>
      <c r="Z10" s="89">
        <f t="shared" si="4"/>
        <v>17500</v>
      </c>
      <c r="AA10" s="89">
        <f>K10</f>
        <v>19000</v>
      </c>
      <c r="AB10" s="89">
        <f t="shared" si="5"/>
        <v>-1500</v>
      </c>
      <c r="AC10" s="4">
        <f t="shared" si="5"/>
        <v>1.0857142857142856</v>
      </c>
      <c r="AD10" s="90">
        <f t="shared" si="5"/>
        <v>546.875</v>
      </c>
      <c r="AE10" s="76" t="str">
        <f>S10</f>
        <v>계</v>
      </c>
      <c r="AF10" s="76" t="str">
        <f>Q10&amp;"/"&amp;R10</f>
        <v>3/2</v>
      </c>
      <c r="AH10" s="20" t="str">
        <f t="shared" si="1"/>
        <v>우성근영타운</v>
      </c>
      <c r="AI10" s="86">
        <f t="shared" si="0"/>
        <v>32</v>
      </c>
      <c r="AJ10" s="76" t="str">
        <f>IF(AI10="","",$AJ$2)</f>
        <v>A-</v>
      </c>
      <c r="AK10" s="76" t="s">
        <v>13</v>
      </c>
      <c r="AL10" s="76" t="s">
        <v>62</v>
      </c>
      <c r="AM10" s="76" t="s">
        <v>63</v>
      </c>
      <c r="AN10" s="76" t="str">
        <f>IF(AI10="","",$AN$2)</f>
        <v>C</v>
      </c>
      <c r="AO10" s="76" t="str">
        <f>IF(N10="","",IF(N10&gt;=$AO$1/100,"O","X"))</f>
        <v>O</v>
      </c>
      <c r="AP10" s="76" t="str">
        <f>IF(I10="","",IF(I10&lt;=$AP$1,"O","X"))</f>
        <v>O</v>
      </c>
      <c r="AQ10" s="76" t="str">
        <f>IF(O10="","",IF(O10&lt;=$AQ$1,"O","X"))</f>
        <v>O</v>
      </c>
      <c r="AR10" s="76" t="str">
        <f>IF(M10="","",IF(M10&lt;=$AR$1,"O","X"))</f>
        <v>O</v>
      </c>
      <c r="AS10" s="76" t="s">
        <v>2</v>
      </c>
      <c r="AT10" s="76" t="str">
        <f>IF(OR(F10="",AI10=""),"",IF(AND((F10&lt;=85),(AI10&gt;=15)),"O","X"))</f>
        <v>O</v>
      </c>
      <c r="AU10" s="76" t="str">
        <f>IF(C10="","",IF(C10&gt;=$AU$1,"O","X"))</f>
        <v>O</v>
      </c>
      <c r="AV10" s="76" t="str">
        <f>IF(AO10="","",IF(AND(AO10="O",AP10="O",AR10="O",AT10="O",AU10="O"),"후보","X"))</f>
        <v>후보</v>
      </c>
    </row>
    <row r="11" spans="1:48" x14ac:dyDescent="0.3">
      <c r="A11" s="9" t="s">
        <v>1138</v>
      </c>
      <c r="B11" s="10" t="s">
        <v>1882</v>
      </c>
      <c r="C11" s="87">
        <v>651</v>
      </c>
      <c r="D11" s="85">
        <v>159.80000000000001</v>
      </c>
      <c r="E11" s="86">
        <v>48</v>
      </c>
      <c r="F11" s="85">
        <v>134.69999999999999</v>
      </c>
      <c r="G11" s="17">
        <v>41</v>
      </c>
      <c r="H11" s="87">
        <v>40</v>
      </c>
      <c r="I11" s="88"/>
      <c r="J11" s="88"/>
      <c r="K11" s="88"/>
      <c r="L11" s="88"/>
      <c r="M11" s="89">
        <f>I11-K11</f>
        <v>0</v>
      </c>
      <c r="N11" s="4" t="str">
        <f>IF(ISERROR(K11/I11),"",K11/I11)</f>
        <v/>
      </c>
      <c r="O11" s="90">
        <f>I11/E11</f>
        <v>0</v>
      </c>
      <c r="P11" s="90">
        <f>K11/E11</f>
        <v>0</v>
      </c>
      <c r="Q11" s="76">
        <v>4</v>
      </c>
      <c r="R11" s="76">
        <v>2</v>
      </c>
      <c r="S11" s="76" t="s">
        <v>61</v>
      </c>
      <c r="T11" s="5">
        <v>159</v>
      </c>
      <c r="U11" s="9"/>
      <c r="W11" s="85">
        <f t="shared" si="3"/>
        <v>159.80000000000001</v>
      </c>
      <c r="X11" s="86">
        <f t="shared" si="3"/>
        <v>48</v>
      </c>
      <c r="Y11" s="91">
        <f t="shared" si="4"/>
        <v>40</v>
      </c>
      <c r="Z11" s="89">
        <f t="shared" si="4"/>
        <v>0</v>
      </c>
      <c r="AA11" s="89">
        <f>K11</f>
        <v>0</v>
      </c>
      <c r="AB11" s="89">
        <f t="shared" si="5"/>
        <v>0</v>
      </c>
      <c r="AC11" s="4" t="str">
        <f t="shared" si="5"/>
        <v/>
      </c>
      <c r="AD11" s="90">
        <f t="shared" si="5"/>
        <v>0</v>
      </c>
      <c r="AE11" s="76" t="str">
        <f>S11</f>
        <v>계</v>
      </c>
      <c r="AF11" s="76" t="str">
        <f>Q11&amp;"/"&amp;R11</f>
        <v>4/2</v>
      </c>
      <c r="AH11" s="20" t="str">
        <f t="shared" si="1"/>
        <v>우성근영타운</v>
      </c>
      <c r="AI11" s="86">
        <f t="shared" si="0"/>
        <v>48</v>
      </c>
      <c r="AJ11" s="76" t="str">
        <f>IF(AI11="","",$AJ$2)</f>
        <v>A-</v>
      </c>
      <c r="AK11" s="76" t="s">
        <v>13</v>
      </c>
      <c r="AL11" s="76" t="s">
        <v>62</v>
      </c>
      <c r="AM11" s="76" t="s">
        <v>63</v>
      </c>
      <c r="AN11" s="76" t="str">
        <f>IF(AI11="","",$AN$2)</f>
        <v>C</v>
      </c>
      <c r="AO11" s="76" t="str">
        <f>IF(N11="","",IF(N11&gt;=$AO$1/100,"O","X"))</f>
        <v/>
      </c>
      <c r="AP11" s="76" t="str">
        <f>IF(I11="","",IF(I11&lt;=$AP$1,"O","X"))</f>
        <v/>
      </c>
      <c r="AQ11" s="76" t="str">
        <f>IF(O11="","",IF(O11&lt;=$AQ$1,"O","X"))</f>
        <v>O</v>
      </c>
      <c r="AR11" s="76" t="str">
        <f>IF(M11="","",IF(M11&lt;=$AR$1,"O","X"))</f>
        <v>O</v>
      </c>
      <c r="AS11" s="76" t="s">
        <v>2</v>
      </c>
      <c r="AT11" s="76" t="str">
        <f>IF(OR(F11="",AI11=""),"",IF(AND((F11&lt;=85),(AI11&gt;=15)),"O","X"))</f>
        <v>X</v>
      </c>
      <c r="AU11" s="76" t="str">
        <f>IF(C11="","",IF(C11&gt;=$AU$1,"O","X"))</f>
        <v>O</v>
      </c>
      <c r="AV11" s="76" t="str">
        <f>IF(AO11="","",IF(AND(AO11="O",AP11="O",AR11="O",AT11="O",AU11="O"),"후보","X"))</f>
        <v/>
      </c>
    </row>
    <row r="12" spans="1:48" x14ac:dyDescent="0.3">
      <c r="A12" s="9"/>
      <c r="B12" s="76"/>
      <c r="C12" s="6"/>
      <c r="D12" s="9"/>
      <c r="E12" s="14"/>
      <c r="F12" s="85"/>
      <c r="G12" s="9"/>
      <c r="H12" s="9"/>
      <c r="I12" s="9"/>
      <c r="J12" s="9"/>
      <c r="K12" s="9"/>
      <c r="L12" s="9"/>
      <c r="M12" s="9"/>
      <c r="N12" s="9"/>
      <c r="O12" s="90"/>
      <c r="P12" s="90"/>
      <c r="Q12" s="86"/>
      <c r="R12" s="86"/>
      <c r="S12" s="9"/>
      <c r="T12" s="47"/>
      <c r="U12" s="9"/>
      <c r="W12" s="67" t="str">
        <f>$A$4&amp;" "&amp;A13&amp;"("&amp;B13&amp;","&amp;C13&amp;"^)"</f>
        <v>중화산동2가 한신코아('90.11.,444^)</v>
      </c>
      <c r="X12" s="68"/>
      <c r="Y12" s="68"/>
      <c r="Z12" s="68"/>
      <c r="AA12" s="68"/>
      <c r="AB12" s="68"/>
      <c r="AC12" s="68"/>
      <c r="AD12" s="68"/>
      <c r="AE12" s="68"/>
      <c r="AF12" s="69"/>
      <c r="AH12" s="20" t="str">
        <f t="shared" si="1"/>
        <v/>
      </c>
      <c r="AI12" s="108" t="str">
        <f t="shared" si="0"/>
        <v/>
      </c>
      <c r="AJ12" s="76"/>
      <c r="AK12" s="76"/>
      <c r="AL12" s="76"/>
      <c r="AM12" s="76"/>
      <c r="AN12" s="76"/>
      <c r="AO12" s="76"/>
      <c r="AP12" s="76"/>
      <c r="AQ12" s="76"/>
      <c r="AR12" s="76"/>
      <c r="AS12" s="76"/>
      <c r="AT12" s="76"/>
      <c r="AU12" s="76"/>
      <c r="AV12" s="76"/>
    </row>
    <row r="13" spans="1:48" x14ac:dyDescent="0.3">
      <c r="A13" s="9" t="s">
        <v>1156</v>
      </c>
      <c r="B13" s="10" t="s">
        <v>1883</v>
      </c>
      <c r="C13" s="87">
        <v>444</v>
      </c>
      <c r="D13" s="85">
        <v>90.6</v>
      </c>
      <c r="E13" s="86">
        <v>27</v>
      </c>
      <c r="F13" s="85">
        <v>73.8</v>
      </c>
      <c r="G13" s="17">
        <v>22</v>
      </c>
      <c r="H13" s="87">
        <v>147</v>
      </c>
      <c r="I13" s="88"/>
      <c r="J13" s="88"/>
      <c r="K13" s="88"/>
      <c r="L13" s="88"/>
      <c r="M13" s="89">
        <f>I13-K13</f>
        <v>0</v>
      </c>
      <c r="N13" s="4" t="str">
        <f>IF(ISERROR(K13/I13),"",K13/I13)</f>
        <v/>
      </c>
      <c r="O13" s="90">
        <f>I13/E13</f>
        <v>0</v>
      </c>
      <c r="P13" s="90">
        <f>K13/E13</f>
        <v>0</v>
      </c>
      <c r="Q13" s="76">
        <v>3</v>
      </c>
      <c r="R13" s="76">
        <v>1</v>
      </c>
      <c r="S13" s="76" t="s">
        <v>61</v>
      </c>
      <c r="T13" s="5">
        <v>90</v>
      </c>
      <c r="U13" s="9"/>
      <c r="W13" s="85">
        <f t="shared" ref="W13:X15" si="6">D13</f>
        <v>90.6</v>
      </c>
      <c r="X13" s="86">
        <f t="shared" si="6"/>
        <v>27</v>
      </c>
      <c r="Y13" s="91">
        <f t="shared" ref="Y13:Z15" si="7">H13</f>
        <v>147</v>
      </c>
      <c r="Z13" s="89">
        <f t="shared" si="7"/>
        <v>0</v>
      </c>
      <c r="AA13" s="89">
        <f>K13</f>
        <v>0</v>
      </c>
      <c r="AB13" s="89">
        <f t="shared" ref="AB13:AD15" si="8">M13</f>
        <v>0</v>
      </c>
      <c r="AC13" s="4" t="str">
        <f t="shared" si="8"/>
        <v/>
      </c>
      <c r="AD13" s="90">
        <f t="shared" si="8"/>
        <v>0</v>
      </c>
      <c r="AE13" s="76" t="str">
        <f>S13</f>
        <v>계</v>
      </c>
      <c r="AF13" s="76" t="str">
        <f>Q13&amp;"/"&amp;R13</f>
        <v>3/1</v>
      </c>
      <c r="AH13" s="20" t="str">
        <f t="shared" si="1"/>
        <v>한신코아</v>
      </c>
      <c r="AI13" s="86">
        <f t="shared" si="0"/>
        <v>27</v>
      </c>
      <c r="AJ13" s="76" t="str">
        <f>IF(AI13="","",$AJ$2)</f>
        <v>A-</v>
      </c>
      <c r="AK13" s="76" t="s">
        <v>13</v>
      </c>
      <c r="AL13" s="76" t="s">
        <v>62</v>
      </c>
      <c r="AM13" s="76" t="s">
        <v>63</v>
      </c>
      <c r="AN13" s="76" t="str">
        <f>IF(AI13="","",$AN$2)</f>
        <v>C</v>
      </c>
      <c r="AO13" s="76" t="str">
        <f>IF(N13="","",IF(N13&gt;=$AO$1/100,"O","X"))</f>
        <v/>
      </c>
      <c r="AP13" s="76" t="str">
        <f>IF(I13="","",IF(I13&lt;=$AP$1,"O","X"))</f>
        <v/>
      </c>
      <c r="AQ13" s="76" t="str">
        <f>IF(O13="","",IF(O13&lt;=$AQ$1,"O","X"))</f>
        <v>O</v>
      </c>
      <c r="AR13" s="76" t="str">
        <f>IF(M13="","",IF(M13&lt;=$AR$1,"O","X"))</f>
        <v>O</v>
      </c>
      <c r="AS13" s="76" t="s">
        <v>2</v>
      </c>
      <c r="AT13" s="76" t="str">
        <f>IF(OR(F13="",AI13=""),"",IF(AND((F13&lt;=85),(AI13&gt;=15)),"O","X"))</f>
        <v>O</v>
      </c>
      <c r="AU13" s="76" t="str">
        <f>IF(C13="","",IF(C13&gt;=$AU$1,"O","X"))</f>
        <v>O</v>
      </c>
      <c r="AV13" s="76" t="str">
        <f>IF(AO13="","",IF(AND(AO13="O",AP13="O",AR13="O",AT13="O",AU13="O"),"후보","X"))</f>
        <v/>
      </c>
    </row>
    <row r="14" spans="1:48" x14ac:dyDescent="0.3">
      <c r="A14" s="9" t="s">
        <v>1156</v>
      </c>
      <c r="B14" s="10" t="s">
        <v>1883</v>
      </c>
      <c r="C14" s="87">
        <v>444</v>
      </c>
      <c r="D14" s="85">
        <v>103.5</v>
      </c>
      <c r="E14" s="86">
        <v>31</v>
      </c>
      <c r="F14" s="85">
        <v>84.9</v>
      </c>
      <c r="G14" s="17">
        <v>26</v>
      </c>
      <c r="H14" s="87">
        <v>215</v>
      </c>
      <c r="I14" s="88">
        <v>17500</v>
      </c>
      <c r="J14" s="88" t="s">
        <v>71</v>
      </c>
      <c r="K14" s="88">
        <v>16000</v>
      </c>
      <c r="L14" s="88" t="s">
        <v>71</v>
      </c>
      <c r="M14" s="89">
        <f>I14-K14</f>
        <v>1500</v>
      </c>
      <c r="N14" s="4">
        <f>IF(ISERROR(K14/I14),"",K14/I14)</f>
        <v>0.91428571428571426</v>
      </c>
      <c r="O14" s="90">
        <f>I14/E14</f>
        <v>564.51612903225805</v>
      </c>
      <c r="P14" s="90">
        <f>K14/E14</f>
        <v>516.12903225806451</v>
      </c>
      <c r="Q14" s="76">
        <v>3</v>
      </c>
      <c r="R14" s="76">
        <v>2</v>
      </c>
      <c r="S14" s="76" t="s">
        <v>61</v>
      </c>
      <c r="T14" s="5">
        <v>103</v>
      </c>
      <c r="U14" s="9"/>
      <c r="W14" s="85">
        <f t="shared" si="6"/>
        <v>103.5</v>
      </c>
      <c r="X14" s="86">
        <f t="shared" si="6"/>
        <v>31</v>
      </c>
      <c r="Y14" s="91">
        <f t="shared" si="7"/>
        <v>215</v>
      </c>
      <c r="Z14" s="89">
        <f t="shared" si="7"/>
        <v>17500</v>
      </c>
      <c r="AA14" s="89">
        <f>K14</f>
        <v>16000</v>
      </c>
      <c r="AB14" s="89">
        <f t="shared" si="8"/>
        <v>1500</v>
      </c>
      <c r="AC14" s="4">
        <f t="shared" si="8"/>
        <v>0.91428571428571426</v>
      </c>
      <c r="AD14" s="90">
        <f t="shared" si="8"/>
        <v>564.51612903225805</v>
      </c>
      <c r="AE14" s="76" t="str">
        <f>S14</f>
        <v>계</v>
      </c>
      <c r="AF14" s="76" t="str">
        <f>Q14&amp;"/"&amp;R14</f>
        <v>3/2</v>
      </c>
      <c r="AH14" s="20" t="str">
        <f t="shared" si="1"/>
        <v>한신코아</v>
      </c>
      <c r="AI14" s="86">
        <f t="shared" si="0"/>
        <v>31</v>
      </c>
      <c r="AJ14" s="76" t="str">
        <f>IF(AI14="","",$AJ$2)</f>
        <v>A-</v>
      </c>
      <c r="AK14" s="76" t="s">
        <v>13</v>
      </c>
      <c r="AL14" s="76" t="s">
        <v>62</v>
      </c>
      <c r="AM14" s="76" t="s">
        <v>63</v>
      </c>
      <c r="AN14" s="76" t="str">
        <f>IF(AI14="","",$AN$2)</f>
        <v>C</v>
      </c>
      <c r="AO14" s="76" t="str">
        <f>IF(N14="","",IF(N14&gt;=$AO$1/100,"O","X"))</f>
        <v>O</v>
      </c>
      <c r="AP14" s="76" t="str">
        <f>IF(I14="","",IF(I14&lt;=$AP$1,"O","X"))</f>
        <v>O</v>
      </c>
      <c r="AQ14" s="76" t="str">
        <f>IF(O14="","",IF(O14&lt;=$AQ$1,"O","X"))</f>
        <v>O</v>
      </c>
      <c r="AR14" s="76" t="str">
        <f>IF(M14="","",IF(M14&lt;=$AR$1,"O","X"))</f>
        <v>O</v>
      </c>
      <c r="AS14" s="76" t="s">
        <v>2</v>
      </c>
      <c r="AT14" s="76" t="str">
        <f>IF(OR(F14="",AI14=""),"",IF(AND((F14&lt;=85),(AI14&gt;=15)),"O","X"))</f>
        <v>O</v>
      </c>
      <c r="AU14" s="76" t="str">
        <f>IF(C14="","",IF(C14&gt;=$AU$1,"O","X"))</f>
        <v>O</v>
      </c>
      <c r="AV14" s="76" t="str">
        <f>IF(AO14="","",IF(AND(AO14="O",AP14="O",AR14="O",AT14="O",AU14="O"),"후보","X"))</f>
        <v>후보</v>
      </c>
    </row>
    <row r="15" spans="1:48" x14ac:dyDescent="0.3">
      <c r="A15" s="9" t="s">
        <v>1156</v>
      </c>
      <c r="B15" s="10" t="s">
        <v>1883</v>
      </c>
      <c r="C15" s="87">
        <v>444</v>
      </c>
      <c r="D15" s="85">
        <v>151.1</v>
      </c>
      <c r="E15" s="86">
        <v>46</v>
      </c>
      <c r="F15" s="85">
        <v>130.1</v>
      </c>
      <c r="G15" s="17">
        <v>39</v>
      </c>
      <c r="H15" s="87">
        <v>82</v>
      </c>
      <c r="I15" s="88"/>
      <c r="J15" s="88"/>
      <c r="K15" s="88"/>
      <c r="L15" s="88"/>
      <c r="M15" s="89">
        <f>I15-K15</f>
        <v>0</v>
      </c>
      <c r="N15" s="4" t="str">
        <f>IF(ISERROR(K15/I15),"",K15/I15)</f>
        <v/>
      </c>
      <c r="O15" s="90">
        <f>I15/E15</f>
        <v>0</v>
      </c>
      <c r="P15" s="90">
        <f>K15/E15</f>
        <v>0</v>
      </c>
      <c r="Q15" s="76">
        <v>4</v>
      </c>
      <c r="R15" s="76">
        <v>2</v>
      </c>
      <c r="S15" s="76" t="s">
        <v>61</v>
      </c>
      <c r="T15" s="5">
        <v>151</v>
      </c>
      <c r="U15" s="9"/>
      <c r="W15" s="85">
        <f t="shared" si="6"/>
        <v>151.1</v>
      </c>
      <c r="X15" s="86">
        <f t="shared" si="6"/>
        <v>46</v>
      </c>
      <c r="Y15" s="91">
        <f t="shared" si="7"/>
        <v>82</v>
      </c>
      <c r="Z15" s="89">
        <f t="shared" si="7"/>
        <v>0</v>
      </c>
      <c r="AA15" s="89">
        <f>K15</f>
        <v>0</v>
      </c>
      <c r="AB15" s="89">
        <f t="shared" si="8"/>
        <v>0</v>
      </c>
      <c r="AC15" s="4" t="str">
        <f t="shared" si="8"/>
        <v/>
      </c>
      <c r="AD15" s="90">
        <f t="shared" si="8"/>
        <v>0</v>
      </c>
      <c r="AE15" s="76" t="str">
        <f>S15</f>
        <v>계</v>
      </c>
      <c r="AF15" s="76" t="str">
        <f>Q15&amp;"/"&amp;R15</f>
        <v>4/2</v>
      </c>
      <c r="AH15" s="20" t="str">
        <f t="shared" si="1"/>
        <v>한신코아</v>
      </c>
      <c r="AI15" s="86">
        <f t="shared" si="0"/>
        <v>46</v>
      </c>
      <c r="AJ15" s="76" t="str">
        <f>IF(AI15="","",$AJ$2)</f>
        <v>A-</v>
      </c>
      <c r="AK15" s="76" t="s">
        <v>13</v>
      </c>
      <c r="AL15" s="76" t="s">
        <v>62</v>
      </c>
      <c r="AM15" s="76" t="s">
        <v>63</v>
      </c>
      <c r="AN15" s="76" t="str">
        <f>IF(AI15="","",$AN$2)</f>
        <v>C</v>
      </c>
      <c r="AO15" s="76" t="str">
        <f>IF(N15="","",IF(N15&gt;=$AO$1/100,"O","X"))</f>
        <v/>
      </c>
      <c r="AP15" s="76" t="str">
        <f>IF(I15="","",IF(I15&lt;=$AP$1,"O","X"))</f>
        <v/>
      </c>
      <c r="AQ15" s="76" t="str">
        <f>IF(O15="","",IF(O15&lt;=$AQ$1,"O","X"))</f>
        <v>O</v>
      </c>
      <c r="AR15" s="76" t="str">
        <f>IF(M15="","",IF(M15&lt;=$AR$1,"O","X"))</f>
        <v>O</v>
      </c>
      <c r="AS15" s="76" t="s">
        <v>2</v>
      </c>
      <c r="AT15" s="76" t="str">
        <f>IF(OR(F15="",AI15=""),"",IF(AND((F15&lt;=85),(AI15&gt;=15)),"O","X"))</f>
        <v>X</v>
      </c>
      <c r="AU15" s="76" t="str">
        <f>IF(C15="","",IF(C15&gt;=$AU$1,"O","X"))</f>
        <v>O</v>
      </c>
      <c r="AV15" s="76" t="str">
        <f>IF(AO15="","",IF(AND(AO15="O",AP15="O",AR15="O",AT15="O",AU15="O"),"후보","X"))</f>
        <v/>
      </c>
    </row>
    <row r="16" spans="1:48" x14ac:dyDescent="0.3">
      <c r="A16" s="9"/>
      <c r="B16" s="76"/>
      <c r="C16" s="6"/>
      <c r="D16" s="9"/>
      <c r="E16" s="14"/>
      <c r="F16" s="85"/>
      <c r="G16" s="9"/>
      <c r="H16" s="9"/>
      <c r="I16" s="9"/>
      <c r="J16" s="9"/>
      <c r="K16" s="9"/>
      <c r="L16" s="9"/>
      <c r="M16" s="9"/>
      <c r="N16" s="9"/>
      <c r="O16" s="90"/>
      <c r="P16" s="90"/>
      <c r="Q16" s="86"/>
      <c r="R16" s="86"/>
      <c r="S16" s="9"/>
      <c r="T16" s="47"/>
      <c r="U16" s="9"/>
      <c r="W16" s="67" t="str">
        <f>$A$4&amp;" "&amp;A17&amp;"("&amp;B17&amp;","&amp;C17&amp;"^)"</f>
        <v>중화산동2가 코오롱하늘채('03.07.,858^)</v>
      </c>
      <c r="X16" s="68"/>
      <c r="Y16" s="68"/>
      <c r="Z16" s="68"/>
      <c r="AA16" s="68"/>
      <c r="AB16" s="68"/>
      <c r="AC16" s="68"/>
      <c r="AD16" s="68"/>
      <c r="AE16" s="68"/>
      <c r="AF16" s="69"/>
      <c r="AH16" s="20" t="str">
        <f t="shared" si="1"/>
        <v/>
      </c>
      <c r="AI16" s="108" t="str">
        <f t="shared" si="0"/>
        <v/>
      </c>
      <c r="AJ16" s="76"/>
      <c r="AK16" s="76"/>
      <c r="AL16" s="76"/>
      <c r="AM16" s="76"/>
      <c r="AN16" s="76"/>
      <c r="AO16" s="76"/>
      <c r="AP16" s="76"/>
      <c r="AQ16" s="76"/>
      <c r="AR16" s="76"/>
      <c r="AS16" s="76"/>
      <c r="AT16" s="76"/>
      <c r="AU16" s="76"/>
      <c r="AV16" s="76"/>
    </row>
    <row r="17" spans="1:48" x14ac:dyDescent="0.3">
      <c r="A17" s="9" t="s">
        <v>1160</v>
      </c>
      <c r="B17" s="10" t="s">
        <v>1884</v>
      </c>
      <c r="C17" s="87">
        <v>858</v>
      </c>
      <c r="D17" s="85">
        <v>111.4</v>
      </c>
      <c r="E17" s="86">
        <v>34</v>
      </c>
      <c r="F17" s="85">
        <v>84.9</v>
      </c>
      <c r="G17" s="17">
        <v>26</v>
      </c>
      <c r="H17" s="87">
        <v>484</v>
      </c>
      <c r="I17" s="88">
        <v>43500</v>
      </c>
      <c r="J17" s="88" t="s">
        <v>71</v>
      </c>
      <c r="K17" s="88"/>
      <c r="L17" s="88"/>
      <c r="M17" s="89">
        <f>I17-K17</f>
        <v>43500</v>
      </c>
      <c r="N17" s="4">
        <f>IF(ISERROR(K17/I17),"",K17/I17)</f>
        <v>0</v>
      </c>
      <c r="O17" s="90">
        <f>I17/E17</f>
        <v>1279.4117647058824</v>
      </c>
      <c r="P17" s="90">
        <f>K17/E17</f>
        <v>0</v>
      </c>
      <c r="Q17" s="76">
        <v>3</v>
      </c>
      <c r="R17" s="76">
        <v>2</v>
      </c>
      <c r="S17" s="76" t="s">
        <v>61</v>
      </c>
      <c r="T17" s="5">
        <v>111</v>
      </c>
      <c r="U17" s="9"/>
      <c r="W17" s="85">
        <f t="shared" ref="W17:X20" si="9">D17</f>
        <v>111.4</v>
      </c>
      <c r="X17" s="86">
        <f t="shared" si="9"/>
        <v>34</v>
      </c>
      <c r="Y17" s="91">
        <f t="shared" ref="Y17:Z20" si="10">H17</f>
        <v>484</v>
      </c>
      <c r="Z17" s="89">
        <f t="shared" si="10"/>
        <v>43500</v>
      </c>
      <c r="AA17" s="89">
        <f>K17</f>
        <v>0</v>
      </c>
      <c r="AB17" s="89">
        <f t="shared" ref="AB17:AD20" si="11">M17</f>
        <v>43500</v>
      </c>
      <c r="AC17" s="4">
        <f t="shared" si="11"/>
        <v>0</v>
      </c>
      <c r="AD17" s="90">
        <f t="shared" si="11"/>
        <v>1279.4117647058824</v>
      </c>
      <c r="AE17" s="76" t="str">
        <f>S17</f>
        <v>계</v>
      </c>
      <c r="AF17" s="76" t="str">
        <f>Q17&amp;"/"&amp;R17</f>
        <v>3/2</v>
      </c>
      <c r="AH17" s="20" t="str">
        <f t="shared" si="1"/>
        <v>코오롱하늘채</v>
      </c>
      <c r="AI17" s="86">
        <f t="shared" si="0"/>
        <v>34</v>
      </c>
      <c r="AJ17" s="76" t="str">
        <f>IF(AI17="","",$AJ$2)</f>
        <v>A-</v>
      </c>
      <c r="AK17" s="76" t="s">
        <v>13</v>
      </c>
      <c r="AL17" s="76" t="s">
        <v>62</v>
      </c>
      <c r="AM17" s="76" t="s">
        <v>63</v>
      </c>
      <c r="AN17" s="76" t="str">
        <f>IF(AI17="","",$AN$2)</f>
        <v>C</v>
      </c>
      <c r="AO17" s="76" t="str">
        <f>IF(N17="","",IF(N17&gt;=$AO$1/100,"O","X"))</f>
        <v>X</v>
      </c>
      <c r="AP17" s="76" t="str">
        <f>IF(I17="","",IF(I17&lt;=$AP$1,"O","X"))</f>
        <v>O</v>
      </c>
      <c r="AQ17" s="76" t="str">
        <f>IF(O17="","",IF(O17&lt;=$AQ$1,"O","X"))</f>
        <v>O</v>
      </c>
      <c r="AR17" s="76" t="str">
        <f>IF(M17="","",IF(M17&lt;=$AR$1,"O","X"))</f>
        <v>X</v>
      </c>
      <c r="AS17" s="76" t="s">
        <v>2</v>
      </c>
      <c r="AT17" s="76" t="str">
        <f>IF(OR(F17="",AI17=""),"",IF(AND((F17&lt;=85),(AI17&gt;=15)),"O","X"))</f>
        <v>O</v>
      </c>
      <c r="AU17" s="76" t="str">
        <f>IF(C17="","",IF(C17&gt;=$AU$1,"O","X"))</f>
        <v>O</v>
      </c>
      <c r="AV17" s="76" t="str">
        <f>IF(AO17="","",IF(AND(AO17="O",AP17="O",AR17="O",AT17="O",AU17="O"),"후보","X"))</f>
        <v>X</v>
      </c>
    </row>
    <row r="18" spans="1:48" x14ac:dyDescent="0.3">
      <c r="A18" s="9" t="s">
        <v>1160</v>
      </c>
      <c r="B18" s="10" t="s">
        <v>1884</v>
      </c>
      <c r="C18" s="87">
        <v>858</v>
      </c>
      <c r="D18" s="85">
        <v>151.1</v>
      </c>
      <c r="E18" s="86">
        <v>46</v>
      </c>
      <c r="F18" s="85">
        <v>123.8</v>
      </c>
      <c r="G18" s="17">
        <v>37</v>
      </c>
      <c r="H18" s="87">
        <v>302</v>
      </c>
      <c r="I18" s="88"/>
      <c r="J18" s="88"/>
      <c r="K18" s="88"/>
      <c r="L18" s="88"/>
      <c r="M18" s="89">
        <f>I18-K18</f>
        <v>0</v>
      </c>
      <c r="N18" s="4" t="str">
        <f>IF(ISERROR(K18/I18),"",K18/I18)</f>
        <v/>
      </c>
      <c r="O18" s="90">
        <f>I18/E18</f>
        <v>0</v>
      </c>
      <c r="P18" s="90">
        <f>K18/E18</f>
        <v>0</v>
      </c>
      <c r="Q18" s="76">
        <v>4</v>
      </c>
      <c r="R18" s="76">
        <v>2</v>
      </c>
      <c r="S18" s="76" t="s">
        <v>61</v>
      </c>
      <c r="T18" s="5">
        <v>151</v>
      </c>
      <c r="U18" s="9"/>
      <c r="W18" s="85">
        <f t="shared" si="9"/>
        <v>151.1</v>
      </c>
      <c r="X18" s="86">
        <f t="shared" si="9"/>
        <v>46</v>
      </c>
      <c r="Y18" s="91">
        <f t="shared" si="10"/>
        <v>302</v>
      </c>
      <c r="Z18" s="89">
        <f t="shared" si="10"/>
        <v>0</v>
      </c>
      <c r="AA18" s="89">
        <f>K18</f>
        <v>0</v>
      </c>
      <c r="AB18" s="89">
        <f t="shared" si="11"/>
        <v>0</v>
      </c>
      <c r="AC18" s="4" t="str">
        <f t="shared" si="11"/>
        <v/>
      </c>
      <c r="AD18" s="90">
        <f t="shared" si="11"/>
        <v>0</v>
      </c>
      <c r="AE18" s="76" t="str">
        <f>S18</f>
        <v>계</v>
      </c>
      <c r="AF18" s="76" t="str">
        <f>Q18&amp;"/"&amp;R18</f>
        <v>4/2</v>
      </c>
      <c r="AH18" s="20" t="str">
        <f t="shared" si="1"/>
        <v>코오롱하늘채</v>
      </c>
      <c r="AI18" s="86">
        <f t="shared" si="0"/>
        <v>46</v>
      </c>
      <c r="AJ18" s="76" t="str">
        <f>IF(AI18="","",$AJ$2)</f>
        <v>A-</v>
      </c>
      <c r="AK18" s="76" t="s">
        <v>13</v>
      </c>
      <c r="AL18" s="76" t="s">
        <v>62</v>
      </c>
      <c r="AM18" s="76" t="s">
        <v>63</v>
      </c>
      <c r="AN18" s="76" t="str">
        <f>IF(AI18="","",$AN$2)</f>
        <v>C</v>
      </c>
      <c r="AO18" s="76" t="str">
        <f>IF(N18="","",IF(N18&gt;=$AO$1/100,"O","X"))</f>
        <v/>
      </c>
      <c r="AP18" s="76" t="str">
        <f>IF(I18="","",IF(I18&lt;=$AP$1,"O","X"))</f>
        <v/>
      </c>
      <c r="AQ18" s="76" t="str">
        <f>IF(O18="","",IF(O18&lt;=$AQ$1,"O","X"))</f>
        <v>O</v>
      </c>
      <c r="AR18" s="76" t="str">
        <f>IF(M18="","",IF(M18&lt;=$AR$1,"O","X"))</f>
        <v>O</v>
      </c>
      <c r="AS18" s="76" t="s">
        <v>2</v>
      </c>
      <c r="AT18" s="76" t="str">
        <f>IF(OR(F18="",AI18=""),"",IF(AND((F18&lt;=85),(AI18&gt;=15)),"O","X"))</f>
        <v>X</v>
      </c>
      <c r="AU18" s="76" t="str">
        <f>IF(C18="","",IF(C18&gt;=$AU$1,"O","X"))</f>
        <v>O</v>
      </c>
      <c r="AV18" s="76" t="str">
        <f>IF(AO18="","",IF(AND(AO18="O",AP18="O",AR18="O",AT18="O",AU18="O"),"후보","X"))</f>
        <v/>
      </c>
    </row>
    <row r="19" spans="1:48" x14ac:dyDescent="0.3">
      <c r="A19" s="9" t="s">
        <v>1160</v>
      </c>
      <c r="B19" s="10" t="s">
        <v>1884</v>
      </c>
      <c r="C19" s="87">
        <v>858</v>
      </c>
      <c r="D19" s="85">
        <v>187.9</v>
      </c>
      <c r="E19" s="86">
        <v>57</v>
      </c>
      <c r="F19" s="85">
        <v>157.6</v>
      </c>
      <c r="G19" s="17">
        <v>48</v>
      </c>
      <c r="H19" s="87">
        <v>36</v>
      </c>
      <c r="I19" s="88"/>
      <c r="J19" s="88"/>
      <c r="K19" s="88"/>
      <c r="L19" s="88"/>
      <c r="M19" s="89">
        <f>I19-K19</f>
        <v>0</v>
      </c>
      <c r="N19" s="4" t="str">
        <f>IF(ISERROR(K19/I19),"",K19/I19)</f>
        <v/>
      </c>
      <c r="O19" s="90">
        <f>I19/E19</f>
        <v>0</v>
      </c>
      <c r="P19" s="90">
        <f>K19/E19</f>
        <v>0</v>
      </c>
      <c r="Q19" s="76">
        <v>5</v>
      </c>
      <c r="R19" s="76">
        <v>2</v>
      </c>
      <c r="S19" s="76" t="s">
        <v>61</v>
      </c>
      <c r="T19" s="5" t="s">
        <v>243</v>
      </c>
      <c r="U19" s="9"/>
      <c r="W19" s="85">
        <f t="shared" si="9"/>
        <v>187.9</v>
      </c>
      <c r="X19" s="86">
        <f t="shared" si="9"/>
        <v>57</v>
      </c>
      <c r="Y19" s="91">
        <f t="shared" si="10"/>
        <v>36</v>
      </c>
      <c r="Z19" s="89">
        <f t="shared" si="10"/>
        <v>0</v>
      </c>
      <c r="AA19" s="89">
        <f>K19</f>
        <v>0</v>
      </c>
      <c r="AB19" s="89">
        <f t="shared" si="11"/>
        <v>0</v>
      </c>
      <c r="AC19" s="4" t="str">
        <f t="shared" si="11"/>
        <v/>
      </c>
      <c r="AD19" s="90">
        <f t="shared" si="11"/>
        <v>0</v>
      </c>
      <c r="AE19" s="76" t="str">
        <f>S19</f>
        <v>계</v>
      </c>
      <c r="AF19" s="76" t="str">
        <f>Q19&amp;"/"&amp;R19</f>
        <v>5/2</v>
      </c>
      <c r="AH19" s="20" t="str">
        <f t="shared" si="1"/>
        <v>코오롱하늘채</v>
      </c>
      <c r="AI19" s="86">
        <f t="shared" si="0"/>
        <v>57</v>
      </c>
      <c r="AJ19" s="76" t="str">
        <f>IF(AI19="","",$AJ$2)</f>
        <v>A-</v>
      </c>
      <c r="AK19" s="76" t="s">
        <v>13</v>
      </c>
      <c r="AL19" s="76" t="s">
        <v>62</v>
      </c>
      <c r="AM19" s="76" t="s">
        <v>63</v>
      </c>
      <c r="AN19" s="76" t="str">
        <f>IF(AI19="","",$AN$2)</f>
        <v>C</v>
      </c>
      <c r="AO19" s="76" t="str">
        <f>IF(N19="","",IF(N19&gt;=$AO$1/100,"O","X"))</f>
        <v/>
      </c>
      <c r="AP19" s="76" t="str">
        <f>IF(I19="","",IF(I19&lt;=$AP$1,"O","X"))</f>
        <v/>
      </c>
      <c r="AQ19" s="76" t="str">
        <f>IF(O19="","",IF(O19&lt;=$AQ$1,"O","X"))</f>
        <v>O</v>
      </c>
      <c r="AR19" s="76" t="str">
        <f>IF(M19="","",IF(M19&lt;=$AR$1,"O","X"))</f>
        <v>O</v>
      </c>
      <c r="AS19" s="76" t="s">
        <v>2</v>
      </c>
      <c r="AT19" s="76" t="str">
        <f>IF(OR(F19="",AI19=""),"",IF(AND((F19&lt;=85),(AI19&gt;=15)),"O","X"))</f>
        <v>X</v>
      </c>
      <c r="AU19" s="76" t="str">
        <f>IF(C19="","",IF(C19&gt;=$AU$1,"O","X"))</f>
        <v>O</v>
      </c>
      <c r="AV19" s="76" t="str">
        <f>IF(AO19="","",IF(AND(AO19="O",AP19="O",AR19="O",AT19="O",AU19="O"),"후보","X"))</f>
        <v/>
      </c>
    </row>
    <row r="20" spans="1:48" x14ac:dyDescent="0.3">
      <c r="A20" s="9" t="s">
        <v>1160</v>
      </c>
      <c r="B20" s="10" t="s">
        <v>1884</v>
      </c>
      <c r="C20" s="87">
        <v>858</v>
      </c>
      <c r="D20" s="85">
        <v>188.1</v>
      </c>
      <c r="E20" s="86">
        <v>57</v>
      </c>
      <c r="F20" s="85">
        <v>156.80000000000001</v>
      </c>
      <c r="G20" s="17">
        <v>47</v>
      </c>
      <c r="H20" s="87">
        <v>36</v>
      </c>
      <c r="I20" s="88"/>
      <c r="J20" s="88"/>
      <c r="K20" s="88"/>
      <c r="L20" s="88"/>
      <c r="M20" s="89">
        <f>I20-K20</f>
        <v>0</v>
      </c>
      <c r="N20" s="4" t="str">
        <f>IF(ISERROR(K20/I20),"",K20/I20)</f>
        <v/>
      </c>
      <c r="O20" s="90">
        <f>I20/E20</f>
        <v>0</v>
      </c>
      <c r="P20" s="90">
        <f>K20/E20</f>
        <v>0</v>
      </c>
      <c r="Q20" s="76">
        <v>5</v>
      </c>
      <c r="R20" s="76">
        <v>2</v>
      </c>
      <c r="S20" s="76" t="s">
        <v>61</v>
      </c>
      <c r="T20" s="5" t="s">
        <v>244</v>
      </c>
      <c r="U20" s="9"/>
      <c r="W20" s="85">
        <f t="shared" si="9"/>
        <v>188.1</v>
      </c>
      <c r="X20" s="86">
        <f t="shared" si="9"/>
        <v>57</v>
      </c>
      <c r="Y20" s="91">
        <f t="shared" si="10"/>
        <v>36</v>
      </c>
      <c r="Z20" s="89">
        <f t="shared" si="10"/>
        <v>0</v>
      </c>
      <c r="AA20" s="89">
        <f>K20</f>
        <v>0</v>
      </c>
      <c r="AB20" s="89">
        <f t="shared" si="11"/>
        <v>0</v>
      </c>
      <c r="AC20" s="4" t="str">
        <f t="shared" si="11"/>
        <v/>
      </c>
      <c r="AD20" s="90">
        <f t="shared" si="11"/>
        <v>0</v>
      </c>
      <c r="AE20" s="76" t="str">
        <f>S20</f>
        <v>계</v>
      </c>
      <c r="AF20" s="76" t="str">
        <f>Q20&amp;"/"&amp;R20</f>
        <v>5/2</v>
      </c>
      <c r="AH20" s="20" t="str">
        <f t="shared" si="1"/>
        <v>코오롱하늘채</v>
      </c>
      <c r="AI20" s="86">
        <f t="shared" si="0"/>
        <v>57</v>
      </c>
      <c r="AJ20" s="76" t="str">
        <f>IF(AI20="","",$AJ$2)</f>
        <v>A-</v>
      </c>
      <c r="AK20" s="76" t="s">
        <v>13</v>
      </c>
      <c r="AL20" s="76" t="s">
        <v>62</v>
      </c>
      <c r="AM20" s="76" t="s">
        <v>63</v>
      </c>
      <c r="AN20" s="76" t="str">
        <f>IF(AI20="","",$AN$2)</f>
        <v>C</v>
      </c>
      <c r="AO20" s="76" t="str">
        <f>IF(N20="","",IF(N20&gt;=$AO$1/100,"O","X"))</f>
        <v/>
      </c>
      <c r="AP20" s="76" t="str">
        <f>IF(I20="","",IF(I20&lt;=$AP$1,"O","X"))</f>
        <v/>
      </c>
      <c r="AQ20" s="76" t="str">
        <f>IF(O20="","",IF(O20&lt;=$AQ$1,"O","X"))</f>
        <v>O</v>
      </c>
      <c r="AR20" s="76" t="str">
        <f>IF(M20="","",IF(M20&lt;=$AR$1,"O","X"))</f>
        <v>O</v>
      </c>
      <c r="AS20" s="76" t="s">
        <v>2</v>
      </c>
      <c r="AT20" s="76" t="str">
        <f>IF(OR(F20="",AI20=""),"",IF(AND((F20&lt;=85),(AI20&gt;=15)),"O","X"))</f>
        <v>X</v>
      </c>
      <c r="AU20" s="76" t="str">
        <f>IF(C20="","",IF(C20&gt;=$AU$1,"O","X"))</f>
        <v>O</v>
      </c>
      <c r="AV20" s="76" t="str">
        <f>IF(AO20="","",IF(AND(AO20="O",AP20="O",AR20="O",AT20="O",AU20="O"),"후보","X"))</f>
        <v/>
      </c>
    </row>
    <row r="21" spans="1:48" x14ac:dyDescent="0.3">
      <c r="A21" s="9"/>
      <c r="B21" s="76"/>
      <c r="C21" s="6"/>
      <c r="D21" s="9"/>
      <c r="E21" s="14"/>
      <c r="F21" s="85"/>
      <c r="G21" s="9"/>
      <c r="H21" s="9"/>
      <c r="I21" s="9"/>
      <c r="J21" s="9"/>
      <c r="K21" s="9"/>
      <c r="L21" s="9"/>
      <c r="M21" s="9"/>
      <c r="N21" s="9"/>
      <c r="O21" s="90"/>
      <c r="P21" s="90"/>
      <c r="Q21" s="86"/>
      <c r="R21" s="86"/>
      <c r="S21" s="9"/>
      <c r="T21" s="47"/>
      <c r="U21" s="9"/>
      <c r="W21" s="67" t="str">
        <f>$A$4&amp;" "&amp;A22&amp;"("&amp;B22&amp;","&amp;C22&amp;"^)"</f>
        <v>중화산동2가 현대에코르('03.10.,992^)</v>
      </c>
      <c r="X21" s="68"/>
      <c r="Y21" s="68"/>
      <c r="Z21" s="68"/>
      <c r="AA21" s="68"/>
      <c r="AB21" s="68"/>
      <c r="AC21" s="68"/>
      <c r="AD21" s="68"/>
      <c r="AE21" s="68"/>
      <c r="AF21" s="69"/>
      <c r="AH21" s="20" t="str">
        <f t="shared" si="1"/>
        <v/>
      </c>
      <c r="AI21" s="108" t="str">
        <f t="shared" si="0"/>
        <v/>
      </c>
      <c r="AJ21" s="76"/>
      <c r="AK21" s="76"/>
      <c r="AL21" s="76"/>
      <c r="AM21" s="76"/>
      <c r="AN21" s="76"/>
      <c r="AO21" s="76"/>
      <c r="AP21" s="76"/>
      <c r="AQ21" s="76"/>
      <c r="AR21" s="76"/>
      <c r="AS21" s="76"/>
      <c r="AT21" s="76"/>
      <c r="AU21" s="76"/>
      <c r="AV21" s="76"/>
    </row>
    <row r="22" spans="1:48" x14ac:dyDescent="0.3">
      <c r="A22" s="9" t="s">
        <v>1165</v>
      </c>
      <c r="B22" s="10" t="s">
        <v>1885</v>
      </c>
      <c r="C22" s="87">
        <v>992</v>
      </c>
      <c r="D22" s="85">
        <v>112.6</v>
      </c>
      <c r="E22" s="86">
        <v>34</v>
      </c>
      <c r="F22" s="85">
        <v>84.8</v>
      </c>
      <c r="G22" s="17">
        <v>26</v>
      </c>
      <c r="H22" s="87">
        <v>387</v>
      </c>
      <c r="I22" s="88">
        <v>37000</v>
      </c>
      <c r="J22" s="88" t="s">
        <v>89</v>
      </c>
      <c r="K22" s="88">
        <v>34000</v>
      </c>
      <c r="L22" s="88" t="s">
        <v>89</v>
      </c>
      <c r="M22" s="89">
        <f>I22-K22</f>
        <v>3000</v>
      </c>
      <c r="N22" s="4">
        <f>IF(ISERROR(K22/I22),"",K22/I22)</f>
        <v>0.91891891891891897</v>
      </c>
      <c r="O22" s="90">
        <f>I22/E22</f>
        <v>1088.2352941176471</v>
      </c>
      <c r="P22" s="90">
        <f>K22/E22</f>
        <v>1000</v>
      </c>
      <c r="Q22" s="76">
        <v>3</v>
      </c>
      <c r="R22" s="76">
        <v>2</v>
      </c>
      <c r="S22" s="76" t="s">
        <v>61</v>
      </c>
      <c r="T22" s="5" t="s">
        <v>247</v>
      </c>
      <c r="U22" s="9"/>
      <c r="W22" s="85">
        <f t="shared" ref="W22:X26" si="12">D22</f>
        <v>112.6</v>
      </c>
      <c r="X22" s="86">
        <f t="shared" si="12"/>
        <v>34</v>
      </c>
      <c r="Y22" s="91">
        <f t="shared" ref="Y22:Z26" si="13">H22</f>
        <v>387</v>
      </c>
      <c r="Z22" s="89">
        <f t="shared" si="13"/>
        <v>37000</v>
      </c>
      <c r="AA22" s="89">
        <f>K22</f>
        <v>34000</v>
      </c>
      <c r="AB22" s="89">
        <f t="shared" ref="AB22:AD26" si="14">M22</f>
        <v>3000</v>
      </c>
      <c r="AC22" s="4">
        <f t="shared" si="14"/>
        <v>0.91891891891891897</v>
      </c>
      <c r="AD22" s="90">
        <f t="shared" si="14"/>
        <v>1088.2352941176471</v>
      </c>
      <c r="AE22" s="76" t="str">
        <f>S22</f>
        <v>계</v>
      </c>
      <c r="AF22" s="76" t="str">
        <f>Q22&amp;"/"&amp;R22</f>
        <v>3/2</v>
      </c>
      <c r="AH22" s="20" t="str">
        <f t="shared" si="1"/>
        <v>현대에코르</v>
      </c>
      <c r="AI22" s="86">
        <f t="shared" si="0"/>
        <v>34</v>
      </c>
      <c r="AJ22" s="76" t="str">
        <f>IF(AI22="","",$AJ$2)</f>
        <v>A-</v>
      </c>
      <c r="AK22" s="76" t="s">
        <v>13</v>
      </c>
      <c r="AL22" s="76" t="s">
        <v>62</v>
      </c>
      <c r="AM22" s="76" t="s">
        <v>63</v>
      </c>
      <c r="AN22" s="76" t="str">
        <f>IF(AI22="","",$AN$2)</f>
        <v>C</v>
      </c>
      <c r="AO22" s="76" t="str">
        <f>IF(N22="","",IF(N22&gt;=$AO$1/100,"O","X"))</f>
        <v>O</v>
      </c>
      <c r="AP22" s="76" t="str">
        <f>IF(I22="","",IF(I22&lt;=$AP$1,"O","X"))</f>
        <v>O</v>
      </c>
      <c r="AQ22" s="76" t="str">
        <f>IF(O22="","",IF(O22&lt;=$AQ$1,"O","X"))</f>
        <v>O</v>
      </c>
      <c r="AR22" s="76" t="str">
        <f>IF(M22="","",IF(M22&lt;=$AR$1,"O","X"))</f>
        <v>O</v>
      </c>
      <c r="AS22" s="76" t="s">
        <v>2</v>
      </c>
      <c r="AT22" s="76" t="str">
        <f>IF(OR(F22="",AI22=""),"",IF(AND((F22&lt;=85),(AI22&gt;=15)),"O","X"))</f>
        <v>O</v>
      </c>
      <c r="AU22" s="76" t="str">
        <f>IF(C22="","",IF(C22&gt;=$AU$1,"O","X"))</f>
        <v>O</v>
      </c>
      <c r="AV22" s="76" t="str">
        <f>IF(AO22="","",IF(AND(AO22="O",AP22="O",AR22="O",AT22="O",AU22="O"),"후보","X"))</f>
        <v>후보</v>
      </c>
    </row>
    <row r="23" spans="1:48" x14ac:dyDescent="0.3">
      <c r="A23" s="9" t="s">
        <v>1165</v>
      </c>
      <c r="B23" s="10" t="s">
        <v>1885</v>
      </c>
      <c r="C23" s="87">
        <v>992</v>
      </c>
      <c r="D23" s="85">
        <v>112.7</v>
      </c>
      <c r="E23" s="86">
        <v>34</v>
      </c>
      <c r="F23" s="85">
        <v>84.8</v>
      </c>
      <c r="G23" s="17">
        <v>26</v>
      </c>
      <c r="H23" s="87">
        <v>211</v>
      </c>
      <c r="I23" s="88">
        <v>37000</v>
      </c>
      <c r="J23" s="88" t="s">
        <v>248</v>
      </c>
      <c r="K23" s="88">
        <v>37000</v>
      </c>
      <c r="L23" s="88" t="s">
        <v>90</v>
      </c>
      <c r="M23" s="89">
        <f>I23-K23</f>
        <v>0</v>
      </c>
      <c r="N23" s="4">
        <f>IF(ISERROR(K23/I23),"",K23/I23)</f>
        <v>1</v>
      </c>
      <c r="O23" s="90">
        <f>I23/E23</f>
        <v>1088.2352941176471</v>
      </c>
      <c r="P23" s="90">
        <f>K23/E23</f>
        <v>1088.2352941176471</v>
      </c>
      <c r="Q23" s="76">
        <v>3</v>
      </c>
      <c r="R23" s="76">
        <v>2</v>
      </c>
      <c r="S23" s="76" t="s">
        <v>61</v>
      </c>
      <c r="T23" s="5" t="s">
        <v>249</v>
      </c>
      <c r="U23" s="9"/>
      <c r="W23" s="85">
        <f t="shared" si="12"/>
        <v>112.7</v>
      </c>
      <c r="X23" s="86">
        <f t="shared" si="12"/>
        <v>34</v>
      </c>
      <c r="Y23" s="91">
        <f t="shared" si="13"/>
        <v>211</v>
      </c>
      <c r="Z23" s="89">
        <f t="shared" si="13"/>
        <v>37000</v>
      </c>
      <c r="AA23" s="89">
        <f>K23</f>
        <v>37000</v>
      </c>
      <c r="AB23" s="89">
        <f t="shared" si="14"/>
        <v>0</v>
      </c>
      <c r="AC23" s="4">
        <f t="shared" si="14"/>
        <v>1</v>
      </c>
      <c r="AD23" s="90">
        <f t="shared" si="14"/>
        <v>1088.2352941176471</v>
      </c>
      <c r="AE23" s="76" t="str">
        <f>S23</f>
        <v>계</v>
      </c>
      <c r="AF23" s="76" t="str">
        <f>Q23&amp;"/"&amp;R23</f>
        <v>3/2</v>
      </c>
      <c r="AH23" s="20" t="str">
        <f t="shared" si="1"/>
        <v>현대에코르</v>
      </c>
      <c r="AI23" s="86">
        <f t="shared" si="0"/>
        <v>34</v>
      </c>
      <c r="AJ23" s="76" t="str">
        <f>IF(AI23="","",$AJ$2)</f>
        <v>A-</v>
      </c>
      <c r="AK23" s="76" t="s">
        <v>13</v>
      </c>
      <c r="AL23" s="76" t="s">
        <v>62</v>
      </c>
      <c r="AM23" s="76" t="s">
        <v>63</v>
      </c>
      <c r="AN23" s="76" t="str">
        <f>IF(AI23="","",$AN$2)</f>
        <v>C</v>
      </c>
      <c r="AO23" s="76" t="str">
        <f>IF(N23="","",IF(N23&gt;=$AO$1/100,"O","X"))</f>
        <v>O</v>
      </c>
      <c r="AP23" s="76" t="str">
        <f>IF(I23="","",IF(I23&lt;=$AP$1,"O","X"))</f>
        <v>O</v>
      </c>
      <c r="AQ23" s="76" t="str">
        <f>IF(O23="","",IF(O23&lt;=$AQ$1,"O","X"))</f>
        <v>O</v>
      </c>
      <c r="AR23" s="76" t="str">
        <f>IF(M23="","",IF(M23&lt;=$AR$1,"O","X"))</f>
        <v>O</v>
      </c>
      <c r="AS23" s="76" t="s">
        <v>2</v>
      </c>
      <c r="AT23" s="76" t="str">
        <f>IF(OR(F23="",AI23=""),"",IF(AND((F23&lt;=85),(AI23&gt;=15)),"O","X"))</f>
        <v>O</v>
      </c>
      <c r="AU23" s="76" t="str">
        <f>IF(C23="","",IF(C23&gt;=$AU$1,"O","X"))</f>
        <v>O</v>
      </c>
      <c r="AV23" s="76" t="str">
        <f>IF(AO23="","",IF(AND(AO23="O",AP23="O",AR23="O",AT23="O",AU23="O"),"후보","X"))</f>
        <v>후보</v>
      </c>
    </row>
    <row r="24" spans="1:48" x14ac:dyDescent="0.3">
      <c r="A24" s="9" t="s">
        <v>1165</v>
      </c>
      <c r="B24" s="10" t="s">
        <v>1885</v>
      </c>
      <c r="C24" s="87">
        <v>992</v>
      </c>
      <c r="D24" s="85">
        <v>129.6</v>
      </c>
      <c r="E24" s="86">
        <v>39</v>
      </c>
      <c r="F24" s="85">
        <v>101.8</v>
      </c>
      <c r="G24" s="17">
        <v>31</v>
      </c>
      <c r="H24" s="87">
        <v>223</v>
      </c>
      <c r="I24" s="88">
        <v>46000</v>
      </c>
      <c r="J24" s="88" t="s">
        <v>83</v>
      </c>
      <c r="K24" s="88"/>
      <c r="L24" s="88"/>
      <c r="M24" s="89">
        <f>I24-K24</f>
        <v>46000</v>
      </c>
      <c r="N24" s="4">
        <f>IF(ISERROR(K24/I24),"",K24/I24)</f>
        <v>0</v>
      </c>
      <c r="O24" s="90">
        <f>I24/E24</f>
        <v>1179.4871794871794</v>
      </c>
      <c r="P24" s="90">
        <f>K24/E24</f>
        <v>0</v>
      </c>
      <c r="Q24" s="76">
        <v>3</v>
      </c>
      <c r="R24" s="76">
        <v>2</v>
      </c>
      <c r="S24" s="76" t="s">
        <v>61</v>
      </c>
      <c r="T24" s="5" t="s">
        <v>250</v>
      </c>
      <c r="U24" s="9"/>
      <c r="W24" s="85">
        <f t="shared" si="12"/>
        <v>129.6</v>
      </c>
      <c r="X24" s="86">
        <f t="shared" si="12"/>
        <v>39</v>
      </c>
      <c r="Y24" s="91">
        <f t="shared" si="13"/>
        <v>223</v>
      </c>
      <c r="Z24" s="89">
        <f t="shared" si="13"/>
        <v>46000</v>
      </c>
      <c r="AA24" s="89">
        <f>K24</f>
        <v>0</v>
      </c>
      <c r="AB24" s="89">
        <f t="shared" si="14"/>
        <v>46000</v>
      </c>
      <c r="AC24" s="4">
        <f t="shared" si="14"/>
        <v>0</v>
      </c>
      <c r="AD24" s="90">
        <f t="shared" si="14"/>
        <v>1179.4871794871794</v>
      </c>
      <c r="AE24" s="76" t="str">
        <f>S24</f>
        <v>계</v>
      </c>
      <c r="AF24" s="76" t="str">
        <f>Q24&amp;"/"&amp;R24</f>
        <v>3/2</v>
      </c>
      <c r="AH24" s="20" t="str">
        <f t="shared" si="1"/>
        <v>현대에코르</v>
      </c>
      <c r="AI24" s="86">
        <f t="shared" si="0"/>
        <v>39</v>
      </c>
      <c r="AJ24" s="76" t="str">
        <f>IF(AI24="","",$AJ$2)</f>
        <v>A-</v>
      </c>
      <c r="AK24" s="76" t="s">
        <v>13</v>
      </c>
      <c r="AL24" s="76" t="s">
        <v>62</v>
      </c>
      <c r="AM24" s="76" t="s">
        <v>63</v>
      </c>
      <c r="AN24" s="76" t="str">
        <f>IF(AI24="","",$AN$2)</f>
        <v>C</v>
      </c>
      <c r="AO24" s="76" t="str">
        <f>IF(N24="","",IF(N24&gt;=$AO$1/100,"O","X"))</f>
        <v>X</v>
      </c>
      <c r="AP24" s="76" t="str">
        <f>IF(I24="","",IF(I24&lt;=$AP$1,"O","X"))</f>
        <v>O</v>
      </c>
      <c r="AQ24" s="76" t="str">
        <f>IF(O24="","",IF(O24&lt;=$AQ$1,"O","X"))</f>
        <v>O</v>
      </c>
      <c r="AR24" s="76" t="str">
        <f>IF(M24="","",IF(M24&lt;=$AR$1,"O","X"))</f>
        <v>X</v>
      </c>
      <c r="AS24" s="76" t="s">
        <v>2</v>
      </c>
      <c r="AT24" s="76" t="str">
        <f>IF(OR(F24="",AI24=""),"",IF(AND((F24&lt;=85),(AI24&gt;=15)),"O","X"))</f>
        <v>X</v>
      </c>
      <c r="AU24" s="76" t="str">
        <f>IF(C24="","",IF(C24&gt;=$AU$1,"O","X"))</f>
        <v>O</v>
      </c>
      <c r="AV24" s="76" t="str">
        <f>IF(AO24="","",IF(AND(AO24="O",AP24="O",AR24="O",AT24="O",AU24="O"),"후보","X"))</f>
        <v>X</v>
      </c>
    </row>
    <row r="25" spans="1:48" x14ac:dyDescent="0.3">
      <c r="A25" s="9" t="s">
        <v>1165</v>
      </c>
      <c r="B25" s="10" t="s">
        <v>1885</v>
      </c>
      <c r="C25" s="87">
        <v>992</v>
      </c>
      <c r="D25" s="85">
        <v>129.6</v>
      </c>
      <c r="E25" s="86">
        <v>39</v>
      </c>
      <c r="F25" s="85">
        <v>101.7</v>
      </c>
      <c r="G25" s="17">
        <v>31</v>
      </c>
      <c r="H25" s="87">
        <v>80</v>
      </c>
      <c r="I25" s="88"/>
      <c r="J25" s="88"/>
      <c r="K25" s="88"/>
      <c r="L25" s="88"/>
      <c r="M25" s="89">
        <f>I25-K25</f>
        <v>0</v>
      </c>
      <c r="N25" s="4" t="str">
        <f>IF(ISERROR(K25/I25),"",K25/I25)</f>
        <v/>
      </c>
      <c r="O25" s="90">
        <f>I25/E25</f>
        <v>0</v>
      </c>
      <c r="P25" s="90">
        <f>K25/E25</f>
        <v>0</v>
      </c>
      <c r="Q25" s="76">
        <v>4</v>
      </c>
      <c r="R25" s="76">
        <v>2</v>
      </c>
      <c r="S25" s="76" t="s">
        <v>61</v>
      </c>
      <c r="T25" s="5" t="s">
        <v>251</v>
      </c>
      <c r="U25" s="9"/>
      <c r="W25" s="85">
        <f t="shared" si="12"/>
        <v>129.6</v>
      </c>
      <c r="X25" s="86">
        <f t="shared" si="12"/>
        <v>39</v>
      </c>
      <c r="Y25" s="91">
        <f t="shared" si="13"/>
        <v>80</v>
      </c>
      <c r="Z25" s="89">
        <f t="shared" si="13"/>
        <v>0</v>
      </c>
      <c r="AA25" s="89">
        <f>K25</f>
        <v>0</v>
      </c>
      <c r="AB25" s="89">
        <f t="shared" si="14"/>
        <v>0</v>
      </c>
      <c r="AC25" s="4" t="str">
        <f t="shared" si="14"/>
        <v/>
      </c>
      <c r="AD25" s="90">
        <f t="shared" si="14"/>
        <v>0</v>
      </c>
      <c r="AE25" s="76" t="str">
        <f>S25</f>
        <v>계</v>
      </c>
      <c r="AF25" s="76" t="str">
        <f>Q25&amp;"/"&amp;R25</f>
        <v>4/2</v>
      </c>
      <c r="AH25" s="20" t="str">
        <f t="shared" si="1"/>
        <v>현대에코르</v>
      </c>
      <c r="AI25" s="86">
        <f t="shared" si="0"/>
        <v>39</v>
      </c>
      <c r="AJ25" s="76" t="str">
        <f>IF(AI25="","",$AJ$2)</f>
        <v>A-</v>
      </c>
      <c r="AK25" s="76" t="s">
        <v>13</v>
      </c>
      <c r="AL25" s="76" t="s">
        <v>62</v>
      </c>
      <c r="AM25" s="76" t="s">
        <v>63</v>
      </c>
      <c r="AN25" s="76" t="str">
        <f>IF(AI25="","",$AN$2)</f>
        <v>C</v>
      </c>
      <c r="AO25" s="76" t="str">
        <f>IF(N25="","",IF(N25&gt;=$AO$1/100,"O","X"))</f>
        <v/>
      </c>
      <c r="AP25" s="76" t="str">
        <f>IF(I25="","",IF(I25&lt;=$AP$1,"O","X"))</f>
        <v/>
      </c>
      <c r="AQ25" s="76" t="str">
        <f>IF(O25="","",IF(O25&lt;=$AQ$1,"O","X"))</f>
        <v>O</v>
      </c>
      <c r="AR25" s="76" t="str">
        <f>IF(M25="","",IF(M25&lt;=$AR$1,"O","X"))</f>
        <v>O</v>
      </c>
      <c r="AS25" s="76" t="s">
        <v>2</v>
      </c>
      <c r="AT25" s="76" t="str">
        <f>IF(OR(F25="",AI25=""),"",IF(AND((F25&lt;=85),(AI25&gt;=15)),"O","X"))</f>
        <v>X</v>
      </c>
      <c r="AU25" s="76" t="str">
        <f>IF(C25="","",IF(C25&gt;=$AU$1,"O","X"))</f>
        <v>O</v>
      </c>
      <c r="AV25" s="76" t="str">
        <f>IF(AO25="","",IF(AND(AO25="O",AP25="O",AR25="O",AT25="O",AU25="O"),"후보","X"))</f>
        <v/>
      </c>
    </row>
    <row r="26" spans="1:48" x14ac:dyDescent="0.3">
      <c r="A26" s="9" t="s">
        <v>1165</v>
      </c>
      <c r="B26" s="10" t="s">
        <v>1885</v>
      </c>
      <c r="C26" s="87">
        <v>992</v>
      </c>
      <c r="D26" s="85">
        <v>167.3</v>
      </c>
      <c r="E26" s="86">
        <v>51</v>
      </c>
      <c r="F26" s="85">
        <v>134.1</v>
      </c>
      <c r="G26" s="17">
        <v>41</v>
      </c>
      <c r="H26" s="87">
        <v>91</v>
      </c>
      <c r="I26" s="88">
        <v>65000</v>
      </c>
      <c r="J26" s="88" t="s">
        <v>71</v>
      </c>
      <c r="K26" s="88"/>
      <c r="L26" s="88"/>
      <c r="M26" s="89">
        <f>I26-K26</f>
        <v>65000</v>
      </c>
      <c r="N26" s="4">
        <f>IF(ISERROR(K26/I26),"",K26/I26)</f>
        <v>0</v>
      </c>
      <c r="O26" s="90">
        <f>I26/E26</f>
        <v>1274.5098039215686</v>
      </c>
      <c r="P26" s="90">
        <f>K26/E26</f>
        <v>0</v>
      </c>
      <c r="Q26" s="76">
        <v>4</v>
      </c>
      <c r="R26" s="76">
        <v>2</v>
      </c>
      <c r="S26" s="76" t="s">
        <v>61</v>
      </c>
      <c r="T26" s="5">
        <v>167</v>
      </c>
      <c r="U26" s="9"/>
      <c r="W26" s="85">
        <f t="shared" si="12"/>
        <v>167.3</v>
      </c>
      <c r="X26" s="86">
        <f t="shared" si="12"/>
        <v>51</v>
      </c>
      <c r="Y26" s="91">
        <f t="shared" si="13"/>
        <v>91</v>
      </c>
      <c r="Z26" s="89">
        <f t="shared" si="13"/>
        <v>65000</v>
      </c>
      <c r="AA26" s="89">
        <f>K26</f>
        <v>0</v>
      </c>
      <c r="AB26" s="89">
        <f t="shared" si="14"/>
        <v>65000</v>
      </c>
      <c r="AC26" s="4">
        <f t="shared" si="14"/>
        <v>0</v>
      </c>
      <c r="AD26" s="90">
        <f t="shared" si="14"/>
        <v>1274.5098039215686</v>
      </c>
      <c r="AE26" s="76" t="str">
        <f>S26</f>
        <v>계</v>
      </c>
      <c r="AF26" s="76" t="str">
        <f>Q26&amp;"/"&amp;R26</f>
        <v>4/2</v>
      </c>
      <c r="AH26" s="20" t="str">
        <f t="shared" si="1"/>
        <v>현대에코르</v>
      </c>
      <c r="AI26" s="86">
        <f t="shared" si="0"/>
        <v>51</v>
      </c>
      <c r="AJ26" s="76" t="str">
        <f>IF(AI26="","",$AJ$2)</f>
        <v>A-</v>
      </c>
      <c r="AK26" s="76" t="s">
        <v>13</v>
      </c>
      <c r="AL26" s="76" t="s">
        <v>62</v>
      </c>
      <c r="AM26" s="76" t="s">
        <v>63</v>
      </c>
      <c r="AN26" s="76" t="str">
        <f>IF(AI26="","",$AN$2)</f>
        <v>C</v>
      </c>
      <c r="AO26" s="76" t="str">
        <f>IF(N26="","",IF(N26&gt;=$AO$1/100,"O","X"))</f>
        <v>X</v>
      </c>
      <c r="AP26" s="76" t="str">
        <f>IF(I26="","",IF(I26&lt;=$AP$1,"O","X"))</f>
        <v>X</v>
      </c>
      <c r="AQ26" s="76" t="str">
        <f>IF(O26="","",IF(O26&lt;=$AQ$1,"O","X"))</f>
        <v>O</v>
      </c>
      <c r="AR26" s="76" t="str">
        <f>IF(M26="","",IF(M26&lt;=$AR$1,"O","X"))</f>
        <v>X</v>
      </c>
      <c r="AS26" s="76" t="s">
        <v>2</v>
      </c>
      <c r="AT26" s="76" t="str">
        <f>IF(OR(F26="",AI26=""),"",IF(AND((F26&lt;=85),(AI26&gt;=15)),"O","X"))</f>
        <v>X</v>
      </c>
      <c r="AU26" s="76" t="str">
        <f>IF(C26="","",IF(C26&gt;=$AU$1,"O","X"))</f>
        <v>O</v>
      </c>
      <c r="AV26" s="76" t="str">
        <f>IF(AO26="","",IF(AND(AO26="O",AP26="O",AR26="O",AT26="O",AU26="O"),"후보","X"))</f>
        <v>X</v>
      </c>
    </row>
    <row r="27" spans="1:48" x14ac:dyDescent="0.3">
      <c r="A27" s="9"/>
      <c r="B27" s="76"/>
      <c r="C27" s="6"/>
      <c r="D27" s="9"/>
      <c r="E27" s="14"/>
      <c r="F27" s="85"/>
      <c r="G27" s="9"/>
      <c r="H27" s="9"/>
      <c r="I27" s="9"/>
      <c r="J27" s="9"/>
      <c r="K27" s="9"/>
      <c r="L27" s="9"/>
      <c r="M27" s="9"/>
      <c r="N27" s="9"/>
      <c r="O27" s="90"/>
      <c r="P27" s="90"/>
      <c r="Q27" s="86"/>
      <c r="R27" s="86"/>
      <c r="S27" s="9"/>
      <c r="T27" s="47"/>
      <c r="U27" s="9"/>
      <c r="W27" s="67" t="str">
        <f>$A$4&amp;" "&amp;A28&amp;"("&amp;B28&amp;","&amp;C28&amp;"^)"</f>
        <v>중화산동2가 거성그린맨션('92.06.,263^)</v>
      </c>
      <c r="X27" s="68"/>
      <c r="Y27" s="68"/>
      <c r="Z27" s="68"/>
      <c r="AA27" s="68"/>
      <c r="AB27" s="68"/>
      <c r="AC27" s="68"/>
      <c r="AD27" s="68"/>
      <c r="AE27" s="68"/>
      <c r="AF27" s="69"/>
      <c r="AH27" s="20" t="str">
        <f t="shared" si="1"/>
        <v/>
      </c>
      <c r="AI27" s="108" t="str">
        <f t="shared" si="0"/>
        <v/>
      </c>
      <c r="AJ27" s="76"/>
      <c r="AK27" s="76"/>
      <c r="AL27" s="76"/>
      <c r="AM27" s="76"/>
      <c r="AN27" s="76"/>
      <c r="AO27" s="76"/>
      <c r="AP27" s="76"/>
      <c r="AQ27" s="76"/>
      <c r="AR27" s="76"/>
      <c r="AS27" s="76"/>
      <c r="AT27" s="76"/>
      <c r="AU27" s="76"/>
      <c r="AV27" s="76"/>
    </row>
    <row r="28" spans="1:48" x14ac:dyDescent="0.3">
      <c r="A28" s="9" t="s">
        <v>1175</v>
      </c>
      <c r="B28" s="10" t="s">
        <v>1886</v>
      </c>
      <c r="C28" s="87">
        <v>263</v>
      </c>
      <c r="D28" s="85">
        <v>141.6</v>
      </c>
      <c r="E28" s="86">
        <v>43</v>
      </c>
      <c r="F28" s="85">
        <v>121.5</v>
      </c>
      <c r="G28" s="17">
        <v>37</v>
      </c>
      <c r="H28" s="87">
        <v>65</v>
      </c>
      <c r="I28" s="88"/>
      <c r="J28" s="88"/>
      <c r="K28" s="88"/>
      <c r="L28" s="88"/>
      <c r="M28" s="89">
        <f t="shared" ref="M28:M39" si="15">I28-K28</f>
        <v>0</v>
      </c>
      <c r="N28" s="4" t="str">
        <f t="shared" ref="N28:N39" si="16">IF(ISERROR(K28/I28),"",K28/I28)</f>
        <v/>
      </c>
      <c r="O28" s="90">
        <f t="shared" ref="O28:O39" si="17">I28/E28</f>
        <v>0</v>
      </c>
      <c r="P28" s="90">
        <f t="shared" ref="P28:P39" si="18">K28/E28</f>
        <v>0</v>
      </c>
      <c r="Q28" s="76">
        <v>4</v>
      </c>
      <c r="R28" s="76">
        <v>2</v>
      </c>
      <c r="S28" s="76" t="s">
        <v>61</v>
      </c>
      <c r="T28" s="5">
        <v>141</v>
      </c>
      <c r="U28" s="9"/>
      <c r="W28" s="85">
        <f t="shared" ref="W28:W39" si="19">D28</f>
        <v>141.6</v>
      </c>
      <c r="X28" s="86">
        <f t="shared" ref="X28:X39" si="20">E28</f>
        <v>43</v>
      </c>
      <c r="Y28" s="91">
        <f t="shared" ref="Y28:Y39" si="21">H28</f>
        <v>65</v>
      </c>
      <c r="Z28" s="89">
        <f t="shared" ref="Z28:Z39" si="22">I28</f>
        <v>0</v>
      </c>
      <c r="AA28" s="89">
        <f t="shared" ref="AA28:AA39" si="23">K28</f>
        <v>0</v>
      </c>
      <c r="AB28" s="89">
        <f t="shared" ref="AB28:AB39" si="24">M28</f>
        <v>0</v>
      </c>
      <c r="AC28" s="4" t="str">
        <f t="shared" ref="AC28:AC39" si="25">N28</f>
        <v/>
      </c>
      <c r="AD28" s="90">
        <f t="shared" ref="AD28:AD39" si="26">O28</f>
        <v>0</v>
      </c>
      <c r="AE28" s="76" t="str">
        <f t="shared" ref="AE28:AE39" si="27">S28</f>
        <v>계</v>
      </c>
      <c r="AF28" s="76" t="str">
        <f t="shared" ref="AF28:AF39" si="28">Q28&amp;"/"&amp;R28</f>
        <v>4/2</v>
      </c>
      <c r="AH28" s="20" t="str">
        <f t="shared" si="1"/>
        <v>거성그린맨션</v>
      </c>
      <c r="AI28" s="86">
        <f t="shared" si="0"/>
        <v>43</v>
      </c>
      <c r="AJ28" s="76" t="str">
        <f t="shared" ref="AJ28:AJ39" si="29">IF(AI28="","",$AJ$2)</f>
        <v>A-</v>
      </c>
      <c r="AK28" s="76" t="s">
        <v>13</v>
      </c>
      <c r="AL28" s="76" t="s">
        <v>62</v>
      </c>
      <c r="AM28" s="76" t="s">
        <v>63</v>
      </c>
      <c r="AN28" s="76" t="str">
        <f t="shared" ref="AN28:AN39" si="30">IF(AI28="","",$AN$2)</f>
        <v>C</v>
      </c>
      <c r="AO28" s="76" t="str">
        <f t="shared" ref="AO28:AO39" si="31">IF(N28="","",IF(N28&gt;=$AO$1/100,"O","X"))</f>
        <v/>
      </c>
      <c r="AP28" s="76" t="str">
        <f t="shared" ref="AP28:AP39" si="32">IF(I28="","",IF(I28&lt;=$AP$1,"O","X"))</f>
        <v/>
      </c>
      <c r="AQ28" s="76" t="str">
        <f t="shared" ref="AQ28:AQ39" si="33">IF(O28="","",IF(O28&lt;=$AQ$1,"O","X"))</f>
        <v>O</v>
      </c>
      <c r="AR28" s="76" t="str">
        <f t="shared" ref="AR28:AR39" si="34">IF(M28="","",IF(M28&lt;=$AR$1,"O","X"))</f>
        <v>O</v>
      </c>
      <c r="AS28" s="76" t="s">
        <v>2</v>
      </c>
      <c r="AT28" s="76" t="str">
        <f t="shared" ref="AT28:AT39" si="35">IF(OR(F28="",AI28=""),"",IF(AND((F28&lt;=85),(AI28&gt;=15)),"O","X"))</f>
        <v>X</v>
      </c>
      <c r="AU28" s="76" t="str">
        <f t="shared" ref="AU28:AU39" si="36">IF(C28="","",IF(C28&gt;=$AU$1,"O","X"))</f>
        <v>X</v>
      </c>
      <c r="AV28" s="76" t="str">
        <f t="shared" ref="AV28:AV39" si="37">IF(AO28="","",IF(AND(AO28="O",AP28="O",AR28="O",AT28="O",AU28="O"),"후보","X"))</f>
        <v/>
      </c>
    </row>
    <row r="29" spans="1:48" x14ac:dyDescent="0.3">
      <c r="A29" s="9" t="s">
        <v>1175</v>
      </c>
      <c r="B29" s="10" t="s">
        <v>1886</v>
      </c>
      <c r="C29" s="87">
        <v>263</v>
      </c>
      <c r="D29" s="85">
        <v>154.5</v>
      </c>
      <c r="E29" s="86">
        <v>47</v>
      </c>
      <c r="F29" s="85">
        <v>133.1</v>
      </c>
      <c r="G29" s="17">
        <v>40</v>
      </c>
      <c r="H29" s="87">
        <v>83</v>
      </c>
      <c r="I29" s="88"/>
      <c r="J29" s="88"/>
      <c r="K29" s="88"/>
      <c r="L29" s="88"/>
      <c r="M29" s="89">
        <f t="shared" si="15"/>
        <v>0</v>
      </c>
      <c r="N29" s="4" t="str">
        <f t="shared" si="16"/>
        <v/>
      </c>
      <c r="O29" s="90">
        <f t="shared" si="17"/>
        <v>0</v>
      </c>
      <c r="P29" s="90">
        <f t="shared" si="18"/>
        <v>0</v>
      </c>
      <c r="Q29" s="76">
        <v>4</v>
      </c>
      <c r="R29" s="76">
        <v>2</v>
      </c>
      <c r="S29" s="76" t="s">
        <v>61</v>
      </c>
      <c r="T29" s="5" t="s">
        <v>254</v>
      </c>
      <c r="U29" s="9"/>
      <c r="W29" s="85">
        <f t="shared" si="19"/>
        <v>154.5</v>
      </c>
      <c r="X29" s="86">
        <f t="shared" si="20"/>
        <v>47</v>
      </c>
      <c r="Y29" s="91">
        <f t="shared" si="21"/>
        <v>83</v>
      </c>
      <c r="Z29" s="89">
        <f t="shared" si="22"/>
        <v>0</v>
      </c>
      <c r="AA29" s="89">
        <f t="shared" si="23"/>
        <v>0</v>
      </c>
      <c r="AB29" s="89">
        <f t="shared" si="24"/>
        <v>0</v>
      </c>
      <c r="AC29" s="4" t="str">
        <f t="shared" si="25"/>
        <v/>
      </c>
      <c r="AD29" s="90">
        <f t="shared" si="26"/>
        <v>0</v>
      </c>
      <c r="AE29" s="76" t="str">
        <f t="shared" si="27"/>
        <v>계</v>
      </c>
      <c r="AF29" s="76" t="str">
        <f t="shared" si="28"/>
        <v>4/2</v>
      </c>
      <c r="AH29" s="20" t="str">
        <f t="shared" si="1"/>
        <v>거성그린맨션</v>
      </c>
      <c r="AI29" s="86">
        <f t="shared" si="0"/>
        <v>47</v>
      </c>
      <c r="AJ29" s="76" t="str">
        <f t="shared" si="29"/>
        <v>A-</v>
      </c>
      <c r="AK29" s="76" t="s">
        <v>13</v>
      </c>
      <c r="AL29" s="76" t="s">
        <v>62</v>
      </c>
      <c r="AM29" s="76" t="s">
        <v>63</v>
      </c>
      <c r="AN29" s="76" t="str">
        <f t="shared" si="30"/>
        <v>C</v>
      </c>
      <c r="AO29" s="76" t="str">
        <f t="shared" si="31"/>
        <v/>
      </c>
      <c r="AP29" s="76" t="str">
        <f t="shared" si="32"/>
        <v/>
      </c>
      <c r="AQ29" s="76" t="str">
        <f t="shared" si="33"/>
        <v>O</v>
      </c>
      <c r="AR29" s="76" t="str">
        <f t="shared" si="34"/>
        <v>O</v>
      </c>
      <c r="AS29" s="76" t="s">
        <v>2</v>
      </c>
      <c r="AT29" s="76" t="str">
        <f t="shared" si="35"/>
        <v>X</v>
      </c>
      <c r="AU29" s="76" t="str">
        <f t="shared" si="36"/>
        <v>X</v>
      </c>
      <c r="AV29" s="76" t="str">
        <f t="shared" si="37"/>
        <v/>
      </c>
    </row>
    <row r="30" spans="1:48" x14ac:dyDescent="0.3">
      <c r="A30" s="9" t="s">
        <v>1175</v>
      </c>
      <c r="B30" s="10" t="s">
        <v>1886</v>
      </c>
      <c r="C30" s="87">
        <v>263</v>
      </c>
      <c r="D30" s="85">
        <v>155.30000000000001</v>
      </c>
      <c r="E30" s="86">
        <v>47</v>
      </c>
      <c r="F30" s="85">
        <v>134.5</v>
      </c>
      <c r="G30" s="17">
        <v>41</v>
      </c>
      <c r="H30" s="87">
        <v>13</v>
      </c>
      <c r="I30" s="88"/>
      <c r="J30" s="88"/>
      <c r="K30" s="88"/>
      <c r="L30" s="88"/>
      <c r="M30" s="89">
        <f t="shared" si="15"/>
        <v>0</v>
      </c>
      <c r="N30" s="4" t="str">
        <f t="shared" si="16"/>
        <v/>
      </c>
      <c r="O30" s="90">
        <f t="shared" si="17"/>
        <v>0</v>
      </c>
      <c r="P30" s="90">
        <f t="shared" si="18"/>
        <v>0</v>
      </c>
      <c r="Q30" s="76">
        <v>4</v>
      </c>
      <c r="R30" s="76">
        <v>2</v>
      </c>
      <c r="S30" s="76" t="s">
        <v>61</v>
      </c>
      <c r="T30" s="5" t="s">
        <v>255</v>
      </c>
      <c r="U30" s="9"/>
      <c r="W30" s="85">
        <f t="shared" si="19"/>
        <v>155.30000000000001</v>
      </c>
      <c r="X30" s="86">
        <f t="shared" si="20"/>
        <v>47</v>
      </c>
      <c r="Y30" s="91">
        <f t="shared" si="21"/>
        <v>13</v>
      </c>
      <c r="Z30" s="89">
        <f t="shared" si="22"/>
        <v>0</v>
      </c>
      <c r="AA30" s="89">
        <f t="shared" si="23"/>
        <v>0</v>
      </c>
      <c r="AB30" s="89">
        <f t="shared" si="24"/>
        <v>0</v>
      </c>
      <c r="AC30" s="4" t="str">
        <f t="shared" si="25"/>
        <v/>
      </c>
      <c r="AD30" s="90">
        <f t="shared" si="26"/>
        <v>0</v>
      </c>
      <c r="AE30" s="76" t="str">
        <f t="shared" si="27"/>
        <v>계</v>
      </c>
      <c r="AF30" s="76" t="str">
        <f t="shared" si="28"/>
        <v>4/2</v>
      </c>
      <c r="AH30" s="20" t="str">
        <f t="shared" si="1"/>
        <v>거성그린맨션</v>
      </c>
      <c r="AI30" s="86">
        <f t="shared" si="0"/>
        <v>47</v>
      </c>
      <c r="AJ30" s="76" t="str">
        <f t="shared" si="29"/>
        <v>A-</v>
      </c>
      <c r="AK30" s="76" t="s">
        <v>13</v>
      </c>
      <c r="AL30" s="76" t="s">
        <v>62</v>
      </c>
      <c r="AM30" s="76" t="s">
        <v>63</v>
      </c>
      <c r="AN30" s="76" t="str">
        <f t="shared" si="30"/>
        <v>C</v>
      </c>
      <c r="AO30" s="76" t="str">
        <f t="shared" si="31"/>
        <v/>
      </c>
      <c r="AP30" s="76" t="str">
        <f t="shared" si="32"/>
        <v/>
      </c>
      <c r="AQ30" s="76" t="str">
        <f t="shared" si="33"/>
        <v>O</v>
      </c>
      <c r="AR30" s="76" t="str">
        <f t="shared" si="34"/>
        <v>O</v>
      </c>
      <c r="AS30" s="76" t="s">
        <v>2</v>
      </c>
      <c r="AT30" s="76" t="str">
        <f t="shared" si="35"/>
        <v>X</v>
      </c>
      <c r="AU30" s="76" t="str">
        <f t="shared" si="36"/>
        <v>X</v>
      </c>
      <c r="AV30" s="76" t="str">
        <f t="shared" si="37"/>
        <v/>
      </c>
    </row>
    <row r="31" spans="1:48" x14ac:dyDescent="0.3">
      <c r="A31" s="9" t="s">
        <v>1175</v>
      </c>
      <c r="B31" s="10" t="s">
        <v>1886</v>
      </c>
      <c r="C31" s="87">
        <v>263</v>
      </c>
      <c r="D31" s="85">
        <v>175.4</v>
      </c>
      <c r="E31" s="86">
        <v>53</v>
      </c>
      <c r="F31" s="85">
        <v>152</v>
      </c>
      <c r="G31" s="17">
        <v>46</v>
      </c>
      <c r="H31" s="87">
        <v>14</v>
      </c>
      <c r="I31" s="88"/>
      <c r="J31" s="88"/>
      <c r="K31" s="88"/>
      <c r="L31" s="88"/>
      <c r="M31" s="89">
        <f t="shared" si="15"/>
        <v>0</v>
      </c>
      <c r="N31" s="4" t="str">
        <f t="shared" si="16"/>
        <v/>
      </c>
      <c r="O31" s="90">
        <f t="shared" si="17"/>
        <v>0</v>
      </c>
      <c r="P31" s="90">
        <f t="shared" si="18"/>
        <v>0</v>
      </c>
      <c r="Q31" s="76">
        <v>4</v>
      </c>
      <c r="R31" s="76">
        <v>2</v>
      </c>
      <c r="S31" s="76" t="s">
        <v>61</v>
      </c>
      <c r="T31" s="5">
        <v>175</v>
      </c>
      <c r="U31" s="9"/>
      <c r="W31" s="85">
        <f t="shared" si="19"/>
        <v>175.4</v>
      </c>
      <c r="X31" s="86">
        <f t="shared" si="20"/>
        <v>53</v>
      </c>
      <c r="Y31" s="91">
        <f t="shared" si="21"/>
        <v>14</v>
      </c>
      <c r="Z31" s="89">
        <f t="shared" si="22"/>
        <v>0</v>
      </c>
      <c r="AA31" s="89">
        <f t="shared" si="23"/>
        <v>0</v>
      </c>
      <c r="AB31" s="89">
        <f t="shared" si="24"/>
        <v>0</v>
      </c>
      <c r="AC31" s="4" t="str">
        <f t="shared" si="25"/>
        <v/>
      </c>
      <c r="AD31" s="90">
        <f t="shared" si="26"/>
        <v>0</v>
      </c>
      <c r="AE31" s="76" t="str">
        <f t="shared" si="27"/>
        <v>계</v>
      </c>
      <c r="AF31" s="76" t="str">
        <f t="shared" si="28"/>
        <v>4/2</v>
      </c>
      <c r="AH31" s="20" t="str">
        <f t="shared" si="1"/>
        <v>거성그린맨션</v>
      </c>
      <c r="AI31" s="86">
        <f t="shared" si="0"/>
        <v>53</v>
      </c>
      <c r="AJ31" s="76" t="str">
        <f t="shared" si="29"/>
        <v>A-</v>
      </c>
      <c r="AK31" s="76" t="s">
        <v>13</v>
      </c>
      <c r="AL31" s="76" t="s">
        <v>62</v>
      </c>
      <c r="AM31" s="76" t="s">
        <v>63</v>
      </c>
      <c r="AN31" s="76" t="str">
        <f t="shared" si="30"/>
        <v>C</v>
      </c>
      <c r="AO31" s="76" t="str">
        <f t="shared" si="31"/>
        <v/>
      </c>
      <c r="AP31" s="76" t="str">
        <f t="shared" si="32"/>
        <v/>
      </c>
      <c r="AQ31" s="76" t="str">
        <f t="shared" si="33"/>
        <v>O</v>
      </c>
      <c r="AR31" s="76" t="str">
        <f t="shared" si="34"/>
        <v>O</v>
      </c>
      <c r="AS31" s="76" t="s">
        <v>2</v>
      </c>
      <c r="AT31" s="76" t="str">
        <f t="shared" si="35"/>
        <v>X</v>
      </c>
      <c r="AU31" s="76" t="str">
        <f t="shared" si="36"/>
        <v>X</v>
      </c>
      <c r="AV31" s="76" t="str">
        <f t="shared" si="37"/>
        <v/>
      </c>
    </row>
    <row r="32" spans="1:48" x14ac:dyDescent="0.3">
      <c r="A32" s="9" t="s">
        <v>1175</v>
      </c>
      <c r="B32" s="10" t="s">
        <v>1886</v>
      </c>
      <c r="C32" s="87">
        <v>263</v>
      </c>
      <c r="D32" s="85">
        <v>178.8</v>
      </c>
      <c r="E32" s="86">
        <v>54</v>
      </c>
      <c r="F32" s="85">
        <v>155.1</v>
      </c>
      <c r="G32" s="17">
        <v>47</v>
      </c>
      <c r="H32" s="87">
        <v>42</v>
      </c>
      <c r="I32" s="88"/>
      <c r="J32" s="88"/>
      <c r="K32" s="88"/>
      <c r="L32" s="88"/>
      <c r="M32" s="89">
        <f t="shared" si="15"/>
        <v>0</v>
      </c>
      <c r="N32" s="4" t="str">
        <f t="shared" si="16"/>
        <v/>
      </c>
      <c r="O32" s="90">
        <f t="shared" si="17"/>
        <v>0</v>
      </c>
      <c r="P32" s="90">
        <f t="shared" si="18"/>
        <v>0</v>
      </c>
      <c r="Q32" s="76">
        <v>5</v>
      </c>
      <c r="R32" s="76">
        <v>2</v>
      </c>
      <c r="S32" s="76" t="s">
        <v>61</v>
      </c>
      <c r="T32" s="5">
        <v>178</v>
      </c>
      <c r="U32" s="9"/>
      <c r="W32" s="85">
        <f t="shared" si="19"/>
        <v>178.8</v>
      </c>
      <c r="X32" s="86">
        <f t="shared" si="20"/>
        <v>54</v>
      </c>
      <c r="Y32" s="91">
        <f t="shared" si="21"/>
        <v>42</v>
      </c>
      <c r="Z32" s="89">
        <f t="shared" si="22"/>
        <v>0</v>
      </c>
      <c r="AA32" s="89">
        <f t="shared" si="23"/>
        <v>0</v>
      </c>
      <c r="AB32" s="89">
        <f t="shared" si="24"/>
        <v>0</v>
      </c>
      <c r="AC32" s="4" t="str">
        <f t="shared" si="25"/>
        <v/>
      </c>
      <c r="AD32" s="90">
        <f t="shared" si="26"/>
        <v>0</v>
      </c>
      <c r="AE32" s="76" t="str">
        <f t="shared" si="27"/>
        <v>계</v>
      </c>
      <c r="AF32" s="76" t="str">
        <f t="shared" si="28"/>
        <v>5/2</v>
      </c>
      <c r="AH32" s="20" t="str">
        <f t="shared" si="1"/>
        <v>거성그린맨션</v>
      </c>
      <c r="AI32" s="86">
        <f t="shared" si="0"/>
        <v>54</v>
      </c>
      <c r="AJ32" s="76" t="str">
        <f t="shared" si="29"/>
        <v>A-</v>
      </c>
      <c r="AK32" s="76" t="s">
        <v>13</v>
      </c>
      <c r="AL32" s="76" t="s">
        <v>62</v>
      </c>
      <c r="AM32" s="76" t="s">
        <v>63</v>
      </c>
      <c r="AN32" s="76" t="str">
        <f t="shared" si="30"/>
        <v>C</v>
      </c>
      <c r="AO32" s="76" t="str">
        <f t="shared" si="31"/>
        <v/>
      </c>
      <c r="AP32" s="76" t="str">
        <f t="shared" si="32"/>
        <v/>
      </c>
      <c r="AQ32" s="76" t="str">
        <f t="shared" si="33"/>
        <v>O</v>
      </c>
      <c r="AR32" s="76" t="str">
        <f t="shared" si="34"/>
        <v>O</v>
      </c>
      <c r="AS32" s="76" t="s">
        <v>2</v>
      </c>
      <c r="AT32" s="76" t="str">
        <f t="shared" si="35"/>
        <v>X</v>
      </c>
      <c r="AU32" s="76" t="str">
        <f t="shared" si="36"/>
        <v>X</v>
      </c>
      <c r="AV32" s="76" t="str">
        <f t="shared" si="37"/>
        <v/>
      </c>
    </row>
    <row r="33" spans="1:48" x14ac:dyDescent="0.3">
      <c r="A33" s="9" t="s">
        <v>1175</v>
      </c>
      <c r="B33" s="10" t="s">
        <v>1886</v>
      </c>
      <c r="C33" s="87">
        <v>263</v>
      </c>
      <c r="D33" s="85">
        <v>183.5</v>
      </c>
      <c r="E33" s="86">
        <v>55</v>
      </c>
      <c r="F33" s="85">
        <v>160.80000000000001</v>
      </c>
      <c r="G33" s="17">
        <v>49</v>
      </c>
      <c r="H33" s="87">
        <v>5</v>
      </c>
      <c r="I33" s="88"/>
      <c r="J33" s="88"/>
      <c r="K33" s="88"/>
      <c r="L33" s="88"/>
      <c r="M33" s="89">
        <f t="shared" si="15"/>
        <v>0</v>
      </c>
      <c r="N33" s="4" t="str">
        <f t="shared" si="16"/>
        <v/>
      </c>
      <c r="O33" s="90">
        <f t="shared" si="17"/>
        <v>0</v>
      </c>
      <c r="P33" s="90">
        <f t="shared" si="18"/>
        <v>0</v>
      </c>
      <c r="Q33" s="76">
        <v>5</v>
      </c>
      <c r="R33" s="76">
        <v>3</v>
      </c>
      <c r="S33" s="76" t="s">
        <v>61</v>
      </c>
      <c r="T33" s="5">
        <v>183</v>
      </c>
      <c r="U33" s="9"/>
      <c r="W33" s="85">
        <f t="shared" si="19"/>
        <v>183.5</v>
      </c>
      <c r="X33" s="86">
        <f t="shared" si="20"/>
        <v>55</v>
      </c>
      <c r="Y33" s="91">
        <f t="shared" si="21"/>
        <v>5</v>
      </c>
      <c r="Z33" s="89">
        <f t="shared" si="22"/>
        <v>0</v>
      </c>
      <c r="AA33" s="89">
        <f t="shared" si="23"/>
        <v>0</v>
      </c>
      <c r="AB33" s="89">
        <f t="shared" si="24"/>
        <v>0</v>
      </c>
      <c r="AC33" s="4" t="str">
        <f t="shared" si="25"/>
        <v/>
      </c>
      <c r="AD33" s="90">
        <f t="shared" si="26"/>
        <v>0</v>
      </c>
      <c r="AE33" s="76" t="str">
        <f t="shared" si="27"/>
        <v>계</v>
      </c>
      <c r="AF33" s="76" t="str">
        <f t="shared" si="28"/>
        <v>5/3</v>
      </c>
      <c r="AH33" s="20" t="str">
        <f t="shared" si="1"/>
        <v>거성그린맨션</v>
      </c>
      <c r="AI33" s="86">
        <f t="shared" si="0"/>
        <v>55</v>
      </c>
      <c r="AJ33" s="76" t="str">
        <f t="shared" si="29"/>
        <v>A-</v>
      </c>
      <c r="AK33" s="76" t="s">
        <v>13</v>
      </c>
      <c r="AL33" s="76" t="s">
        <v>62</v>
      </c>
      <c r="AM33" s="76" t="s">
        <v>63</v>
      </c>
      <c r="AN33" s="76" t="str">
        <f t="shared" si="30"/>
        <v>C</v>
      </c>
      <c r="AO33" s="76" t="str">
        <f t="shared" si="31"/>
        <v/>
      </c>
      <c r="AP33" s="76" t="str">
        <f t="shared" si="32"/>
        <v/>
      </c>
      <c r="AQ33" s="76" t="str">
        <f t="shared" si="33"/>
        <v>O</v>
      </c>
      <c r="AR33" s="76" t="str">
        <f t="shared" si="34"/>
        <v>O</v>
      </c>
      <c r="AS33" s="76" t="s">
        <v>2</v>
      </c>
      <c r="AT33" s="76" t="str">
        <f t="shared" si="35"/>
        <v>X</v>
      </c>
      <c r="AU33" s="76" t="str">
        <f t="shared" si="36"/>
        <v>X</v>
      </c>
      <c r="AV33" s="76" t="str">
        <f t="shared" si="37"/>
        <v/>
      </c>
    </row>
    <row r="34" spans="1:48" x14ac:dyDescent="0.3">
      <c r="A34" s="9" t="s">
        <v>1175</v>
      </c>
      <c r="B34" s="10" t="s">
        <v>1886</v>
      </c>
      <c r="C34" s="87">
        <v>263</v>
      </c>
      <c r="D34" s="85">
        <v>197.1</v>
      </c>
      <c r="E34" s="86">
        <v>60</v>
      </c>
      <c r="F34" s="85">
        <v>172.9</v>
      </c>
      <c r="G34" s="17">
        <v>52</v>
      </c>
      <c r="H34" s="87">
        <v>6</v>
      </c>
      <c r="I34" s="88"/>
      <c r="J34" s="88"/>
      <c r="K34" s="88"/>
      <c r="L34" s="88"/>
      <c r="M34" s="89">
        <f t="shared" si="15"/>
        <v>0</v>
      </c>
      <c r="N34" s="4" t="str">
        <f t="shared" si="16"/>
        <v/>
      </c>
      <c r="O34" s="90">
        <f t="shared" si="17"/>
        <v>0</v>
      </c>
      <c r="P34" s="90">
        <f t="shared" si="18"/>
        <v>0</v>
      </c>
      <c r="Q34" s="76">
        <v>5</v>
      </c>
      <c r="R34" s="76">
        <v>3</v>
      </c>
      <c r="S34" s="76" t="s">
        <v>61</v>
      </c>
      <c r="T34" s="5" t="s">
        <v>256</v>
      </c>
      <c r="U34" s="9"/>
      <c r="W34" s="85">
        <f t="shared" si="19"/>
        <v>197.1</v>
      </c>
      <c r="X34" s="86">
        <f t="shared" si="20"/>
        <v>60</v>
      </c>
      <c r="Y34" s="91">
        <f t="shared" si="21"/>
        <v>6</v>
      </c>
      <c r="Z34" s="89">
        <f t="shared" si="22"/>
        <v>0</v>
      </c>
      <c r="AA34" s="89">
        <f t="shared" si="23"/>
        <v>0</v>
      </c>
      <c r="AB34" s="89">
        <f t="shared" si="24"/>
        <v>0</v>
      </c>
      <c r="AC34" s="4" t="str">
        <f t="shared" si="25"/>
        <v/>
      </c>
      <c r="AD34" s="90">
        <f t="shared" si="26"/>
        <v>0</v>
      </c>
      <c r="AE34" s="76" t="str">
        <f t="shared" si="27"/>
        <v>계</v>
      </c>
      <c r="AF34" s="76" t="str">
        <f t="shared" si="28"/>
        <v>5/3</v>
      </c>
      <c r="AH34" s="20" t="str">
        <f t="shared" si="1"/>
        <v>거성그린맨션</v>
      </c>
      <c r="AI34" s="86">
        <f t="shared" si="0"/>
        <v>60</v>
      </c>
      <c r="AJ34" s="76" t="str">
        <f t="shared" si="29"/>
        <v>A-</v>
      </c>
      <c r="AK34" s="76" t="s">
        <v>13</v>
      </c>
      <c r="AL34" s="76" t="s">
        <v>62</v>
      </c>
      <c r="AM34" s="76" t="s">
        <v>63</v>
      </c>
      <c r="AN34" s="76" t="str">
        <f t="shared" si="30"/>
        <v>C</v>
      </c>
      <c r="AO34" s="76" t="str">
        <f t="shared" si="31"/>
        <v/>
      </c>
      <c r="AP34" s="76" t="str">
        <f t="shared" si="32"/>
        <v/>
      </c>
      <c r="AQ34" s="76" t="str">
        <f t="shared" si="33"/>
        <v>O</v>
      </c>
      <c r="AR34" s="76" t="str">
        <f t="shared" si="34"/>
        <v>O</v>
      </c>
      <c r="AS34" s="76" t="s">
        <v>2</v>
      </c>
      <c r="AT34" s="76" t="str">
        <f t="shared" si="35"/>
        <v>X</v>
      </c>
      <c r="AU34" s="76" t="str">
        <f t="shared" si="36"/>
        <v>X</v>
      </c>
      <c r="AV34" s="76" t="str">
        <f t="shared" si="37"/>
        <v/>
      </c>
    </row>
    <row r="35" spans="1:48" x14ac:dyDescent="0.3">
      <c r="A35" s="9" t="s">
        <v>1175</v>
      </c>
      <c r="B35" s="10" t="s">
        <v>1886</v>
      </c>
      <c r="C35" s="87">
        <v>263</v>
      </c>
      <c r="D35" s="85">
        <v>197.2</v>
      </c>
      <c r="E35" s="86">
        <v>60</v>
      </c>
      <c r="F35" s="85">
        <v>173.8</v>
      </c>
      <c r="G35" s="17">
        <v>53</v>
      </c>
      <c r="H35" s="87">
        <v>1</v>
      </c>
      <c r="I35" s="88"/>
      <c r="J35" s="88"/>
      <c r="K35" s="88"/>
      <c r="L35" s="88"/>
      <c r="M35" s="89">
        <f t="shared" si="15"/>
        <v>0</v>
      </c>
      <c r="N35" s="4" t="str">
        <f t="shared" si="16"/>
        <v/>
      </c>
      <c r="O35" s="90">
        <f t="shared" si="17"/>
        <v>0</v>
      </c>
      <c r="P35" s="90">
        <f t="shared" si="18"/>
        <v>0</v>
      </c>
      <c r="Q35" s="76">
        <v>5</v>
      </c>
      <c r="R35" s="76">
        <v>3</v>
      </c>
      <c r="S35" s="76" t="s">
        <v>61</v>
      </c>
      <c r="T35" s="5" t="s">
        <v>257</v>
      </c>
      <c r="U35" s="9"/>
      <c r="W35" s="85">
        <f t="shared" si="19"/>
        <v>197.2</v>
      </c>
      <c r="X35" s="86">
        <f t="shared" si="20"/>
        <v>60</v>
      </c>
      <c r="Y35" s="91">
        <f t="shared" si="21"/>
        <v>1</v>
      </c>
      <c r="Z35" s="89">
        <f t="shared" si="22"/>
        <v>0</v>
      </c>
      <c r="AA35" s="89">
        <f t="shared" si="23"/>
        <v>0</v>
      </c>
      <c r="AB35" s="89">
        <f t="shared" si="24"/>
        <v>0</v>
      </c>
      <c r="AC35" s="4" t="str">
        <f t="shared" si="25"/>
        <v/>
      </c>
      <c r="AD35" s="90">
        <f t="shared" si="26"/>
        <v>0</v>
      </c>
      <c r="AE35" s="76" t="str">
        <f t="shared" si="27"/>
        <v>계</v>
      </c>
      <c r="AF35" s="76" t="str">
        <f t="shared" si="28"/>
        <v>5/3</v>
      </c>
      <c r="AH35" s="20" t="str">
        <f t="shared" si="1"/>
        <v>거성그린맨션</v>
      </c>
      <c r="AI35" s="86">
        <f t="shared" ref="AI35:AI71" si="38">IF(E35="","",E35)</f>
        <v>60</v>
      </c>
      <c r="AJ35" s="76" t="str">
        <f t="shared" si="29"/>
        <v>A-</v>
      </c>
      <c r="AK35" s="76" t="s">
        <v>13</v>
      </c>
      <c r="AL35" s="76" t="s">
        <v>62</v>
      </c>
      <c r="AM35" s="76" t="s">
        <v>63</v>
      </c>
      <c r="AN35" s="76" t="str">
        <f t="shared" si="30"/>
        <v>C</v>
      </c>
      <c r="AO35" s="76" t="str">
        <f t="shared" si="31"/>
        <v/>
      </c>
      <c r="AP35" s="76" t="str">
        <f t="shared" si="32"/>
        <v/>
      </c>
      <c r="AQ35" s="76" t="str">
        <f t="shared" si="33"/>
        <v>O</v>
      </c>
      <c r="AR35" s="76" t="str">
        <f t="shared" si="34"/>
        <v>O</v>
      </c>
      <c r="AS35" s="76" t="s">
        <v>2</v>
      </c>
      <c r="AT35" s="76" t="str">
        <f t="shared" si="35"/>
        <v>X</v>
      </c>
      <c r="AU35" s="76" t="str">
        <f t="shared" si="36"/>
        <v>X</v>
      </c>
      <c r="AV35" s="76" t="str">
        <f t="shared" si="37"/>
        <v/>
      </c>
    </row>
    <row r="36" spans="1:48" x14ac:dyDescent="0.3">
      <c r="A36" s="9" t="s">
        <v>1175</v>
      </c>
      <c r="B36" s="10" t="s">
        <v>1886</v>
      </c>
      <c r="C36" s="87">
        <v>263</v>
      </c>
      <c r="D36" s="85">
        <v>220.5</v>
      </c>
      <c r="E36" s="86">
        <v>67</v>
      </c>
      <c r="F36" s="85">
        <v>194.2</v>
      </c>
      <c r="G36" s="17">
        <v>59</v>
      </c>
      <c r="H36" s="87">
        <v>1</v>
      </c>
      <c r="I36" s="88"/>
      <c r="J36" s="88"/>
      <c r="K36" s="88"/>
      <c r="L36" s="88"/>
      <c r="M36" s="89">
        <f t="shared" si="15"/>
        <v>0</v>
      </c>
      <c r="N36" s="4" t="str">
        <f t="shared" si="16"/>
        <v/>
      </c>
      <c r="O36" s="90">
        <f t="shared" si="17"/>
        <v>0</v>
      </c>
      <c r="P36" s="90">
        <f t="shared" si="18"/>
        <v>0</v>
      </c>
      <c r="Q36" s="76">
        <v>6</v>
      </c>
      <c r="R36" s="76">
        <v>2</v>
      </c>
      <c r="S36" s="76" t="s">
        <v>61</v>
      </c>
      <c r="T36" s="5">
        <v>220</v>
      </c>
      <c r="U36" s="9"/>
      <c r="W36" s="85">
        <f t="shared" si="19"/>
        <v>220.5</v>
      </c>
      <c r="X36" s="86">
        <f t="shared" si="20"/>
        <v>67</v>
      </c>
      <c r="Y36" s="91">
        <f t="shared" si="21"/>
        <v>1</v>
      </c>
      <c r="Z36" s="89">
        <f t="shared" si="22"/>
        <v>0</v>
      </c>
      <c r="AA36" s="89">
        <f t="shared" si="23"/>
        <v>0</v>
      </c>
      <c r="AB36" s="89">
        <f t="shared" si="24"/>
        <v>0</v>
      </c>
      <c r="AC36" s="4" t="str">
        <f t="shared" si="25"/>
        <v/>
      </c>
      <c r="AD36" s="90">
        <f t="shared" si="26"/>
        <v>0</v>
      </c>
      <c r="AE36" s="76" t="str">
        <f t="shared" si="27"/>
        <v>계</v>
      </c>
      <c r="AF36" s="76" t="str">
        <f t="shared" si="28"/>
        <v>6/2</v>
      </c>
      <c r="AH36" s="20" t="str">
        <f t="shared" si="1"/>
        <v>거성그린맨션</v>
      </c>
      <c r="AI36" s="86">
        <f t="shared" si="38"/>
        <v>67</v>
      </c>
      <c r="AJ36" s="76" t="str">
        <f t="shared" si="29"/>
        <v>A-</v>
      </c>
      <c r="AK36" s="76" t="s">
        <v>13</v>
      </c>
      <c r="AL36" s="76" t="s">
        <v>62</v>
      </c>
      <c r="AM36" s="76" t="s">
        <v>63</v>
      </c>
      <c r="AN36" s="76" t="str">
        <f t="shared" si="30"/>
        <v>C</v>
      </c>
      <c r="AO36" s="76" t="str">
        <f t="shared" si="31"/>
        <v/>
      </c>
      <c r="AP36" s="76" t="str">
        <f t="shared" si="32"/>
        <v/>
      </c>
      <c r="AQ36" s="76" t="str">
        <f t="shared" si="33"/>
        <v>O</v>
      </c>
      <c r="AR36" s="76" t="str">
        <f t="shared" si="34"/>
        <v>O</v>
      </c>
      <c r="AS36" s="76" t="s">
        <v>2</v>
      </c>
      <c r="AT36" s="76" t="str">
        <f t="shared" si="35"/>
        <v>X</v>
      </c>
      <c r="AU36" s="76" t="str">
        <f t="shared" si="36"/>
        <v>X</v>
      </c>
      <c r="AV36" s="76" t="str">
        <f t="shared" si="37"/>
        <v/>
      </c>
    </row>
    <row r="37" spans="1:48" x14ac:dyDescent="0.3">
      <c r="A37" s="9" t="s">
        <v>1175</v>
      </c>
      <c r="B37" s="10" t="s">
        <v>1886</v>
      </c>
      <c r="C37" s="87">
        <v>263</v>
      </c>
      <c r="D37" s="85">
        <v>225.5</v>
      </c>
      <c r="E37" s="86">
        <v>68</v>
      </c>
      <c r="F37" s="85">
        <v>198.2</v>
      </c>
      <c r="G37" s="17">
        <v>60</v>
      </c>
      <c r="H37" s="87">
        <v>28</v>
      </c>
      <c r="I37" s="88"/>
      <c r="J37" s="88"/>
      <c r="K37" s="88"/>
      <c r="L37" s="88"/>
      <c r="M37" s="89">
        <f t="shared" si="15"/>
        <v>0</v>
      </c>
      <c r="N37" s="4" t="str">
        <f t="shared" si="16"/>
        <v/>
      </c>
      <c r="O37" s="90">
        <f t="shared" si="17"/>
        <v>0</v>
      </c>
      <c r="P37" s="90">
        <f t="shared" si="18"/>
        <v>0</v>
      </c>
      <c r="Q37" s="76">
        <v>6</v>
      </c>
      <c r="R37" s="76">
        <v>2</v>
      </c>
      <c r="S37" s="76" t="s">
        <v>61</v>
      </c>
      <c r="T37" s="5" t="s">
        <v>258</v>
      </c>
      <c r="U37" s="9"/>
      <c r="W37" s="85">
        <f t="shared" si="19"/>
        <v>225.5</v>
      </c>
      <c r="X37" s="86">
        <f t="shared" si="20"/>
        <v>68</v>
      </c>
      <c r="Y37" s="91">
        <f t="shared" si="21"/>
        <v>28</v>
      </c>
      <c r="Z37" s="89">
        <f t="shared" si="22"/>
        <v>0</v>
      </c>
      <c r="AA37" s="89">
        <f t="shared" si="23"/>
        <v>0</v>
      </c>
      <c r="AB37" s="89">
        <f t="shared" si="24"/>
        <v>0</v>
      </c>
      <c r="AC37" s="4" t="str">
        <f t="shared" si="25"/>
        <v/>
      </c>
      <c r="AD37" s="90">
        <f t="shared" si="26"/>
        <v>0</v>
      </c>
      <c r="AE37" s="76" t="str">
        <f t="shared" si="27"/>
        <v>계</v>
      </c>
      <c r="AF37" s="76" t="str">
        <f t="shared" si="28"/>
        <v>6/2</v>
      </c>
      <c r="AH37" s="20" t="str">
        <f t="shared" ref="AH37:AH71" si="39">IF(A37="","",A37)</f>
        <v>거성그린맨션</v>
      </c>
      <c r="AI37" s="86">
        <f t="shared" si="38"/>
        <v>68</v>
      </c>
      <c r="AJ37" s="76" t="str">
        <f t="shared" si="29"/>
        <v>A-</v>
      </c>
      <c r="AK37" s="76" t="s">
        <v>13</v>
      </c>
      <c r="AL37" s="76" t="s">
        <v>62</v>
      </c>
      <c r="AM37" s="76" t="s">
        <v>63</v>
      </c>
      <c r="AN37" s="76" t="str">
        <f t="shared" si="30"/>
        <v>C</v>
      </c>
      <c r="AO37" s="76" t="str">
        <f t="shared" si="31"/>
        <v/>
      </c>
      <c r="AP37" s="76" t="str">
        <f t="shared" si="32"/>
        <v/>
      </c>
      <c r="AQ37" s="76" t="str">
        <f t="shared" si="33"/>
        <v>O</v>
      </c>
      <c r="AR37" s="76" t="str">
        <f t="shared" si="34"/>
        <v>O</v>
      </c>
      <c r="AS37" s="76" t="s">
        <v>2</v>
      </c>
      <c r="AT37" s="76" t="str">
        <f t="shared" si="35"/>
        <v>X</v>
      </c>
      <c r="AU37" s="76" t="str">
        <f t="shared" si="36"/>
        <v>X</v>
      </c>
      <c r="AV37" s="76" t="str">
        <f t="shared" si="37"/>
        <v/>
      </c>
    </row>
    <row r="38" spans="1:48" x14ac:dyDescent="0.3">
      <c r="A38" s="9" t="s">
        <v>1175</v>
      </c>
      <c r="B38" s="10" t="s">
        <v>1886</v>
      </c>
      <c r="C38" s="87">
        <v>263</v>
      </c>
      <c r="D38" s="85">
        <v>225.6</v>
      </c>
      <c r="E38" s="86">
        <v>68</v>
      </c>
      <c r="F38" s="85">
        <v>199</v>
      </c>
      <c r="G38" s="17">
        <v>60</v>
      </c>
      <c r="H38" s="87">
        <v>3</v>
      </c>
      <c r="I38" s="88"/>
      <c r="J38" s="88"/>
      <c r="K38" s="88"/>
      <c r="L38" s="88"/>
      <c r="M38" s="89">
        <f t="shared" si="15"/>
        <v>0</v>
      </c>
      <c r="N38" s="4" t="str">
        <f t="shared" si="16"/>
        <v/>
      </c>
      <c r="O38" s="90">
        <f t="shared" si="17"/>
        <v>0</v>
      </c>
      <c r="P38" s="90">
        <f t="shared" si="18"/>
        <v>0</v>
      </c>
      <c r="Q38" s="76">
        <v>6</v>
      </c>
      <c r="R38" s="76">
        <v>2</v>
      </c>
      <c r="S38" s="76" t="s">
        <v>61</v>
      </c>
      <c r="T38" s="5" t="s">
        <v>259</v>
      </c>
      <c r="U38" s="9"/>
      <c r="W38" s="85">
        <f t="shared" si="19"/>
        <v>225.6</v>
      </c>
      <c r="X38" s="86">
        <f t="shared" si="20"/>
        <v>68</v>
      </c>
      <c r="Y38" s="91">
        <f t="shared" si="21"/>
        <v>3</v>
      </c>
      <c r="Z38" s="89">
        <f t="shared" si="22"/>
        <v>0</v>
      </c>
      <c r="AA38" s="89">
        <f t="shared" si="23"/>
        <v>0</v>
      </c>
      <c r="AB38" s="89">
        <f t="shared" si="24"/>
        <v>0</v>
      </c>
      <c r="AC38" s="4" t="str">
        <f t="shared" si="25"/>
        <v/>
      </c>
      <c r="AD38" s="90">
        <f t="shared" si="26"/>
        <v>0</v>
      </c>
      <c r="AE38" s="76" t="str">
        <f t="shared" si="27"/>
        <v>계</v>
      </c>
      <c r="AF38" s="76" t="str">
        <f t="shared" si="28"/>
        <v>6/2</v>
      </c>
      <c r="AH38" s="20" t="str">
        <f t="shared" si="39"/>
        <v>거성그린맨션</v>
      </c>
      <c r="AI38" s="86">
        <f t="shared" si="38"/>
        <v>68</v>
      </c>
      <c r="AJ38" s="76" t="str">
        <f t="shared" si="29"/>
        <v>A-</v>
      </c>
      <c r="AK38" s="76" t="s">
        <v>13</v>
      </c>
      <c r="AL38" s="76" t="s">
        <v>62</v>
      </c>
      <c r="AM38" s="76" t="s">
        <v>63</v>
      </c>
      <c r="AN38" s="76" t="str">
        <f t="shared" si="30"/>
        <v>C</v>
      </c>
      <c r="AO38" s="76" t="str">
        <f t="shared" si="31"/>
        <v/>
      </c>
      <c r="AP38" s="76" t="str">
        <f t="shared" si="32"/>
        <v/>
      </c>
      <c r="AQ38" s="76" t="str">
        <f t="shared" si="33"/>
        <v>O</v>
      </c>
      <c r="AR38" s="76" t="str">
        <f t="shared" si="34"/>
        <v>O</v>
      </c>
      <c r="AS38" s="76" t="s">
        <v>2</v>
      </c>
      <c r="AT38" s="76" t="str">
        <f t="shared" si="35"/>
        <v>X</v>
      </c>
      <c r="AU38" s="76" t="str">
        <f t="shared" si="36"/>
        <v>X</v>
      </c>
      <c r="AV38" s="76" t="str">
        <f t="shared" si="37"/>
        <v/>
      </c>
    </row>
    <row r="39" spans="1:48" x14ac:dyDescent="0.3">
      <c r="A39" s="9" t="s">
        <v>1175</v>
      </c>
      <c r="B39" s="10" t="s">
        <v>1886</v>
      </c>
      <c r="C39" s="87">
        <v>263</v>
      </c>
      <c r="D39" s="85">
        <v>257.60000000000002</v>
      </c>
      <c r="E39" s="86">
        <v>78</v>
      </c>
      <c r="F39" s="85">
        <v>228.3</v>
      </c>
      <c r="G39" s="17">
        <v>69</v>
      </c>
      <c r="H39" s="87">
        <v>2</v>
      </c>
      <c r="I39" s="88"/>
      <c r="J39" s="88"/>
      <c r="K39" s="88"/>
      <c r="L39" s="88"/>
      <c r="M39" s="89">
        <f t="shared" si="15"/>
        <v>0</v>
      </c>
      <c r="N39" s="4" t="str">
        <f t="shared" si="16"/>
        <v/>
      </c>
      <c r="O39" s="90">
        <f t="shared" si="17"/>
        <v>0</v>
      </c>
      <c r="P39" s="90">
        <f t="shared" si="18"/>
        <v>0</v>
      </c>
      <c r="Q39" s="76">
        <v>7</v>
      </c>
      <c r="R39" s="76">
        <v>3</v>
      </c>
      <c r="S39" s="76" t="s">
        <v>61</v>
      </c>
      <c r="T39" s="5">
        <v>257</v>
      </c>
      <c r="U39" s="9"/>
      <c r="W39" s="85">
        <f t="shared" si="19"/>
        <v>257.60000000000002</v>
      </c>
      <c r="X39" s="86">
        <f t="shared" si="20"/>
        <v>78</v>
      </c>
      <c r="Y39" s="91">
        <f t="shared" si="21"/>
        <v>2</v>
      </c>
      <c r="Z39" s="89">
        <f t="shared" si="22"/>
        <v>0</v>
      </c>
      <c r="AA39" s="89">
        <f t="shared" si="23"/>
        <v>0</v>
      </c>
      <c r="AB39" s="89">
        <f t="shared" si="24"/>
        <v>0</v>
      </c>
      <c r="AC39" s="4" t="str">
        <f t="shared" si="25"/>
        <v/>
      </c>
      <c r="AD39" s="90">
        <f t="shared" si="26"/>
        <v>0</v>
      </c>
      <c r="AE39" s="76" t="str">
        <f t="shared" si="27"/>
        <v>계</v>
      </c>
      <c r="AF39" s="76" t="str">
        <f t="shared" si="28"/>
        <v>7/3</v>
      </c>
      <c r="AH39" s="20" t="str">
        <f t="shared" si="39"/>
        <v>거성그린맨션</v>
      </c>
      <c r="AI39" s="86">
        <f t="shared" si="38"/>
        <v>78</v>
      </c>
      <c r="AJ39" s="76" t="str">
        <f t="shared" si="29"/>
        <v>A-</v>
      </c>
      <c r="AK39" s="76" t="s">
        <v>13</v>
      </c>
      <c r="AL39" s="76" t="s">
        <v>62</v>
      </c>
      <c r="AM39" s="76" t="s">
        <v>63</v>
      </c>
      <c r="AN39" s="76" t="str">
        <f t="shared" si="30"/>
        <v>C</v>
      </c>
      <c r="AO39" s="76" t="str">
        <f t="shared" si="31"/>
        <v/>
      </c>
      <c r="AP39" s="76" t="str">
        <f t="shared" si="32"/>
        <v/>
      </c>
      <c r="AQ39" s="76" t="str">
        <f t="shared" si="33"/>
        <v>O</v>
      </c>
      <c r="AR39" s="76" t="str">
        <f t="shared" si="34"/>
        <v>O</v>
      </c>
      <c r="AS39" s="76" t="s">
        <v>2</v>
      </c>
      <c r="AT39" s="76" t="str">
        <f t="shared" si="35"/>
        <v>X</v>
      </c>
      <c r="AU39" s="76" t="str">
        <f t="shared" si="36"/>
        <v>X</v>
      </c>
      <c r="AV39" s="76" t="str">
        <f t="shared" si="37"/>
        <v/>
      </c>
    </row>
    <row r="40" spans="1:48" x14ac:dyDescent="0.3">
      <c r="A40" s="9"/>
      <c r="B40" s="76"/>
      <c r="C40" s="6"/>
      <c r="D40" s="9"/>
      <c r="E40" s="14"/>
      <c r="F40" s="85"/>
      <c r="G40" s="9"/>
      <c r="H40" s="9"/>
      <c r="I40" s="9"/>
      <c r="J40" s="9"/>
      <c r="K40" s="9"/>
      <c r="L40" s="9"/>
      <c r="M40" s="9"/>
      <c r="N40" s="9"/>
      <c r="O40" s="90"/>
      <c r="P40" s="90"/>
      <c r="Q40" s="86"/>
      <c r="R40" s="86"/>
      <c r="S40" s="9"/>
      <c r="T40" s="47"/>
      <c r="U40" s="9"/>
      <c r="W40" s="67" t="str">
        <f>$A$4&amp;" "&amp;A41&amp;"("&amp;B41&amp;","&amp;C41&amp;"^)"</f>
        <v>중화산동2가 전주중화산풍림아이원('11.04.,498^)</v>
      </c>
      <c r="X40" s="68"/>
      <c r="Y40" s="68"/>
      <c r="Z40" s="68"/>
      <c r="AA40" s="68"/>
      <c r="AB40" s="68"/>
      <c r="AC40" s="68"/>
      <c r="AD40" s="68"/>
      <c r="AE40" s="68"/>
      <c r="AF40" s="69"/>
      <c r="AH40" s="20" t="str">
        <f t="shared" si="39"/>
        <v/>
      </c>
      <c r="AI40" s="108" t="str">
        <f t="shared" si="38"/>
        <v/>
      </c>
      <c r="AJ40" s="76"/>
      <c r="AK40" s="76"/>
      <c r="AL40" s="76"/>
      <c r="AM40" s="76"/>
      <c r="AN40" s="76"/>
      <c r="AO40" s="76"/>
      <c r="AP40" s="76"/>
      <c r="AQ40" s="76"/>
      <c r="AR40" s="76"/>
      <c r="AS40" s="76"/>
      <c r="AT40" s="76"/>
      <c r="AU40" s="76"/>
      <c r="AV40" s="76"/>
    </row>
    <row r="41" spans="1:48" x14ac:dyDescent="0.3">
      <c r="A41" s="9" t="s">
        <v>1180</v>
      </c>
      <c r="B41" s="10" t="s">
        <v>1887</v>
      </c>
      <c r="C41" s="87">
        <v>498</v>
      </c>
      <c r="D41" s="85">
        <v>118.6</v>
      </c>
      <c r="E41" s="86">
        <v>36</v>
      </c>
      <c r="F41" s="85">
        <v>84.9</v>
      </c>
      <c r="G41" s="17">
        <v>26</v>
      </c>
      <c r="H41" s="87">
        <v>78</v>
      </c>
      <c r="I41" s="88">
        <v>40400</v>
      </c>
      <c r="J41" s="88" t="s">
        <v>80</v>
      </c>
      <c r="K41" s="88"/>
      <c r="L41" s="88"/>
      <c r="M41" s="89">
        <f>I41-K41</f>
        <v>40400</v>
      </c>
      <c r="N41" s="4">
        <f>IF(ISERROR(K41/I41),"",K41/I41)</f>
        <v>0</v>
      </c>
      <c r="O41" s="90">
        <f>I41/E41</f>
        <v>1122.2222222222222</v>
      </c>
      <c r="P41" s="90">
        <f>K41/E41</f>
        <v>0</v>
      </c>
      <c r="Q41" s="76">
        <v>3</v>
      </c>
      <c r="R41" s="76">
        <v>2</v>
      </c>
      <c r="S41" s="76" t="s">
        <v>61</v>
      </c>
      <c r="T41" s="5">
        <v>118</v>
      </c>
      <c r="U41" s="9"/>
      <c r="W41" s="85">
        <f t="shared" ref="W41:X45" si="40">D41</f>
        <v>118.6</v>
      </c>
      <c r="X41" s="86">
        <f t="shared" si="40"/>
        <v>36</v>
      </c>
      <c r="Y41" s="91">
        <f t="shared" ref="Y41:Z45" si="41">H41</f>
        <v>78</v>
      </c>
      <c r="Z41" s="89">
        <f t="shared" si="41"/>
        <v>40400</v>
      </c>
      <c r="AA41" s="89">
        <f>K41</f>
        <v>0</v>
      </c>
      <c r="AB41" s="89">
        <f t="shared" ref="AB41:AD45" si="42">M41</f>
        <v>40400</v>
      </c>
      <c r="AC41" s="4">
        <f t="shared" si="42"/>
        <v>0</v>
      </c>
      <c r="AD41" s="90">
        <f t="shared" si="42"/>
        <v>1122.2222222222222</v>
      </c>
      <c r="AE41" s="76" t="str">
        <f>S41</f>
        <v>계</v>
      </c>
      <c r="AF41" s="76" t="str">
        <f>Q41&amp;"/"&amp;R41</f>
        <v>3/2</v>
      </c>
      <c r="AH41" s="20" t="str">
        <f t="shared" si="39"/>
        <v>전주중화산풍림아이원</v>
      </c>
      <c r="AI41" s="86">
        <f t="shared" si="38"/>
        <v>36</v>
      </c>
      <c r="AJ41" s="76" t="str">
        <f>IF(AI41="","",$AJ$2)</f>
        <v>A-</v>
      </c>
      <c r="AK41" s="76" t="s">
        <v>13</v>
      </c>
      <c r="AL41" s="76" t="s">
        <v>62</v>
      </c>
      <c r="AM41" s="76" t="s">
        <v>63</v>
      </c>
      <c r="AN41" s="76" t="str">
        <f>IF(AI41="","",$AN$2)</f>
        <v>C</v>
      </c>
      <c r="AO41" s="76" t="str">
        <f>IF(N41="","",IF(N41&gt;=$AO$1/100,"O","X"))</f>
        <v>X</v>
      </c>
      <c r="AP41" s="76" t="str">
        <f>IF(I41="","",IF(I41&lt;=$AP$1,"O","X"))</f>
        <v>O</v>
      </c>
      <c r="AQ41" s="76" t="str">
        <f>IF(O41="","",IF(O41&lt;=$AQ$1,"O","X"))</f>
        <v>O</v>
      </c>
      <c r="AR41" s="76" t="str">
        <f>IF(M41="","",IF(M41&lt;=$AR$1,"O","X"))</f>
        <v>X</v>
      </c>
      <c r="AS41" s="76" t="s">
        <v>2</v>
      </c>
      <c r="AT41" s="76" t="str">
        <f>IF(OR(F41="",AI41=""),"",IF(AND((F41&lt;=85),(AI41&gt;=15)),"O","X"))</f>
        <v>O</v>
      </c>
      <c r="AU41" s="76" t="str">
        <f>IF(C41="","",IF(C41&gt;=$AU$1,"O","X"))</f>
        <v>O</v>
      </c>
      <c r="AV41" s="76" t="str">
        <f>IF(AO41="","",IF(AND(AO41="O",AP41="O",AR41="O",AT41="O",AU41="O"),"후보","X"))</f>
        <v>X</v>
      </c>
    </row>
    <row r="42" spans="1:48" x14ac:dyDescent="0.3">
      <c r="A42" s="9" t="s">
        <v>1180</v>
      </c>
      <c r="B42" s="10" t="s">
        <v>1887</v>
      </c>
      <c r="C42" s="87">
        <v>498</v>
      </c>
      <c r="D42" s="85">
        <v>144.9</v>
      </c>
      <c r="E42" s="86">
        <v>44</v>
      </c>
      <c r="F42" s="85">
        <v>113.4</v>
      </c>
      <c r="G42" s="17">
        <v>34</v>
      </c>
      <c r="H42" s="87">
        <v>109</v>
      </c>
      <c r="I42" s="88">
        <v>47000</v>
      </c>
      <c r="J42" s="88" t="s">
        <v>89</v>
      </c>
      <c r="K42" s="88"/>
      <c r="L42" s="88"/>
      <c r="M42" s="89">
        <f>I42-K42</f>
        <v>47000</v>
      </c>
      <c r="N42" s="4">
        <f>IF(ISERROR(K42/I42),"",K42/I42)</f>
        <v>0</v>
      </c>
      <c r="O42" s="90">
        <f>I42/E42</f>
        <v>1068.1818181818182</v>
      </c>
      <c r="P42" s="90">
        <f>K42/E42</f>
        <v>0</v>
      </c>
      <c r="Q42" s="76">
        <v>4</v>
      </c>
      <c r="R42" s="76">
        <v>2</v>
      </c>
      <c r="S42" s="76" t="s">
        <v>61</v>
      </c>
      <c r="T42" s="5">
        <v>144</v>
      </c>
      <c r="U42" s="9"/>
      <c r="W42" s="85">
        <f t="shared" si="40"/>
        <v>144.9</v>
      </c>
      <c r="X42" s="86">
        <f t="shared" si="40"/>
        <v>44</v>
      </c>
      <c r="Y42" s="91">
        <f t="shared" si="41"/>
        <v>109</v>
      </c>
      <c r="Z42" s="89">
        <f t="shared" si="41"/>
        <v>47000</v>
      </c>
      <c r="AA42" s="89">
        <f>K42</f>
        <v>0</v>
      </c>
      <c r="AB42" s="89">
        <f t="shared" si="42"/>
        <v>47000</v>
      </c>
      <c r="AC42" s="4">
        <f t="shared" si="42"/>
        <v>0</v>
      </c>
      <c r="AD42" s="90">
        <f t="shared" si="42"/>
        <v>1068.1818181818182</v>
      </c>
      <c r="AE42" s="76" t="str">
        <f>S42</f>
        <v>계</v>
      </c>
      <c r="AF42" s="76" t="str">
        <f>Q42&amp;"/"&amp;R42</f>
        <v>4/2</v>
      </c>
      <c r="AH42" s="20" t="str">
        <f t="shared" si="39"/>
        <v>전주중화산풍림아이원</v>
      </c>
      <c r="AI42" s="86">
        <f t="shared" si="38"/>
        <v>44</v>
      </c>
      <c r="AJ42" s="76" t="str">
        <f>IF(AI42="","",$AJ$2)</f>
        <v>A-</v>
      </c>
      <c r="AK42" s="76" t="s">
        <v>13</v>
      </c>
      <c r="AL42" s="76" t="s">
        <v>62</v>
      </c>
      <c r="AM42" s="76" t="s">
        <v>63</v>
      </c>
      <c r="AN42" s="76" t="str">
        <f>IF(AI42="","",$AN$2)</f>
        <v>C</v>
      </c>
      <c r="AO42" s="76" t="str">
        <f>IF(N42="","",IF(N42&gt;=$AO$1/100,"O","X"))</f>
        <v>X</v>
      </c>
      <c r="AP42" s="76" t="str">
        <f>IF(I42="","",IF(I42&lt;=$AP$1,"O","X"))</f>
        <v>O</v>
      </c>
      <c r="AQ42" s="76" t="str">
        <f>IF(O42="","",IF(O42&lt;=$AQ$1,"O","X"))</f>
        <v>O</v>
      </c>
      <c r="AR42" s="76" t="str">
        <f>IF(M42="","",IF(M42&lt;=$AR$1,"O","X"))</f>
        <v>X</v>
      </c>
      <c r="AS42" s="76" t="s">
        <v>2</v>
      </c>
      <c r="AT42" s="76" t="str">
        <f>IF(OR(F42="",AI42=""),"",IF(AND((F42&lt;=85),(AI42&gt;=15)),"O","X"))</f>
        <v>X</v>
      </c>
      <c r="AU42" s="76" t="str">
        <f>IF(C42="","",IF(C42&gt;=$AU$1,"O","X"))</f>
        <v>O</v>
      </c>
      <c r="AV42" s="76" t="str">
        <f>IF(AO42="","",IF(AND(AO42="O",AP42="O",AR42="O",AT42="O",AU42="O"),"후보","X"))</f>
        <v>X</v>
      </c>
    </row>
    <row r="43" spans="1:48" x14ac:dyDescent="0.3">
      <c r="A43" s="9" t="s">
        <v>1180</v>
      </c>
      <c r="B43" s="10" t="s">
        <v>1887</v>
      </c>
      <c r="C43" s="87">
        <v>498</v>
      </c>
      <c r="D43" s="85">
        <v>164.7</v>
      </c>
      <c r="E43" s="86">
        <v>50</v>
      </c>
      <c r="F43" s="85">
        <v>130.19999999999999</v>
      </c>
      <c r="G43" s="17">
        <v>39</v>
      </c>
      <c r="H43" s="87">
        <v>245</v>
      </c>
      <c r="I43" s="88">
        <v>50500</v>
      </c>
      <c r="J43" s="88" t="s">
        <v>89</v>
      </c>
      <c r="K43" s="88">
        <v>39000</v>
      </c>
      <c r="L43" s="88" t="s">
        <v>90</v>
      </c>
      <c r="M43" s="89">
        <f>I43-K43</f>
        <v>11500</v>
      </c>
      <c r="N43" s="4">
        <f>IF(ISERROR(K43/I43),"",K43/I43)</f>
        <v>0.7722772277227723</v>
      </c>
      <c r="O43" s="90">
        <f>I43/E43</f>
        <v>1010</v>
      </c>
      <c r="P43" s="90">
        <f>K43/E43</f>
        <v>780</v>
      </c>
      <c r="Q43" s="76">
        <v>4</v>
      </c>
      <c r="R43" s="76">
        <v>2</v>
      </c>
      <c r="S43" s="76" t="s">
        <v>61</v>
      </c>
      <c r="T43" s="5">
        <v>164</v>
      </c>
      <c r="U43" s="9"/>
      <c r="W43" s="85">
        <f t="shared" si="40"/>
        <v>164.7</v>
      </c>
      <c r="X43" s="86">
        <f t="shared" si="40"/>
        <v>50</v>
      </c>
      <c r="Y43" s="91">
        <f t="shared" si="41"/>
        <v>245</v>
      </c>
      <c r="Z43" s="89">
        <f t="shared" si="41"/>
        <v>50500</v>
      </c>
      <c r="AA43" s="89">
        <f>K43</f>
        <v>39000</v>
      </c>
      <c r="AB43" s="89">
        <f t="shared" si="42"/>
        <v>11500</v>
      </c>
      <c r="AC43" s="4">
        <f t="shared" si="42"/>
        <v>0.7722772277227723</v>
      </c>
      <c r="AD43" s="90">
        <f t="shared" si="42"/>
        <v>1010</v>
      </c>
      <c r="AE43" s="76" t="str">
        <f>S43</f>
        <v>계</v>
      </c>
      <c r="AF43" s="76" t="str">
        <f>Q43&amp;"/"&amp;R43</f>
        <v>4/2</v>
      </c>
      <c r="AH43" s="20" t="str">
        <f t="shared" si="39"/>
        <v>전주중화산풍림아이원</v>
      </c>
      <c r="AI43" s="86">
        <f t="shared" si="38"/>
        <v>50</v>
      </c>
      <c r="AJ43" s="76" t="str">
        <f>IF(AI43="","",$AJ$2)</f>
        <v>A-</v>
      </c>
      <c r="AK43" s="76" t="s">
        <v>13</v>
      </c>
      <c r="AL43" s="76" t="s">
        <v>62</v>
      </c>
      <c r="AM43" s="76" t="s">
        <v>63</v>
      </c>
      <c r="AN43" s="76" t="str">
        <f>IF(AI43="","",$AN$2)</f>
        <v>C</v>
      </c>
      <c r="AO43" s="76" t="str">
        <f>IF(N43="","",IF(N43&gt;=$AO$1/100,"O","X"))</f>
        <v>X</v>
      </c>
      <c r="AP43" s="76" t="str">
        <f>IF(I43="","",IF(I43&lt;=$AP$1,"O","X"))</f>
        <v>X</v>
      </c>
      <c r="AQ43" s="76" t="str">
        <f>IF(O43="","",IF(O43&lt;=$AQ$1,"O","X"))</f>
        <v>O</v>
      </c>
      <c r="AR43" s="76" t="str">
        <f>IF(M43="","",IF(M43&lt;=$AR$1,"O","X"))</f>
        <v>X</v>
      </c>
      <c r="AS43" s="76" t="s">
        <v>2</v>
      </c>
      <c r="AT43" s="76" t="str">
        <f>IF(OR(F43="",AI43=""),"",IF(AND((F43&lt;=85),(AI43&gt;=15)),"O","X"))</f>
        <v>X</v>
      </c>
      <c r="AU43" s="76" t="str">
        <f>IF(C43="","",IF(C43&gt;=$AU$1,"O","X"))</f>
        <v>O</v>
      </c>
      <c r="AV43" s="76" t="str">
        <f>IF(AO43="","",IF(AND(AO43="O",AP43="O",AR43="O",AT43="O",AU43="O"),"후보","X"))</f>
        <v>X</v>
      </c>
    </row>
    <row r="44" spans="1:48" x14ac:dyDescent="0.3">
      <c r="A44" s="9" t="s">
        <v>1180</v>
      </c>
      <c r="B44" s="10" t="s">
        <v>1887</v>
      </c>
      <c r="C44" s="87">
        <v>498</v>
      </c>
      <c r="D44" s="85">
        <v>194.6</v>
      </c>
      <c r="E44" s="86">
        <v>59</v>
      </c>
      <c r="F44" s="85">
        <v>156</v>
      </c>
      <c r="G44" s="17">
        <v>47</v>
      </c>
      <c r="H44" s="87">
        <v>56</v>
      </c>
      <c r="I44" s="88"/>
      <c r="J44" s="88"/>
      <c r="K44" s="88"/>
      <c r="L44" s="88"/>
      <c r="M44" s="89">
        <f>I44-K44</f>
        <v>0</v>
      </c>
      <c r="N44" s="4" t="str">
        <f>IF(ISERROR(K44/I44),"",K44/I44)</f>
        <v/>
      </c>
      <c r="O44" s="90">
        <f>I44/E44</f>
        <v>0</v>
      </c>
      <c r="P44" s="90">
        <f>K44/E44</f>
        <v>0</v>
      </c>
      <c r="Q44" s="76">
        <v>5</v>
      </c>
      <c r="R44" s="76">
        <v>2</v>
      </c>
      <c r="S44" s="76" t="s">
        <v>61</v>
      </c>
      <c r="T44" s="5">
        <v>194</v>
      </c>
      <c r="U44" s="9"/>
      <c r="W44" s="85">
        <f t="shared" si="40"/>
        <v>194.6</v>
      </c>
      <c r="X44" s="86">
        <f t="shared" si="40"/>
        <v>59</v>
      </c>
      <c r="Y44" s="91">
        <f t="shared" si="41"/>
        <v>56</v>
      </c>
      <c r="Z44" s="89">
        <f t="shared" si="41"/>
        <v>0</v>
      </c>
      <c r="AA44" s="89">
        <f>K44</f>
        <v>0</v>
      </c>
      <c r="AB44" s="89">
        <f t="shared" si="42"/>
        <v>0</v>
      </c>
      <c r="AC44" s="4" t="str">
        <f t="shared" si="42"/>
        <v/>
      </c>
      <c r="AD44" s="90">
        <f t="shared" si="42"/>
        <v>0</v>
      </c>
      <c r="AE44" s="76" t="str">
        <f>S44</f>
        <v>계</v>
      </c>
      <c r="AF44" s="76" t="str">
        <f>Q44&amp;"/"&amp;R44</f>
        <v>5/2</v>
      </c>
      <c r="AH44" s="20" t="str">
        <f t="shared" si="39"/>
        <v>전주중화산풍림아이원</v>
      </c>
      <c r="AI44" s="86">
        <f t="shared" si="38"/>
        <v>59</v>
      </c>
      <c r="AJ44" s="76" t="str">
        <f>IF(AI44="","",$AJ$2)</f>
        <v>A-</v>
      </c>
      <c r="AK44" s="76" t="s">
        <v>13</v>
      </c>
      <c r="AL44" s="76" t="s">
        <v>62</v>
      </c>
      <c r="AM44" s="76" t="s">
        <v>63</v>
      </c>
      <c r="AN44" s="76" t="str">
        <f>IF(AI44="","",$AN$2)</f>
        <v>C</v>
      </c>
      <c r="AO44" s="76" t="str">
        <f>IF(N44="","",IF(N44&gt;=$AO$1/100,"O","X"))</f>
        <v/>
      </c>
      <c r="AP44" s="76" t="str">
        <f>IF(I44="","",IF(I44&lt;=$AP$1,"O","X"))</f>
        <v/>
      </c>
      <c r="AQ44" s="76" t="str">
        <f>IF(O44="","",IF(O44&lt;=$AQ$1,"O","X"))</f>
        <v>O</v>
      </c>
      <c r="AR44" s="76" t="str">
        <f>IF(M44="","",IF(M44&lt;=$AR$1,"O","X"))</f>
        <v>O</v>
      </c>
      <c r="AS44" s="76" t="s">
        <v>2</v>
      </c>
      <c r="AT44" s="76" t="str">
        <f>IF(OR(F44="",AI44=""),"",IF(AND((F44&lt;=85),(AI44&gt;=15)),"O","X"))</f>
        <v>X</v>
      </c>
      <c r="AU44" s="76" t="str">
        <f>IF(C44="","",IF(C44&gt;=$AU$1,"O","X"))</f>
        <v>O</v>
      </c>
      <c r="AV44" s="76" t="str">
        <f>IF(AO44="","",IF(AND(AO44="O",AP44="O",AR44="O",AT44="O",AU44="O"),"후보","X"))</f>
        <v/>
      </c>
    </row>
    <row r="45" spans="1:48" x14ac:dyDescent="0.3">
      <c r="A45" s="9" t="s">
        <v>1180</v>
      </c>
      <c r="B45" s="10" t="s">
        <v>1887</v>
      </c>
      <c r="C45" s="87">
        <v>498</v>
      </c>
      <c r="D45" s="85">
        <v>251</v>
      </c>
      <c r="E45" s="86">
        <v>76</v>
      </c>
      <c r="F45" s="85">
        <v>198.9</v>
      </c>
      <c r="G45" s="17">
        <v>60</v>
      </c>
      <c r="H45" s="87">
        <v>10</v>
      </c>
      <c r="I45" s="88">
        <v>100000</v>
      </c>
      <c r="J45" s="88" t="s">
        <v>71</v>
      </c>
      <c r="K45" s="88"/>
      <c r="L45" s="88"/>
      <c r="M45" s="89">
        <f>I45-K45</f>
        <v>100000</v>
      </c>
      <c r="N45" s="4">
        <f>IF(ISERROR(K45/I45),"",K45/I45)</f>
        <v>0</v>
      </c>
      <c r="O45" s="90">
        <f>I45/E45</f>
        <v>1315.7894736842106</v>
      </c>
      <c r="P45" s="90">
        <f>K45/E45</f>
        <v>0</v>
      </c>
      <c r="Q45" s="76">
        <v>5</v>
      </c>
      <c r="R45" s="76">
        <v>3</v>
      </c>
      <c r="S45" s="76" t="s">
        <v>61</v>
      </c>
      <c r="T45" s="5">
        <v>251</v>
      </c>
      <c r="U45" s="9"/>
      <c r="W45" s="85">
        <f t="shared" si="40"/>
        <v>251</v>
      </c>
      <c r="X45" s="86">
        <f t="shared" si="40"/>
        <v>76</v>
      </c>
      <c r="Y45" s="91">
        <f t="shared" si="41"/>
        <v>10</v>
      </c>
      <c r="Z45" s="89">
        <f t="shared" si="41"/>
        <v>100000</v>
      </c>
      <c r="AA45" s="89">
        <f>K45</f>
        <v>0</v>
      </c>
      <c r="AB45" s="89">
        <f t="shared" si="42"/>
        <v>100000</v>
      </c>
      <c r="AC45" s="4">
        <f t="shared" si="42"/>
        <v>0</v>
      </c>
      <c r="AD45" s="90">
        <f t="shared" si="42"/>
        <v>1315.7894736842106</v>
      </c>
      <c r="AE45" s="76" t="str">
        <f>S45</f>
        <v>계</v>
      </c>
      <c r="AF45" s="76" t="str">
        <f>Q45&amp;"/"&amp;R45</f>
        <v>5/3</v>
      </c>
      <c r="AH45" s="20" t="str">
        <f t="shared" si="39"/>
        <v>전주중화산풍림아이원</v>
      </c>
      <c r="AI45" s="86">
        <f t="shared" si="38"/>
        <v>76</v>
      </c>
      <c r="AJ45" s="76" t="str">
        <f>IF(AI45="","",$AJ$2)</f>
        <v>A-</v>
      </c>
      <c r="AK45" s="76" t="s">
        <v>13</v>
      </c>
      <c r="AL45" s="76" t="s">
        <v>62</v>
      </c>
      <c r="AM45" s="76" t="s">
        <v>63</v>
      </c>
      <c r="AN45" s="76" t="str">
        <f>IF(AI45="","",$AN$2)</f>
        <v>C</v>
      </c>
      <c r="AO45" s="76" t="str">
        <f>IF(N45="","",IF(N45&gt;=$AO$1/100,"O","X"))</f>
        <v>X</v>
      </c>
      <c r="AP45" s="76" t="str">
        <f>IF(I45="","",IF(I45&lt;=$AP$1,"O","X"))</f>
        <v>X</v>
      </c>
      <c r="AQ45" s="76" t="str">
        <f>IF(O45="","",IF(O45&lt;=$AQ$1,"O","X"))</f>
        <v>O</v>
      </c>
      <c r="AR45" s="76" t="str">
        <f>IF(M45="","",IF(M45&lt;=$AR$1,"O","X"))</f>
        <v>X</v>
      </c>
      <c r="AS45" s="76" t="s">
        <v>2</v>
      </c>
      <c r="AT45" s="76" t="str">
        <f>IF(OR(F45="",AI45=""),"",IF(AND((F45&lt;=85),(AI45&gt;=15)),"O","X"))</f>
        <v>X</v>
      </c>
      <c r="AU45" s="76" t="str">
        <f>IF(C45="","",IF(C45&gt;=$AU$1,"O","X"))</f>
        <v>O</v>
      </c>
      <c r="AV45" s="76" t="str">
        <f>IF(AO45="","",IF(AND(AO45="O",AP45="O",AR45="O",AT45="O",AU45="O"),"후보","X"))</f>
        <v>X</v>
      </c>
    </row>
    <row r="46" spans="1:48" x14ac:dyDescent="0.3">
      <c r="A46" s="9"/>
      <c r="B46" s="76"/>
      <c r="C46" s="6"/>
      <c r="D46" s="9"/>
      <c r="E46" s="14"/>
      <c r="F46" s="85"/>
      <c r="G46" s="9"/>
      <c r="H46" s="9"/>
      <c r="I46" s="9"/>
      <c r="J46" s="9"/>
      <c r="K46" s="9"/>
      <c r="L46" s="9"/>
      <c r="M46" s="9"/>
      <c r="N46" s="9"/>
      <c r="O46" s="90"/>
      <c r="P46" s="90"/>
      <c r="Q46" s="86"/>
      <c r="R46" s="86"/>
      <c r="S46" s="9"/>
      <c r="T46" s="47"/>
      <c r="U46" s="9"/>
      <c r="W46" s="67" t="str">
        <f>$A$4&amp;" "&amp;A47&amp;"("&amp;B47&amp;","&amp;C47&amp;"^)"</f>
        <v>중화산동2가 중화산영무예다음('15.06.,336^)</v>
      </c>
      <c r="X46" s="68"/>
      <c r="Y46" s="68"/>
      <c r="Z46" s="68"/>
      <c r="AA46" s="68"/>
      <c r="AB46" s="68"/>
      <c r="AC46" s="68"/>
      <c r="AD46" s="68"/>
      <c r="AE46" s="68"/>
      <c r="AF46" s="69"/>
      <c r="AH46" s="20" t="str">
        <f t="shared" si="39"/>
        <v/>
      </c>
      <c r="AI46" s="108" t="str">
        <f t="shared" si="38"/>
        <v/>
      </c>
      <c r="AJ46" s="76"/>
      <c r="AK46" s="76"/>
      <c r="AL46" s="76"/>
      <c r="AM46" s="76"/>
      <c r="AN46" s="76"/>
      <c r="AO46" s="76"/>
      <c r="AP46" s="76"/>
      <c r="AQ46" s="76"/>
      <c r="AR46" s="76"/>
      <c r="AS46" s="76"/>
      <c r="AT46" s="76"/>
      <c r="AU46" s="76"/>
      <c r="AV46" s="76"/>
    </row>
    <row r="47" spans="1:48" x14ac:dyDescent="0.3">
      <c r="A47" s="9" t="s">
        <v>1189</v>
      </c>
      <c r="B47" s="10" t="s">
        <v>1888</v>
      </c>
      <c r="C47" s="87">
        <v>336</v>
      </c>
      <c r="D47" s="85">
        <v>108.8</v>
      </c>
      <c r="E47" s="86">
        <v>33</v>
      </c>
      <c r="F47" s="85">
        <v>83.7</v>
      </c>
      <c r="G47" s="17">
        <v>25</v>
      </c>
      <c r="H47" s="87">
        <v>84</v>
      </c>
      <c r="I47" s="88">
        <v>37500</v>
      </c>
      <c r="J47" s="88" t="s">
        <v>89</v>
      </c>
      <c r="K47" s="88">
        <v>33000</v>
      </c>
      <c r="L47" s="88" t="s">
        <v>85</v>
      </c>
      <c r="M47" s="89">
        <f>I47-K47</f>
        <v>4500</v>
      </c>
      <c r="N47" s="4">
        <f>IF(ISERROR(K47/I47),"",K47/I47)</f>
        <v>0.88</v>
      </c>
      <c r="O47" s="90">
        <f>I47/E47</f>
        <v>1136.3636363636363</v>
      </c>
      <c r="P47" s="90">
        <f>K47/E47</f>
        <v>1000</v>
      </c>
      <c r="Q47" s="76">
        <v>3</v>
      </c>
      <c r="R47" s="76">
        <v>2</v>
      </c>
      <c r="S47" s="76" t="s">
        <v>61</v>
      </c>
      <c r="T47" s="5" t="s">
        <v>264</v>
      </c>
      <c r="U47" s="9"/>
      <c r="W47" s="85">
        <f>D47</f>
        <v>108.8</v>
      </c>
      <c r="X47" s="86">
        <f>E47</f>
        <v>33</v>
      </c>
      <c r="Y47" s="91">
        <f>H47</f>
        <v>84</v>
      </c>
      <c r="Z47" s="89">
        <f>I47</f>
        <v>37500</v>
      </c>
      <c r="AA47" s="89">
        <f>K47</f>
        <v>33000</v>
      </c>
      <c r="AB47" s="89">
        <f t="shared" ref="AB47:AD48" si="43">M47</f>
        <v>4500</v>
      </c>
      <c r="AC47" s="4">
        <f t="shared" si="43"/>
        <v>0.88</v>
      </c>
      <c r="AD47" s="90">
        <f t="shared" si="43"/>
        <v>1136.3636363636363</v>
      </c>
      <c r="AE47" s="76" t="str">
        <f>S47</f>
        <v>계</v>
      </c>
      <c r="AF47" s="76" t="str">
        <f>Q47&amp;"/"&amp;R47</f>
        <v>3/2</v>
      </c>
      <c r="AH47" s="20" t="str">
        <f t="shared" si="39"/>
        <v>중화산영무예다음</v>
      </c>
      <c r="AI47" s="86">
        <f t="shared" si="38"/>
        <v>33</v>
      </c>
      <c r="AJ47" s="76" t="str">
        <f>IF(AI47="","",$AJ$2)</f>
        <v>A-</v>
      </c>
      <c r="AK47" s="76" t="s">
        <v>13</v>
      </c>
      <c r="AL47" s="76" t="s">
        <v>62</v>
      </c>
      <c r="AM47" s="76" t="s">
        <v>63</v>
      </c>
      <c r="AN47" s="76" t="str">
        <f>IF(AI47="","",$AN$2)</f>
        <v>C</v>
      </c>
      <c r="AO47" s="76" t="str">
        <f>IF(N47="","",IF(N47&gt;=$AO$1/100,"O","X"))</f>
        <v>O</v>
      </c>
      <c r="AP47" s="76" t="str">
        <f>IF(I47="","",IF(I47&lt;=$AP$1,"O","X"))</f>
        <v>O</v>
      </c>
      <c r="AQ47" s="76" t="str">
        <f>IF(O47="","",IF(O47&lt;=$AQ$1,"O","X"))</f>
        <v>O</v>
      </c>
      <c r="AR47" s="76" t="str">
        <f>IF(M47="","",IF(M47&lt;=$AR$1,"O","X"))</f>
        <v>O</v>
      </c>
      <c r="AS47" s="76" t="s">
        <v>2</v>
      </c>
      <c r="AT47" s="76" t="str">
        <f>IF(OR(F47="",AI47=""),"",IF(AND((F47&lt;=85),(AI47&gt;=15)),"O","X"))</f>
        <v>O</v>
      </c>
      <c r="AU47" s="76" t="str">
        <f>IF(C47="","",IF(C47&gt;=$AU$1,"O","X"))</f>
        <v>O</v>
      </c>
      <c r="AV47" s="76" t="str">
        <f>IF(AO47="","",IF(AND(AO47="O",AP47="O",AR47="O",AT47="O",AU47="O"),"후보","X"))</f>
        <v>후보</v>
      </c>
    </row>
    <row r="48" spans="1:48" x14ac:dyDescent="0.3">
      <c r="A48" s="9" t="s">
        <v>1189</v>
      </c>
      <c r="B48" s="10" t="s">
        <v>1888</v>
      </c>
      <c r="C48" s="87">
        <v>336</v>
      </c>
      <c r="D48" s="85">
        <v>109.2</v>
      </c>
      <c r="E48" s="86">
        <v>33</v>
      </c>
      <c r="F48" s="85">
        <v>85</v>
      </c>
      <c r="G48" s="17">
        <v>26</v>
      </c>
      <c r="H48" s="87">
        <v>252</v>
      </c>
      <c r="I48" s="88">
        <v>38000</v>
      </c>
      <c r="J48" s="88" t="s">
        <v>172</v>
      </c>
      <c r="K48" s="88"/>
      <c r="L48" s="88"/>
      <c r="M48" s="89">
        <f>I48-K48</f>
        <v>38000</v>
      </c>
      <c r="N48" s="4">
        <f>IF(ISERROR(K48/I48),"",K48/I48)</f>
        <v>0</v>
      </c>
      <c r="O48" s="90">
        <f>I48/E48</f>
        <v>1151.5151515151515</v>
      </c>
      <c r="P48" s="90">
        <f>K48/E48</f>
        <v>0</v>
      </c>
      <c r="Q48" s="76">
        <v>3</v>
      </c>
      <c r="R48" s="76">
        <v>2</v>
      </c>
      <c r="S48" s="76" t="s">
        <v>61</v>
      </c>
      <c r="T48" s="5" t="s">
        <v>124</v>
      </c>
      <c r="U48" s="9"/>
      <c r="W48" s="85">
        <f>D48</f>
        <v>109.2</v>
      </c>
      <c r="X48" s="86">
        <f>E48</f>
        <v>33</v>
      </c>
      <c r="Y48" s="91">
        <f>H48</f>
        <v>252</v>
      </c>
      <c r="Z48" s="89">
        <f>I48</f>
        <v>38000</v>
      </c>
      <c r="AA48" s="89">
        <f>K48</f>
        <v>0</v>
      </c>
      <c r="AB48" s="89">
        <f t="shared" si="43"/>
        <v>38000</v>
      </c>
      <c r="AC48" s="4">
        <f t="shared" si="43"/>
        <v>0</v>
      </c>
      <c r="AD48" s="90">
        <f t="shared" si="43"/>
        <v>1151.5151515151515</v>
      </c>
      <c r="AE48" s="76" t="str">
        <f>S48</f>
        <v>계</v>
      </c>
      <c r="AF48" s="76" t="str">
        <f>Q48&amp;"/"&amp;R48</f>
        <v>3/2</v>
      </c>
      <c r="AH48" s="20" t="str">
        <f t="shared" si="39"/>
        <v>중화산영무예다음</v>
      </c>
      <c r="AI48" s="86">
        <f t="shared" si="38"/>
        <v>33</v>
      </c>
      <c r="AJ48" s="76" t="str">
        <f>IF(AI48="","",$AJ$2)</f>
        <v>A-</v>
      </c>
      <c r="AK48" s="76" t="s">
        <v>13</v>
      </c>
      <c r="AL48" s="76" t="s">
        <v>62</v>
      </c>
      <c r="AM48" s="76" t="s">
        <v>63</v>
      </c>
      <c r="AN48" s="76" t="str">
        <f>IF(AI48="","",$AN$2)</f>
        <v>C</v>
      </c>
      <c r="AO48" s="76" t="str">
        <f>IF(N48="","",IF(N48&gt;=$AO$1/100,"O","X"))</f>
        <v>X</v>
      </c>
      <c r="AP48" s="76" t="str">
        <f>IF(I48="","",IF(I48&lt;=$AP$1,"O","X"))</f>
        <v>O</v>
      </c>
      <c r="AQ48" s="76" t="str">
        <f>IF(O48="","",IF(O48&lt;=$AQ$1,"O","X"))</f>
        <v>O</v>
      </c>
      <c r="AR48" s="76" t="str">
        <f>IF(M48="","",IF(M48&lt;=$AR$1,"O","X"))</f>
        <v>X</v>
      </c>
      <c r="AS48" s="76" t="s">
        <v>2</v>
      </c>
      <c r="AT48" s="76" t="str">
        <f>IF(OR(F48="",AI48=""),"",IF(AND((F48&lt;=85),(AI48&gt;=15)),"O","X"))</f>
        <v>O</v>
      </c>
      <c r="AU48" s="76" t="str">
        <f>IF(C48="","",IF(C48&gt;=$AU$1,"O","X"))</f>
        <v>O</v>
      </c>
      <c r="AV48" s="76" t="str">
        <f>IF(AO48="","",IF(AND(AO48="O",AP48="O",AR48="O",AT48="O",AU48="O"),"후보","X"))</f>
        <v>X</v>
      </c>
    </row>
    <row r="49" spans="1:48" x14ac:dyDescent="0.3">
      <c r="A49" s="9"/>
      <c r="B49" s="76"/>
      <c r="C49" s="6"/>
      <c r="D49" s="9"/>
      <c r="E49" s="14"/>
      <c r="F49" s="85"/>
      <c r="G49" s="9"/>
      <c r="H49" s="9"/>
      <c r="I49" s="9"/>
      <c r="J49" s="9"/>
      <c r="K49" s="9"/>
      <c r="L49" s="9"/>
      <c r="M49" s="9"/>
      <c r="N49" s="9"/>
      <c r="O49" s="90"/>
      <c r="P49" s="90"/>
      <c r="Q49" s="86"/>
      <c r="R49" s="86"/>
      <c r="S49" s="9"/>
      <c r="T49" s="47"/>
      <c r="U49" s="9"/>
      <c r="W49" s="67" t="str">
        <f>$A$4&amp;" "&amp;A50&amp;"("&amp;B50&amp;","&amp;C50&amp;"^)"</f>
        <v>중화산동2가 우성중산타운('03.05.,320^)</v>
      </c>
      <c r="X49" s="68"/>
      <c r="Y49" s="68"/>
      <c r="Z49" s="68"/>
      <c r="AA49" s="68"/>
      <c r="AB49" s="68"/>
      <c r="AC49" s="68"/>
      <c r="AD49" s="68"/>
      <c r="AE49" s="68"/>
      <c r="AF49" s="69"/>
      <c r="AH49" s="20" t="str">
        <f t="shared" si="39"/>
        <v/>
      </c>
      <c r="AI49" s="108" t="str">
        <f t="shared" si="38"/>
        <v/>
      </c>
      <c r="AJ49" s="76"/>
      <c r="AK49" s="76"/>
      <c r="AL49" s="76"/>
      <c r="AM49" s="76"/>
      <c r="AN49" s="76"/>
      <c r="AO49" s="76"/>
      <c r="AP49" s="76"/>
      <c r="AQ49" s="76"/>
      <c r="AR49" s="76"/>
      <c r="AS49" s="76"/>
      <c r="AT49" s="76"/>
      <c r="AU49" s="76"/>
      <c r="AV49" s="76"/>
    </row>
    <row r="50" spans="1:48" x14ac:dyDescent="0.3">
      <c r="A50" s="9" t="s">
        <v>1198</v>
      </c>
      <c r="B50" s="10" t="s">
        <v>1889</v>
      </c>
      <c r="C50" s="87">
        <v>320</v>
      </c>
      <c r="D50" s="85">
        <v>100.8</v>
      </c>
      <c r="E50" s="86">
        <v>31</v>
      </c>
      <c r="F50" s="85">
        <v>83.2</v>
      </c>
      <c r="G50" s="17">
        <v>25</v>
      </c>
      <c r="H50" s="87">
        <v>320</v>
      </c>
      <c r="I50" s="88">
        <v>22000</v>
      </c>
      <c r="J50" s="88" t="s">
        <v>131</v>
      </c>
      <c r="K50" s="88"/>
      <c r="L50" s="88"/>
      <c r="M50" s="89">
        <f>I50-K50</f>
        <v>22000</v>
      </c>
      <c r="N50" s="4">
        <f>IF(ISERROR(K50/I50),"",K50/I50)</f>
        <v>0</v>
      </c>
      <c r="O50" s="90">
        <f>I50/E50</f>
        <v>709.67741935483866</v>
      </c>
      <c r="P50" s="90">
        <f>K50/E50</f>
        <v>0</v>
      </c>
      <c r="Q50" s="76">
        <v>3</v>
      </c>
      <c r="R50" s="76">
        <v>2</v>
      </c>
      <c r="S50" s="76" t="s">
        <v>61</v>
      </c>
      <c r="T50" s="5">
        <v>100</v>
      </c>
      <c r="U50" s="9"/>
      <c r="W50" s="85">
        <f>D50</f>
        <v>100.8</v>
      </c>
      <c r="X50" s="86">
        <f>E50</f>
        <v>31</v>
      </c>
      <c r="Y50" s="91">
        <f>H50</f>
        <v>320</v>
      </c>
      <c r="Z50" s="89">
        <f>I50</f>
        <v>22000</v>
      </c>
      <c r="AA50" s="89">
        <f>K50</f>
        <v>0</v>
      </c>
      <c r="AB50" s="89">
        <f>M50</f>
        <v>22000</v>
      </c>
      <c r="AC50" s="4">
        <f>N50</f>
        <v>0</v>
      </c>
      <c r="AD50" s="90">
        <f>O50</f>
        <v>709.67741935483866</v>
      </c>
      <c r="AE50" s="76" t="str">
        <f>S50</f>
        <v>계</v>
      </c>
      <c r="AF50" s="76" t="str">
        <f>Q50&amp;"/"&amp;R50</f>
        <v>3/2</v>
      </c>
      <c r="AH50" s="20" t="str">
        <f t="shared" si="39"/>
        <v>우성중산타운</v>
      </c>
      <c r="AI50" s="86">
        <f t="shared" si="38"/>
        <v>31</v>
      </c>
      <c r="AJ50" s="76" t="str">
        <f>IF(AI50="","",$AJ$2)</f>
        <v>A-</v>
      </c>
      <c r="AK50" s="76" t="s">
        <v>13</v>
      </c>
      <c r="AL50" s="76" t="s">
        <v>62</v>
      </c>
      <c r="AM50" s="76" t="s">
        <v>63</v>
      </c>
      <c r="AN50" s="76" t="str">
        <f>IF(AI50="","",$AN$2)</f>
        <v>C</v>
      </c>
      <c r="AO50" s="76" t="str">
        <f>IF(N50="","",IF(N50&gt;=$AO$1/100,"O","X"))</f>
        <v>X</v>
      </c>
      <c r="AP50" s="76" t="str">
        <f>IF(I50="","",IF(I50&lt;=$AP$1,"O","X"))</f>
        <v>O</v>
      </c>
      <c r="AQ50" s="76" t="str">
        <f>IF(O50="","",IF(O50&lt;=$AQ$1,"O","X"))</f>
        <v>O</v>
      </c>
      <c r="AR50" s="76" t="str">
        <f>IF(M50="","",IF(M50&lt;=$AR$1,"O","X"))</f>
        <v>X</v>
      </c>
      <c r="AS50" s="76" t="s">
        <v>2</v>
      </c>
      <c r="AT50" s="76" t="str">
        <f>IF(OR(F50="",AI50=""),"",IF(AND((F50&lt;=85),(AI50&gt;=15)),"O","X"))</f>
        <v>O</v>
      </c>
      <c r="AU50" s="76" t="str">
        <f>IF(C50="","",IF(C50&gt;=$AU$1,"O","X"))</f>
        <v>O</v>
      </c>
      <c r="AV50" s="76" t="str">
        <f>IF(AO50="","",IF(AND(AO50="O",AP50="O",AR50="O",AT50="O",AU50="O"),"후보","X"))</f>
        <v>X</v>
      </c>
    </row>
    <row r="51" spans="1:48" x14ac:dyDescent="0.3">
      <c r="A51" s="9"/>
      <c r="B51" s="76"/>
      <c r="C51" s="6"/>
      <c r="D51" s="9"/>
      <c r="E51" s="14"/>
      <c r="F51" s="85"/>
      <c r="G51" s="9"/>
      <c r="H51" s="9"/>
      <c r="I51" s="9"/>
      <c r="J51" s="9"/>
      <c r="K51" s="9"/>
      <c r="L51" s="9"/>
      <c r="M51" s="9"/>
      <c r="N51" s="9"/>
      <c r="O51" s="90"/>
      <c r="P51" s="90"/>
      <c r="Q51" s="86"/>
      <c r="R51" s="86"/>
      <c r="S51" s="9"/>
      <c r="T51" s="47"/>
      <c r="U51" s="9"/>
      <c r="W51" s="67" t="str">
        <f>$A$4&amp;" "&amp;A52&amp;"("&amp;B52&amp;","&amp;C52&amp;"^)"</f>
        <v>중화산동2가 오성은하('92.06.,270^)</v>
      </c>
      <c r="X51" s="68"/>
      <c r="Y51" s="68"/>
      <c r="Z51" s="68"/>
      <c r="AA51" s="68"/>
      <c r="AB51" s="68"/>
      <c r="AC51" s="68"/>
      <c r="AD51" s="68"/>
      <c r="AE51" s="68"/>
      <c r="AF51" s="69"/>
      <c r="AH51" s="20" t="str">
        <f t="shared" si="39"/>
        <v/>
      </c>
      <c r="AI51" s="108" t="str">
        <f t="shared" si="38"/>
        <v/>
      </c>
      <c r="AJ51" s="76"/>
      <c r="AK51" s="76"/>
      <c r="AL51" s="76"/>
      <c r="AM51" s="76"/>
      <c r="AN51" s="76"/>
      <c r="AO51" s="76"/>
      <c r="AP51" s="76"/>
      <c r="AQ51" s="76"/>
      <c r="AR51" s="76"/>
      <c r="AS51" s="76"/>
      <c r="AT51" s="76"/>
      <c r="AU51" s="76"/>
      <c r="AV51" s="76"/>
    </row>
    <row r="52" spans="1:48" x14ac:dyDescent="0.3">
      <c r="A52" s="9" t="s">
        <v>1208</v>
      </c>
      <c r="B52" s="10" t="s">
        <v>1886</v>
      </c>
      <c r="C52" s="87">
        <v>270</v>
      </c>
      <c r="D52" s="85">
        <v>102.9</v>
      </c>
      <c r="E52" s="86">
        <v>31</v>
      </c>
      <c r="F52" s="85">
        <v>85</v>
      </c>
      <c r="G52" s="17">
        <v>26</v>
      </c>
      <c r="H52" s="87">
        <v>108</v>
      </c>
      <c r="I52" s="88"/>
      <c r="J52" s="88"/>
      <c r="K52" s="88"/>
      <c r="L52" s="88"/>
      <c r="M52" s="89">
        <f t="shared" ref="M52:M58" si="44">I52-K52</f>
        <v>0</v>
      </c>
      <c r="N52" s="4" t="str">
        <f t="shared" ref="N52:N58" si="45">IF(ISERROR(K52/I52),"",K52/I52)</f>
        <v/>
      </c>
      <c r="O52" s="90">
        <f t="shared" ref="O52:O58" si="46">I52/E52</f>
        <v>0</v>
      </c>
      <c r="P52" s="90">
        <f t="shared" ref="P52:P58" si="47">K52/E52</f>
        <v>0</v>
      </c>
      <c r="Q52" s="76">
        <v>3</v>
      </c>
      <c r="R52" s="76">
        <v>2</v>
      </c>
      <c r="S52" s="76" t="s">
        <v>68</v>
      </c>
      <c r="T52" s="5">
        <v>102</v>
      </c>
      <c r="U52" s="9"/>
      <c r="W52" s="85">
        <f t="shared" ref="W52:X58" si="48">D52</f>
        <v>102.9</v>
      </c>
      <c r="X52" s="86">
        <f t="shared" si="48"/>
        <v>31</v>
      </c>
      <c r="Y52" s="91">
        <f t="shared" ref="Y52:Z58" si="49">H52</f>
        <v>108</v>
      </c>
      <c r="Z52" s="89">
        <f t="shared" si="49"/>
        <v>0</v>
      </c>
      <c r="AA52" s="89">
        <f t="shared" ref="AA52:AA58" si="50">K52</f>
        <v>0</v>
      </c>
      <c r="AB52" s="89">
        <f t="shared" ref="AB52:AD58" si="51">M52</f>
        <v>0</v>
      </c>
      <c r="AC52" s="4" t="str">
        <f t="shared" si="51"/>
        <v/>
      </c>
      <c r="AD52" s="90">
        <f t="shared" si="51"/>
        <v>0</v>
      </c>
      <c r="AE52" s="76" t="str">
        <f t="shared" ref="AE52:AE58" si="52">S52</f>
        <v>복</v>
      </c>
      <c r="AF52" s="76" t="str">
        <f t="shared" ref="AF52:AF58" si="53">Q52&amp;"/"&amp;R52</f>
        <v>3/2</v>
      </c>
      <c r="AH52" s="20" t="str">
        <f t="shared" si="39"/>
        <v>오성은하</v>
      </c>
      <c r="AI52" s="86">
        <f t="shared" si="38"/>
        <v>31</v>
      </c>
      <c r="AJ52" s="76" t="str">
        <f t="shared" ref="AJ52:AJ58" si="54">IF(AI52="","",$AJ$2)</f>
        <v>A-</v>
      </c>
      <c r="AK52" s="76" t="s">
        <v>13</v>
      </c>
      <c r="AL52" s="76" t="s">
        <v>62</v>
      </c>
      <c r="AM52" s="76" t="s">
        <v>63</v>
      </c>
      <c r="AN52" s="76" t="str">
        <f t="shared" ref="AN52:AN58" si="55">IF(AI52="","",$AN$2)</f>
        <v>C</v>
      </c>
      <c r="AO52" s="76" t="str">
        <f t="shared" ref="AO52:AO58" si="56">IF(N52="","",IF(N52&gt;=$AO$1/100,"O","X"))</f>
        <v/>
      </c>
      <c r="AP52" s="76" t="str">
        <f t="shared" ref="AP52:AP58" si="57">IF(I52="","",IF(I52&lt;=$AP$1,"O","X"))</f>
        <v/>
      </c>
      <c r="AQ52" s="76" t="str">
        <f t="shared" ref="AQ52:AQ58" si="58">IF(O52="","",IF(O52&lt;=$AQ$1,"O","X"))</f>
        <v>O</v>
      </c>
      <c r="AR52" s="76" t="str">
        <f t="shared" ref="AR52:AR58" si="59">IF(M52="","",IF(M52&lt;=$AR$1,"O","X"))</f>
        <v>O</v>
      </c>
      <c r="AS52" s="76" t="s">
        <v>2</v>
      </c>
      <c r="AT52" s="76" t="str">
        <f t="shared" ref="AT52:AT58" si="60">IF(OR(F52="",AI52=""),"",IF(AND((F52&lt;=85),(AI52&gt;=15)),"O","X"))</f>
        <v>O</v>
      </c>
      <c r="AU52" s="76" t="str">
        <f t="shared" ref="AU52:AU58" si="61">IF(C52="","",IF(C52&gt;=$AU$1,"O","X"))</f>
        <v>X</v>
      </c>
      <c r="AV52" s="76" t="str">
        <f t="shared" ref="AV52:AV58" si="62">IF(AO52="","",IF(AND(AO52="O",AP52="O",AR52="O",AT52="O",AU52="O"),"후보","X"))</f>
        <v/>
      </c>
    </row>
    <row r="53" spans="1:48" x14ac:dyDescent="0.3">
      <c r="A53" s="9" t="s">
        <v>1208</v>
      </c>
      <c r="B53" s="10" t="s">
        <v>1886</v>
      </c>
      <c r="C53" s="87">
        <v>270</v>
      </c>
      <c r="D53" s="85">
        <v>133.4</v>
      </c>
      <c r="E53" s="86">
        <v>40</v>
      </c>
      <c r="F53" s="85">
        <v>110.3</v>
      </c>
      <c r="G53" s="17">
        <v>33</v>
      </c>
      <c r="H53" s="87">
        <v>13</v>
      </c>
      <c r="I53" s="88"/>
      <c r="J53" s="88"/>
      <c r="K53" s="88"/>
      <c r="L53" s="88"/>
      <c r="M53" s="89">
        <f t="shared" si="44"/>
        <v>0</v>
      </c>
      <c r="N53" s="4" t="str">
        <f t="shared" si="45"/>
        <v/>
      </c>
      <c r="O53" s="90">
        <f t="shared" si="46"/>
        <v>0</v>
      </c>
      <c r="P53" s="90">
        <f t="shared" si="47"/>
        <v>0</v>
      </c>
      <c r="Q53" s="76">
        <v>4</v>
      </c>
      <c r="R53" s="76">
        <v>2</v>
      </c>
      <c r="S53" s="76" t="s">
        <v>61</v>
      </c>
      <c r="T53" s="5">
        <v>133</v>
      </c>
      <c r="U53" s="9"/>
      <c r="W53" s="85">
        <f t="shared" si="48"/>
        <v>133.4</v>
      </c>
      <c r="X53" s="86">
        <f t="shared" si="48"/>
        <v>40</v>
      </c>
      <c r="Y53" s="91">
        <f t="shared" si="49"/>
        <v>13</v>
      </c>
      <c r="Z53" s="89">
        <f t="shared" si="49"/>
        <v>0</v>
      </c>
      <c r="AA53" s="89">
        <f t="shared" si="50"/>
        <v>0</v>
      </c>
      <c r="AB53" s="89">
        <f t="shared" si="51"/>
        <v>0</v>
      </c>
      <c r="AC53" s="4" t="str">
        <f t="shared" si="51"/>
        <v/>
      </c>
      <c r="AD53" s="90">
        <f t="shared" si="51"/>
        <v>0</v>
      </c>
      <c r="AE53" s="76" t="str">
        <f t="shared" si="52"/>
        <v>계</v>
      </c>
      <c r="AF53" s="76" t="str">
        <f t="shared" si="53"/>
        <v>4/2</v>
      </c>
      <c r="AH53" s="20" t="str">
        <f t="shared" si="39"/>
        <v>오성은하</v>
      </c>
      <c r="AI53" s="86">
        <f t="shared" si="38"/>
        <v>40</v>
      </c>
      <c r="AJ53" s="76" t="str">
        <f t="shared" si="54"/>
        <v>A-</v>
      </c>
      <c r="AK53" s="76" t="s">
        <v>13</v>
      </c>
      <c r="AL53" s="76" t="s">
        <v>62</v>
      </c>
      <c r="AM53" s="76" t="s">
        <v>63</v>
      </c>
      <c r="AN53" s="76" t="str">
        <f t="shared" si="55"/>
        <v>C</v>
      </c>
      <c r="AO53" s="76" t="str">
        <f t="shared" si="56"/>
        <v/>
      </c>
      <c r="AP53" s="76" t="str">
        <f t="shared" si="57"/>
        <v/>
      </c>
      <c r="AQ53" s="76" t="str">
        <f t="shared" si="58"/>
        <v>O</v>
      </c>
      <c r="AR53" s="76" t="str">
        <f t="shared" si="59"/>
        <v>O</v>
      </c>
      <c r="AS53" s="76" t="s">
        <v>2</v>
      </c>
      <c r="AT53" s="76" t="str">
        <f t="shared" si="60"/>
        <v>X</v>
      </c>
      <c r="AU53" s="76" t="str">
        <f t="shared" si="61"/>
        <v>X</v>
      </c>
      <c r="AV53" s="76" t="str">
        <f t="shared" si="62"/>
        <v/>
      </c>
    </row>
    <row r="54" spans="1:48" x14ac:dyDescent="0.3">
      <c r="A54" s="9" t="s">
        <v>1208</v>
      </c>
      <c r="B54" s="10" t="s">
        <v>1886</v>
      </c>
      <c r="C54" s="87">
        <v>270</v>
      </c>
      <c r="D54" s="85">
        <v>141.4</v>
      </c>
      <c r="E54" s="86">
        <v>43</v>
      </c>
      <c r="F54" s="85">
        <v>116.8</v>
      </c>
      <c r="G54" s="17">
        <v>35</v>
      </c>
      <c r="H54" s="87">
        <v>14</v>
      </c>
      <c r="I54" s="88"/>
      <c r="J54" s="88"/>
      <c r="K54" s="88"/>
      <c r="L54" s="88"/>
      <c r="M54" s="89">
        <f t="shared" si="44"/>
        <v>0</v>
      </c>
      <c r="N54" s="4" t="str">
        <f t="shared" si="45"/>
        <v/>
      </c>
      <c r="O54" s="90">
        <f t="shared" si="46"/>
        <v>0</v>
      </c>
      <c r="P54" s="90">
        <f t="shared" si="47"/>
        <v>0</v>
      </c>
      <c r="Q54" s="76">
        <v>4</v>
      </c>
      <c r="R54" s="76">
        <v>2</v>
      </c>
      <c r="S54" s="76" t="s">
        <v>61</v>
      </c>
      <c r="T54" s="5">
        <v>141</v>
      </c>
      <c r="U54" s="9"/>
      <c r="W54" s="85">
        <f t="shared" si="48"/>
        <v>141.4</v>
      </c>
      <c r="X54" s="86">
        <f t="shared" si="48"/>
        <v>43</v>
      </c>
      <c r="Y54" s="91">
        <f t="shared" si="49"/>
        <v>14</v>
      </c>
      <c r="Z54" s="89">
        <f t="shared" si="49"/>
        <v>0</v>
      </c>
      <c r="AA54" s="89">
        <f t="shared" si="50"/>
        <v>0</v>
      </c>
      <c r="AB54" s="89">
        <f t="shared" si="51"/>
        <v>0</v>
      </c>
      <c r="AC54" s="4" t="str">
        <f t="shared" si="51"/>
        <v/>
      </c>
      <c r="AD54" s="90">
        <f t="shared" si="51"/>
        <v>0</v>
      </c>
      <c r="AE54" s="76" t="str">
        <f t="shared" si="52"/>
        <v>계</v>
      </c>
      <c r="AF54" s="76" t="str">
        <f t="shared" si="53"/>
        <v>4/2</v>
      </c>
      <c r="AH54" s="20" t="str">
        <f t="shared" si="39"/>
        <v>오성은하</v>
      </c>
      <c r="AI54" s="86">
        <f t="shared" si="38"/>
        <v>43</v>
      </c>
      <c r="AJ54" s="76" t="str">
        <f t="shared" si="54"/>
        <v>A-</v>
      </c>
      <c r="AK54" s="76" t="s">
        <v>13</v>
      </c>
      <c r="AL54" s="76" t="s">
        <v>62</v>
      </c>
      <c r="AM54" s="76" t="s">
        <v>63</v>
      </c>
      <c r="AN54" s="76" t="str">
        <f t="shared" si="55"/>
        <v>C</v>
      </c>
      <c r="AO54" s="76" t="str">
        <f t="shared" si="56"/>
        <v/>
      </c>
      <c r="AP54" s="76" t="str">
        <f t="shared" si="57"/>
        <v/>
      </c>
      <c r="AQ54" s="76" t="str">
        <f t="shared" si="58"/>
        <v>O</v>
      </c>
      <c r="AR54" s="76" t="str">
        <f t="shared" si="59"/>
        <v>O</v>
      </c>
      <c r="AS54" s="76" t="s">
        <v>2</v>
      </c>
      <c r="AT54" s="76" t="str">
        <f t="shared" si="60"/>
        <v>X</v>
      </c>
      <c r="AU54" s="76" t="str">
        <f t="shared" si="61"/>
        <v>X</v>
      </c>
      <c r="AV54" s="76" t="str">
        <f t="shared" si="62"/>
        <v/>
      </c>
    </row>
    <row r="55" spans="1:48" x14ac:dyDescent="0.3">
      <c r="A55" s="9" t="s">
        <v>1208</v>
      </c>
      <c r="B55" s="10" t="s">
        <v>1886</v>
      </c>
      <c r="C55" s="87">
        <v>270</v>
      </c>
      <c r="D55" s="85">
        <v>150.19999999999999</v>
      </c>
      <c r="E55" s="86">
        <v>45</v>
      </c>
      <c r="F55" s="85">
        <v>124.1</v>
      </c>
      <c r="G55" s="17">
        <v>38</v>
      </c>
      <c r="H55" s="87">
        <v>53</v>
      </c>
      <c r="I55" s="88"/>
      <c r="J55" s="88"/>
      <c r="K55" s="88"/>
      <c r="L55" s="88"/>
      <c r="M55" s="89">
        <f t="shared" si="44"/>
        <v>0</v>
      </c>
      <c r="N55" s="4" t="str">
        <f t="shared" si="45"/>
        <v/>
      </c>
      <c r="O55" s="90">
        <f t="shared" si="46"/>
        <v>0</v>
      </c>
      <c r="P55" s="90">
        <f t="shared" si="47"/>
        <v>0</v>
      </c>
      <c r="Q55" s="76">
        <v>4</v>
      </c>
      <c r="R55" s="76">
        <v>2</v>
      </c>
      <c r="S55" s="76" t="s">
        <v>68</v>
      </c>
      <c r="T55" s="5">
        <v>150</v>
      </c>
      <c r="U55" s="9"/>
      <c r="W55" s="85">
        <f t="shared" si="48"/>
        <v>150.19999999999999</v>
      </c>
      <c r="X55" s="86">
        <f t="shared" si="48"/>
        <v>45</v>
      </c>
      <c r="Y55" s="91">
        <f t="shared" si="49"/>
        <v>53</v>
      </c>
      <c r="Z55" s="89">
        <f t="shared" si="49"/>
        <v>0</v>
      </c>
      <c r="AA55" s="89">
        <f t="shared" si="50"/>
        <v>0</v>
      </c>
      <c r="AB55" s="89">
        <f t="shared" si="51"/>
        <v>0</v>
      </c>
      <c r="AC55" s="4" t="str">
        <f t="shared" si="51"/>
        <v/>
      </c>
      <c r="AD55" s="90">
        <f t="shared" si="51"/>
        <v>0</v>
      </c>
      <c r="AE55" s="76" t="str">
        <f t="shared" si="52"/>
        <v>복</v>
      </c>
      <c r="AF55" s="76" t="str">
        <f t="shared" si="53"/>
        <v>4/2</v>
      </c>
      <c r="AH55" s="20" t="str">
        <f t="shared" si="39"/>
        <v>오성은하</v>
      </c>
      <c r="AI55" s="86">
        <f t="shared" si="38"/>
        <v>45</v>
      </c>
      <c r="AJ55" s="76" t="str">
        <f t="shared" si="54"/>
        <v>A-</v>
      </c>
      <c r="AK55" s="76" t="s">
        <v>13</v>
      </c>
      <c r="AL55" s="76" t="s">
        <v>62</v>
      </c>
      <c r="AM55" s="76" t="s">
        <v>63</v>
      </c>
      <c r="AN55" s="76" t="str">
        <f t="shared" si="55"/>
        <v>C</v>
      </c>
      <c r="AO55" s="76" t="str">
        <f t="shared" si="56"/>
        <v/>
      </c>
      <c r="AP55" s="76" t="str">
        <f t="shared" si="57"/>
        <v/>
      </c>
      <c r="AQ55" s="76" t="str">
        <f t="shared" si="58"/>
        <v>O</v>
      </c>
      <c r="AR55" s="76" t="str">
        <f t="shared" si="59"/>
        <v>O</v>
      </c>
      <c r="AS55" s="76" t="s">
        <v>2</v>
      </c>
      <c r="AT55" s="76" t="str">
        <f t="shared" si="60"/>
        <v>X</v>
      </c>
      <c r="AU55" s="76" t="str">
        <f t="shared" si="61"/>
        <v>X</v>
      </c>
      <c r="AV55" s="76" t="str">
        <f t="shared" si="62"/>
        <v/>
      </c>
    </row>
    <row r="56" spans="1:48" x14ac:dyDescent="0.3">
      <c r="A56" s="9" t="s">
        <v>1208</v>
      </c>
      <c r="B56" s="10" t="s">
        <v>1886</v>
      </c>
      <c r="C56" s="87">
        <v>270</v>
      </c>
      <c r="D56" s="85">
        <v>166</v>
      </c>
      <c r="E56" s="86">
        <v>50</v>
      </c>
      <c r="F56" s="85">
        <v>137.1</v>
      </c>
      <c r="G56" s="17">
        <v>41</v>
      </c>
      <c r="H56" s="87">
        <v>40</v>
      </c>
      <c r="I56" s="88"/>
      <c r="J56" s="88"/>
      <c r="K56" s="88"/>
      <c r="L56" s="88"/>
      <c r="M56" s="89">
        <f t="shared" si="44"/>
        <v>0</v>
      </c>
      <c r="N56" s="4" t="str">
        <f t="shared" si="45"/>
        <v/>
      </c>
      <c r="O56" s="90">
        <f t="shared" si="46"/>
        <v>0</v>
      </c>
      <c r="P56" s="90">
        <f t="shared" si="47"/>
        <v>0</v>
      </c>
      <c r="Q56" s="76">
        <v>4</v>
      </c>
      <c r="R56" s="76">
        <v>2</v>
      </c>
      <c r="S56" s="76" t="s">
        <v>61</v>
      </c>
      <c r="T56" s="5">
        <v>165</v>
      </c>
      <c r="U56" s="9"/>
      <c r="W56" s="85">
        <f t="shared" si="48"/>
        <v>166</v>
      </c>
      <c r="X56" s="86">
        <f t="shared" si="48"/>
        <v>50</v>
      </c>
      <c r="Y56" s="91">
        <f t="shared" si="49"/>
        <v>40</v>
      </c>
      <c r="Z56" s="89">
        <f t="shared" si="49"/>
        <v>0</v>
      </c>
      <c r="AA56" s="89">
        <f t="shared" si="50"/>
        <v>0</v>
      </c>
      <c r="AB56" s="89">
        <f t="shared" si="51"/>
        <v>0</v>
      </c>
      <c r="AC56" s="4" t="str">
        <f t="shared" si="51"/>
        <v/>
      </c>
      <c r="AD56" s="90">
        <f t="shared" si="51"/>
        <v>0</v>
      </c>
      <c r="AE56" s="76" t="str">
        <f t="shared" si="52"/>
        <v>계</v>
      </c>
      <c r="AF56" s="76" t="str">
        <f t="shared" si="53"/>
        <v>4/2</v>
      </c>
      <c r="AH56" s="20" t="str">
        <f t="shared" si="39"/>
        <v>오성은하</v>
      </c>
      <c r="AI56" s="86">
        <f t="shared" si="38"/>
        <v>50</v>
      </c>
      <c r="AJ56" s="76" t="str">
        <f t="shared" si="54"/>
        <v>A-</v>
      </c>
      <c r="AK56" s="76" t="s">
        <v>13</v>
      </c>
      <c r="AL56" s="76" t="s">
        <v>62</v>
      </c>
      <c r="AM56" s="76" t="s">
        <v>63</v>
      </c>
      <c r="AN56" s="76" t="str">
        <f t="shared" si="55"/>
        <v>C</v>
      </c>
      <c r="AO56" s="76" t="str">
        <f t="shared" si="56"/>
        <v/>
      </c>
      <c r="AP56" s="76" t="str">
        <f t="shared" si="57"/>
        <v/>
      </c>
      <c r="AQ56" s="76" t="str">
        <f t="shared" si="58"/>
        <v>O</v>
      </c>
      <c r="AR56" s="76" t="str">
        <f t="shared" si="59"/>
        <v>O</v>
      </c>
      <c r="AS56" s="76" t="s">
        <v>2</v>
      </c>
      <c r="AT56" s="76" t="str">
        <f t="shared" si="60"/>
        <v>X</v>
      </c>
      <c r="AU56" s="76" t="str">
        <f t="shared" si="61"/>
        <v>X</v>
      </c>
      <c r="AV56" s="76" t="str">
        <f t="shared" si="62"/>
        <v/>
      </c>
    </row>
    <row r="57" spans="1:48" x14ac:dyDescent="0.3">
      <c r="A57" s="9" t="s">
        <v>1208</v>
      </c>
      <c r="B57" s="10" t="s">
        <v>1886</v>
      </c>
      <c r="C57" s="87">
        <v>270</v>
      </c>
      <c r="D57" s="85">
        <v>172.3</v>
      </c>
      <c r="E57" s="86">
        <v>52</v>
      </c>
      <c r="F57" s="85">
        <v>142.30000000000001</v>
      </c>
      <c r="G57" s="17">
        <v>43</v>
      </c>
      <c r="H57" s="87">
        <v>28</v>
      </c>
      <c r="I57" s="88"/>
      <c r="J57" s="88"/>
      <c r="K57" s="88"/>
      <c r="L57" s="88"/>
      <c r="M57" s="89">
        <f t="shared" si="44"/>
        <v>0</v>
      </c>
      <c r="N57" s="4" t="str">
        <f t="shared" si="45"/>
        <v/>
      </c>
      <c r="O57" s="90">
        <f t="shared" si="46"/>
        <v>0</v>
      </c>
      <c r="P57" s="90">
        <f t="shared" si="47"/>
        <v>0</v>
      </c>
      <c r="Q57" s="76">
        <v>4</v>
      </c>
      <c r="R57" s="76">
        <v>2</v>
      </c>
      <c r="S57" s="76" t="s">
        <v>61</v>
      </c>
      <c r="T57" s="5">
        <v>172</v>
      </c>
      <c r="U57" s="9"/>
      <c r="W57" s="85">
        <f t="shared" si="48"/>
        <v>172.3</v>
      </c>
      <c r="X57" s="86">
        <f t="shared" si="48"/>
        <v>52</v>
      </c>
      <c r="Y57" s="91">
        <f t="shared" si="49"/>
        <v>28</v>
      </c>
      <c r="Z57" s="89">
        <f t="shared" si="49"/>
        <v>0</v>
      </c>
      <c r="AA57" s="89">
        <f t="shared" si="50"/>
        <v>0</v>
      </c>
      <c r="AB57" s="89">
        <f t="shared" si="51"/>
        <v>0</v>
      </c>
      <c r="AC57" s="4" t="str">
        <f t="shared" si="51"/>
        <v/>
      </c>
      <c r="AD57" s="90">
        <f t="shared" si="51"/>
        <v>0</v>
      </c>
      <c r="AE57" s="76" t="str">
        <f t="shared" si="52"/>
        <v>계</v>
      </c>
      <c r="AF57" s="76" t="str">
        <f t="shared" si="53"/>
        <v>4/2</v>
      </c>
      <c r="AH57" s="20" t="str">
        <f t="shared" si="39"/>
        <v>오성은하</v>
      </c>
      <c r="AI57" s="86">
        <f t="shared" si="38"/>
        <v>52</v>
      </c>
      <c r="AJ57" s="76" t="str">
        <f t="shared" si="54"/>
        <v>A-</v>
      </c>
      <c r="AK57" s="76" t="s">
        <v>13</v>
      </c>
      <c r="AL57" s="76" t="s">
        <v>62</v>
      </c>
      <c r="AM57" s="76" t="s">
        <v>63</v>
      </c>
      <c r="AN57" s="76" t="str">
        <f t="shared" si="55"/>
        <v>C</v>
      </c>
      <c r="AO57" s="76" t="str">
        <f t="shared" si="56"/>
        <v/>
      </c>
      <c r="AP57" s="76" t="str">
        <f t="shared" si="57"/>
        <v/>
      </c>
      <c r="AQ57" s="76" t="str">
        <f t="shared" si="58"/>
        <v>O</v>
      </c>
      <c r="AR57" s="76" t="str">
        <f t="shared" si="59"/>
        <v>O</v>
      </c>
      <c r="AS57" s="76" t="s">
        <v>2</v>
      </c>
      <c r="AT57" s="76" t="str">
        <f t="shared" si="60"/>
        <v>X</v>
      </c>
      <c r="AU57" s="76" t="str">
        <f t="shared" si="61"/>
        <v>X</v>
      </c>
      <c r="AV57" s="76" t="str">
        <f t="shared" si="62"/>
        <v/>
      </c>
    </row>
    <row r="58" spans="1:48" x14ac:dyDescent="0.3">
      <c r="A58" s="9" t="s">
        <v>1208</v>
      </c>
      <c r="B58" s="10" t="s">
        <v>1886</v>
      </c>
      <c r="C58" s="87">
        <v>270</v>
      </c>
      <c r="D58" s="85">
        <v>201.8</v>
      </c>
      <c r="E58" s="86">
        <v>61</v>
      </c>
      <c r="F58" s="85">
        <v>166.8</v>
      </c>
      <c r="G58" s="17">
        <v>50</v>
      </c>
      <c r="H58" s="87">
        <v>14</v>
      </c>
      <c r="I58" s="88"/>
      <c r="J58" s="88"/>
      <c r="K58" s="88"/>
      <c r="L58" s="88"/>
      <c r="M58" s="89">
        <f t="shared" si="44"/>
        <v>0</v>
      </c>
      <c r="N58" s="4" t="str">
        <f t="shared" si="45"/>
        <v/>
      </c>
      <c r="O58" s="90">
        <f t="shared" si="46"/>
        <v>0</v>
      </c>
      <c r="P58" s="90">
        <f t="shared" si="47"/>
        <v>0</v>
      </c>
      <c r="Q58" s="76">
        <v>5</v>
      </c>
      <c r="R58" s="76">
        <v>2</v>
      </c>
      <c r="S58" s="76" t="s">
        <v>61</v>
      </c>
      <c r="T58" s="5">
        <v>201</v>
      </c>
      <c r="U58" s="9"/>
      <c r="W58" s="85">
        <f t="shared" si="48"/>
        <v>201.8</v>
      </c>
      <c r="X58" s="86">
        <f t="shared" si="48"/>
        <v>61</v>
      </c>
      <c r="Y58" s="91">
        <f t="shared" si="49"/>
        <v>14</v>
      </c>
      <c r="Z58" s="89">
        <f t="shared" si="49"/>
        <v>0</v>
      </c>
      <c r="AA58" s="89">
        <f t="shared" si="50"/>
        <v>0</v>
      </c>
      <c r="AB58" s="89">
        <f t="shared" si="51"/>
        <v>0</v>
      </c>
      <c r="AC58" s="4" t="str">
        <f t="shared" si="51"/>
        <v/>
      </c>
      <c r="AD58" s="90">
        <f t="shared" si="51"/>
        <v>0</v>
      </c>
      <c r="AE58" s="76" t="str">
        <f t="shared" si="52"/>
        <v>계</v>
      </c>
      <c r="AF58" s="76" t="str">
        <f t="shared" si="53"/>
        <v>5/2</v>
      </c>
      <c r="AH58" s="20" t="str">
        <f t="shared" si="39"/>
        <v>오성은하</v>
      </c>
      <c r="AI58" s="86">
        <f t="shared" si="38"/>
        <v>61</v>
      </c>
      <c r="AJ58" s="76" t="str">
        <f t="shared" si="54"/>
        <v>A-</v>
      </c>
      <c r="AK58" s="76" t="s">
        <v>13</v>
      </c>
      <c r="AL58" s="76" t="s">
        <v>62</v>
      </c>
      <c r="AM58" s="76" t="s">
        <v>63</v>
      </c>
      <c r="AN58" s="76" t="str">
        <f t="shared" si="55"/>
        <v>C</v>
      </c>
      <c r="AO58" s="76" t="str">
        <f t="shared" si="56"/>
        <v/>
      </c>
      <c r="AP58" s="76" t="str">
        <f t="shared" si="57"/>
        <v/>
      </c>
      <c r="AQ58" s="76" t="str">
        <f t="shared" si="58"/>
        <v>O</v>
      </c>
      <c r="AR58" s="76" t="str">
        <f t="shared" si="59"/>
        <v>O</v>
      </c>
      <c r="AS58" s="76" t="s">
        <v>2</v>
      </c>
      <c r="AT58" s="76" t="str">
        <f t="shared" si="60"/>
        <v>X</v>
      </c>
      <c r="AU58" s="76" t="str">
        <f t="shared" si="61"/>
        <v>X</v>
      </c>
      <c r="AV58" s="76" t="str">
        <f t="shared" si="62"/>
        <v/>
      </c>
    </row>
    <row r="59" spans="1:48" x14ac:dyDescent="0.3">
      <c r="A59" s="9"/>
      <c r="B59" s="76"/>
      <c r="C59" s="6"/>
      <c r="D59" s="9"/>
      <c r="E59" s="14"/>
      <c r="F59" s="85"/>
      <c r="G59" s="9"/>
      <c r="H59" s="9"/>
      <c r="I59" s="9"/>
      <c r="J59" s="9"/>
      <c r="K59" s="9"/>
      <c r="L59" s="9"/>
      <c r="M59" s="9"/>
      <c r="N59" s="9"/>
      <c r="O59" s="90"/>
      <c r="P59" s="90"/>
      <c r="Q59" s="86"/>
      <c r="R59" s="86"/>
      <c r="S59" s="9"/>
      <c r="T59" s="47"/>
      <c r="U59" s="9"/>
      <c r="W59" s="67" t="str">
        <f>$A$4&amp;" "&amp;A60&amp;"("&amp;B60&amp;","&amp;C60&amp;"^)"</f>
        <v>중화산동2가 거성근영1차('93.01.,268^)</v>
      </c>
      <c r="X59" s="68"/>
      <c r="Y59" s="68"/>
      <c r="Z59" s="68"/>
      <c r="AA59" s="68"/>
      <c r="AB59" s="68"/>
      <c r="AC59" s="68"/>
      <c r="AD59" s="68"/>
      <c r="AE59" s="68"/>
      <c r="AF59" s="69"/>
      <c r="AH59" s="20" t="str">
        <f t="shared" si="39"/>
        <v/>
      </c>
      <c r="AI59" s="108" t="str">
        <f t="shared" si="38"/>
        <v/>
      </c>
      <c r="AJ59" s="76"/>
      <c r="AK59" s="76"/>
      <c r="AL59" s="76"/>
      <c r="AM59" s="76"/>
      <c r="AN59" s="76"/>
      <c r="AO59" s="76"/>
      <c r="AP59" s="76"/>
      <c r="AQ59" s="76"/>
      <c r="AR59" s="76"/>
      <c r="AS59" s="76"/>
      <c r="AT59" s="76"/>
      <c r="AU59" s="76"/>
      <c r="AV59" s="76"/>
    </row>
    <row r="60" spans="1:48" x14ac:dyDescent="0.3">
      <c r="A60" s="9" t="s">
        <v>1212</v>
      </c>
      <c r="B60" s="10" t="s">
        <v>1890</v>
      </c>
      <c r="C60" s="87">
        <v>268</v>
      </c>
      <c r="D60" s="85">
        <v>83.3</v>
      </c>
      <c r="E60" s="86">
        <v>25</v>
      </c>
      <c r="F60" s="85">
        <v>59.9</v>
      </c>
      <c r="G60" s="17">
        <v>18</v>
      </c>
      <c r="H60" s="87">
        <v>172</v>
      </c>
      <c r="I60" s="88"/>
      <c r="J60" s="88"/>
      <c r="K60" s="88"/>
      <c r="L60" s="88"/>
      <c r="M60" s="89">
        <f>I60-K60</f>
        <v>0</v>
      </c>
      <c r="N60" s="4" t="str">
        <f>IF(ISERROR(K60/I60),"",K60/I60)</f>
        <v/>
      </c>
      <c r="O60" s="90">
        <f>I60/E60</f>
        <v>0</v>
      </c>
      <c r="P60" s="90">
        <f>K60/E60</f>
        <v>0</v>
      </c>
      <c r="Q60" s="76">
        <v>3</v>
      </c>
      <c r="R60" s="76">
        <v>1</v>
      </c>
      <c r="S60" s="76" t="s">
        <v>68</v>
      </c>
      <c r="T60" s="5">
        <v>83</v>
      </c>
      <c r="U60" s="9"/>
      <c r="W60" s="85">
        <f t="shared" ref="W60:X62" si="63">D60</f>
        <v>83.3</v>
      </c>
      <c r="X60" s="86">
        <f t="shared" si="63"/>
        <v>25</v>
      </c>
      <c r="Y60" s="91">
        <f t="shared" ref="Y60:Z62" si="64">H60</f>
        <v>172</v>
      </c>
      <c r="Z60" s="89">
        <f t="shared" si="64"/>
        <v>0</v>
      </c>
      <c r="AA60" s="89">
        <f>K60</f>
        <v>0</v>
      </c>
      <c r="AB60" s="89">
        <f t="shared" ref="AB60:AD62" si="65">M60</f>
        <v>0</v>
      </c>
      <c r="AC60" s="4" t="str">
        <f t="shared" si="65"/>
        <v/>
      </c>
      <c r="AD60" s="90">
        <f t="shared" si="65"/>
        <v>0</v>
      </c>
      <c r="AE60" s="76" t="str">
        <f>S60</f>
        <v>복</v>
      </c>
      <c r="AF60" s="76" t="str">
        <f>Q60&amp;"/"&amp;R60</f>
        <v>3/1</v>
      </c>
      <c r="AH60" s="20" t="str">
        <f t="shared" si="39"/>
        <v>거성근영1차</v>
      </c>
      <c r="AI60" s="86">
        <f t="shared" si="38"/>
        <v>25</v>
      </c>
      <c r="AJ60" s="76" t="str">
        <f>IF(AI60="","",$AJ$2)</f>
        <v>A-</v>
      </c>
      <c r="AK60" s="76" t="s">
        <v>13</v>
      </c>
      <c r="AL60" s="76" t="s">
        <v>62</v>
      </c>
      <c r="AM60" s="76" t="s">
        <v>63</v>
      </c>
      <c r="AN60" s="76" t="str">
        <f>IF(AI60="","",$AN$2)</f>
        <v>C</v>
      </c>
      <c r="AO60" s="76" t="str">
        <f>IF(N60="","",IF(N60&gt;=$AO$1/100,"O","X"))</f>
        <v/>
      </c>
      <c r="AP60" s="76" t="str">
        <f>IF(I60="","",IF(I60&lt;=$AP$1,"O","X"))</f>
        <v/>
      </c>
      <c r="AQ60" s="76" t="str">
        <f>IF(O60="","",IF(O60&lt;=$AQ$1,"O","X"))</f>
        <v>O</v>
      </c>
      <c r="AR60" s="76" t="str">
        <f>IF(M60="","",IF(M60&lt;=$AR$1,"O","X"))</f>
        <v>O</v>
      </c>
      <c r="AS60" s="76" t="s">
        <v>2</v>
      </c>
      <c r="AT60" s="76" t="str">
        <f>IF(OR(F60="",AI60=""),"",IF(AND((F60&lt;=85),(AI60&gt;=15)),"O","X"))</f>
        <v>O</v>
      </c>
      <c r="AU60" s="76" t="str">
        <f>IF(C60="","",IF(C60&gt;=$AU$1,"O","X"))</f>
        <v>X</v>
      </c>
      <c r="AV60" s="76" t="str">
        <f>IF(AO60="","",IF(AND(AO60="O",AP60="O",AR60="O",AT60="O",AU60="O"),"후보","X"))</f>
        <v/>
      </c>
    </row>
    <row r="61" spans="1:48" x14ac:dyDescent="0.3">
      <c r="A61" s="9" t="s">
        <v>1212</v>
      </c>
      <c r="B61" s="10" t="s">
        <v>1890</v>
      </c>
      <c r="C61" s="87">
        <v>268</v>
      </c>
      <c r="D61" s="85">
        <v>107.3</v>
      </c>
      <c r="E61" s="86">
        <v>32</v>
      </c>
      <c r="F61" s="85">
        <v>84.8</v>
      </c>
      <c r="G61" s="17">
        <v>26</v>
      </c>
      <c r="H61" s="87">
        <v>48</v>
      </c>
      <c r="I61" s="88"/>
      <c r="J61" s="88"/>
      <c r="K61" s="88"/>
      <c r="L61" s="88"/>
      <c r="M61" s="89">
        <f>I61-K61</f>
        <v>0</v>
      </c>
      <c r="N61" s="4" t="str">
        <f>IF(ISERROR(K61/I61),"",K61/I61)</f>
        <v/>
      </c>
      <c r="O61" s="90">
        <f>I61/E61</f>
        <v>0</v>
      </c>
      <c r="P61" s="90">
        <f>K61/E61</f>
        <v>0</v>
      </c>
      <c r="Q61" s="76">
        <v>3</v>
      </c>
      <c r="R61" s="76">
        <v>2</v>
      </c>
      <c r="S61" s="76" t="s">
        <v>61</v>
      </c>
      <c r="T61" s="5">
        <v>107</v>
      </c>
      <c r="U61" s="9"/>
      <c r="W61" s="85">
        <f t="shared" si="63"/>
        <v>107.3</v>
      </c>
      <c r="X61" s="86">
        <f t="shared" si="63"/>
        <v>32</v>
      </c>
      <c r="Y61" s="91">
        <f t="shared" si="64"/>
        <v>48</v>
      </c>
      <c r="Z61" s="89">
        <f t="shared" si="64"/>
        <v>0</v>
      </c>
      <c r="AA61" s="89">
        <f>K61</f>
        <v>0</v>
      </c>
      <c r="AB61" s="89">
        <f t="shared" si="65"/>
        <v>0</v>
      </c>
      <c r="AC61" s="4" t="str">
        <f t="shared" si="65"/>
        <v/>
      </c>
      <c r="AD61" s="90">
        <f t="shared" si="65"/>
        <v>0</v>
      </c>
      <c r="AE61" s="76" t="str">
        <f>S61</f>
        <v>계</v>
      </c>
      <c r="AF61" s="76" t="str">
        <f>Q61&amp;"/"&amp;R61</f>
        <v>3/2</v>
      </c>
      <c r="AH61" s="20" t="str">
        <f t="shared" si="39"/>
        <v>거성근영1차</v>
      </c>
      <c r="AI61" s="86">
        <f t="shared" si="38"/>
        <v>32</v>
      </c>
      <c r="AJ61" s="76" t="str">
        <f>IF(AI61="","",$AJ$2)</f>
        <v>A-</v>
      </c>
      <c r="AK61" s="76" t="s">
        <v>13</v>
      </c>
      <c r="AL61" s="76" t="s">
        <v>62</v>
      </c>
      <c r="AM61" s="76" t="s">
        <v>63</v>
      </c>
      <c r="AN61" s="76" t="str">
        <f>IF(AI61="","",$AN$2)</f>
        <v>C</v>
      </c>
      <c r="AO61" s="76" t="str">
        <f>IF(N61="","",IF(N61&gt;=$AO$1/100,"O","X"))</f>
        <v/>
      </c>
      <c r="AP61" s="76" t="str">
        <f>IF(I61="","",IF(I61&lt;=$AP$1,"O","X"))</f>
        <v/>
      </c>
      <c r="AQ61" s="76" t="str">
        <f>IF(O61="","",IF(O61&lt;=$AQ$1,"O","X"))</f>
        <v>O</v>
      </c>
      <c r="AR61" s="76" t="str">
        <f>IF(M61="","",IF(M61&lt;=$AR$1,"O","X"))</f>
        <v>O</v>
      </c>
      <c r="AS61" s="76" t="s">
        <v>2</v>
      </c>
      <c r="AT61" s="76" t="str">
        <f>IF(OR(F61="",AI61=""),"",IF(AND((F61&lt;=85),(AI61&gt;=15)),"O","X"))</f>
        <v>O</v>
      </c>
      <c r="AU61" s="76" t="str">
        <f>IF(C61="","",IF(C61&gt;=$AU$1,"O","X"))</f>
        <v>X</v>
      </c>
      <c r="AV61" s="76" t="str">
        <f>IF(AO61="","",IF(AND(AO61="O",AP61="O",AR61="O",AT61="O",AU61="O"),"후보","X"))</f>
        <v/>
      </c>
    </row>
    <row r="62" spans="1:48" x14ac:dyDescent="0.3">
      <c r="A62" s="9" t="s">
        <v>1212</v>
      </c>
      <c r="B62" s="10" t="s">
        <v>1890</v>
      </c>
      <c r="C62" s="87">
        <v>268</v>
      </c>
      <c r="D62" s="85">
        <v>136.5</v>
      </c>
      <c r="E62" s="86">
        <v>41</v>
      </c>
      <c r="F62" s="85">
        <v>111.8</v>
      </c>
      <c r="G62" s="17">
        <v>34</v>
      </c>
      <c r="H62" s="87">
        <v>48</v>
      </c>
      <c r="I62" s="88"/>
      <c r="J62" s="88"/>
      <c r="K62" s="88"/>
      <c r="L62" s="88"/>
      <c r="M62" s="89">
        <f>I62-K62</f>
        <v>0</v>
      </c>
      <c r="N62" s="4" t="str">
        <f>IF(ISERROR(K62/I62),"",K62/I62)</f>
        <v/>
      </c>
      <c r="O62" s="90">
        <f>I62/E62</f>
        <v>0</v>
      </c>
      <c r="P62" s="90">
        <f>K62/E62</f>
        <v>0</v>
      </c>
      <c r="Q62" s="76">
        <v>4</v>
      </c>
      <c r="R62" s="76">
        <v>2</v>
      </c>
      <c r="S62" s="76" t="s">
        <v>61</v>
      </c>
      <c r="T62" s="5">
        <v>136</v>
      </c>
      <c r="U62" s="9"/>
      <c r="W62" s="85">
        <f t="shared" si="63"/>
        <v>136.5</v>
      </c>
      <c r="X62" s="86">
        <f t="shared" si="63"/>
        <v>41</v>
      </c>
      <c r="Y62" s="91">
        <f t="shared" si="64"/>
        <v>48</v>
      </c>
      <c r="Z62" s="89">
        <f t="shared" si="64"/>
        <v>0</v>
      </c>
      <c r="AA62" s="89">
        <f>K62</f>
        <v>0</v>
      </c>
      <c r="AB62" s="89">
        <f t="shared" si="65"/>
        <v>0</v>
      </c>
      <c r="AC62" s="4" t="str">
        <f t="shared" si="65"/>
        <v/>
      </c>
      <c r="AD62" s="90">
        <f t="shared" si="65"/>
        <v>0</v>
      </c>
      <c r="AE62" s="76" t="str">
        <f>S62</f>
        <v>계</v>
      </c>
      <c r="AF62" s="76" t="str">
        <f>Q62&amp;"/"&amp;R62</f>
        <v>4/2</v>
      </c>
      <c r="AH62" s="20" t="str">
        <f t="shared" si="39"/>
        <v>거성근영1차</v>
      </c>
      <c r="AI62" s="86">
        <f t="shared" si="38"/>
        <v>41</v>
      </c>
      <c r="AJ62" s="76" t="str">
        <f>IF(AI62="","",$AJ$2)</f>
        <v>A-</v>
      </c>
      <c r="AK62" s="76" t="s">
        <v>13</v>
      </c>
      <c r="AL62" s="76" t="s">
        <v>62</v>
      </c>
      <c r="AM62" s="76" t="s">
        <v>63</v>
      </c>
      <c r="AN62" s="76" t="str">
        <f>IF(AI62="","",$AN$2)</f>
        <v>C</v>
      </c>
      <c r="AO62" s="76" t="str">
        <f>IF(N62="","",IF(N62&gt;=$AO$1/100,"O","X"))</f>
        <v/>
      </c>
      <c r="AP62" s="76" t="str">
        <f>IF(I62="","",IF(I62&lt;=$AP$1,"O","X"))</f>
        <v/>
      </c>
      <c r="AQ62" s="76" t="str">
        <f>IF(O62="","",IF(O62&lt;=$AQ$1,"O","X"))</f>
        <v>O</v>
      </c>
      <c r="AR62" s="76" t="str">
        <f>IF(M62="","",IF(M62&lt;=$AR$1,"O","X"))</f>
        <v>O</v>
      </c>
      <c r="AS62" s="76" t="s">
        <v>2</v>
      </c>
      <c r="AT62" s="76" t="str">
        <f>IF(OR(F62="",AI62=""),"",IF(AND((F62&lt;=85),(AI62&gt;=15)),"O","X"))</f>
        <v>X</v>
      </c>
      <c r="AU62" s="76" t="str">
        <f>IF(C62="","",IF(C62&gt;=$AU$1,"O","X"))</f>
        <v>X</v>
      </c>
      <c r="AV62" s="76" t="str">
        <f>IF(AO62="","",IF(AND(AO62="O",AP62="O",AR62="O",AT62="O",AU62="O"),"후보","X"))</f>
        <v/>
      </c>
    </row>
    <row r="63" spans="1:48" x14ac:dyDescent="0.3">
      <c r="A63" s="9"/>
      <c r="B63" s="76"/>
      <c r="C63" s="6"/>
      <c r="D63" s="9"/>
      <c r="E63" s="14"/>
      <c r="F63" s="85"/>
      <c r="G63" s="9"/>
      <c r="H63" s="9"/>
      <c r="I63" s="9"/>
      <c r="J63" s="9"/>
      <c r="K63" s="9"/>
      <c r="L63" s="9"/>
      <c r="M63" s="9"/>
      <c r="N63" s="9"/>
      <c r="O63" s="90"/>
      <c r="P63" s="90"/>
      <c r="Q63" s="86"/>
      <c r="R63" s="86"/>
      <c r="S63" s="9"/>
      <c r="T63" s="47"/>
      <c r="U63" s="9"/>
      <c r="W63" s="67" t="str">
        <f>$A$4&amp;" "&amp;A64&amp;"("&amp;B64&amp;","&amp;C64&amp;"^)"</f>
        <v>중화산동2가 중화산광진('98.07.,346^)</v>
      </c>
      <c r="X63" s="68"/>
      <c r="Y63" s="68"/>
      <c r="Z63" s="68"/>
      <c r="AA63" s="68"/>
      <c r="AB63" s="68"/>
      <c r="AC63" s="68"/>
      <c r="AD63" s="68"/>
      <c r="AE63" s="68"/>
      <c r="AF63" s="69"/>
      <c r="AH63" s="20" t="str">
        <f t="shared" si="39"/>
        <v/>
      </c>
      <c r="AI63" s="108" t="str">
        <f t="shared" si="38"/>
        <v/>
      </c>
      <c r="AJ63" s="76"/>
      <c r="AK63" s="76"/>
      <c r="AL63" s="76"/>
      <c r="AM63" s="76"/>
      <c r="AN63" s="76"/>
      <c r="AO63" s="76"/>
      <c r="AP63" s="76"/>
      <c r="AQ63" s="76"/>
      <c r="AR63" s="76"/>
      <c r="AS63" s="76"/>
      <c r="AT63" s="76"/>
      <c r="AU63" s="76"/>
      <c r="AV63" s="76"/>
    </row>
    <row r="64" spans="1:48" x14ac:dyDescent="0.3">
      <c r="A64" s="9" t="s">
        <v>1225</v>
      </c>
      <c r="B64" s="10" t="s">
        <v>1857</v>
      </c>
      <c r="C64" s="87">
        <v>346</v>
      </c>
      <c r="D64" s="85">
        <v>103.5</v>
      </c>
      <c r="E64" s="86">
        <v>31</v>
      </c>
      <c r="F64" s="85">
        <v>85</v>
      </c>
      <c r="G64" s="17">
        <v>26</v>
      </c>
      <c r="H64" s="87">
        <v>244</v>
      </c>
      <c r="I64" s="88"/>
      <c r="J64" s="88"/>
      <c r="K64" s="88"/>
      <c r="L64" s="88"/>
      <c r="M64" s="89">
        <f>I64-K64</f>
        <v>0</v>
      </c>
      <c r="N64" s="4" t="str">
        <f>IF(ISERROR(K64/I64),"",K64/I64)</f>
        <v/>
      </c>
      <c r="O64" s="90">
        <f>I64/E64</f>
        <v>0</v>
      </c>
      <c r="P64" s="90">
        <f>K64/E64</f>
        <v>0</v>
      </c>
      <c r="Q64" s="76">
        <v>3</v>
      </c>
      <c r="R64" s="76">
        <v>2</v>
      </c>
      <c r="S64" s="76" t="s">
        <v>61</v>
      </c>
      <c r="T64" s="5">
        <v>103</v>
      </c>
      <c r="U64" s="9"/>
      <c r="W64" s="85">
        <f t="shared" ref="W64:X66" si="66">D64</f>
        <v>103.5</v>
      </c>
      <c r="X64" s="86">
        <f t="shared" si="66"/>
        <v>31</v>
      </c>
      <c r="Y64" s="91">
        <f t="shared" ref="Y64:Z66" si="67">H64</f>
        <v>244</v>
      </c>
      <c r="Z64" s="89">
        <f t="shared" si="67"/>
        <v>0</v>
      </c>
      <c r="AA64" s="89">
        <f>K64</f>
        <v>0</v>
      </c>
      <c r="AB64" s="89">
        <f t="shared" ref="AB64:AD66" si="68">M64</f>
        <v>0</v>
      </c>
      <c r="AC64" s="4" t="str">
        <f t="shared" si="68"/>
        <v/>
      </c>
      <c r="AD64" s="90">
        <f t="shared" si="68"/>
        <v>0</v>
      </c>
      <c r="AE64" s="76" t="str">
        <f>S64</f>
        <v>계</v>
      </c>
      <c r="AF64" s="76" t="str">
        <f>Q64&amp;"/"&amp;R64</f>
        <v>3/2</v>
      </c>
      <c r="AH64" s="20" t="str">
        <f t="shared" si="39"/>
        <v>중화산광진</v>
      </c>
      <c r="AI64" s="86">
        <f t="shared" si="38"/>
        <v>31</v>
      </c>
      <c r="AJ64" s="76" t="str">
        <f>IF(AI64="","",$AJ$2)</f>
        <v>A-</v>
      </c>
      <c r="AK64" s="76" t="s">
        <v>13</v>
      </c>
      <c r="AL64" s="76" t="s">
        <v>62</v>
      </c>
      <c r="AM64" s="76" t="s">
        <v>63</v>
      </c>
      <c r="AN64" s="76" t="str">
        <f>IF(AI64="","",$AN$2)</f>
        <v>C</v>
      </c>
      <c r="AO64" s="76" t="str">
        <f>IF(N64="","",IF(N64&gt;=$AO$1/100,"O","X"))</f>
        <v/>
      </c>
      <c r="AP64" s="76" t="str">
        <f>IF(I64="","",IF(I64&lt;=$AP$1,"O","X"))</f>
        <v/>
      </c>
      <c r="AQ64" s="76" t="str">
        <f>IF(O64="","",IF(O64&lt;=$AQ$1,"O","X"))</f>
        <v>O</v>
      </c>
      <c r="AR64" s="76" t="str">
        <f>IF(M64="","",IF(M64&lt;=$AR$1,"O","X"))</f>
        <v>O</v>
      </c>
      <c r="AS64" s="76" t="s">
        <v>2</v>
      </c>
      <c r="AT64" s="76" t="str">
        <f>IF(OR(F64="",AI64=""),"",IF(AND((F64&lt;=85),(AI64&gt;=15)),"O","X"))</f>
        <v>O</v>
      </c>
      <c r="AU64" s="76" t="str">
        <f>IF(C64="","",IF(C64&gt;=$AU$1,"O","X"))</f>
        <v>O</v>
      </c>
      <c r="AV64" s="76" t="str">
        <f>IF(AO64="","",IF(AND(AO64="O",AP64="O",AR64="O",AT64="O",AU64="O"),"후보","X"))</f>
        <v/>
      </c>
    </row>
    <row r="65" spans="1:48" x14ac:dyDescent="0.3">
      <c r="A65" s="9" t="s">
        <v>1225</v>
      </c>
      <c r="B65" s="10" t="s">
        <v>1857</v>
      </c>
      <c r="C65" s="87">
        <v>346</v>
      </c>
      <c r="D65" s="85">
        <v>160.19999999999999</v>
      </c>
      <c r="E65" s="86">
        <v>48</v>
      </c>
      <c r="F65" s="85">
        <v>137</v>
      </c>
      <c r="G65" s="17">
        <v>41</v>
      </c>
      <c r="H65" s="87">
        <v>52</v>
      </c>
      <c r="I65" s="88"/>
      <c r="J65" s="88"/>
      <c r="K65" s="88"/>
      <c r="L65" s="88"/>
      <c r="M65" s="89">
        <f>I65-K65</f>
        <v>0</v>
      </c>
      <c r="N65" s="4" t="str">
        <f>IF(ISERROR(K65/I65),"",K65/I65)</f>
        <v/>
      </c>
      <c r="O65" s="90">
        <f>I65/E65</f>
        <v>0</v>
      </c>
      <c r="P65" s="90">
        <f>K65/E65</f>
        <v>0</v>
      </c>
      <c r="Q65" s="76">
        <v>4</v>
      </c>
      <c r="R65" s="76">
        <v>2</v>
      </c>
      <c r="S65" s="76" t="s">
        <v>61</v>
      </c>
      <c r="T65" s="5">
        <v>160</v>
      </c>
      <c r="U65" s="9"/>
      <c r="W65" s="85">
        <f t="shared" si="66"/>
        <v>160.19999999999999</v>
      </c>
      <c r="X65" s="86">
        <f t="shared" si="66"/>
        <v>48</v>
      </c>
      <c r="Y65" s="91">
        <f t="shared" si="67"/>
        <v>52</v>
      </c>
      <c r="Z65" s="89">
        <f t="shared" si="67"/>
        <v>0</v>
      </c>
      <c r="AA65" s="89">
        <f>K65</f>
        <v>0</v>
      </c>
      <c r="AB65" s="89">
        <f t="shared" si="68"/>
        <v>0</v>
      </c>
      <c r="AC65" s="4" t="str">
        <f t="shared" si="68"/>
        <v/>
      </c>
      <c r="AD65" s="90">
        <f t="shared" si="68"/>
        <v>0</v>
      </c>
      <c r="AE65" s="76" t="str">
        <f>S65</f>
        <v>계</v>
      </c>
      <c r="AF65" s="76" t="str">
        <f>Q65&amp;"/"&amp;R65</f>
        <v>4/2</v>
      </c>
      <c r="AH65" s="20" t="str">
        <f t="shared" si="39"/>
        <v>중화산광진</v>
      </c>
      <c r="AI65" s="86">
        <f t="shared" si="38"/>
        <v>48</v>
      </c>
      <c r="AJ65" s="76" t="str">
        <f>IF(AI65="","",$AJ$2)</f>
        <v>A-</v>
      </c>
      <c r="AK65" s="76" t="s">
        <v>13</v>
      </c>
      <c r="AL65" s="76" t="s">
        <v>62</v>
      </c>
      <c r="AM65" s="76" t="s">
        <v>63</v>
      </c>
      <c r="AN65" s="76" t="str">
        <f>IF(AI65="","",$AN$2)</f>
        <v>C</v>
      </c>
      <c r="AO65" s="76" t="str">
        <f>IF(N65="","",IF(N65&gt;=$AO$1/100,"O","X"))</f>
        <v/>
      </c>
      <c r="AP65" s="76" t="str">
        <f>IF(I65="","",IF(I65&lt;=$AP$1,"O","X"))</f>
        <v/>
      </c>
      <c r="AQ65" s="76" t="str">
        <f>IF(O65="","",IF(O65&lt;=$AQ$1,"O","X"))</f>
        <v>O</v>
      </c>
      <c r="AR65" s="76" t="str">
        <f>IF(M65="","",IF(M65&lt;=$AR$1,"O","X"))</f>
        <v>O</v>
      </c>
      <c r="AS65" s="76" t="s">
        <v>2</v>
      </c>
      <c r="AT65" s="76" t="str">
        <f>IF(OR(F65="",AI65=""),"",IF(AND((F65&lt;=85),(AI65&gt;=15)),"O","X"))</f>
        <v>X</v>
      </c>
      <c r="AU65" s="76" t="str">
        <f>IF(C65="","",IF(C65&gt;=$AU$1,"O","X"))</f>
        <v>O</v>
      </c>
      <c r="AV65" s="76" t="str">
        <f>IF(AO65="","",IF(AND(AO65="O",AP65="O",AR65="O",AT65="O",AU65="O"),"후보","X"))</f>
        <v/>
      </c>
    </row>
    <row r="66" spans="1:48" x14ac:dyDescent="0.3">
      <c r="A66" s="9" t="s">
        <v>1225</v>
      </c>
      <c r="B66" s="10" t="s">
        <v>1857</v>
      </c>
      <c r="C66" s="87">
        <v>346</v>
      </c>
      <c r="D66" s="85">
        <v>183.1</v>
      </c>
      <c r="E66" s="86">
        <v>55</v>
      </c>
      <c r="F66" s="85">
        <v>157</v>
      </c>
      <c r="G66" s="17">
        <v>47</v>
      </c>
      <c r="H66" s="87">
        <v>50</v>
      </c>
      <c r="I66" s="88"/>
      <c r="J66" s="88"/>
      <c r="K66" s="88"/>
      <c r="L66" s="88"/>
      <c r="M66" s="89">
        <f>I66-K66</f>
        <v>0</v>
      </c>
      <c r="N66" s="4" t="str">
        <f>IF(ISERROR(K66/I66),"",K66/I66)</f>
        <v/>
      </c>
      <c r="O66" s="90">
        <f>I66/E66</f>
        <v>0</v>
      </c>
      <c r="P66" s="90">
        <f>K66/E66</f>
        <v>0</v>
      </c>
      <c r="Q66" s="76">
        <v>4</v>
      </c>
      <c r="R66" s="76">
        <v>2</v>
      </c>
      <c r="S66" s="76" t="s">
        <v>61</v>
      </c>
      <c r="T66" s="5">
        <v>183</v>
      </c>
      <c r="U66" s="9"/>
      <c r="W66" s="85">
        <f t="shared" si="66"/>
        <v>183.1</v>
      </c>
      <c r="X66" s="86">
        <f t="shared" si="66"/>
        <v>55</v>
      </c>
      <c r="Y66" s="91">
        <f t="shared" si="67"/>
        <v>50</v>
      </c>
      <c r="Z66" s="89">
        <f t="shared" si="67"/>
        <v>0</v>
      </c>
      <c r="AA66" s="89">
        <f>K66</f>
        <v>0</v>
      </c>
      <c r="AB66" s="89">
        <f t="shared" si="68"/>
        <v>0</v>
      </c>
      <c r="AC66" s="4" t="str">
        <f t="shared" si="68"/>
        <v/>
      </c>
      <c r="AD66" s="90">
        <f t="shared" si="68"/>
        <v>0</v>
      </c>
      <c r="AE66" s="76" t="str">
        <f>S66</f>
        <v>계</v>
      </c>
      <c r="AF66" s="76" t="str">
        <f>Q66&amp;"/"&amp;R66</f>
        <v>4/2</v>
      </c>
      <c r="AH66" s="20" t="str">
        <f t="shared" si="39"/>
        <v>중화산광진</v>
      </c>
      <c r="AI66" s="86">
        <f t="shared" si="38"/>
        <v>55</v>
      </c>
      <c r="AJ66" s="76" t="str">
        <f>IF(AI66="","",$AJ$2)</f>
        <v>A-</v>
      </c>
      <c r="AK66" s="76" t="s">
        <v>13</v>
      </c>
      <c r="AL66" s="76" t="s">
        <v>62</v>
      </c>
      <c r="AM66" s="76" t="s">
        <v>63</v>
      </c>
      <c r="AN66" s="76" t="str">
        <f>IF(AI66="","",$AN$2)</f>
        <v>C</v>
      </c>
      <c r="AO66" s="76" t="str">
        <f>IF(N66="","",IF(N66&gt;=$AO$1/100,"O","X"))</f>
        <v/>
      </c>
      <c r="AP66" s="76" t="str">
        <f>IF(I66="","",IF(I66&lt;=$AP$1,"O","X"))</f>
        <v/>
      </c>
      <c r="AQ66" s="76" t="str">
        <f>IF(O66="","",IF(O66&lt;=$AQ$1,"O","X"))</f>
        <v>O</v>
      </c>
      <c r="AR66" s="76" t="str">
        <f>IF(M66="","",IF(M66&lt;=$AR$1,"O","X"))</f>
        <v>O</v>
      </c>
      <c r="AS66" s="76" t="s">
        <v>2</v>
      </c>
      <c r="AT66" s="76" t="str">
        <f>IF(OR(F66="",AI66=""),"",IF(AND((F66&lt;=85),(AI66&gt;=15)),"O","X"))</f>
        <v>X</v>
      </c>
      <c r="AU66" s="76" t="str">
        <f>IF(C66="","",IF(C66&gt;=$AU$1,"O","X"))</f>
        <v>O</v>
      </c>
      <c r="AV66" s="76" t="str">
        <f>IF(AO66="","",IF(AND(AO66="O",AP66="O",AR66="O",AT66="O",AU66="O"),"후보","X"))</f>
        <v/>
      </c>
    </row>
    <row r="67" spans="1:48" x14ac:dyDescent="0.3">
      <c r="A67" s="9"/>
      <c r="B67" s="76"/>
      <c r="C67" s="6"/>
      <c r="D67" s="9"/>
      <c r="E67" s="14"/>
      <c r="F67" s="85"/>
      <c r="G67" s="9"/>
      <c r="H67" s="9"/>
      <c r="I67" s="9"/>
      <c r="J67" s="9"/>
      <c r="K67" s="9"/>
      <c r="L67" s="9"/>
      <c r="M67" s="9"/>
      <c r="N67" s="9"/>
      <c r="O67" s="90"/>
      <c r="P67" s="90"/>
      <c r="Q67" s="86"/>
      <c r="R67" s="86"/>
      <c r="S67" s="9"/>
      <c r="T67" s="47"/>
      <c r="U67" s="9"/>
      <c r="W67" s="67" t="str">
        <f>$A$4&amp;" "&amp;A68&amp;"("&amp;B68&amp;","&amp;C68&amp;"^)"</f>
        <v>중화산동2가 새한그린파크('94.12.,218^)</v>
      </c>
      <c r="X67" s="68"/>
      <c r="Y67" s="68"/>
      <c r="Z67" s="68"/>
      <c r="AA67" s="68"/>
      <c r="AB67" s="68"/>
      <c r="AC67" s="68"/>
      <c r="AD67" s="68"/>
      <c r="AE67" s="68"/>
      <c r="AF67" s="69"/>
      <c r="AH67" s="20" t="str">
        <f t="shared" si="39"/>
        <v/>
      </c>
      <c r="AI67" s="108" t="str">
        <f t="shared" si="38"/>
        <v/>
      </c>
      <c r="AJ67" s="76"/>
      <c r="AK67" s="76"/>
      <c r="AL67" s="76"/>
      <c r="AM67" s="76"/>
      <c r="AN67" s="76"/>
      <c r="AO67" s="76"/>
      <c r="AP67" s="76"/>
      <c r="AQ67" s="76"/>
      <c r="AR67" s="76"/>
      <c r="AS67" s="76"/>
      <c r="AT67" s="76"/>
      <c r="AU67" s="76"/>
      <c r="AV67" s="76"/>
    </row>
    <row r="68" spans="1:48" x14ac:dyDescent="0.3">
      <c r="A68" s="9" t="s">
        <v>1229</v>
      </c>
      <c r="B68" s="10" t="s">
        <v>1891</v>
      </c>
      <c r="C68" s="87">
        <v>218</v>
      </c>
      <c r="D68" s="85">
        <v>84.3</v>
      </c>
      <c r="E68" s="86">
        <v>25</v>
      </c>
      <c r="F68" s="85">
        <v>60</v>
      </c>
      <c r="G68" s="17">
        <v>18</v>
      </c>
      <c r="H68" s="87">
        <v>102</v>
      </c>
      <c r="I68" s="88"/>
      <c r="J68" s="88"/>
      <c r="K68" s="88"/>
      <c r="L68" s="88"/>
      <c r="M68" s="89">
        <f>I68-K68</f>
        <v>0</v>
      </c>
      <c r="N68" s="4" t="str">
        <f>IF(ISERROR(K68/I68),"",K68/I68)</f>
        <v/>
      </c>
      <c r="O68" s="90">
        <f>I68/E68</f>
        <v>0</v>
      </c>
      <c r="P68" s="90">
        <f>K68/E68</f>
        <v>0</v>
      </c>
      <c r="Q68" s="76">
        <v>3</v>
      </c>
      <c r="R68" s="76">
        <v>1</v>
      </c>
      <c r="S68" s="76" t="s">
        <v>68</v>
      </c>
      <c r="T68" s="5">
        <v>84</v>
      </c>
      <c r="U68" s="9"/>
      <c r="W68" s="85">
        <f t="shared" ref="W68:X71" si="69">D68</f>
        <v>84.3</v>
      </c>
      <c r="X68" s="86">
        <f t="shared" si="69"/>
        <v>25</v>
      </c>
      <c r="Y68" s="91">
        <f t="shared" ref="Y68:Z71" si="70">H68</f>
        <v>102</v>
      </c>
      <c r="Z68" s="89">
        <f t="shared" si="70"/>
        <v>0</v>
      </c>
      <c r="AA68" s="89">
        <f>K68</f>
        <v>0</v>
      </c>
      <c r="AB68" s="89">
        <f t="shared" ref="AB68:AD71" si="71">M68</f>
        <v>0</v>
      </c>
      <c r="AC68" s="4" t="str">
        <f t="shared" si="71"/>
        <v/>
      </c>
      <c r="AD68" s="90">
        <f t="shared" si="71"/>
        <v>0</v>
      </c>
      <c r="AE68" s="76" t="str">
        <f>S68</f>
        <v>복</v>
      </c>
      <c r="AF68" s="76" t="str">
        <f>Q68&amp;"/"&amp;R68</f>
        <v>3/1</v>
      </c>
      <c r="AH68" s="20" t="str">
        <f t="shared" si="39"/>
        <v>새한그린파크</v>
      </c>
      <c r="AI68" s="86">
        <f t="shared" si="38"/>
        <v>25</v>
      </c>
      <c r="AJ68" s="76" t="str">
        <f>IF(AI68="","",$AJ$2)</f>
        <v>A-</v>
      </c>
      <c r="AK68" s="76" t="s">
        <v>13</v>
      </c>
      <c r="AL68" s="76" t="s">
        <v>62</v>
      </c>
      <c r="AM68" s="76" t="s">
        <v>63</v>
      </c>
      <c r="AN68" s="76" t="str">
        <f>IF(AI68="","",$AN$2)</f>
        <v>C</v>
      </c>
      <c r="AO68" s="76" t="str">
        <f>IF(N68="","",IF(N68&gt;=$AO$1/100,"O","X"))</f>
        <v/>
      </c>
      <c r="AP68" s="76" t="str">
        <f>IF(I68="","",IF(I68&lt;=$AP$1,"O","X"))</f>
        <v/>
      </c>
      <c r="AQ68" s="76" t="str">
        <f>IF(O68="","",IF(O68&lt;=$AQ$1,"O","X"))</f>
        <v>O</v>
      </c>
      <c r="AR68" s="76" t="str">
        <f>IF(M68="","",IF(M68&lt;=$AR$1,"O","X"))</f>
        <v>O</v>
      </c>
      <c r="AS68" s="76" t="s">
        <v>2</v>
      </c>
      <c r="AT68" s="76" t="str">
        <f>IF(OR(F68="",AI68=""),"",IF(AND((F68&lt;=85),(AI68&gt;=15)),"O","X"))</f>
        <v>O</v>
      </c>
      <c r="AU68" s="76" t="str">
        <f>IF(C68="","",IF(C68&gt;=$AU$1,"O","X"))</f>
        <v>X</v>
      </c>
      <c r="AV68" s="76" t="str">
        <f>IF(AO68="","",IF(AND(AO68="O",AP68="O",AR68="O",AT68="O",AU68="O"),"후보","X"))</f>
        <v/>
      </c>
    </row>
    <row r="69" spans="1:48" x14ac:dyDescent="0.3">
      <c r="A69" s="9" t="s">
        <v>1229</v>
      </c>
      <c r="B69" s="10" t="s">
        <v>1891</v>
      </c>
      <c r="C69" s="87">
        <v>218</v>
      </c>
      <c r="D69" s="85">
        <v>94</v>
      </c>
      <c r="E69" s="86">
        <v>28</v>
      </c>
      <c r="F69" s="85">
        <v>74.099999999999994</v>
      </c>
      <c r="G69" s="17">
        <v>22</v>
      </c>
      <c r="H69" s="87">
        <v>24</v>
      </c>
      <c r="I69" s="88"/>
      <c r="J69" s="88"/>
      <c r="K69" s="88"/>
      <c r="L69" s="88"/>
      <c r="M69" s="89">
        <f>I69-K69</f>
        <v>0</v>
      </c>
      <c r="N69" s="4" t="str">
        <f>IF(ISERROR(K69/I69),"",K69/I69)</f>
        <v/>
      </c>
      <c r="O69" s="90">
        <f>I69/E69</f>
        <v>0</v>
      </c>
      <c r="P69" s="90">
        <f>K69/E69</f>
        <v>0</v>
      </c>
      <c r="Q69" s="76">
        <v>3</v>
      </c>
      <c r="R69" s="76">
        <v>1</v>
      </c>
      <c r="S69" s="76" t="s">
        <v>61</v>
      </c>
      <c r="T69" s="5">
        <v>94</v>
      </c>
      <c r="U69" s="9"/>
      <c r="W69" s="85">
        <f t="shared" si="69"/>
        <v>94</v>
      </c>
      <c r="X69" s="86">
        <f t="shared" si="69"/>
        <v>28</v>
      </c>
      <c r="Y69" s="91">
        <f t="shared" si="70"/>
        <v>24</v>
      </c>
      <c r="Z69" s="89">
        <f t="shared" si="70"/>
        <v>0</v>
      </c>
      <c r="AA69" s="89">
        <f>K69</f>
        <v>0</v>
      </c>
      <c r="AB69" s="89">
        <f t="shared" si="71"/>
        <v>0</v>
      </c>
      <c r="AC69" s="4" t="str">
        <f t="shared" si="71"/>
        <v/>
      </c>
      <c r="AD69" s="90">
        <f t="shared" si="71"/>
        <v>0</v>
      </c>
      <c r="AE69" s="76" t="str">
        <f>S69</f>
        <v>계</v>
      </c>
      <c r="AF69" s="76" t="str">
        <f>Q69&amp;"/"&amp;R69</f>
        <v>3/1</v>
      </c>
      <c r="AH69" s="20" t="str">
        <f t="shared" si="39"/>
        <v>새한그린파크</v>
      </c>
      <c r="AI69" s="86">
        <f t="shared" si="38"/>
        <v>28</v>
      </c>
      <c r="AJ69" s="76" t="str">
        <f>IF(AI69="","",$AJ$2)</f>
        <v>A-</v>
      </c>
      <c r="AK69" s="76" t="s">
        <v>13</v>
      </c>
      <c r="AL69" s="76" t="s">
        <v>62</v>
      </c>
      <c r="AM69" s="76" t="s">
        <v>63</v>
      </c>
      <c r="AN69" s="76" t="str">
        <f>IF(AI69="","",$AN$2)</f>
        <v>C</v>
      </c>
      <c r="AO69" s="76" t="str">
        <f>IF(N69="","",IF(N69&gt;=$AO$1/100,"O","X"))</f>
        <v/>
      </c>
      <c r="AP69" s="76" t="str">
        <f>IF(I69="","",IF(I69&lt;=$AP$1,"O","X"))</f>
        <v/>
      </c>
      <c r="AQ69" s="76" t="str">
        <f>IF(O69="","",IF(O69&lt;=$AQ$1,"O","X"))</f>
        <v>O</v>
      </c>
      <c r="AR69" s="76" t="str">
        <f>IF(M69="","",IF(M69&lt;=$AR$1,"O","X"))</f>
        <v>O</v>
      </c>
      <c r="AS69" s="76" t="s">
        <v>2</v>
      </c>
      <c r="AT69" s="76" t="str">
        <f>IF(OR(F69="",AI69=""),"",IF(AND((F69&lt;=85),(AI69&gt;=15)),"O","X"))</f>
        <v>O</v>
      </c>
      <c r="AU69" s="76" t="str">
        <f>IF(C69="","",IF(C69&gt;=$AU$1,"O","X"))</f>
        <v>X</v>
      </c>
      <c r="AV69" s="76" t="str">
        <f>IF(AO69="","",IF(AND(AO69="O",AP69="O",AR69="O",AT69="O",AU69="O"),"후보","X"))</f>
        <v/>
      </c>
    </row>
    <row r="70" spans="1:48" x14ac:dyDescent="0.3">
      <c r="A70" s="9" t="s">
        <v>1229</v>
      </c>
      <c r="B70" s="10" t="s">
        <v>1891</v>
      </c>
      <c r="C70" s="87">
        <v>218</v>
      </c>
      <c r="D70" s="85">
        <v>105.8</v>
      </c>
      <c r="E70" s="86">
        <v>32</v>
      </c>
      <c r="F70" s="85">
        <v>85</v>
      </c>
      <c r="G70" s="17">
        <v>26</v>
      </c>
      <c r="H70" s="87">
        <v>48</v>
      </c>
      <c r="I70" s="88"/>
      <c r="J70" s="88"/>
      <c r="K70" s="88"/>
      <c r="L70" s="88"/>
      <c r="M70" s="89">
        <f>I70-K70</f>
        <v>0</v>
      </c>
      <c r="N70" s="4" t="str">
        <f>IF(ISERROR(K70/I70),"",K70/I70)</f>
        <v/>
      </c>
      <c r="O70" s="90">
        <f>I70/E70</f>
        <v>0</v>
      </c>
      <c r="P70" s="90">
        <f>K70/E70</f>
        <v>0</v>
      </c>
      <c r="Q70" s="76">
        <v>3</v>
      </c>
      <c r="R70" s="76">
        <v>2</v>
      </c>
      <c r="S70" s="76" t="s">
        <v>61</v>
      </c>
      <c r="T70" s="5">
        <v>105</v>
      </c>
      <c r="U70" s="9"/>
      <c r="W70" s="85">
        <f t="shared" si="69"/>
        <v>105.8</v>
      </c>
      <c r="X70" s="86">
        <f t="shared" si="69"/>
        <v>32</v>
      </c>
      <c r="Y70" s="91">
        <f t="shared" si="70"/>
        <v>48</v>
      </c>
      <c r="Z70" s="89">
        <f t="shared" si="70"/>
        <v>0</v>
      </c>
      <c r="AA70" s="89">
        <f>K70</f>
        <v>0</v>
      </c>
      <c r="AB70" s="89">
        <f t="shared" si="71"/>
        <v>0</v>
      </c>
      <c r="AC70" s="4" t="str">
        <f t="shared" si="71"/>
        <v/>
      </c>
      <c r="AD70" s="90">
        <f t="shared" si="71"/>
        <v>0</v>
      </c>
      <c r="AE70" s="76" t="str">
        <f>S70</f>
        <v>계</v>
      </c>
      <c r="AF70" s="76" t="str">
        <f>Q70&amp;"/"&amp;R70</f>
        <v>3/2</v>
      </c>
      <c r="AH70" s="20" t="str">
        <f t="shared" si="39"/>
        <v>새한그린파크</v>
      </c>
      <c r="AI70" s="86">
        <f t="shared" si="38"/>
        <v>32</v>
      </c>
      <c r="AJ70" s="76" t="str">
        <f>IF(AI70="","",$AJ$2)</f>
        <v>A-</v>
      </c>
      <c r="AK70" s="76" t="s">
        <v>13</v>
      </c>
      <c r="AL70" s="76" t="s">
        <v>62</v>
      </c>
      <c r="AM70" s="76" t="s">
        <v>63</v>
      </c>
      <c r="AN70" s="76" t="str">
        <f>IF(AI70="","",$AN$2)</f>
        <v>C</v>
      </c>
      <c r="AO70" s="76" t="str">
        <f>IF(N70="","",IF(N70&gt;=$AO$1/100,"O","X"))</f>
        <v/>
      </c>
      <c r="AP70" s="76" t="str">
        <f>IF(I70="","",IF(I70&lt;=$AP$1,"O","X"))</f>
        <v/>
      </c>
      <c r="AQ70" s="76" t="str">
        <f>IF(O70="","",IF(O70&lt;=$AQ$1,"O","X"))</f>
        <v>O</v>
      </c>
      <c r="AR70" s="76" t="str">
        <f>IF(M70="","",IF(M70&lt;=$AR$1,"O","X"))</f>
        <v>O</v>
      </c>
      <c r="AS70" s="76" t="s">
        <v>2</v>
      </c>
      <c r="AT70" s="76" t="str">
        <f>IF(OR(F70="",AI70=""),"",IF(AND((F70&lt;=85),(AI70&gt;=15)),"O","X"))</f>
        <v>O</v>
      </c>
      <c r="AU70" s="76" t="str">
        <f>IF(C70="","",IF(C70&gt;=$AU$1,"O","X"))</f>
        <v>X</v>
      </c>
      <c r="AV70" s="76" t="str">
        <f>IF(AO70="","",IF(AND(AO70="O",AP70="O",AR70="O",AT70="O",AU70="O"),"후보","X"))</f>
        <v/>
      </c>
    </row>
    <row r="71" spans="1:48" x14ac:dyDescent="0.3">
      <c r="A71" s="9" t="s">
        <v>1229</v>
      </c>
      <c r="B71" s="10" t="s">
        <v>1891</v>
      </c>
      <c r="C71" s="87">
        <v>218</v>
      </c>
      <c r="D71" s="85">
        <v>129.69999999999999</v>
      </c>
      <c r="E71" s="86">
        <v>39</v>
      </c>
      <c r="F71" s="85">
        <v>105.6</v>
      </c>
      <c r="G71" s="17">
        <v>32</v>
      </c>
      <c r="H71" s="87">
        <v>44</v>
      </c>
      <c r="I71" s="88"/>
      <c r="J71" s="88"/>
      <c r="K71" s="88"/>
      <c r="L71" s="88"/>
      <c r="M71" s="89">
        <f>I71-K71</f>
        <v>0</v>
      </c>
      <c r="N71" s="4" t="str">
        <f>IF(ISERROR(K71/I71),"",K71/I71)</f>
        <v/>
      </c>
      <c r="O71" s="90">
        <f>I71/E71</f>
        <v>0</v>
      </c>
      <c r="P71" s="90">
        <f>K71/E71</f>
        <v>0</v>
      </c>
      <c r="Q71" s="76">
        <v>4</v>
      </c>
      <c r="R71" s="76">
        <v>2</v>
      </c>
      <c r="S71" s="76" t="s">
        <v>61</v>
      </c>
      <c r="T71" s="5">
        <v>129</v>
      </c>
      <c r="U71" s="9"/>
      <c r="W71" s="85">
        <f t="shared" si="69"/>
        <v>129.69999999999999</v>
      </c>
      <c r="X71" s="86">
        <f t="shared" si="69"/>
        <v>39</v>
      </c>
      <c r="Y71" s="91">
        <f t="shared" si="70"/>
        <v>44</v>
      </c>
      <c r="Z71" s="89">
        <f t="shared" si="70"/>
        <v>0</v>
      </c>
      <c r="AA71" s="89">
        <f>K71</f>
        <v>0</v>
      </c>
      <c r="AB71" s="89">
        <f t="shared" si="71"/>
        <v>0</v>
      </c>
      <c r="AC71" s="4" t="str">
        <f t="shared" si="71"/>
        <v/>
      </c>
      <c r="AD71" s="90">
        <f t="shared" si="71"/>
        <v>0</v>
      </c>
      <c r="AE71" s="76" t="str">
        <f>S71</f>
        <v>계</v>
      </c>
      <c r="AF71" s="76" t="str">
        <f>Q71&amp;"/"&amp;R71</f>
        <v>4/2</v>
      </c>
      <c r="AH71" s="20" t="str">
        <f t="shared" si="39"/>
        <v>새한그린파크</v>
      </c>
      <c r="AI71" s="86">
        <f t="shared" si="38"/>
        <v>39</v>
      </c>
      <c r="AJ71" s="76" t="str">
        <f>IF(AI71="","",$AJ$2)</f>
        <v>A-</v>
      </c>
      <c r="AK71" s="76" t="s">
        <v>13</v>
      </c>
      <c r="AL71" s="76" t="s">
        <v>62</v>
      </c>
      <c r="AM71" s="76" t="s">
        <v>63</v>
      </c>
      <c r="AN71" s="76" t="str">
        <f>IF(AI71="","",$AN$2)</f>
        <v>C</v>
      </c>
      <c r="AO71" s="76" t="str">
        <f>IF(N71="","",IF(N71&gt;=$AO$1/100,"O","X"))</f>
        <v/>
      </c>
      <c r="AP71" s="76" t="str">
        <f>IF(I71="","",IF(I71&lt;=$AP$1,"O","X"))</f>
        <v/>
      </c>
      <c r="AQ71" s="76" t="str">
        <f>IF(O71="","",IF(O71&lt;=$AQ$1,"O","X"))</f>
        <v>O</v>
      </c>
      <c r="AR71" s="76" t="str">
        <f>IF(M71="","",IF(M71&lt;=$AR$1,"O","X"))</f>
        <v>O</v>
      </c>
      <c r="AS71" s="76" t="s">
        <v>2</v>
      </c>
      <c r="AT71" s="76" t="str">
        <f>IF(OR(F71="",AI71=""),"",IF(AND((F71&lt;=85),(AI71&gt;=15)),"O","X"))</f>
        <v>X</v>
      </c>
      <c r="AU71" s="76" t="str">
        <f>IF(C71="","",IF(C71&gt;=$AU$1,"O","X"))</f>
        <v>X</v>
      </c>
      <c r="AV71" s="76" t="str">
        <f>IF(AO71="","",IF(AND(AO71="O",AP71="O",AR71="O",AT71="O",AU71="O"),"후보","X"))</f>
        <v/>
      </c>
    </row>
  </sheetData>
  <mergeCells count="1">
    <mergeCell ref="AJ1:AN1"/>
  </mergeCells>
  <phoneticPr fontId="2" type="noConversion"/>
  <conditionalFormatting sqref="AV4:AV6">
    <cfRule type="expression" dxfId="17195" priority="1087">
      <formula>AV4="X"</formula>
    </cfRule>
    <cfRule type="expression" dxfId="17194" priority="1088">
      <formula>AV4="후보"</formula>
    </cfRule>
  </conditionalFormatting>
  <conditionalFormatting sqref="AC1:AC2 AC4:AC6 N4:N5">
    <cfRule type="cellIs" dxfId="17193" priority="1084" operator="greaterThan">
      <formula>0.9</formula>
    </cfRule>
    <cfRule type="cellIs" dxfId="17192" priority="1085" operator="greaterThan">
      <formula>0.85</formula>
    </cfRule>
  </conditionalFormatting>
  <conditionalFormatting sqref="N1:N2">
    <cfRule type="cellIs" dxfId="17191" priority="1082" operator="greaterThan">
      <formula>0.9</formula>
    </cfRule>
    <cfRule type="cellIs" dxfId="17190" priority="1083" operator="greaterThan">
      <formula>0.85</formula>
    </cfRule>
  </conditionalFormatting>
  <conditionalFormatting sqref="N6">
    <cfRule type="cellIs" dxfId="17189" priority="1080" operator="greaterThan">
      <formula>0.9</formula>
    </cfRule>
    <cfRule type="cellIs" dxfId="17188" priority="1081" operator="greaterThan">
      <formula>0.85</formula>
    </cfRule>
  </conditionalFormatting>
  <conditionalFormatting sqref="E6">
    <cfRule type="expression" dxfId="17187" priority="1076">
      <formula>AND(IF(OR($Q6=1,$Q6=2),1,0),IF($X6&lt;=20,1,0))</formula>
    </cfRule>
    <cfRule type="expression" dxfId="17186" priority="1077">
      <formula>AND(IF($Q6=2,1,0),IF($X6&lt;30,1,0))</formula>
    </cfRule>
    <cfRule type="expression" dxfId="17185" priority="1078">
      <formula>AND(IF($Q6=3,1,0),IF($X6&lt;30,1,0))</formula>
    </cfRule>
    <cfRule type="expression" dxfId="17184" priority="1079">
      <formula>AND(IF($Q6=3,1,IF($Q6=4,1,0)),IF($F6&lt;=85,1,0))</formula>
    </cfRule>
  </conditionalFormatting>
  <conditionalFormatting sqref="X6">
    <cfRule type="expression" dxfId="17183" priority="1072">
      <formula>AND(IF(OR($Q6=1,$Q6=2),1,0),IF($X6&lt;=20,1,0))</formula>
    </cfRule>
    <cfRule type="expression" dxfId="17182" priority="1073">
      <formula>AND(IF($Q6=2,1,0),IF($X6&lt;30,1,0))</formula>
    </cfRule>
    <cfRule type="expression" dxfId="17181" priority="1074">
      <formula>AND(IF($Q6=3,1,0),IF($X6&lt;30,1,0))</formula>
    </cfRule>
    <cfRule type="expression" dxfId="17180" priority="1075">
      <formula>AND(IF($Q6=3,1,IF($Q6=4,1,0)),IF($F6&lt;=85,1,0))</formula>
    </cfRule>
  </conditionalFormatting>
  <conditionalFormatting sqref="AI6">
    <cfRule type="expression" dxfId="17179" priority="1068">
      <formula>AND(IF(OR($Q6=1,$Q6=2),1,0),IF($X6&lt;=20,1,0))</formula>
    </cfRule>
    <cfRule type="expression" dxfId="17178" priority="1069">
      <formula>AND(IF($Q6=2,1,0),IF($X6&lt;30,1,0))</formula>
    </cfRule>
    <cfRule type="expression" dxfId="17177" priority="1070">
      <formula>AND(IF($Q6=3,1,0),IF($X6&lt;30,1,0))</formula>
    </cfRule>
    <cfRule type="expression" dxfId="17176" priority="1071">
      <formula>AND(IF($Q6=3,1,IF($Q6=4,1,0)),IF($F6&lt;=85,1,0))</formula>
    </cfRule>
  </conditionalFormatting>
  <conditionalFormatting sqref="AV7">
    <cfRule type="expression" dxfId="17175" priority="1066">
      <formula>AV7="X"</formula>
    </cfRule>
    <cfRule type="expression" dxfId="17174" priority="1067">
      <formula>AV7="후보"</formula>
    </cfRule>
  </conditionalFormatting>
  <conditionalFormatting sqref="AC7">
    <cfRule type="cellIs" dxfId="17173" priority="1063" operator="greaterThan">
      <formula>0.9</formula>
    </cfRule>
    <cfRule type="cellIs" dxfId="17172" priority="1064" operator="greaterThan">
      <formula>0.85</formula>
    </cfRule>
  </conditionalFormatting>
  <conditionalFormatting sqref="N7">
    <cfRule type="cellIs" dxfId="17171" priority="1061" operator="greaterThan">
      <formula>0.9</formula>
    </cfRule>
    <cfRule type="cellIs" dxfId="17170" priority="1062" operator="greaterThan">
      <formula>0.85</formula>
    </cfRule>
  </conditionalFormatting>
  <conditionalFormatting sqref="E7">
    <cfRule type="expression" dxfId="17169" priority="1057">
      <formula>AND(IF(OR($Q7=1,$Q7=2),1,0),IF($X7&lt;=20,1,0))</formula>
    </cfRule>
    <cfRule type="expression" dxfId="17168" priority="1058">
      <formula>AND(IF($Q7=2,1,0),IF($X7&lt;30,1,0))</formula>
    </cfRule>
    <cfRule type="expression" dxfId="17167" priority="1059">
      <formula>AND(IF($Q7=3,1,0),IF($X7&lt;30,1,0))</formula>
    </cfRule>
    <cfRule type="expression" dxfId="17166" priority="1060">
      <formula>AND(IF($Q7=3,1,IF($Q7=4,1,0)),IF($F7&lt;=85,1,0))</formula>
    </cfRule>
  </conditionalFormatting>
  <conditionalFormatting sqref="X7">
    <cfRule type="expression" dxfId="17165" priority="1053">
      <formula>AND(IF(OR($Q7=1,$Q7=2),1,0),IF($X7&lt;=20,1,0))</formula>
    </cfRule>
    <cfRule type="expression" dxfId="17164" priority="1054">
      <formula>AND(IF($Q7=2,1,0),IF($X7&lt;30,1,0))</formula>
    </cfRule>
    <cfRule type="expression" dxfId="17163" priority="1055">
      <formula>AND(IF($Q7=3,1,0),IF($X7&lt;30,1,0))</formula>
    </cfRule>
    <cfRule type="expression" dxfId="17162" priority="1056">
      <formula>AND(IF($Q7=3,1,IF($Q7=4,1,0)),IF($F7&lt;=85,1,0))</formula>
    </cfRule>
  </conditionalFormatting>
  <conditionalFormatting sqref="AI7">
    <cfRule type="expression" dxfId="17161" priority="1049">
      <formula>AND(IF(OR($Q7=1,$Q7=2),1,0),IF($X7&lt;=20,1,0))</formula>
    </cfRule>
    <cfRule type="expression" dxfId="17160" priority="1050">
      <formula>AND(IF($Q7=2,1,0),IF($X7&lt;30,1,0))</formula>
    </cfRule>
    <cfRule type="expression" dxfId="17159" priority="1051">
      <formula>AND(IF($Q7=3,1,0),IF($X7&lt;30,1,0))</formula>
    </cfRule>
    <cfRule type="expression" dxfId="17158" priority="1052">
      <formula>AND(IF($Q7=3,1,IF($Q7=4,1,0)),IF($F7&lt;=85,1,0))</formula>
    </cfRule>
  </conditionalFormatting>
  <conditionalFormatting sqref="AV8">
    <cfRule type="expression" dxfId="17157" priority="1047">
      <formula>AV8="X"</formula>
    </cfRule>
    <cfRule type="expression" dxfId="17156" priority="1048">
      <formula>AV8="후보"</formula>
    </cfRule>
  </conditionalFormatting>
  <conditionalFormatting sqref="AC8 N8">
    <cfRule type="cellIs" dxfId="17155" priority="1044" operator="greaterThan">
      <formula>0.9</formula>
    </cfRule>
    <cfRule type="cellIs" dxfId="17154" priority="1045" operator="greaterThan">
      <formula>0.85</formula>
    </cfRule>
  </conditionalFormatting>
  <conditionalFormatting sqref="AV9">
    <cfRule type="expression" dxfId="17153" priority="1042">
      <formula>AV9="X"</formula>
    </cfRule>
    <cfRule type="expression" dxfId="17152" priority="1043">
      <formula>AV9="후보"</formula>
    </cfRule>
  </conditionalFormatting>
  <conditionalFormatting sqref="AC9">
    <cfRule type="cellIs" dxfId="17151" priority="1039" operator="greaterThan">
      <formula>0.9</formula>
    </cfRule>
    <cfRule type="cellIs" dxfId="17150" priority="1040" operator="greaterThan">
      <formula>0.85</formula>
    </cfRule>
  </conditionalFormatting>
  <conditionalFormatting sqref="N9">
    <cfRule type="cellIs" dxfId="17149" priority="1037" operator="greaterThan">
      <formula>0.9</formula>
    </cfRule>
    <cfRule type="cellIs" dxfId="17148" priority="1038" operator="greaterThan">
      <formula>0.85</formula>
    </cfRule>
  </conditionalFormatting>
  <conditionalFormatting sqref="E9">
    <cfRule type="expression" dxfId="17147" priority="1033">
      <formula>AND(IF(OR($Q9=1,$Q9=2),1,0),IF($X9&lt;=20,1,0))</formula>
    </cfRule>
    <cfRule type="expression" dxfId="17146" priority="1034">
      <formula>AND(IF($Q9=2,1,0),IF($X9&lt;30,1,0))</formula>
    </cfRule>
    <cfRule type="expression" dxfId="17145" priority="1035">
      <formula>AND(IF($Q9=3,1,0),IF($X9&lt;30,1,0))</formula>
    </cfRule>
    <cfRule type="expression" dxfId="17144" priority="1036">
      <formula>AND(IF($Q9=3,1,IF($Q9=4,1,0)),IF($F9&lt;=85,1,0))</formula>
    </cfRule>
  </conditionalFormatting>
  <conditionalFormatting sqref="X9">
    <cfRule type="expression" dxfId="17143" priority="1029">
      <formula>AND(IF(OR($Q9=1,$Q9=2),1,0),IF($X9&lt;=20,1,0))</formula>
    </cfRule>
    <cfRule type="expression" dxfId="17142" priority="1030">
      <formula>AND(IF($Q9=2,1,0),IF($X9&lt;30,1,0))</formula>
    </cfRule>
    <cfRule type="expression" dxfId="17141" priority="1031">
      <formula>AND(IF($Q9=3,1,0),IF($X9&lt;30,1,0))</formula>
    </cfRule>
    <cfRule type="expression" dxfId="17140" priority="1032">
      <formula>AND(IF($Q9=3,1,IF($Q9=4,1,0)),IF($F9&lt;=85,1,0))</formula>
    </cfRule>
  </conditionalFormatting>
  <conditionalFormatting sqref="AI9">
    <cfRule type="expression" dxfId="17139" priority="1025">
      <formula>AND(IF(OR($Q9=1,$Q9=2),1,0),IF($X9&lt;=20,1,0))</formula>
    </cfRule>
    <cfRule type="expression" dxfId="17138" priority="1026">
      <formula>AND(IF($Q9=2,1,0),IF($X9&lt;30,1,0))</formula>
    </cfRule>
    <cfRule type="expression" dxfId="17137" priority="1027">
      <formula>AND(IF($Q9=3,1,0),IF($X9&lt;30,1,0))</formula>
    </cfRule>
    <cfRule type="expression" dxfId="17136" priority="1028">
      <formula>AND(IF($Q9=3,1,IF($Q9=4,1,0)),IF($F9&lt;=85,1,0))</formula>
    </cfRule>
  </conditionalFormatting>
  <conditionalFormatting sqref="AV10">
    <cfRule type="expression" dxfId="17135" priority="1023">
      <formula>AV10="X"</formula>
    </cfRule>
    <cfRule type="expression" dxfId="17134" priority="1024">
      <formula>AV10="후보"</formula>
    </cfRule>
  </conditionalFormatting>
  <conditionalFormatting sqref="AC10">
    <cfRule type="cellIs" dxfId="17133" priority="1020" operator="greaterThan">
      <formula>0.9</formula>
    </cfRule>
    <cfRule type="cellIs" dxfId="17132" priority="1021" operator="greaterThan">
      <formula>0.85</formula>
    </cfRule>
  </conditionalFormatting>
  <conditionalFormatting sqref="N10">
    <cfRule type="cellIs" dxfId="17131" priority="1018" operator="greaterThan">
      <formula>0.9</formula>
    </cfRule>
    <cfRule type="cellIs" dxfId="17130" priority="1019" operator="greaterThan">
      <formula>0.85</formula>
    </cfRule>
  </conditionalFormatting>
  <conditionalFormatting sqref="E10">
    <cfRule type="expression" dxfId="17129" priority="1014">
      <formula>AND(IF(OR($Q10=1,$Q10=2),1,0),IF($X10&lt;=20,1,0))</formula>
    </cfRule>
    <cfRule type="expression" dxfId="17128" priority="1015">
      <formula>AND(IF($Q10=2,1,0),IF($X10&lt;30,1,0))</formula>
    </cfRule>
    <cfRule type="expression" dxfId="17127" priority="1016">
      <formula>AND(IF($Q10=3,1,0),IF($X10&lt;30,1,0))</formula>
    </cfRule>
    <cfRule type="expression" dxfId="17126" priority="1017">
      <formula>AND(IF($Q10=3,1,IF($Q10=4,1,0)),IF($F10&lt;=85,1,0))</formula>
    </cfRule>
  </conditionalFormatting>
  <conditionalFormatting sqref="X10">
    <cfRule type="expression" dxfId="17125" priority="1010">
      <formula>AND(IF(OR($Q10=1,$Q10=2),1,0),IF($X10&lt;=20,1,0))</formula>
    </cfRule>
    <cfRule type="expression" dxfId="17124" priority="1011">
      <formula>AND(IF($Q10=2,1,0),IF($X10&lt;30,1,0))</formula>
    </cfRule>
    <cfRule type="expression" dxfId="17123" priority="1012">
      <formula>AND(IF($Q10=3,1,0),IF($X10&lt;30,1,0))</formula>
    </cfRule>
    <cfRule type="expression" dxfId="17122" priority="1013">
      <formula>AND(IF($Q10=3,1,IF($Q10=4,1,0)),IF($F10&lt;=85,1,0))</formula>
    </cfRule>
  </conditionalFormatting>
  <conditionalFormatting sqref="AI10">
    <cfRule type="expression" dxfId="17121" priority="1006">
      <formula>AND(IF(OR($Q10=1,$Q10=2),1,0),IF($X10&lt;=20,1,0))</formula>
    </cfRule>
    <cfRule type="expression" dxfId="17120" priority="1007">
      <formula>AND(IF($Q10=2,1,0),IF($X10&lt;30,1,0))</formula>
    </cfRule>
    <cfRule type="expression" dxfId="17119" priority="1008">
      <formula>AND(IF($Q10=3,1,0),IF($X10&lt;30,1,0))</formula>
    </cfRule>
    <cfRule type="expression" dxfId="17118" priority="1009">
      <formula>AND(IF($Q10=3,1,IF($Q10=4,1,0)),IF($F10&lt;=85,1,0))</formula>
    </cfRule>
  </conditionalFormatting>
  <conditionalFormatting sqref="AV11">
    <cfRule type="expression" dxfId="17117" priority="1004">
      <formula>AV11="X"</formula>
    </cfRule>
    <cfRule type="expression" dxfId="17116" priority="1005">
      <formula>AV11="후보"</formula>
    </cfRule>
  </conditionalFormatting>
  <conditionalFormatting sqref="AC11">
    <cfRule type="cellIs" dxfId="17115" priority="1001" operator="greaterThan">
      <formula>0.9</formula>
    </cfRule>
    <cfRule type="cellIs" dxfId="17114" priority="1002" operator="greaterThan">
      <formula>0.85</formula>
    </cfRule>
  </conditionalFormatting>
  <conditionalFormatting sqref="N11">
    <cfRule type="cellIs" dxfId="17113" priority="999" operator="greaterThan">
      <formula>0.9</formula>
    </cfRule>
    <cfRule type="cellIs" dxfId="17112" priority="1000" operator="greaterThan">
      <formula>0.85</formula>
    </cfRule>
  </conditionalFormatting>
  <conditionalFormatting sqref="E11">
    <cfRule type="expression" dxfId="17111" priority="995">
      <formula>AND(IF(OR($Q11=1,$Q11=2),1,0),IF($X11&lt;=20,1,0))</formula>
    </cfRule>
    <cfRule type="expression" dxfId="17110" priority="996">
      <formula>AND(IF($Q11=2,1,0),IF($X11&lt;30,1,0))</formula>
    </cfRule>
    <cfRule type="expression" dxfId="17109" priority="997">
      <formula>AND(IF($Q11=3,1,0),IF($X11&lt;30,1,0))</formula>
    </cfRule>
    <cfRule type="expression" dxfId="17108" priority="998">
      <formula>AND(IF($Q11=3,1,IF($Q11=4,1,0)),IF($F11&lt;=85,1,0))</formula>
    </cfRule>
  </conditionalFormatting>
  <conditionalFormatting sqref="X11">
    <cfRule type="expression" dxfId="17107" priority="991">
      <formula>AND(IF(OR($Q11=1,$Q11=2),1,0),IF($X11&lt;=20,1,0))</formula>
    </cfRule>
    <cfRule type="expression" dxfId="17106" priority="992">
      <formula>AND(IF($Q11=2,1,0),IF($X11&lt;30,1,0))</formula>
    </cfRule>
    <cfRule type="expression" dxfId="17105" priority="993">
      <formula>AND(IF($Q11=3,1,0),IF($X11&lt;30,1,0))</formula>
    </cfRule>
    <cfRule type="expression" dxfId="17104" priority="994">
      <formula>AND(IF($Q11=3,1,IF($Q11=4,1,0)),IF($F11&lt;=85,1,0))</formula>
    </cfRule>
  </conditionalFormatting>
  <conditionalFormatting sqref="AI11">
    <cfRule type="expression" dxfId="17103" priority="987">
      <formula>AND(IF(OR($Q11=1,$Q11=2),1,0),IF($X11&lt;=20,1,0))</formula>
    </cfRule>
    <cfRule type="expression" dxfId="17102" priority="988">
      <formula>AND(IF($Q11=2,1,0),IF($X11&lt;30,1,0))</formula>
    </cfRule>
    <cfRule type="expression" dxfId="17101" priority="989">
      <formula>AND(IF($Q11=3,1,0),IF($X11&lt;30,1,0))</formula>
    </cfRule>
    <cfRule type="expression" dxfId="17100" priority="990">
      <formula>AND(IF($Q11=3,1,IF($Q11=4,1,0)),IF($F11&lt;=85,1,0))</formula>
    </cfRule>
  </conditionalFormatting>
  <conditionalFormatting sqref="AV12">
    <cfRule type="expression" dxfId="17099" priority="985">
      <formula>AV12="X"</formula>
    </cfRule>
    <cfRule type="expression" dxfId="17098" priority="986">
      <formula>AV12="후보"</formula>
    </cfRule>
  </conditionalFormatting>
  <conditionalFormatting sqref="AC12 N12">
    <cfRule type="cellIs" dxfId="17097" priority="982" operator="greaterThan">
      <formula>0.9</formula>
    </cfRule>
    <cfRule type="cellIs" dxfId="17096" priority="983" operator="greaterThan">
      <formula>0.85</formula>
    </cfRule>
  </conditionalFormatting>
  <conditionalFormatting sqref="AV13">
    <cfRule type="expression" dxfId="17095" priority="980">
      <formula>AV13="X"</formula>
    </cfRule>
    <cfRule type="expression" dxfId="17094" priority="981">
      <formula>AV13="후보"</formula>
    </cfRule>
  </conditionalFormatting>
  <conditionalFormatting sqref="AC13">
    <cfRule type="cellIs" dxfId="17093" priority="977" operator="greaterThan">
      <formula>0.9</formula>
    </cfRule>
    <cfRule type="cellIs" dxfId="17092" priority="978" operator="greaterThan">
      <formula>0.85</formula>
    </cfRule>
  </conditionalFormatting>
  <conditionalFormatting sqref="N13">
    <cfRule type="cellIs" dxfId="17091" priority="975" operator="greaterThan">
      <formula>0.9</formula>
    </cfRule>
    <cfRule type="cellIs" dxfId="17090" priority="976" operator="greaterThan">
      <formula>0.85</formula>
    </cfRule>
  </conditionalFormatting>
  <conditionalFormatting sqref="E13">
    <cfRule type="expression" dxfId="17089" priority="971">
      <formula>AND(IF(OR($Q13=1,$Q13=2),1,0),IF($X13&lt;=20,1,0))</formula>
    </cfRule>
    <cfRule type="expression" dxfId="17088" priority="972">
      <formula>AND(IF($Q13=2,1,0),IF($X13&lt;30,1,0))</formula>
    </cfRule>
    <cfRule type="expression" dxfId="17087" priority="973">
      <formula>AND(IF($Q13=3,1,0),IF($X13&lt;30,1,0))</formula>
    </cfRule>
    <cfRule type="expression" dxfId="17086" priority="974">
      <formula>AND(IF($Q13=3,1,IF($Q13=4,1,0)),IF($F13&lt;=85,1,0))</formula>
    </cfRule>
  </conditionalFormatting>
  <conditionalFormatting sqref="X13">
    <cfRule type="expression" dxfId="17085" priority="967">
      <formula>AND(IF(OR($Q13=1,$Q13=2),1,0),IF($X13&lt;=20,1,0))</formula>
    </cfRule>
    <cfRule type="expression" dxfId="17084" priority="968">
      <formula>AND(IF($Q13=2,1,0),IF($X13&lt;30,1,0))</formula>
    </cfRule>
    <cfRule type="expression" dxfId="17083" priority="969">
      <formula>AND(IF($Q13=3,1,0),IF($X13&lt;30,1,0))</formula>
    </cfRule>
    <cfRule type="expression" dxfId="17082" priority="970">
      <formula>AND(IF($Q13=3,1,IF($Q13=4,1,0)),IF($F13&lt;=85,1,0))</formula>
    </cfRule>
  </conditionalFormatting>
  <conditionalFormatting sqref="AI13">
    <cfRule type="expression" dxfId="17081" priority="963">
      <formula>AND(IF(OR($Q13=1,$Q13=2),1,0),IF($X13&lt;=20,1,0))</formula>
    </cfRule>
    <cfRule type="expression" dxfId="17080" priority="964">
      <formula>AND(IF($Q13=2,1,0),IF($X13&lt;30,1,0))</formula>
    </cfRule>
    <cfRule type="expression" dxfId="17079" priority="965">
      <formula>AND(IF($Q13=3,1,0),IF($X13&lt;30,1,0))</formula>
    </cfRule>
    <cfRule type="expression" dxfId="17078" priority="966">
      <formula>AND(IF($Q13=3,1,IF($Q13=4,1,0)),IF($F13&lt;=85,1,0))</formula>
    </cfRule>
  </conditionalFormatting>
  <conditionalFormatting sqref="AV14">
    <cfRule type="expression" dxfId="17077" priority="961">
      <formula>AV14="X"</formula>
    </cfRule>
    <cfRule type="expression" dxfId="17076" priority="962">
      <formula>AV14="후보"</formula>
    </cfRule>
  </conditionalFormatting>
  <conditionalFormatting sqref="AC14">
    <cfRule type="cellIs" dxfId="17075" priority="958" operator="greaterThan">
      <formula>0.9</formula>
    </cfRule>
    <cfRule type="cellIs" dxfId="17074" priority="959" operator="greaterThan">
      <formula>0.85</formula>
    </cfRule>
  </conditionalFormatting>
  <conditionalFormatting sqref="N14">
    <cfRule type="cellIs" dxfId="17073" priority="956" operator="greaterThan">
      <formula>0.9</formula>
    </cfRule>
    <cfRule type="cellIs" dxfId="17072" priority="957" operator="greaterThan">
      <formula>0.85</formula>
    </cfRule>
  </conditionalFormatting>
  <conditionalFormatting sqref="E14">
    <cfRule type="expression" dxfId="17071" priority="952">
      <formula>AND(IF(OR($Q14=1,$Q14=2),1,0),IF($X14&lt;=20,1,0))</formula>
    </cfRule>
    <cfRule type="expression" dxfId="17070" priority="953">
      <formula>AND(IF($Q14=2,1,0),IF($X14&lt;30,1,0))</formula>
    </cfRule>
    <cfRule type="expression" dxfId="17069" priority="954">
      <formula>AND(IF($Q14=3,1,0),IF($X14&lt;30,1,0))</formula>
    </cfRule>
    <cfRule type="expression" dxfId="17068" priority="955">
      <formula>AND(IF($Q14=3,1,IF($Q14=4,1,0)),IF($F14&lt;=85,1,0))</formula>
    </cfRule>
  </conditionalFormatting>
  <conditionalFormatting sqref="X14">
    <cfRule type="expression" dxfId="17067" priority="948">
      <formula>AND(IF(OR($Q14=1,$Q14=2),1,0),IF($X14&lt;=20,1,0))</formula>
    </cfRule>
    <cfRule type="expression" dxfId="17066" priority="949">
      <formula>AND(IF($Q14=2,1,0),IF($X14&lt;30,1,0))</formula>
    </cfRule>
    <cfRule type="expression" dxfId="17065" priority="950">
      <formula>AND(IF($Q14=3,1,0),IF($X14&lt;30,1,0))</formula>
    </cfRule>
    <cfRule type="expression" dxfId="17064" priority="951">
      <formula>AND(IF($Q14=3,1,IF($Q14=4,1,0)),IF($F14&lt;=85,1,0))</formula>
    </cfRule>
  </conditionalFormatting>
  <conditionalFormatting sqref="AI14">
    <cfRule type="expression" dxfId="17063" priority="944">
      <formula>AND(IF(OR($Q14=1,$Q14=2),1,0),IF($X14&lt;=20,1,0))</formula>
    </cfRule>
    <cfRule type="expression" dxfId="17062" priority="945">
      <formula>AND(IF($Q14=2,1,0),IF($X14&lt;30,1,0))</formula>
    </cfRule>
    <cfRule type="expression" dxfId="17061" priority="946">
      <formula>AND(IF($Q14=3,1,0),IF($X14&lt;30,1,0))</formula>
    </cfRule>
    <cfRule type="expression" dxfId="17060" priority="947">
      <formula>AND(IF($Q14=3,1,IF($Q14=4,1,0)),IF($F14&lt;=85,1,0))</formula>
    </cfRule>
  </conditionalFormatting>
  <conditionalFormatting sqref="AV15">
    <cfRule type="expression" dxfId="17059" priority="942">
      <formula>AV15="X"</formula>
    </cfRule>
    <cfRule type="expression" dxfId="17058" priority="943">
      <formula>AV15="후보"</formula>
    </cfRule>
  </conditionalFormatting>
  <conditionalFormatting sqref="AC15">
    <cfRule type="cellIs" dxfId="17057" priority="939" operator="greaterThan">
      <formula>0.9</formula>
    </cfRule>
    <cfRule type="cellIs" dxfId="17056" priority="940" operator="greaterThan">
      <formula>0.85</formula>
    </cfRule>
  </conditionalFormatting>
  <conditionalFormatting sqref="N15">
    <cfRule type="cellIs" dxfId="17055" priority="937" operator="greaterThan">
      <formula>0.9</formula>
    </cfRule>
    <cfRule type="cellIs" dxfId="17054" priority="938" operator="greaterThan">
      <formula>0.85</formula>
    </cfRule>
  </conditionalFormatting>
  <conditionalFormatting sqref="E15">
    <cfRule type="expression" dxfId="17053" priority="933">
      <formula>AND(IF(OR($Q15=1,$Q15=2),1,0),IF($X15&lt;=20,1,0))</formula>
    </cfRule>
    <cfRule type="expression" dxfId="17052" priority="934">
      <formula>AND(IF($Q15=2,1,0),IF($X15&lt;30,1,0))</formula>
    </cfRule>
    <cfRule type="expression" dxfId="17051" priority="935">
      <formula>AND(IF($Q15=3,1,0),IF($X15&lt;30,1,0))</formula>
    </cfRule>
    <cfRule type="expression" dxfId="17050" priority="936">
      <formula>AND(IF($Q15=3,1,IF($Q15=4,1,0)),IF($F15&lt;=85,1,0))</formula>
    </cfRule>
  </conditionalFormatting>
  <conditionalFormatting sqref="X15">
    <cfRule type="expression" dxfId="17049" priority="929">
      <formula>AND(IF(OR($Q15=1,$Q15=2),1,0),IF($X15&lt;=20,1,0))</formula>
    </cfRule>
    <cfRule type="expression" dxfId="17048" priority="930">
      <formula>AND(IF($Q15=2,1,0),IF($X15&lt;30,1,0))</formula>
    </cfRule>
    <cfRule type="expression" dxfId="17047" priority="931">
      <formula>AND(IF($Q15=3,1,0),IF($X15&lt;30,1,0))</formula>
    </cfRule>
    <cfRule type="expression" dxfId="17046" priority="932">
      <formula>AND(IF($Q15=3,1,IF($Q15=4,1,0)),IF($F15&lt;=85,1,0))</formula>
    </cfRule>
  </conditionalFormatting>
  <conditionalFormatting sqref="AI15">
    <cfRule type="expression" dxfId="17045" priority="925">
      <formula>AND(IF(OR($Q15=1,$Q15=2),1,0),IF($X15&lt;=20,1,0))</formula>
    </cfRule>
    <cfRule type="expression" dxfId="17044" priority="926">
      <formula>AND(IF($Q15=2,1,0),IF($X15&lt;30,1,0))</formula>
    </cfRule>
    <cfRule type="expression" dxfId="17043" priority="927">
      <formula>AND(IF($Q15=3,1,0),IF($X15&lt;30,1,0))</formula>
    </cfRule>
    <cfRule type="expression" dxfId="17042" priority="928">
      <formula>AND(IF($Q15=3,1,IF($Q15=4,1,0)),IF($F15&lt;=85,1,0))</formula>
    </cfRule>
  </conditionalFormatting>
  <conditionalFormatting sqref="AV16">
    <cfRule type="expression" dxfId="17041" priority="923">
      <formula>AV16="X"</formula>
    </cfRule>
    <cfRule type="expression" dxfId="17040" priority="924">
      <formula>AV16="후보"</formula>
    </cfRule>
  </conditionalFormatting>
  <conditionalFormatting sqref="AC16 N16">
    <cfRule type="cellIs" dxfId="17039" priority="920" operator="greaterThan">
      <formula>0.9</formula>
    </cfRule>
    <cfRule type="cellIs" dxfId="17038" priority="921" operator="greaterThan">
      <formula>0.85</formula>
    </cfRule>
  </conditionalFormatting>
  <conditionalFormatting sqref="AV17">
    <cfRule type="expression" dxfId="17037" priority="918">
      <formula>AV17="X"</formula>
    </cfRule>
    <cfRule type="expression" dxfId="17036" priority="919">
      <formula>AV17="후보"</formula>
    </cfRule>
  </conditionalFormatting>
  <conditionalFormatting sqref="AC17">
    <cfRule type="cellIs" dxfId="17035" priority="915" operator="greaterThan">
      <formula>0.9</formula>
    </cfRule>
    <cfRule type="cellIs" dxfId="17034" priority="916" operator="greaterThan">
      <formula>0.85</formula>
    </cfRule>
  </conditionalFormatting>
  <conditionalFormatting sqref="N17">
    <cfRule type="cellIs" dxfId="17033" priority="913" operator="greaterThan">
      <formula>0.9</formula>
    </cfRule>
    <cfRule type="cellIs" dxfId="17032" priority="914" operator="greaterThan">
      <formula>0.85</formula>
    </cfRule>
  </conditionalFormatting>
  <conditionalFormatting sqref="E17">
    <cfRule type="expression" dxfId="17031" priority="909">
      <formula>AND(IF(OR($Q17=1,$Q17=2),1,0),IF($X17&lt;=20,1,0))</formula>
    </cfRule>
    <cfRule type="expression" dxfId="17030" priority="910">
      <formula>AND(IF($Q17=2,1,0),IF($X17&lt;30,1,0))</formula>
    </cfRule>
    <cfRule type="expression" dxfId="17029" priority="911">
      <formula>AND(IF($Q17=3,1,0),IF($X17&lt;30,1,0))</formula>
    </cfRule>
    <cfRule type="expression" dxfId="17028" priority="912">
      <formula>AND(IF($Q17=3,1,IF($Q17=4,1,0)),IF($F17&lt;=85,1,0))</formula>
    </cfRule>
  </conditionalFormatting>
  <conditionalFormatting sqref="X17">
    <cfRule type="expression" dxfId="17027" priority="905">
      <formula>AND(IF(OR($Q17=1,$Q17=2),1,0),IF($X17&lt;=20,1,0))</formula>
    </cfRule>
    <cfRule type="expression" dxfId="17026" priority="906">
      <formula>AND(IF($Q17=2,1,0),IF($X17&lt;30,1,0))</formula>
    </cfRule>
    <cfRule type="expression" dxfId="17025" priority="907">
      <formula>AND(IF($Q17=3,1,0),IF($X17&lt;30,1,0))</formula>
    </cfRule>
    <cfRule type="expression" dxfId="17024" priority="908">
      <formula>AND(IF($Q17=3,1,IF($Q17=4,1,0)),IF($F17&lt;=85,1,0))</formula>
    </cfRule>
  </conditionalFormatting>
  <conditionalFormatting sqref="AI17">
    <cfRule type="expression" dxfId="17023" priority="901">
      <formula>AND(IF(OR($Q17=1,$Q17=2),1,0),IF($X17&lt;=20,1,0))</formula>
    </cfRule>
    <cfRule type="expression" dxfId="17022" priority="902">
      <formula>AND(IF($Q17=2,1,0),IF($X17&lt;30,1,0))</formula>
    </cfRule>
    <cfRule type="expression" dxfId="17021" priority="903">
      <formula>AND(IF($Q17=3,1,0),IF($X17&lt;30,1,0))</formula>
    </cfRule>
    <cfRule type="expression" dxfId="17020" priority="904">
      <formula>AND(IF($Q17=3,1,IF($Q17=4,1,0)),IF($F17&lt;=85,1,0))</formula>
    </cfRule>
  </conditionalFormatting>
  <conditionalFormatting sqref="AV18">
    <cfRule type="expression" dxfId="17019" priority="899">
      <formula>AV18="X"</formula>
    </cfRule>
    <cfRule type="expression" dxfId="17018" priority="900">
      <formula>AV18="후보"</formula>
    </cfRule>
  </conditionalFormatting>
  <conditionalFormatting sqref="AC18">
    <cfRule type="cellIs" dxfId="17017" priority="896" operator="greaterThan">
      <formula>0.9</formula>
    </cfRule>
    <cfRule type="cellIs" dxfId="17016" priority="897" operator="greaterThan">
      <formula>0.85</formula>
    </cfRule>
  </conditionalFormatting>
  <conditionalFormatting sqref="N18">
    <cfRule type="cellIs" dxfId="17015" priority="894" operator="greaterThan">
      <formula>0.9</formula>
    </cfRule>
    <cfRule type="cellIs" dxfId="17014" priority="895" operator="greaterThan">
      <formula>0.85</formula>
    </cfRule>
  </conditionalFormatting>
  <conditionalFormatting sqref="E18">
    <cfRule type="expression" dxfId="17013" priority="890">
      <formula>AND(IF(OR($Q18=1,$Q18=2),1,0),IF($X18&lt;=20,1,0))</formula>
    </cfRule>
    <cfRule type="expression" dxfId="17012" priority="891">
      <formula>AND(IF($Q18=2,1,0),IF($X18&lt;30,1,0))</formula>
    </cfRule>
    <cfRule type="expression" dxfId="17011" priority="892">
      <formula>AND(IF($Q18=3,1,0),IF($X18&lt;30,1,0))</formula>
    </cfRule>
    <cfRule type="expression" dxfId="17010" priority="893">
      <formula>AND(IF($Q18=3,1,IF($Q18=4,1,0)),IF($F18&lt;=85,1,0))</formula>
    </cfRule>
  </conditionalFormatting>
  <conditionalFormatting sqref="X18">
    <cfRule type="expression" dxfId="17009" priority="886">
      <formula>AND(IF(OR($Q18=1,$Q18=2),1,0),IF($X18&lt;=20,1,0))</formula>
    </cfRule>
    <cfRule type="expression" dxfId="17008" priority="887">
      <formula>AND(IF($Q18=2,1,0),IF($X18&lt;30,1,0))</formula>
    </cfRule>
    <cfRule type="expression" dxfId="17007" priority="888">
      <formula>AND(IF($Q18=3,1,0),IF($X18&lt;30,1,0))</formula>
    </cfRule>
    <cfRule type="expression" dxfId="17006" priority="889">
      <formula>AND(IF($Q18=3,1,IF($Q18=4,1,0)),IF($F18&lt;=85,1,0))</formula>
    </cfRule>
  </conditionalFormatting>
  <conditionalFormatting sqref="AI18">
    <cfRule type="expression" dxfId="17005" priority="882">
      <formula>AND(IF(OR($Q18=1,$Q18=2),1,0),IF($X18&lt;=20,1,0))</formula>
    </cfRule>
    <cfRule type="expression" dxfId="17004" priority="883">
      <formula>AND(IF($Q18=2,1,0),IF($X18&lt;30,1,0))</formula>
    </cfRule>
    <cfRule type="expression" dxfId="17003" priority="884">
      <formula>AND(IF($Q18=3,1,0),IF($X18&lt;30,1,0))</formula>
    </cfRule>
    <cfRule type="expression" dxfId="17002" priority="885">
      <formula>AND(IF($Q18=3,1,IF($Q18=4,1,0)),IF($F18&lt;=85,1,0))</formula>
    </cfRule>
  </conditionalFormatting>
  <conditionalFormatting sqref="AV19">
    <cfRule type="expression" dxfId="17001" priority="880">
      <formula>AV19="X"</formula>
    </cfRule>
    <cfRule type="expression" dxfId="17000" priority="881">
      <formula>AV19="후보"</formula>
    </cfRule>
  </conditionalFormatting>
  <conditionalFormatting sqref="AC19">
    <cfRule type="cellIs" dxfId="16999" priority="877" operator="greaterThan">
      <formula>0.9</formula>
    </cfRule>
    <cfRule type="cellIs" dxfId="16998" priority="878" operator="greaterThan">
      <formula>0.85</formula>
    </cfRule>
  </conditionalFormatting>
  <conditionalFormatting sqref="N19">
    <cfRule type="cellIs" dxfId="16997" priority="875" operator="greaterThan">
      <formula>0.9</formula>
    </cfRule>
    <cfRule type="cellIs" dxfId="16996" priority="876" operator="greaterThan">
      <formula>0.85</formula>
    </cfRule>
  </conditionalFormatting>
  <conditionalFormatting sqref="E19">
    <cfRule type="expression" dxfId="16995" priority="871">
      <formula>AND(IF(OR($Q19=1,$Q19=2),1,0),IF($X19&lt;=20,1,0))</formula>
    </cfRule>
    <cfRule type="expression" dxfId="16994" priority="872">
      <formula>AND(IF($Q19=2,1,0),IF($X19&lt;30,1,0))</formula>
    </cfRule>
    <cfRule type="expression" dxfId="16993" priority="873">
      <formula>AND(IF($Q19=3,1,0),IF($X19&lt;30,1,0))</formula>
    </cfRule>
    <cfRule type="expression" dxfId="16992" priority="874">
      <formula>AND(IF($Q19=3,1,IF($Q19=4,1,0)),IF($F19&lt;=85,1,0))</formula>
    </cfRule>
  </conditionalFormatting>
  <conditionalFormatting sqref="X19">
    <cfRule type="expression" dxfId="16991" priority="867">
      <formula>AND(IF(OR($Q19=1,$Q19=2),1,0),IF($X19&lt;=20,1,0))</formula>
    </cfRule>
    <cfRule type="expression" dxfId="16990" priority="868">
      <formula>AND(IF($Q19=2,1,0),IF($X19&lt;30,1,0))</formula>
    </cfRule>
    <cfRule type="expression" dxfId="16989" priority="869">
      <formula>AND(IF($Q19=3,1,0),IF($X19&lt;30,1,0))</formula>
    </cfRule>
    <cfRule type="expression" dxfId="16988" priority="870">
      <formula>AND(IF($Q19=3,1,IF($Q19=4,1,0)),IF($F19&lt;=85,1,0))</formula>
    </cfRule>
  </conditionalFormatting>
  <conditionalFormatting sqref="AI19">
    <cfRule type="expression" dxfId="16987" priority="863">
      <formula>AND(IF(OR($Q19=1,$Q19=2),1,0),IF($X19&lt;=20,1,0))</formula>
    </cfRule>
    <cfRule type="expression" dxfId="16986" priority="864">
      <formula>AND(IF($Q19=2,1,0),IF($X19&lt;30,1,0))</formula>
    </cfRule>
    <cfRule type="expression" dxfId="16985" priority="865">
      <formula>AND(IF($Q19=3,1,0),IF($X19&lt;30,1,0))</formula>
    </cfRule>
    <cfRule type="expression" dxfId="16984" priority="866">
      <formula>AND(IF($Q19=3,1,IF($Q19=4,1,0)),IF($F19&lt;=85,1,0))</formula>
    </cfRule>
  </conditionalFormatting>
  <conditionalFormatting sqref="AV20">
    <cfRule type="expression" dxfId="16983" priority="861">
      <formula>AV20="X"</formula>
    </cfRule>
    <cfRule type="expression" dxfId="16982" priority="862">
      <formula>AV20="후보"</formula>
    </cfRule>
  </conditionalFormatting>
  <conditionalFormatting sqref="AC20">
    <cfRule type="cellIs" dxfId="16981" priority="858" operator="greaterThan">
      <formula>0.9</formula>
    </cfRule>
    <cfRule type="cellIs" dxfId="16980" priority="859" operator="greaterThan">
      <formula>0.85</formula>
    </cfRule>
  </conditionalFormatting>
  <conditionalFormatting sqref="N20">
    <cfRule type="cellIs" dxfId="16979" priority="856" operator="greaterThan">
      <formula>0.9</formula>
    </cfRule>
    <cfRule type="cellIs" dxfId="16978" priority="857" operator="greaterThan">
      <formula>0.85</formula>
    </cfRule>
  </conditionalFormatting>
  <conditionalFormatting sqref="E20">
    <cfRule type="expression" dxfId="16977" priority="852">
      <formula>AND(IF(OR($Q20=1,$Q20=2),1,0),IF($X20&lt;=20,1,0))</formula>
    </cfRule>
    <cfRule type="expression" dxfId="16976" priority="853">
      <formula>AND(IF($Q20=2,1,0),IF($X20&lt;30,1,0))</formula>
    </cfRule>
    <cfRule type="expression" dxfId="16975" priority="854">
      <formula>AND(IF($Q20=3,1,0),IF($X20&lt;30,1,0))</formula>
    </cfRule>
    <cfRule type="expression" dxfId="16974" priority="855">
      <formula>AND(IF($Q20=3,1,IF($Q20=4,1,0)),IF($F20&lt;=85,1,0))</formula>
    </cfRule>
  </conditionalFormatting>
  <conditionalFormatting sqref="X20">
    <cfRule type="expression" dxfId="16973" priority="848">
      <formula>AND(IF(OR($Q20=1,$Q20=2),1,0),IF($X20&lt;=20,1,0))</formula>
    </cfRule>
    <cfRule type="expression" dxfId="16972" priority="849">
      <formula>AND(IF($Q20=2,1,0),IF($X20&lt;30,1,0))</formula>
    </cfRule>
    <cfRule type="expression" dxfId="16971" priority="850">
      <formula>AND(IF($Q20=3,1,0),IF($X20&lt;30,1,0))</formula>
    </cfRule>
    <cfRule type="expression" dxfId="16970" priority="851">
      <formula>AND(IF($Q20=3,1,IF($Q20=4,1,0)),IF($F20&lt;=85,1,0))</formula>
    </cfRule>
  </conditionalFormatting>
  <conditionalFormatting sqref="AI20">
    <cfRule type="expression" dxfId="16969" priority="844">
      <formula>AND(IF(OR($Q20=1,$Q20=2),1,0),IF($X20&lt;=20,1,0))</formula>
    </cfRule>
    <cfRule type="expression" dxfId="16968" priority="845">
      <formula>AND(IF($Q20=2,1,0),IF($X20&lt;30,1,0))</formula>
    </cfRule>
    <cfRule type="expression" dxfId="16967" priority="846">
      <formula>AND(IF($Q20=3,1,0),IF($X20&lt;30,1,0))</formula>
    </cfRule>
    <cfRule type="expression" dxfId="16966" priority="847">
      <formula>AND(IF($Q20=3,1,IF($Q20=4,1,0)),IF($F20&lt;=85,1,0))</formula>
    </cfRule>
  </conditionalFormatting>
  <conditionalFormatting sqref="AV21">
    <cfRule type="expression" dxfId="16965" priority="842">
      <formula>AV21="X"</formula>
    </cfRule>
    <cfRule type="expression" dxfId="16964" priority="843">
      <formula>AV21="후보"</formula>
    </cfRule>
  </conditionalFormatting>
  <conditionalFormatting sqref="AC21 N21">
    <cfRule type="cellIs" dxfId="16963" priority="839" operator="greaterThan">
      <formula>0.9</formula>
    </cfRule>
    <cfRule type="cellIs" dxfId="16962" priority="840" operator="greaterThan">
      <formula>0.85</formula>
    </cfRule>
  </conditionalFormatting>
  <conditionalFormatting sqref="AV22">
    <cfRule type="expression" dxfId="16961" priority="837">
      <formula>AV22="X"</formula>
    </cfRule>
    <cfRule type="expression" dxfId="16960" priority="838">
      <formula>AV22="후보"</formula>
    </cfRule>
  </conditionalFormatting>
  <conditionalFormatting sqref="AC22">
    <cfRule type="cellIs" dxfId="16959" priority="834" operator="greaterThan">
      <formula>0.9</formula>
    </cfRule>
    <cfRule type="cellIs" dxfId="16958" priority="835" operator="greaterThan">
      <formula>0.85</formula>
    </cfRule>
  </conditionalFormatting>
  <conditionalFormatting sqref="N22">
    <cfRule type="cellIs" dxfId="16957" priority="832" operator="greaterThan">
      <formula>0.9</formula>
    </cfRule>
    <cfRule type="cellIs" dxfId="16956" priority="833" operator="greaterThan">
      <formula>0.85</formula>
    </cfRule>
  </conditionalFormatting>
  <conditionalFormatting sqref="E22">
    <cfRule type="expression" dxfId="16955" priority="828">
      <formula>AND(IF(OR($Q22=1,$Q22=2),1,0),IF($X22&lt;=20,1,0))</formula>
    </cfRule>
    <cfRule type="expression" dxfId="16954" priority="829">
      <formula>AND(IF($Q22=2,1,0),IF($X22&lt;30,1,0))</formula>
    </cfRule>
    <cfRule type="expression" dxfId="16953" priority="830">
      <formula>AND(IF($Q22=3,1,0),IF($X22&lt;30,1,0))</formula>
    </cfRule>
    <cfRule type="expression" dxfId="16952" priority="831">
      <formula>AND(IF($Q22=3,1,IF($Q22=4,1,0)),IF($F22&lt;=85,1,0))</formula>
    </cfRule>
  </conditionalFormatting>
  <conditionalFormatting sqref="X22">
    <cfRule type="expression" dxfId="16951" priority="824">
      <formula>AND(IF(OR($Q22=1,$Q22=2),1,0),IF($X22&lt;=20,1,0))</formula>
    </cfRule>
    <cfRule type="expression" dxfId="16950" priority="825">
      <formula>AND(IF($Q22=2,1,0),IF($X22&lt;30,1,0))</formula>
    </cfRule>
    <cfRule type="expression" dxfId="16949" priority="826">
      <formula>AND(IF($Q22=3,1,0),IF($X22&lt;30,1,0))</formula>
    </cfRule>
    <cfRule type="expression" dxfId="16948" priority="827">
      <formula>AND(IF($Q22=3,1,IF($Q22=4,1,0)),IF($F22&lt;=85,1,0))</formula>
    </cfRule>
  </conditionalFormatting>
  <conditionalFormatting sqref="AI22">
    <cfRule type="expression" dxfId="16947" priority="820">
      <formula>AND(IF(OR($Q22=1,$Q22=2),1,0),IF($X22&lt;=20,1,0))</formula>
    </cfRule>
    <cfRule type="expression" dxfId="16946" priority="821">
      <formula>AND(IF($Q22=2,1,0),IF($X22&lt;30,1,0))</formula>
    </cfRule>
    <cfRule type="expression" dxfId="16945" priority="822">
      <formula>AND(IF($Q22=3,1,0),IF($X22&lt;30,1,0))</formula>
    </cfRule>
    <cfRule type="expression" dxfId="16944" priority="823">
      <formula>AND(IF($Q22=3,1,IF($Q22=4,1,0)),IF($F22&lt;=85,1,0))</formula>
    </cfRule>
  </conditionalFormatting>
  <conditionalFormatting sqref="AV23">
    <cfRule type="expression" dxfId="16943" priority="818">
      <formula>AV23="X"</formula>
    </cfRule>
    <cfRule type="expression" dxfId="16942" priority="819">
      <formula>AV23="후보"</formula>
    </cfRule>
  </conditionalFormatting>
  <conditionalFormatting sqref="AC23">
    <cfRule type="cellIs" dxfId="16941" priority="815" operator="greaterThan">
      <formula>0.9</formula>
    </cfRule>
    <cfRule type="cellIs" dxfId="16940" priority="816" operator="greaterThan">
      <formula>0.85</formula>
    </cfRule>
  </conditionalFormatting>
  <conditionalFormatting sqref="N23">
    <cfRule type="cellIs" dxfId="16939" priority="813" operator="greaterThan">
      <formula>0.9</formula>
    </cfRule>
    <cfRule type="cellIs" dxfId="16938" priority="814" operator="greaterThan">
      <formula>0.85</formula>
    </cfRule>
  </conditionalFormatting>
  <conditionalFormatting sqref="E23">
    <cfRule type="expression" dxfId="16937" priority="809">
      <formula>AND(IF(OR($Q23=1,$Q23=2),1,0),IF($X23&lt;=20,1,0))</formula>
    </cfRule>
    <cfRule type="expression" dxfId="16936" priority="810">
      <formula>AND(IF($Q23=2,1,0),IF($X23&lt;30,1,0))</formula>
    </cfRule>
    <cfRule type="expression" dxfId="16935" priority="811">
      <formula>AND(IF($Q23=3,1,0),IF($X23&lt;30,1,0))</formula>
    </cfRule>
    <cfRule type="expression" dxfId="16934" priority="812">
      <formula>AND(IF($Q23=3,1,IF($Q23=4,1,0)),IF($F23&lt;=85,1,0))</formula>
    </cfRule>
  </conditionalFormatting>
  <conditionalFormatting sqref="X23">
    <cfRule type="expression" dxfId="16933" priority="805">
      <formula>AND(IF(OR($Q23=1,$Q23=2),1,0),IF($X23&lt;=20,1,0))</formula>
    </cfRule>
    <cfRule type="expression" dxfId="16932" priority="806">
      <formula>AND(IF($Q23=2,1,0),IF($X23&lt;30,1,0))</formula>
    </cfRule>
    <cfRule type="expression" dxfId="16931" priority="807">
      <formula>AND(IF($Q23=3,1,0),IF($X23&lt;30,1,0))</formula>
    </cfRule>
    <cfRule type="expression" dxfId="16930" priority="808">
      <formula>AND(IF($Q23=3,1,IF($Q23=4,1,0)),IF($F23&lt;=85,1,0))</formula>
    </cfRule>
  </conditionalFormatting>
  <conditionalFormatting sqref="AI23">
    <cfRule type="expression" dxfId="16929" priority="801">
      <formula>AND(IF(OR($Q23=1,$Q23=2),1,0),IF($X23&lt;=20,1,0))</formula>
    </cfRule>
    <cfRule type="expression" dxfId="16928" priority="802">
      <formula>AND(IF($Q23=2,1,0),IF($X23&lt;30,1,0))</formula>
    </cfRule>
    <cfRule type="expression" dxfId="16927" priority="803">
      <formula>AND(IF($Q23=3,1,0),IF($X23&lt;30,1,0))</formula>
    </cfRule>
    <cfRule type="expression" dxfId="16926" priority="804">
      <formula>AND(IF($Q23=3,1,IF($Q23=4,1,0)),IF($F23&lt;=85,1,0))</formula>
    </cfRule>
  </conditionalFormatting>
  <conditionalFormatting sqref="AV24">
    <cfRule type="expression" dxfId="16925" priority="799">
      <formula>AV24="X"</formula>
    </cfRule>
    <cfRule type="expression" dxfId="16924" priority="800">
      <formula>AV24="후보"</formula>
    </cfRule>
  </conditionalFormatting>
  <conditionalFormatting sqref="AC24">
    <cfRule type="cellIs" dxfId="16923" priority="796" operator="greaterThan">
      <formula>0.9</formula>
    </cfRule>
    <cfRule type="cellIs" dxfId="16922" priority="797" operator="greaterThan">
      <formula>0.85</formula>
    </cfRule>
  </conditionalFormatting>
  <conditionalFormatting sqref="N24">
    <cfRule type="cellIs" dxfId="16921" priority="794" operator="greaterThan">
      <formula>0.9</formula>
    </cfRule>
    <cfRule type="cellIs" dxfId="16920" priority="795" operator="greaterThan">
      <formula>0.85</formula>
    </cfRule>
  </conditionalFormatting>
  <conditionalFormatting sqref="E24">
    <cfRule type="expression" dxfId="16919" priority="790">
      <formula>AND(IF(OR($Q24=1,$Q24=2),1,0),IF($X24&lt;=20,1,0))</formula>
    </cfRule>
    <cfRule type="expression" dxfId="16918" priority="791">
      <formula>AND(IF($Q24=2,1,0),IF($X24&lt;30,1,0))</formula>
    </cfRule>
    <cfRule type="expression" dxfId="16917" priority="792">
      <formula>AND(IF($Q24=3,1,0),IF($X24&lt;30,1,0))</formula>
    </cfRule>
    <cfRule type="expression" dxfId="16916" priority="793">
      <formula>AND(IF($Q24=3,1,IF($Q24=4,1,0)),IF($F24&lt;=85,1,0))</formula>
    </cfRule>
  </conditionalFormatting>
  <conditionalFormatting sqref="X24">
    <cfRule type="expression" dxfId="16915" priority="786">
      <formula>AND(IF(OR($Q24=1,$Q24=2),1,0),IF($X24&lt;=20,1,0))</formula>
    </cfRule>
    <cfRule type="expression" dxfId="16914" priority="787">
      <formula>AND(IF($Q24=2,1,0),IF($X24&lt;30,1,0))</formula>
    </cfRule>
    <cfRule type="expression" dxfId="16913" priority="788">
      <formula>AND(IF($Q24=3,1,0),IF($X24&lt;30,1,0))</formula>
    </cfRule>
    <cfRule type="expression" dxfId="16912" priority="789">
      <formula>AND(IF($Q24=3,1,IF($Q24=4,1,0)),IF($F24&lt;=85,1,0))</formula>
    </cfRule>
  </conditionalFormatting>
  <conditionalFormatting sqref="AI24">
    <cfRule type="expression" dxfId="16911" priority="782">
      <formula>AND(IF(OR($Q24=1,$Q24=2),1,0),IF($X24&lt;=20,1,0))</formula>
    </cfRule>
    <cfRule type="expression" dxfId="16910" priority="783">
      <formula>AND(IF($Q24=2,1,0),IF($X24&lt;30,1,0))</formula>
    </cfRule>
    <cfRule type="expression" dxfId="16909" priority="784">
      <formula>AND(IF($Q24=3,1,0),IF($X24&lt;30,1,0))</formula>
    </cfRule>
    <cfRule type="expression" dxfId="16908" priority="785">
      <formula>AND(IF($Q24=3,1,IF($Q24=4,1,0)),IF($F24&lt;=85,1,0))</formula>
    </cfRule>
  </conditionalFormatting>
  <conditionalFormatting sqref="AV25">
    <cfRule type="expression" dxfId="16907" priority="780">
      <formula>AV25="X"</formula>
    </cfRule>
    <cfRule type="expression" dxfId="16906" priority="781">
      <formula>AV25="후보"</formula>
    </cfRule>
  </conditionalFormatting>
  <conditionalFormatting sqref="AC25">
    <cfRule type="cellIs" dxfId="16905" priority="777" operator="greaterThan">
      <formula>0.9</formula>
    </cfRule>
    <cfRule type="cellIs" dxfId="16904" priority="778" operator="greaterThan">
      <formula>0.85</formula>
    </cfRule>
  </conditionalFormatting>
  <conditionalFormatting sqref="N25">
    <cfRule type="cellIs" dxfId="16903" priority="775" operator="greaterThan">
      <formula>0.9</formula>
    </cfRule>
    <cfRule type="cellIs" dxfId="16902" priority="776" operator="greaterThan">
      <formula>0.85</formula>
    </cfRule>
  </conditionalFormatting>
  <conditionalFormatting sqref="E25">
    <cfRule type="expression" dxfId="16901" priority="771">
      <formula>AND(IF(OR($Q25=1,$Q25=2),1,0),IF($X25&lt;=20,1,0))</formula>
    </cfRule>
    <cfRule type="expression" dxfId="16900" priority="772">
      <formula>AND(IF($Q25=2,1,0),IF($X25&lt;30,1,0))</formula>
    </cfRule>
    <cfRule type="expression" dxfId="16899" priority="773">
      <formula>AND(IF($Q25=3,1,0),IF($X25&lt;30,1,0))</formula>
    </cfRule>
    <cfRule type="expression" dxfId="16898" priority="774">
      <formula>AND(IF($Q25=3,1,IF($Q25=4,1,0)),IF($F25&lt;=85,1,0))</formula>
    </cfRule>
  </conditionalFormatting>
  <conditionalFormatting sqref="X25">
    <cfRule type="expression" dxfId="16897" priority="767">
      <formula>AND(IF(OR($Q25=1,$Q25=2),1,0),IF($X25&lt;=20,1,0))</formula>
    </cfRule>
    <cfRule type="expression" dxfId="16896" priority="768">
      <formula>AND(IF($Q25=2,1,0),IF($X25&lt;30,1,0))</formula>
    </cfRule>
    <cfRule type="expression" dxfId="16895" priority="769">
      <formula>AND(IF($Q25=3,1,0),IF($X25&lt;30,1,0))</formula>
    </cfRule>
    <cfRule type="expression" dxfId="16894" priority="770">
      <formula>AND(IF($Q25=3,1,IF($Q25=4,1,0)),IF($F25&lt;=85,1,0))</formula>
    </cfRule>
  </conditionalFormatting>
  <conditionalFormatting sqref="AI25">
    <cfRule type="expression" dxfId="16893" priority="763">
      <formula>AND(IF(OR($Q25=1,$Q25=2),1,0),IF($X25&lt;=20,1,0))</formula>
    </cfRule>
    <cfRule type="expression" dxfId="16892" priority="764">
      <formula>AND(IF($Q25=2,1,0),IF($X25&lt;30,1,0))</formula>
    </cfRule>
    <cfRule type="expression" dxfId="16891" priority="765">
      <formula>AND(IF($Q25=3,1,0),IF($X25&lt;30,1,0))</formula>
    </cfRule>
    <cfRule type="expression" dxfId="16890" priority="766">
      <formula>AND(IF($Q25=3,1,IF($Q25=4,1,0)),IF($F25&lt;=85,1,0))</formula>
    </cfRule>
  </conditionalFormatting>
  <conditionalFormatting sqref="AV26">
    <cfRule type="expression" dxfId="16889" priority="761">
      <formula>AV26="X"</formula>
    </cfRule>
    <cfRule type="expression" dxfId="16888" priority="762">
      <formula>AV26="후보"</formula>
    </cfRule>
  </conditionalFormatting>
  <conditionalFormatting sqref="AC26">
    <cfRule type="cellIs" dxfId="16887" priority="758" operator="greaterThan">
      <formula>0.9</formula>
    </cfRule>
    <cfRule type="cellIs" dxfId="16886" priority="759" operator="greaterThan">
      <formula>0.85</formula>
    </cfRule>
  </conditionalFormatting>
  <conditionalFormatting sqref="N26">
    <cfRule type="cellIs" dxfId="16885" priority="756" operator="greaterThan">
      <formula>0.9</formula>
    </cfRule>
    <cfRule type="cellIs" dxfId="16884" priority="757" operator="greaterThan">
      <formula>0.85</formula>
    </cfRule>
  </conditionalFormatting>
  <conditionalFormatting sqref="E26">
    <cfRule type="expression" dxfId="16883" priority="752">
      <formula>AND(IF(OR($Q26=1,$Q26=2),1,0),IF($X26&lt;=20,1,0))</formula>
    </cfRule>
    <cfRule type="expression" dxfId="16882" priority="753">
      <formula>AND(IF($Q26=2,1,0),IF($X26&lt;30,1,0))</formula>
    </cfRule>
    <cfRule type="expression" dxfId="16881" priority="754">
      <formula>AND(IF($Q26=3,1,0),IF($X26&lt;30,1,0))</formula>
    </cfRule>
    <cfRule type="expression" dxfId="16880" priority="755">
      <formula>AND(IF($Q26=3,1,IF($Q26=4,1,0)),IF($F26&lt;=85,1,0))</formula>
    </cfRule>
  </conditionalFormatting>
  <conditionalFormatting sqref="X26">
    <cfRule type="expression" dxfId="16879" priority="748">
      <formula>AND(IF(OR($Q26=1,$Q26=2),1,0),IF($X26&lt;=20,1,0))</formula>
    </cfRule>
    <cfRule type="expression" dxfId="16878" priority="749">
      <formula>AND(IF($Q26=2,1,0),IF($X26&lt;30,1,0))</formula>
    </cfRule>
    <cfRule type="expression" dxfId="16877" priority="750">
      <formula>AND(IF($Q26=3,1,0),IF($X26&lt;30,1,0))</formula>
    </cfRule>
    <cfRule type="expression" dxfId="16876" priority="751">
      <formula>AND(IF($Q26=3,1,IF($Q26=4,1,0)),IF($F26&lt;=85,1,0))</formula>
    </cfRule>
  </conditionalFormatting>
  <conditionalFormatting sqref="AI26">
    <cfRule type="expression" dxfId="16875" priority="744">
      <formula>AND(IF(OR($Q26=1,$Q26=2),1,0),IF($X26&lt;=20,1,0))</formula>
    </cfRule>
    <cfRule type="expression" dxfId="16874" priority="745">
      <formula>AND(IF($Q26=2,1,0),IF($X26&lt;30,1,0))</formula>
    </cfRule>
    <cfRule type="expression" dxfId="16873" priority="746">
      <formula>AND(IF($Q26=3,1,0),IF($X26&lt;30,1,0))</formula>
    </cfRule>
    <cfRule type="expression" dxfId="16872" priority="747">
      <formula>AND(IF($Q26=3,1,IF($Q26=4,1,0)),IF($F26&lt;=85,1,0))</formula>
    </cfRule>
  </conditionalFormatting>
  <conditionalFormatting sqref="AV27">
    <cfRule type="expression" dxfId="16871" priority="742">
      <formula>AV27="X"</formula>
    </cfRule>
    <cfRule type="expression" dxfId="16870" priority="743">
      <formula>AV27="후보"</formula>
    </cfRule>
  </conditionalFormatting>
  <conditionalFormatting sqref="AC27 N27">
    <cfRule type="cellIs" dxfId="16869" priority="739" operator="greaterThan">
      <formula>0.9</formula>
    </cfRule>
    <cfRule type="cellIs" dxfId="16868" priority="740" operator="greaterThan">
      <formula>0.85</formula>
    </cfRule>
  </conditionalFormatting>
  <conditionalFormatting sqref="AV28">
    <cfRule type="expression" dxfId="16867" priority="737">
      <formula>AV28="X"</formula>
    </cfRule>
    <cfRule type="expression" dxfId="16866" priority="738">
      <formula>AV28="후보"</formula>
    </cfRule>
  </conditionalFormatting>
  <conditionalFormatting sqref="AC28">
    <cfRule type="cellIs" dxfId="16865" priority="734" operator="greaterThan">
      <formula>0.9</formula>
    </cfRule>
    <cfRule type="cellIs" dxfId="16864" priority="735" operator="greaterThan">
      <formula>0.85</formula>
    </cfRule>
  </conditionalFormatting>
  <conditionalFormatting sqref="N28">
    <cfRule type="cellIs" dxfId="16863" priority="732" operator="greaterThan">
      <formula>0.9</formula>
    </cfRule>
    <cfRule type="cellIs" dxfId="16862" priority="733" operator="greaterThan">
      <formula>0.85</formula>
    </cfRule>
  </conditionalFormatting>
  <conditionalFormatting sqref="E28">
    <cfRule type="expression" dxfId="16861" priority="728">
      <formula>AND(IF(OR($Q28=1,$Q28=2),1,0),IF($X28&lt;=20,1,0))</formula>
    </cfRule>
    <cfRule type="expression" dxfId="16860" priority="729">
      <formula>AND(IF($Q28=2,1,0),IF($X28&lt;30,1,0))</formula>
    </cfRule>
    <cfRule type="expression" dxfId="16859" priority="730">
      <formula>AND(IF($Q28=3,1,0),IF($X28&lt;30,1,0))</formula>
    </cfRule>
    <cfRule type="expression" dxfId="16858" priority="731">
      <formula>AND(IF($Q28=3,1,IF($Q28=4,1,0)),IF($F28&lt;=85,1,0))</formula>
    </cfRule>
  </conditionalFormatting>
  <conditionalFormatting sqref="X28">
    <cfRule type="expression" dxfId="16857" priority="724">
      <formula>AND(IF(OR($Q28=1,$Q28=2),1,0),IF($X28&lt;=20,1,0))</formula>
    </cfRule>
    <cfRule type="expression" dxfId="16856" priority="725">
      <formula>AND(IF($Q28=2,1,0),IF($X28&lt;30,1,0))</formula>
    </cfRule>
    <cfRule type="expression" dxfId="16855" priority="726">
      <formula>AND(IF($Q28=3,1,0),IF($X28&lt;30,1,0))</formula>
    </cfRule>
    <cfRule type="expression" dxfId="16854" priority="727">
      <formula>AND(IF($Q28=3,1,IF($Q28=4,1,0)),IF($F28&lt;=85,1,0))</formula>
    </cfRule>
  </conditionalFormatting>
  <conditionalFormatting sqref="AI28">
    <cfRule type="expression" dxfId="16853" priority="720">
      <formula>AND(IF(OR($Q28=1,$Q28=2),1,0),IF($X28&lt;=20,1,0))</formula>
    </cfRule>
    <cfRule type="expression" dxfId="16852" priority="721">
      <formula>AND(IF($Q28=2,1,0),IF($X28&lt;30,1,0))</formula>
    </cfRule>
    <cfRule type="expression" dxfId="16851" priority="722">
      <formula>AND(IF($Q28=3,1,0),IF($X28&lt;30,1,0))</formula>
    </cfRule>
    <cfRule type="expression" dxfId="16850" priority="723">
      <formula>AND(IF($Q28=3,1,IF($Q28=4,1,0)),IF($F28&lt;=85,1,0))</formula>
    </cfRule>
  </conditionalFormatting>
  <conditionalFormatting sqref="AV29">
    <cfRule type="expression" dxfId="16849" priority="718">
      <formula>AV29="X"</formula>
    </cfRule>
    <cfRule type="expression" dxfId="16848" priority="719">
      <formula>AV29="후보"</formula>
    </cfRule>
  </conditionalFormatting>
  <conditionalFormatting sqref="AC29">
    <cfRule type="cellIs" dxfId="16847" priority="715" operator="greaterThan">
      <formula>0.9</formula>
    </cfRule>
    <cfRule type="cellIs" dxfId="16846" priority="716" operator="greaterThan">
      <formula>0.85</formula>
    </cfRule>
  </conditionalFormatting>
  <conditionalFormatting sqref="N29">
    <cfRule type="cellIs" dxfId="16845" priority="713" operator="greaterThan">
      <formula>0.9</formula>
    </cfRule>
    <cfRule type="cellIs" dxfId="16844" priority="714" operator="greaterThan">
      <formula>0.85</formula>
    </cfRule>
  </conditionalFormatting>
  <conditionalFormatting sqref="E29">
    <cfRule type="expression" dxfId="16843" priority="709">
      <formula>AND(IF(OR($Q29=1,$Q29=2),1,0),IF($X29&lt;=20,1,0))</formula>
    </cfRule>
    <cfRule type="expression" dxfId="16842" priority="710">
      <formula>AND(IF($Q29=2,1,0),IF($X29&lt;30,1,0))</formula>
    </cfRule>
    <cfRule type="expression" dxfId="16841" priority="711">
      <formula>AND(IF($Q29=3,1,0),IF($X29&lt;30,1,0))</formula>
    </cfRule>
    <cfRule type="expression" dxfId="16840" priority="712">
      <formula>AND(IF($Q29=3,1,IF($Q29=4,1,0)),IF($F29&lt;=85,1,0))</formula>
    </cfRule>
  </conditionalFormatting>
  <conditionalFormatting sqref="X29">
    <cfRule type="expression" dxfId="16839" priority="705">
      <formula>AND(IF(OR($Q29=1,$Q29=2),1,0),IF($X29&lt;=20,1,0))</formula>
    </cfRule>
    <cfRule type="expression" dxfId="16838" priority="706">
      <formula>AND(IF($Q29=2,1,0),IF($X29&lt;30,1,0))</formula>
    </cfRule>
    <cfRule type="expression" dxfId="16837" priority="707">
      <formula>AND(IF($Q29=3,1,0),IF($X29&lt;30,1,0))</formula>
    </cfRule>
    <cfRule type="expression" dxfId="16836" priority="708">
      <formula>AND(IF($Q29=3,1,IF($Q29=4,1,0)),IF($F29&lt;=85,1,0))</formula>
    </cfRule>
  </conditionalFormatting>
  <conditionalFormatting sqref="AI29">
    <cfRule type="expression" dxfId="16835" priority="701">
      <formula>AND(IF(OR($Q29=1,$Q29=2),1,0),IF($X29&lt;=20,1,0))</formula>
    </cfRule>
    <cfRule type="expression" dxfId="16834" priority="702">
      <formula>AND(IF($Q29=2,1,0),IF($X29&lt;30,1,0))</formula>
    </cfRule>
    <cfRule type="expression" dxfId="16833" priority="703">
      <formula>AND(IF($Q29=3,1,0),IF($X29&lt;30,1,0))</formula>
    </cfRule>
    <cfRule type="expression" dxfId="16832" priority="704">
      <formula>AND(IF($Q29=3,1,IF($Q29=4,1,0)),IF($F29&lt;=85,1,0))</formula>
    </cfRule>
  </conditionalFormatting>
  <conditionalFormatting sqref="AV30">
    <cfRule type="expression" dxfId="16831" priority="699">
      <formula>AV30="X"</formula>
    </cfRule>
    <cfRule type="expression" dxfId="16830" priority="700">
      <formula>AV30="후보"</formula>
    </cfRule>
  </conditionalFormatting>
  <conditionalFormatting sqref="AC30">
    <cfRule type="cellIs" dxfId="16829" priority="696" operator="greaterThan">
      <formula>0.9</formula>
    </cfRule>
    <cfRule type="cellIs" dxfId="16828" priority="697" operator="greaterThan">
      <formula>0.85</formula>
    </cfRule>
  </conditionalFormatting>
  <conditionalFormatting sqref="N30">
    <cfRule type="cellIs" dxfId="16827" priority="694" operator="greaterThan">
      <formula>0.9</formula>
    </cfRule>
    <cfRule type="cellIs" dxfId="16826" priority="695" operator="greaterThan">
      <formula>0.85</formula>
    </cfRule>
  </conditionalFormatting>
  <conditionalFormatting sqref="E30">
    <cfRule type="expression" dxfId="16825" priority="690">
      <formula>AND(IF(OR($Q30=1,$Q30=2),1,0),IF($X30&lt;=20,1,0))</formula>
    </cfRule>
    <cfRule type="expression" dxfId="16824" priority="691">
      <formula>AND(IF($Q30=2,1,0),IF($X30&lt;30,1,0))</formula>
    </cfRule>
    <cfRule type="expression" dxfId="16823" priority="692">
      <formula>AND(IF($Q30=3,1,0),IF($X30&lt;30,1,0))</formula>
    </cfRule>
    <cfRule type="expression" dxfId="16822" priority="693">
      <formula>AND(IF($Q30=3,1,IF($Q30=4,1,0)),IF($F30&lt;=85,1,0))</formula>
    </cfRule>
  </conditionalFormatting>
  <conditionalFormatting sqref="X30">
    <cfRule type="expression" dxfId="16821" priority="686">
      <formula>AND(IF(OR($Q30=1,$Q30=2),1,0),IF($X30&lt;=20,1,0))</formula>
    </cfRule>
    <cfRule type="expression" dxfId="16820" priority="687">
      <formula>AND(IF($Q30=2,1,0),IF($X30&lt;30,1,0))</formula>
    </cfRule>
    <cfRule type="expression" dxfId="16819" priority="688">
      <formula>AND(IF($Q30=3,1,0),IF($X30&lt;30,1,0))</formula>
    </cfRule>
    <cfRule type="expression" dxfId="16818" priority="689">
      <formula>AND(IF($Q30=3,1,IF($Q30=4,1,0)),IF($F30&lt;=85,1,0))</formula>
    </cfRule>
  </conditionalFormatting>
  <conditionalFormatting sqref="AI30">
    <cfRule type="expression" dxfId="16817" priority="682">
      <formula>AND(IF(OR($Q30=1,$Q30=2),1,0),IF($X30&lt;=20,1,0))</formula>
    </cfRule>
    <cfRule type="expression" dxfId="16816" priority="683">
      <formula>AND(IF($Q30=2,1,0),IF($X30&lt;30,1,0))</formula>
    </cfRule>
    <cfRule type="expression" dxfId="16815" priority="684">
      <formula>AND(IF($Q30=3,1,0),IF($X30&lt;30,1,0))</formula>
    </cfRule>
    <cfRule type="expression" dxfId="16814" priority="685">
      <formula>AND(IF($Q30=3,1,IF($Q30=4,1,0)),IF($F30&lt;=85,1,0))</formula>
    </cfRule>
  </conditionalFormatting>
  <conditionalFormatting sqref="AV31">
    <cfRule type="expression" dxfId="16813" priority="680">
      <formula>AV31="X"</formula>
    </cfRule>
    <cfRule type="expression" dxfId="16812" priority="681">
      <formula>AV31="후보"</formula>
    </cfRule>
  </conditionalFormatting>
  <conditionalFormatting sqref="AC31">
    <cfRule type="cellIs" dxfId="16811" priority="677" operator="greaterThan">
      <formula>0.9</formula>
    </cfRule>
    <cfRule type="cellIs" dxfId="16810" priority="678" operator="greaterThan">
      <formula>0.85</formula>
    </cfRule>
  </conditionalFormatting>
  <conditionalFormatting sqref="N31">
    <cfRule type="cellIs" dxfId="16809" priority="675" operator="greaterThan">
      <formula>0.9</formula>
    </cfRule>
    <cfRule type="cellIs" dxfId="16808" priority="676" operator="greaterThan">
      <formula>0.85</formula>
    </cfRule>
  </conditionalFormatting>
  <conditionalFormatting sqref="E31">
    <cfRule type="expression" dxfId="16807" priority="671">
      <formula>AND(IF(OR($Q31=1,$Q31=2),1,0),IF($X31&lt;=20,1,0))</formula>
    </cfRule>
    <cfRule type="expression" dxfId="16806" priority="672">
      <formula>AND(IF($Q31=2,1,0),IF($X31&lt;30,1,0))</formula>
    </cfRule>
    <cfRule type="expression" dxfId="16805" priority="673">
      <formula>AND(IF($Q31=3,1,0),IF($X31&lt;30,1,0))</formula>
    </cfRule>
    <cfRule type="expression" dxfId="16804" priority="674">
      <formula>AND(IF($Q31=3,1,IF($Q31=4,1,0)),IF($F31&lt;=85,1,0))</formula>
    </cfRule>
  </conditionalFormatting>
  <conditionalFormatting sqref="X31">
    <cfRule type="expression" dxfId="16803" priority="667">
      <formula>AND(IF(OR($Q31=1,$Q31=2),1,0),IF($X31&lt;=20,1,0))</formula>
    </cfRule>
    <cfRule type="expression" dxfId="16802" priority="668">
      <formula>AND(IF($Q31=2,1,0),IF($X31&lt;30,1,0))</formula>
    </cfRule>
    <cfRule type="expression" dxfId="16801" priority="669">
      <formula>AND(IF($Q31=3,1,0),IF($X31&lt;30,1,0))</formula>
    </cfRule>
    <cfRule type="expression" dxfId="16800" priority="670">
      <formula>AND(IF($Q31=3,1,IF($Q31=4,1,0)),IF($F31&lt;=85,1,0))</formula>
    </cfRule>
  </conditionalFormatting>
  <conditionalFormatting sqref="AI31">
    <cfRule type="expression" dxfId="16799" priority="663">
      <formula>AND(IF(OR($Q31=1,$Q31=2),1,0),IF($X31&lt;=20,1,0))</formula>
    </cfRule>
    <cfRule type="expression" dxfId="16798" priority="664">
      <formula>AND(IF($Q31=2,1,0),IF($X31&lt;30,1,0))</formula>
    </cfRule>
    <cfRule type="expression" dxfId="16797" priority="665">
      <formula>AND(IF($Q31=3,1,0),IF($X31&lt;30,1,0))</formula>
    </cfRule>
    <cfRule type="expression" dxfId="16796" priority="666">
      <formula>AND(IF($Q31=3,1,IF($Q31=4,1,0)),IF($F31&lt;=85,1,0))</formula>
    </cfRule>
  </conditionalFormatting>
  <conditionalFormatting sqref="AV32">
    <cfRule type="expression" dxfId="16795" priority="661">
      <formula>AV32="X"</formula>
    </cfRule>
    <cfRule type="expression" dxfId="16794" priority="662">
      <formula>AV32="후보"</formula>
    </cfRule>
  </conditionalFormatting>
  <conditionalFormatting sqref="AC32">
    <cfRule type="cellIs" dxfId="16793" priority="658" operator="greaterThan">
      <formula>0.9</formula>
    </cfRule>
    <cfRule type="cellIs" dxfId="16792" priority="659" operator="greaterThan">
      <formula>0.85</formula>
    </cfRule>
  </conditionalFormatting>
  <conditionalFormatting sqref="N32">
    <cfRule type="cellIs" dxfId="16791" priority="656" operator="greaterThan">
      <formula>0.9</formula>
    </cfRule>
    <cfRule type="cellIs" dxfId="16790" priority="657" operator="greaterThan">
      <formula>0.85</formula>
    </cfRule>
  </conditionalFormatting>
  <conditionalFormatting sqref="E32">
    <cfRule type="expression" dxfId="16789" priority="652">
      <formula>AND(IF(OR($Q32=1,$Q32=2),1,0),IF($X32&lt;=20,1,0))</formula>
    </cfRule>
    <cfRule type="expression" dxfId="16788" priority="653">
      <formula>AND(IF($Q32=2,1,0),IF($X32&lt;30,1,0))</formula>
    </cfRule>
    <cfRule type="expression" dxfId="16787" priority="654">
      <formula>AND(IF($Q32=3,1,0),IF($X32&lt;30,1,0))</formula>
    </cfRule>
    <cfRule type="expression" dxfId="16786" priority="655">
      <formula>AND(IF($Q32=3,1,IF($Q32=4,1,0)),IF($F32&lt;=85,1,0))</formula>
    </cfRule>
  </conditionalFormatting>
  <conditionalFormatting sqref="X32">
    <cfRule type="expression" dxfId="16785" priority="648">
      <formula>AND(IF(OR($Q32=1,$Q32=2),1,0),IF($X32&lt;=20,1,0))</formula>
    </cfRule>
    <cfRule type="expression" dxfId="16784" priority="649">
      <formula>AND(IF($Q32=2,1,0),IF($X32&lt;30,1,0))</formula>
    </cfRule>
    <cfRule type="expression" dxfId="16783" priority="650">
      <formula>AND(IF($Q32=3,1,0),IF($X32&lt;30,1,0))</formula>
    </cfRule>
    <cfRule type="expression" dxfId="16782" priority="651">
      <formula>AND(IF($Q32=3,1,IF($Q32=4,1,0)),IF($F32&lt;=85,1,0))</formula>
    </cfRule>
  </conditionalFormatting>
  <conditionalFormatting sqref="AI32">
    <cfRule type="expression" dxfId="16781" priority="644">
      <formula>AND(IF(OR($Q32=1,$Q32=2),1,0),IF($X32&lt;=20,1,0))</formula>
    </cfRule>
    <cfRule type="expression" dxfId="16780" priority="645">
      <formula>AND(IF($Q32=2,1,0),IF($X32&lt;30,1,0))</formula>
    </cfRule>
    <cfRule type="expression" dxfId="16779" priority="646">
      <formula>AND(IF($Q32=3,1,0),IF($X32&lt;30,1,0))</formula>
    </cfRule>
    <cfRule type="expression" dxfId="16778" priority="647">
      <formula>AND(IF($Q32=3,1,IF($Q32=4,1,0)),IF($F32&lt;=85,1,0))</formula>
    </cfRule>
  </conditionalFormatting>
  <conditionalFormatting sqref="AV33">
    <cfRule type="expression" dxfId="16777" priority="642">
      <formula>AV33="X"</formula>
    </cfRule>
    <cfRule type="expression" dxfId="16776" priority="643">
      <formula>AV33="후보"</formula>
    </cfRule>
  </conditionalFormatting>
  <conditionalFormatting sqref="AC33">
    <cfRule type="cellIs" dxfId="16775" priority="639" operator="greaterThan">
      <formula>0.9</formula>
    </cfRule>
    <cfRule type="cellIs" dxfId="16774" priority="640" operator="greaterThan">
      <formula>0.85</formula>
    </cfRule>
  </conditionalFormatting>
  <conditionalFormatting sqref="N33">
    <cfRule type="cellIs" dxfId="16773" priority="637" operator="greaterThan">
      <formula>0.9</formula>
    </cfRule>
    <cfRule type="cellIs" dxfId="16772" priority="638" operator="greaterThan">
      <formula>0.85</formula>
    </cfRule>
  </conditionalFormatting>
  <conditionalFormatting sqref="E33">
    <cfRule type="expression" dxfId="16771" priority="633">
      <formula>AND(IF(OR($Q33=1,$Q33=2),1,0),IF($X33&lt;=20,1,0))</formula>
    </cfRule>
    <cfRule type="expression" dxfId="16770" priority="634">
      <formula>AND(IF($Q33=2,1,0),IF($X33&lt;30,1,0))</formula>
    </cfRule>
    <cfRule type="expression" dxfId="16769" priority="635">
      <formula>AND(IF($Q33=3,1,0),IF($X33&lt;30,1,0))</formula>
    </cfRule>
    <cfRule type="expression" dxfId="16768" priority="636">
      <formula>AND(IF($Q33=3,1,IF($Q33=4,1,0)),IF($F33&lt;=85,1,0))</formula>
    </cfRule>
  </conditionalFormatting>
  <conditionalFormatting sqref="X33">
    <cfRule type="expression" dxfId="16767" priority="629">
      <formula>AND(IF(OR($Q33=1,$Q33=2),1,0),IF($X33&lt;=20,1,0))</formula>
    </cfRule>
    <cfRule type="expression" dxfId="16766" priority="630">
      <formula>AND(IF($Q33=2,1,0),IF($X33&lt;30,1,0))</formula>
    </cfRule>
    <cfRule type="expression" dxfId="16765" priority="631">
      <formula>AND(IF($Q33=3,1,0),IF($X33&lt;30,1,0))</formula>
    </cfRule>
    <cfRule type="expression" dxfId="16764" priority="632">
      <formula>AND(IF($Q33=3,1,IF($Q33=4,1,0)),IF($F33&lt;=85,1,0))</formula>
    </cfRule>
  </conditionalFormatting>
  <conditionalFormatting sqref="AI33">
    <cfRule type="expression" dxfId="16763" priority="625">
      <formula>AND(IF(OR($Q33=1,$Q33=2),1,0),IF($X33&lt;=20,1,0))</formula>
    </cfRule>
    <cfRule type="expression" dxfId="16762" priority="626">
      <formula>AND(IF($Q33=2,1,0),IF($X33&lt;30,1,0))</formula>
    </cfRule>
    <cfRule type="expression" dxfId="16761" priority="627">
      <formula>AND(IF($Q33=3,1,0),IF($X33&lt;30,1,0))</formula>
    </cfRule>
    <cfRule type="expression" dxfId="16760" priority="628">
      <formula>AND(IF($Q33=3,1,IF($Q33=4,1,0)),IF($F33&lt;=85,1,0))</formula>
    </cfRule>
  </conditionalFormatting>
  <conditionalFormatting sqref="AV34">
    <cfRule type="expression" dxfId="16759" priority="623">
      <formula>AV34="X"</formula>
    </cfRule>
    <cfRule type="expression" dxfId="16758" priority="624">
      <formula>AV34="후보"</formula>
    </cfRule>
  </conditionalFormatting>
  <conditionalFormatting sqref="AC34">
    <cfRule type="cellIs" dxfId="16757" priority="620" operator="greaterThan">
      <formula>0.9</formula>
    </cfRule>
    <cfRule type="cellIs" dxfId="16756" priority="621" operator="greaterThan">
      <formula>0.85</formula>
    </cfRule>
  </conditionalFormatting>
  <conditionalFormatting sqref="N34">
    <cfRule type="cellIs" dxfId="16755" priority="618" operator="greaterThan">
      <formula>0.9</formula>
    </cfRule>
    <cfRule type="cellIs" dxfId="16754" priority="619" operator="greaterThan">
      <formula>0.85</formula>
    </cfRule>
  </conditionalFormatting>
  <conditionalFormatting sqref="E34">
    <cfRule type="expression" dxfId="16753" priority="614">
      <formula>AND(IF(OR($Q34=1,$Q34=2),1,0),IF($X34&lt;=20,1,0))</formula>
    </cfRule>
    <cfRule type="expression" dxfId="16752" priority="615">
      <formula>AND(IF($Q34=2,1,0),IF($X34&lt;30,1,0))</formula>
    </cfRule>
    <cfRule type="expression" dxfId="16751" priority="616">
      <formula>AND(IF($Q34=3,1,0),IF($X34&lt;30,1,0))</formula>
    </cfRule>
    <cfRule type="expression" dxfId="16750" priority="617">
      <formula>AND(IF($Q34=3,1,IF($Q34=4,1,0)),IF($F34&lt;=85,1,0))</formula>
    </cfRule>
  </conditionalFormatting>
  <conditionalFormatting sqref="X34">
    <cfRule type="expression" dxfId="16749" priority="610">
      <formula>AND(IF(OR($Q34=1,$Q34=2),1,0),IF($X34&lt;=20,1,0))</formula>
    </cfRule>
    <cfRule type="expression" dxfId="16748" priority="611">
      <formula>AND(IF($Q34=2,1,0),IF($X34&lt;30,1,0))</formula>
    </cfRule>
    <cfRule type="expression" dxfId="16747" priority="612">
      <formula>AND(IF($Q34=3,1,0),IF($X34&lt;30,1,0))</formula>
    </cfRule>
    <cfRule type="expression" dxfId="16746" priority="613">
      <formula>AND(IF($Q34=3,1,IF($Q34=4,1,0)),IF($F34&lt;=85,1,0))</formula>
    </cfRule>
  </conditionalFormatting>
  <conditionalFormatting sqref="AI34">
    <cfRule type="expression" dxfId="16745" priority="606">
      <formula>AND(IF(OR($Q34=1,$Q34=2),1,0),IF($X34&lt;=20,1,0))</formula>
    </cfRule>
    <cfRule type="expression" dxfId="16744" priority="607">
      <formula>AND(IF($Q34=2,1,0),IF($X34&lt;30,1,0))</formula>
    </cfRule>
    <cfRule type="expression" dxfId="16743" priority="608">
      <formula>AND(IF($Q34=3,1,0),IF($X34&lt;30,1,0))</formula>
    </cfRule>
    <cfRule type="expression" dxfId="16742" priority="609">
      <formula>AND(IF($Q34=3,1,IF($Q34=4,1,0)),IF($F34&lt;=85,1,0))</formula>
    </cfRule>
  </conditionalFormatting>
  <conditionalFormatting sqref="AV35">
    <cfRule type="expression" dxfId="16741" priority="604">
      <formula>AV35="X"</formula>
    </cfRule>
    <cfRule type="expression" dxfId="16740" priority="605">
      <formula>AV35="후보"</formula>
    </cfRule>
  </conditionalFormatting>
  <conditionalFormatting sqref="AC35">
    <cfRule type="cellIs" dxfId="16739" priority="601" operator="greaterThan">
      <formula>0.9</formula>
    </cfRule>
    <cfRule type="cellIs" dxfId="16738" priority="602" operator="greaterThan">
      <formula>0.85</formula>
    </cfRule>
  </conditionalFormatting>
  <conditionalFormatting sqref="N35">
    <cfRule type="cellIs" dxfId="16737" priority="599" operator="greaterThan">
      <formula>0.9</formula>
    </cfRule>
    <cfRule type="cellIs" dxfId="16736" priority="600" operator="greaterThan">
      <formula>0.85</formula>
    </cfRule>
  </conditionalFormatting>
  <conditionalFormatting sqref="E35">
    <cfRule type="expression" dxfId="16735" priority="595">
      <formula>AND(IF(OR($Q35=1,$Q35=2),1,0),IF($X35&lt;=20,1,0))</formula>
    </cfRule>
    <cfRule type="expression" dxfId="16734" priority="596">
      <formula>AND(IF($Q35=2,1,0),IF($X35&lt;30,1,0))</formula>
    </cfRule>
    <cfRule type="expression" dxfId="16733" priority="597">
      <formula>AND(IF($Q35=3,1,0),IF($X35&lt;30,1,0))</formula>
    </cfRule>
    <cfRule type="expression" dxfId="16732" priority="598">
      <formula>AND(IF($Q35=3,1,IF($Q35=4,1,0)),IF($F35&lt;=85,1,0))</formula>
    </cfRule>
  </conditionalFormatting>
  <conditionalFormatting sqref="X35">
    <cfRule type="expression" dxfId="16731" priority="591">
      <formula>AND(IF(OR($Q35=1,$Q35=2),1,0),IF($X35&lt;=20,1,0))</formula>
    </cfRule>
    <cfRule type="expression" dxfId="16730" priority="592">
      <formula>AND(IF($Q35=2,1,0),IF($X35&lt;30,1,0))</formula>
    </cfRule>
    <cfRule type="expression" dxfId="16729" priority="593">
      <formula>AND(IF($Q35=3,1,0),IF($X35&lt;30,1,0))</formula>
    </cfRule>
    <cfRule type="expression" dxfId="16728" priority="594">
      <formula>AND(IF($Q35=3,1,IF($Q35=4,1,0)),IF($F35&lt;=85,1,0))</formula>
    </cfRule>
  </conditionalFormatting>
  <conditionalFormatting sqref="AI35">
    <cfRule type="expression" dxfId="16727" priority="587">
      <formula>AND(IF(OR($Q35=1,$Q35=2),1,0),IF($X35&lt;=20,1,0))</formula>
    </cfRule>
    <cfRule type="expression" dxfId="16726" priority="588">
      <formula>AND(IF($Q35=2,1,0),IF($X35&lt;30,1,0))</formula>
    </cfRule>
    <cfRule type="expression" dxfId="16725" priority="589">
      <formula>AND(IF($Q35=3,1,0),IF($X35&lt;30,1,0))</formula>
    </cfRule>
    <cfRule type="expression" dxfId="16724" priority="590">
      <formula>AND(IF($Q35=3,1,IF($Q35=4,1,0)),IF($F35&lt;=85,1,0))</formula>
    </cfRule>
  </conditionalFormatting>
  <conditionalFormatting sqref="AV36">
    <cfRule type="expression" dxfId="16723" priority="585">
      <formula>AV36="X"</formula>
    </cfRule>
    <cfRule type="expression" dxfId="16722" priority="586">
      <formula>AV36="후보"</formula>
    </cfRule>
  </conditionalFormatting>
  <conditionalFormatting sqref="AC36">
    <cfRule type="cellIs" dxfId="16721" priority="582" operator="greaterThan">
      <formula>0.9</formula>
    </cfRule>
    <cfRule type="cellIs" dxfId="16720" priority="583" operator="greaterThan">
      <formula>0.85</formula>
    </cfRule>
  </conditionalFormatting>
  <conditionalFormatting sqref="N36">
    <cfRule type="cellIs" dxfId="16719" priority="580" operator="greaterThan">
      <formula>0.9</formula>
    </cfRule>
    <cfRule type="cellIs" dxfId="16718" priority="581" operator="greaterThan">
      <formula>0.85</formula>
    </cfRule>
  </conditionalFormatting>
  <conditionalFormatting sqref="E36">
    <cfRule type="expression" dxfId="16717" priority="576">
      <formula>AND(IF(OR($Q36=1,$Q36=2),1,0),IF($X36&lt;=20,1,0))</formula>
    </cfRule>
    <cfRule type="expression" dxfId="16716" priority="577">
      <formula>AND(IF($Q36=2,1,0),IF($X36&lt;30,1,0))</formula>
    </cfRule>
    <cfRule type="expression" dxfId="16715" priority="578">
      <formula>AND(IF($Q36=3,1,0),IF($X36&lt;30,1,0))</formula>
    </cfRule>
    <cfRule type="expression" dxfId="16714" priority="579">
      <formula>AND(IF($Q36=3,1,IF($Q36=4,1,0)),IF($F36&lt;=85,1,0))</formula>
    </cfRule>
  </conditionalFormatting>
  <conditionalFormatting sqref="X36">
    <cfRule type="expression" dxfId="16713" priority="572">
      <formula>AND(IF(OR($Q36=1,$Q36=2),1,0),IF($X36&lt;=20,1,0))</formula>
    </cfRule>
    <cfRule type="expression" dxfId="16712" priority="573">
      <formula>AND(IF($Q36=2,1,0),IF($X36&lt;30,1,0))</formula>
    </cfRule>
    <cfRule type="expression" dxfId="16711" priority="574">
      <formula>AND(IF($Q36=3,1,0),IF($X36&lt;30,1,0))</formula>
    </cfRule>
    <cfRule type="expression" dxfId="16710" priority="575">
      <formula>AND(IF($Q36=3,1,IF($Q36=4,1,0)),IF($F36&lt;=85,1,0))</formula>
    </cfRule>
  </conditionalFormatting>
  <conditionalFormatting sqref="AI36">
    <cfRule type="expression" dxfId="16709" priority="568">
      <formula>AND(IF(OR($Q36=1,$Q36=2),1,0),IF($X36&lt;=20,1,0))</formula>
    </cfRule>
    <cfRule type="expression" dxfId="16708" priority="569">
      <formula>AND(IF($Q36=2,1,0),IF($X36&lt;30,1,0))</formula>
    </cfRule>
    <cfRule type="expression" dxfId="16707" priority="570">
      <formula>AND(IF($Q36=3,1,0),IF($X36&lt;30,1,0))</formula>
    </cfRule>
    <cfRule type="expression" dxfId="16706" priority="571">
      <formula>AND(IF($Q36=3,1,IF($Q36=4,1,0)),IF($F36&lt;=85,1,0))</formula>
    </cfRule>
  </conditionalFormatting>
  <conditionalFormatting sqref="AV37">
    <cfRule type="expression" dxfId="16705" priority="566">
      <formula>AV37="X"</formula>
    </cfRule>
    <cfRule type="expression" dxfId="16704" priority="567">
      <formula>AV37="후보"</formula>
    </cfRule>
  </conditionalFormatting>
  <conditionalFormatting sqref="AC37">
    <cfRule type="cellIs" dxfId="16703" priority="563" operator="greaterThan">
      <formula>0.9</formula>
    </cfRule>
    <cfRule type="cellIs" dxfId="16702" priority="564" operator="greaterThan">
      <formula>0.85</formula>
    </cfRule>
  </conditionalFormatting>
  <conditionalFormatting sqref="N37">
    <cfRule type="cellIs" dxfId="16701" priority="561" operator="greaterThan">
      <formula>0.9</formula>
    </cfRule>
    <cfRule type="cellIs" dxfId="16700" priority="562" operator="greaterThan">
      <formula>0.85</formula>
    </cfRule>
  </conditionalFormatting>
  <conditionalFormatting sqref="E37">
    <cfRule type="expression" dxfId="16699" priority="557">
      <formula>AND(IF(OR($Q37=1,$Q37=2),1,0),IF($X37&lt;=20,1,0))</formula>
    </cfRule>
    <cfRule type="expression" dxfId="16698" priority="558">
      <formula>AND(IF($Q37=2,1,0),IF($X37&lt;30,1,0))</formula>
    </cfRule>
    <cfRule type="expression" dxfId="16697" priority="559">
      <formula>AND(IF($Q37=3,1,0),IF($X37&lt;30,1,0))</formula>
    </cfRule>
    <cfRule type="expression" dxfId="16696" priority="560">
      <formula>AND(IF($Q37=3,1,IF($Q37=4,1,0)),IF($F37&lt;=85,1,0))</formula>
    </cfRule>
  </conditionalFormatting>
  <conditionalFormatting sqref="X37">
    <cfRule type="expression" dxfId="16695" priority="553">
      <formula>AND(IF(OR($Q37=1,$Q37=2),1,0),IF($X37&lt;=20,1,0))</formula>
    </cfRule>
    <cfRule type="expression" dxfId="16694" priority="554">
      <formula>AND(IF($Q37=2,1,0),IF($X37&lt;30,1,0))</formula>
    </cfRule>
    <cfRule type="expression" dxfId="16693" priority="555">
      <formula>AND(IF($Q37=3,1,0),IF($X37&lt;30,1,0))</formula>
    </cfRule>
    <cfRule type="expression" dxfId="16692" priority="556">
      <formula>AND(IF($Q37=3,1,IF($Q37=4,1,0)),IF($F37&lt;=85,1,0))</formula>
    </cfRule>
  </conditionalFormatting>
  <conditionalFormatting sqref="AI37">
    <cfRule type="expression" dxfId="16691" priority="549">
      <formula>AND(IF(OR($Q37=1,$Q37=2),1,0),IF($X37&lt;=20,1,0))</formula>
    </cfRule>
    <cfRule type="expression" dxfId="16690" priority="550">
      <formula>AND(IF($Q37=2,1,0),IF($X37&lt;30,1,0))</formula>
    </cfRule>
    <cfRule type="expression" dxfId="16689" priority="551">
      <formula>AND(IF($Q37=3,1,0),IF($X37&lt;30,1,0))</formula>
    </cfRule>
    <cfRule type="expression" dxfId="16688" priority="552">
      <formula>AND(IF($Q37=3,1,IF($Q37=4,1,0)),IF($F37&lt;=85,1,0))</formula>
    </cfRule>
  </conditionalFormatting>
  <conditionalFormatting sqref="AV38">
    <cfRule type="expression" dxfId="16687" priority="547">
      <formula>AV38="X"</formula>
    </cfRule>
    <cfRule type="expression" dxfId="16686" priority="548">
      <formula>AV38="후보"</formula>
    </cfRule>
  </conditionalFormatting>
  <conditionalFormatting sqref="AC38">
    <cfRule type="cellIs" dxfId="16685" priority="544" operator="greaterThan">
      <formula>0.9</formula>
    </cfRule>
    <cfRule type="cellIs" dxfId="16684" priority="545" operator="greaterThan">
      <formula>0.85</formula>
    </cfRule>
  </conditionalFormatting>
  <conditionalFormatting sqref="N38">
    <cfRule type="cellIs" dxfId="16683" priority="542" operator="greaterThan">
      <formula>0.9</formula>
    </cfRule>
    <cfRule type="cellIs" dxfId="16682" priority="543" operator="greaterThan">
      <formula>0.85</formula>
    </cfRule>
  </conditionalFormatting>
  <conditionalFormatting sqref="E38">
    <cfRule type="expression" dxfId="16681" priority="538">
      <formula>AND(IF(OR($Q38=1,$Q38=2),1,0),IF($X38&lt;=20,1,0))</formula>
    </cfRule>
    <cfRule type="expression" dxfId="16680" priority="539">
      <formula>AND(IF($Q38=2,1,0),IF($X38&lt;30,1,0))</formula>
    </cfRule>
    <cfRule type="expression" dxfId="16679" priority="540">
      <formula>AND(IF($Q38=3,1,0),IF($X38&lt;30,1,0))</formula>
    </cfRule>
    <cfRule type="expression" dxfId="16678" priority="541">
      <formula>AND(IF($Q38=3,1,IF($Q38=4,1,0)),IF($F38&lt;=85,1,0))</formula>
    </cfRule>
  </conditionalFormatting>
  <conditionalFormatting sqref="X38">
    <cfRule type="expression" dxfId="16677" priority="534">
      <formula>AND(IF(OR($Q38=1,$Q38=2),1,0),IF($X38&lt;=20,1,0))</formula>
    </cfRule>
    <cfRule type="expression" dxfId="16676" priority="535">
      <formula>AND(IF($Q38=2,1,0),IF($X38&lt;30,1,0))</formula>
    </cfRule>
    <cfRule type="expression" dxfId="16675" priority="536">
      <formula>AND(IF($Q38=3,1,0),IF($X38&lt;30,1,0))</formula>
    </cfRule>
    <cfRule type="expression" dxfId="16674" priority="537">
      <formula>AND(IF($Q38=3,1,IF($Q38=4,1,0)),IF($F38&lt;=85,1,0))</formula>
    </cfRule>
  </conditionalFormatting>
  <conditionalFormatting sqref="AI38">
    <cfRule type="expression" dxfId="16673" priority="530">
      <formula>AND(IF(OR($Q38=1,$Q38=2),1,0),IF($X38&lt;=20,1,0))</formula>
    </cfRule>
    <cfRule type="expression" dxfId="16672" priority="531">
      <formula>AND(IF($Q38=2,1,0),IF($X38&lt;30,1,0))</formula>
    </cfRule>
    <cfRule type="expression" dxfId="16671" priority="532">
      <formula>AND(IF($Q38=3,1,0),IF($X38&lt;30,1,0))</formula>
    </cfRule>
    <cfRule type="expression" dxfId="16670" priority="533">
      <formula>AND(IF($Q38=3,1,IF($Q38=4,1,0)),IF($F38&lt;=85,1,0))</formula>
    </cfRule>
  </conditionalFormatting>
  <conditionalFormatting sqref="AV39">
    <cfRule type="expression" dxfId="16669" priority="528">
      <formula>AV39="X"</formula>
    </cfRule>
    <cfRule type="expression" dxfId="16668" priority="529">
      <formula>AV39="후보"</formula>
    </cfRule>
  </conditionalFormatting>
  <conditionalFormatting sqref="AC39">
    <cfRule type="cellIs" dxfId="16667" priority="525" operator="greaterThan">
      <formula>0.9</formula>
    </cfRule>
    <cfRule type="cellIs" dxfId="16666" priority="526" operator="greaterThan">
      <formula>0.85</formula>
    </cfRule>
  </conditionalFormatting>
  <conditionalFormatting sqref="N39">
    <cfRule type="cellIs" dxfId="16665" priority="523" operator="greaterThan">
      <formula>0.9</formula>
    </cfRule>
    <cfRule type="cellIs" dxfId="16664" priority="524" operator="greaterThan">
      <formula>0.85</formula>
    </cfRule>
  </conditionalFormatting>
  <conditionalFormatting sqref="E39">
    <cfRule type="expression" dxfId="16663" priority="519">
      <formula>AND(IF(OR($Q39=1,$Q39=2),1,0),IF($X39&lt;=20,1,0))</formula>
    </cfRule>
    <cfRule type="expression" dxfId="16662" priority="520">
      <formula>AND(IF($Q39=2,1,0),IF($X39&lt;30,1,0))</formula>
    </cfRule>
    <cfRule type="expression" dxfId="16661" priority="521">
      <formula>AND(IF($Q39=3,1,0),IF($X39&lt;30,1,0))</formula>
    </cfRule>
    <cfRule type="expression" dxfId="16660" priority="522">
      <formula>AND(IF($Q39=3,1,IF($Q39=4,1,0)),IF($F39&lt;=85,1,0))</formula>
    </cfRule>
  </conditionalFormatting>
  <conditionalFormatting sqref="X39">
    <cfRule type="expression" dxfId="16659" priority="515">
      <formula>AND(IF(OR($Q39=1,$Q39=2),1,0),IF($X39&lt;=20,1,0))</formula>
    </cfRule>
    <cfRule type="expression" dxfId="16658" priority="516">
      <formula>AND(IF($Q39=2,1,0),IF($X39&lt;30,1,0))</formula>
    </cfRule>
    <cfRule type="expression" dxfId="16657" priority="517">
      <formula>AND(IF($Q39=3,1,0),IF($X39&lt;30,1,0))</formula>
    </cfRule>
    <cfRule type="expression" dxfId="16656" priority="518">
      <formula>AND(IF($Q39=3,1,IF($Q39=4,1,0)),IF($F39&lt;=85,1,0))</formula>
    </cfRule>
  </conditionalFormatting>
  <conditionalFormatting sqref="AI39">
    <cfRule type="expression" dxfId="16655" priority="511">
      <formula>AND(IF(OR($Q39=1,$Q39=2),1,0),IF($X39&lt;=20,1,0))</formula>
    </cfRule>
    <cfRule type="expression" dxfId="16654" priority="512">
      <formula>AND(IF($Q39=2,1,0),IF($X39&lt;30,1,0))</formula>
    </cfRule>
    <cfRule type="expression" dxfId="16653" priority="513">
      <formula>AND(IF($Q39=3,1,0),IF($X39&lt;30,1,0))</formula>
    </cfRule>
    <cfRule type="expression" dxfId="16652" priority="514">
      <formula>AND(IF($Q39=3,1,IF($Q39=4,1,0)),IF($F39&lt;=85,1,0))</formula>
    </cfRule>
  </conditionalFormatting>
  <conditionalFormatting sqref="AV40">
    <cfRule type="expression" dxfId="16651" priority="509">
      <formula>AV40="X"</formula>
    </cfRule>
    <cfRule type="expression" dxfId="16650" priority="510">
      <formula>AV40="후보"</formula>
    </cfRule>
  </conditionalFormatting>
  <conditionalFormatting sqref="AC40 N40">
    <cfRule type="cellIs" dxfId="16649" priority="506" operator="greaterThan">
      <formula>0.9</formula>
    </cfRule>
    <cfRule type="cellIs" dxfId="16648" priority="507" operator="greaterThan">
      <formula>0.85</formula>
    </cfRule>
  </conditionalFormatting>
  <conditionalFormatting sqref="AV41">
    <cfRule type="expression" dxfId="16647" priority="504">
      <formula>AV41="X"</formula>
    </cfRule>
    <cfRule type="expression" dxfId="16646" priority="505">
      <formula>AV41="후보"</formula>
    </cfRule>
  </conditionalFormatting>
  <conditionalFormatting sqref="AC41">
    <cfRule type="cellIs" dxfId="16645" priority="501" operator="greaterThan">
      <formula>0.9</formula>
    </cfRule>
    <cfRule type="cellIs" dxfId="16644" priority="502" operator="greaterThan">
      <formula>0.85</formula>
    </cfRule>
  </conditionalFormatting>
  <conditionalFormatting sqref="N41">
    <cfRule type="cellIs" dxfId="16643" priority="499" operator="greaterThan">
      <formula>0.9</formula>
    </cfRule>
    <cfRule type="cellIs" dxfId="16642" priority="500" operator="greaterThan">
      <formula>0.85</formula>
    </cfRule>
  </conditionalFormatting>
  <conditionalFormatting sqref="E41">
    <cfRule type="expression" dxfId="16641" priority="495">
      <formula>AND(IF(OR($Q41=1,$Q41=2),1,0),IF($X41&lt;=20,1,0))</formula>
    </cfRule>
    <cfRule type="expression" dxfId="16640" priority="496">
      <formula>AND(IF($Q41=2,1,0),IF($X41&lt;30,1,0))</formula>
    </cfRule>
    <cfRule type="expression" dxfId="16639" priority="497">
      <formula>AND(IF($Q41=3,1,0),IF($X41&lt;30,1,0))</formula>
    </cfRule>
    <cfRule type="expression" dxfId="16638" priority="498">
      <formula>AND(IF($Q41=3,1,IF($Q41=4,1,0)),IF($F41&lt;=85,1,0))</formula>
    </cfRule>
  </conditionalFormatting>
  <conditionalFormatting sqref="X41">
    <cfRule type="expression" dxfId="16637" priority="491">
      <formula>AND(IF(OR($Q41=1,$Q41=2),1,0),IF($X41&lt;=20,1,0))</formula>
    </cfRule>
    <cfRule type="expression" dxfId="16636" priority="492">
      <formula>AND(IF($Q41=2,1,0),IF($X41&lt;30,1,0))</formula>
    </cfRule>
    <cfRule type="expression" dxfId="16635" priority="493">
      <formula>AND(IF($Q41=3,1,0),IF($X41&lt;30,1,0))</formula>
    </cfRule>
    <cfRule type="expression" dxfId="16634" priority="494">
      <formula>AND(IF($Q41=3,1,IF($Q41=4,1,0)),IF($F41&lt;=85,1,0))</formula>
    </cfRule>
  </conditionalFormatting>
  <conditionalFormatting sqref="AI41">
    <cfRule type="expression" dxfId="16633" priority="487">
      <formula>AND(IF(OR($Q41=1,$Q41=2),1,0),IF($X41&lt;=20,1,0))</formula>
    </cfRule>
    <cfRule type="expression" dxfId="16632" priority="488">
      <formula>AND(IF($Q41=2,1,0),IF($X41&lt;30,1,0))</formula>
    </cfRule>
    <cfRule type="expression" dxfId="16631" priority="489">
      <formula>AND(IF($Q41=3,1,0),IF($X41&lt;30,1,0))</formula>
    </cfRule>
    <cfRule type="expression" dxfId="16630" priority="490">
      <formula>AND(IF($Q41=3,1,IF($Q41=4,1,0)),IF($F41&lt;=85,1,0))</formula>
    </cfRule>
  </conditionalFormatting>
  <conditionalFormatting sqref="AV42">
    <cfRule type="expression" dxfId="16629" priority="485">
      <formula>AV42="X"</formula>
    </cfRule>
    <cfRule type="expression" dxfId="16628" priority="486">
      <formula>AV42="후보"</formula>
    </cfRule>
  </conditionalFormatting>
  <conditionalFormatting sqref="AC42">
    <cfRule type="cellIs" dxfId="16627" priority="482" operator="greaterThan">
      <formula>0.9</formula>
    </cfRule>
    <cfRule type="cellIs" dxfId="16626" priority="483" operator="greaterThan">
      <formula>0.85</formula>
    </cfRule>
  </conditionalFormatting>
  <conditionalFormatting sqref="N42">
    <cfRule type="cellIs" dxfId="16625" priority="480" operator="greaterThan">
      <formula>0.9</formula>
    </cfRule>
    <cfRule type="cellIs" dxfId="16624" priority="481" operator="greaterThan">
      <formula>0.85</formula>
    </cfRule>
  </conditionalFormatting>
  <conditionalFormatting sqref="E42">
    <cfRule type="expression" dxfId="16623" priority="476">
      <formula>AND(IF(OR($Q42=1,$Q42=2),1,0),IF($X42&lt;=20,1,0))</formula>
    </cfRule>
    <cfRule type="expression" dxfId="16622" priority="477">
      <formula>AND(IF($Q42=2,1,0),IF($X42&lt;30,1,0))</formula>
    </cfRule>
    <cfRule type="expression" dxfId="16621" priority="478">
      <formula>AND(IF($Q42=3,1,0),IF($X42&lt;30,1,0))</formula>
    </cfRule>
    <cfRule type="expression" dxfId="16620" priority="479">
      <formula>AND(IF($Q42=3,1,IF($Q42=4,1,0)),IF($F42&lt;=85,1,0))</formula>
    </cfRule>
  </conditionalFormatting>
  <conditionalFormatting sqref="X42">
    <cfRule type="expression" dxfId="16619" priority="472">
      <formula>AND(IF(OR($Q42=1,$Q42=2),1,0),IF($X42&lt;=20,1,0))</formula>
    </cfRule>
    <cfRule type="expression" dxfId="16618" priority="473">
      <formula>AND(IF($Q42=2,1,0),IF($X42&lt;30,1,0))</formula>
    </cfRule>
    <cfRule type="expression" dxfId="16617" priority="474">
      <formula>AND(IF($Q42=3,1,0),IF($X42&lt;30,1,0))</formula>
    </cfRule>
    <cfRule type="expression" dxfId="16616" priority="475">
      <formula>AND(IF($Q42=3,1,IF($Q42=4,1,0)),IF($F42&lt;=85,1,0))</formula>
    </cfRule>
  </conditionalFormatting>
  <conditionalFormatting sqref="AI42">
    <cfRule type="expression" dxfId="16615" priority="468">
      <formula>AND(IF(OR($Q42=1,$Q42=2),1,0),IF($X42&lt;=20,1,0))</formula>
    </cfRule>
    <cfRule type="expression" dxfId="16614" priority="469">
      <formula>AND(IF($Q42=2,1,0),IF($X42&lt;30,1,0))</formula>
    </cfRule>
    <cfRule type="expression" dxfId="16613" priority="470">
      <formula>AND(IF($Q42=3,1,0),IF($X42&lt;30,1,0))</formula>
    </cfRule>
    <cfRule type="expression" dxfId="16612" priority="471">
      <formula>AND(IF($Q42=3,1,IF($Q42=4,1,0)),IF($F42&lt;=85,1,0))</formula>
    </cfRule>
  </conditionalFormatting>
  <conditionalFormatting sqref="AV43">
    <cfRule type="expression" dxfId="16611" priority="466">
      <formula>AV43="X"</formula>
    </cfRule>
    <cfRule type="expression" dxfId="16610" priority="467">
      <formula>AV43="후보"</formula>
    </cfRule>
  </conditionalFormatting>
  <conditionalFormatting sqref="AC43">
    <cfRule type="cellIs" dxfId="16609" priority="463" operator="greaterThan">
      <formula>0.9</formula>
    </cfRule>
    <cfRule type="cellIs" dxfId="16608" priority="464" operator="greaterThan">
      <formula>0.85</formula>
    </cfRule>
  </conditionalFormatting>
  <conditionalFormatting sqref="N43">
    <cfRule type="cellIs" dxfId="16607" priority="461" operator="greaterThan">
      <formula>0.9</formula>
    </cfRule>
    <cfRule type="cellIs" dxfId="16606" priority="462" operator="greaterThan">
      <formula>0.85</formula>
    </cfRule>
  </conditionalFormatting>
  <conditionalFormatting sqref="E43">
    <cfRule type="expression" dxfId="16605" priority="457">
      <formula>AND(IF(OR($Q43=1,$Q43=2),1,0),IF($X43&lt;=20,1,0))</formula>
    </cfRule>
    <cfRule type="expression" dxfId="16604" priority="458">
      <formula>AND(IF($Q43=2,1,0),IF($X43&lt;30,1,0))</formula>
    </cfRule>
    <cfRule type="expression" dxfId="16603" priority="459">
      <formula>AND(IF($Q43=3,1,0),IF($X43&lt;30,1,0))</formula>
    </cfRule>
    <cfRule type="expression" dxfId="16602" priority="460">
      <formula>AND(IF($Q43=3,1,IF($Q43=4,1,0)),IF($F43&lt;=85,1,0))</formula>
    </cfRule>
  </conditionalFormatting>
  <conditionalFormatting sqref="X43">
    <cfRule type="expression" dxfId="16601" priority="453">
      <formula>AND(IF(OR($Q43=1,$Q43=2),1,0),IF($X43&lt;=20,1,0))</formula>
    </cfRule>
    <cfRule type="expression" dxfId="16600" priority="454">
      <formula>AND(IF($Q43=2,1,0),IF($X43&lt;30,1,0))</formula>
    </cfRule>
    <cfRule type="expression" dxfId="16599" priority="455">
      <formula>AND(IF($Q43=3,1,0),IF($X43&lt;30,1,0))</formula>
    </cfRule>
    <cfRule type="expression" dxfId="16598" priority="456">
      <formula>AND(IF($Q43=3,1,IF($Q43=4,1,0)),IF($F43&lt;=85,1,0))</formula>
    </cfRule>
  </conditionalFormatting>
  <conditionalFormatting sqref="AI43">
    <cfRule type="expression" dxfId="16597" priority="449">
      <formula>AND(IF(OR($Q43=1,$Q43=2),1,0),IF($X43&lt;=20,1,0))</formula>
    </cfRule>
    <cfRule type="expression" dxfId="16596" priority="450">
      <formula>AND(IF($Q43=2,1,0),IF($X43&lt;30,1,0))</formula>
    </cfRule>
    <cfRule type="expression" dxfId="16595" priority="451">
      <formula>AND(IF($Q43=3,1,0),IF($X43&lt;30,1,0))</formula>
    </cfRule>
    <cfRule type="expression" dxfId="16594" priority="452">
      <formula>AND(IF($Q43=3,1,IF($Q43=4,1,0)),IF($F43&lt;=85,1,0))</formula>
    </cfRule>
  </conditionalFormatting>
  <conditionalFormatting sqref="AV44">
    <cfRule type="expression" dxfId="16593" priority="447">
      <formula>AV44="X"</formula>
    </cfRule>
    <cfRule type="expression" dxfId="16592" priority="448">
      <formula>AV44="후보"</formula>
    </cfRule>
  </conditionalFormatting>
  <conditionalFormatting sqref="AC44">
    <cfRule type="cellIs" dxfId="16591" priority="444" operator="greaterThan">
      <formula>0.9</formula>
    </cfRule>
    <cfRule type="cellIs" dxfId="16590" priority="445" operator="greaterThan">
      <formula>0.85</formula>
    </cfRule>
  </conditionalFormatting>
  <conditionalFormatting sqref="N44">
    <cfRule type="cellIs" dxfId="16589" priority="442" operator="greaterThan">
      <formula>0.9</formula>
    </cfRule>
    <cfRule type="cellIs" dxfId="16588" priority="443" operator="greaterThan">
      <formula>0.85</formula>
    </cfRule>
  </conditionalFormatting>
  <conditionalFormatting sqref="E44">
    <cfRule type="expression" dxfId="16587" priority="438">
      <formula>AND(IF(OR($Q44=1,$Q44=2),1,0),IF($X44&lt;=20,1,0))</formula>
    </cfRule>
    <cfRule type="expression" dxfId="16586" priority="439">
      <formula>AND(IF($Q44=2,1,0),IF($X44&lt;30,1,0))</formula>
    </cfRule>
    <cfRule type="expression" dxfId="16585" priority="440">
      <formula>AND(IF($Q44=3,1,0),IF($X44&lt;30,1,0))</formula>
    </cfRule>
    <cfRule type="expression" dxfId="16584" priority="441">
      <formula>AND(IF($Q44=3,1,IF($Q44=4,1,0)),IF($F44&lt;=85,1,0))</formula>
    </cfRule>
  </conditionalFormatting>
  <conditionalFormatting sqref="X44">
    <cfRule type="expression" dxfId="16583" priority="434">
      <formula>AND(IF(OR($Q44=1,$Q44=2),1,0),IF($X44&lt;=20,1,0))</formula>
    </cfRule>
    <cfRule type="expression" dxfId="16582" priority="435">
      <formula>AND(IF($Q44=2,1,0),IF($X44&lt;30,1,0))</formula>
    </cfRule>
    <cfRule type="expression" dxfId="16581" priority="436">
      <formula>AND(IF($Q44=3,1,0),IF($X44&lt;30,1,0))</formula>
    </cfRule>
    <cfRule type="expression" dxfId="16580" priority="437">
      <formula>AND(IF($Q44=3,1,IF($Q44=4,1,0)),IF($F44&lt;=85,1,0))</formula>
    </cfRule>
  </conditionalFormatting>
  <conditionalFormatting sqref="AI44">
    <cfRule type="expression" dxfId="16579" priority="430">
      <formula>AND(IF(OR($Q44=1,$Q44=2),1,0),IF($X44&lt;=20,1,0))</formula>
    </cfRule>
    <cfRule type="expression" dxfId="16578" priority="431">
      <formula>AND(IF($Q44=2,1,0),IF($X44&lt;30,1,0))</formula>
    </cfRule>
    <cfRule type="expression" dxfId="16577" priority="432">
      <formula>AND(IF($Q44=3,1,0),IF($X44&lt;30,1,0))</formula>
    </cfRule>
    <cfRule type="expression" dxfId="16576" priority="433">
      <formula>AND(IF($Q44=3,1,IF($Q44=4,1,0)),IF($F44&lt;=85,1,0))</formula>
    </cfRule>
  </conditionalFormatting>
  <conditionalFormatting sqref="AV45">
    <cfRule type="expression" dxfId="16575" priority="428">
      <formula>AV45="X"</formula>
    </cfRule>
    <cfRule type="expression" dxfId="16574" priority="429">
      <formula>AV45="후보"</formula>
    </cfRule>
  </conditionalFormatting>
  <conditionalFormatting sqref="AC45">
    <cfRule type="cellIs" dxfId="16573" priority="425" operator="greaterThan">
      <formula>0.9</formula>
    </cfRule>
    <cfRule type="cellIs" dxfId="16572" priority="426" operator="greaterThan">
      <formula>0.85</formula>
    </cfRule>
  </conditionalFormatting>
  <conditionalFormatting sqref="N45">
    <cfRule type="cellIs" dxfId="16571" priority="423" operator="greaterThan">
      <formula>0.9</formula>
    </cfRule>
    <cfRule type="cellIs" dxfId="16570" priority="424" operator="greaterThan">
      <formula>0.85</formula>
    </cfRule>
  </conditionalFormatting>
  <conditionalFormatting sqref="E45">
    <cfRule type="expression" dxfId="16569" priority="419">
      <formula>AND(IF(OR($Q45=1,$Q45=2),1,0),IF($X45&lt;=20,1,0))</formula>
    </cfRule>
    <cfRule type="expression" dxfId="16568" priority="420">
      <formula>AND(IF($Q45=2,1,0),IF($X45&lt;30,1,0))</formula>
    </cfRule>
    <cfRule type="expression" dxfId="16567" priority="421">
      <formula>AND(IF($Q45=3,1,0),IF($X45&lt;30,1,0))</formula>
    </cfRule>
    <cfRule type="expression" dxfId="16566" priority="422">
      <formula>AND(IF($Q45=3,1,IF($Q45=4,1,0)),IF($F45&lt;=85,1,0))</formula>
    </cfRule>
  </conditionalFormatting>
  <conditionalFormatting sqref="X45">
    <cfRule type="expression" dxfId="16565" priority="415">
      <formula>AND(IF(OR($Q45=1,$Q45=2),1,0),IF($X45&lt;=20,1,0))</formula>
    </cfRule>
    <cfRule type="expression" dxfId="16564" priority="416">
      <formula>AND(IF($Q45=2,1,0),IF($X45&lt;30,1,0))</formula>
    </cfRule>
    <cfRule type="expression" dxfId="16563" priority="417">
      <formula>AND(IF($Q45=3,1,0),IF($X45&lt;30,1,0))</formula>
    </cfRule>
    <cfRule type="expression" dxfId="16562" priority="418">
      <formula>AND(IF($Q45=3,1,IF($Q45=4,1,0)),IF($F45&lt;=85,1,0))</formula>
    </cfRule>
  </conditionalFormatting>
  <conditionalFormatting sqref="AI45">
    <cfRule type="expression" dxfId="16561" priority="411">
      <formula>AND(IF(OR($Q45=1,$Q45=2),1,0),IF($X45&lt;=20,1,0))</formula>
    </cfRule>
    <cfRule type="expression" dxfId="16560" priority="412">
      <formula>AND(IF($Q45=2,1,0),IF($X45&lt;30,1,0))</formula>
    </cfRule>
    <cfRule type="expression" dxfId="16559" priority="413">
      <formula>AND(IF($Q45=3,1,0),IF($X45&lt;30,1,0))</formula>
    </cfRule>
    <cfRule type="expression" dxfId="16558" priority="414">
      <formula>AND(IF($Q45=3,1,IF($Q45=4,1,0)),IF($F45&lt;=85,1,0))</formula>
    </cfRule>
  </conditionalFormatting>
  <conditionalFormatting sqref="AV46">
    <cfRule type="expression" dxfId="16557" priority="409">
      <formula>AV46="X"</formula>
    </cfRule>
    <cfRule type="expression" dxfId="16556" priority="410">
      <formula>AV46="후보"</formula>
    </cfRule>
  </conditionalFormatting>
  <conditionalFormatting sqref="AC46 N46">
    <cfRule type="cellIs" dxfId="16555" priority="406" operator="greaterThan">
      <formula>0.9</formula>
    </cfRule>
    <cfRule type="cellIs" dxfId="16554" priority="407" operator="greaterThan">
      <formula>0.85</formula>
    </cfRule>
  </conditionalFormatting>
  <conditionalFormatting sqref="AV47">
    <cfRule type="expression" dxfId="16553" priority="404">
      <formula>AV47="X"</formula>
    </cfRule>
    <cfRule type="expression" dxfId="16552" priority="405">
      <formula>AV47="후보"</formula>
    </cfRule>
  </conditionalFormatting>
  <conditionalFormatting sqref="AC47">
    <cfRule type="cellIs" dxfId="16551" priority="401" operator="greaterThan">
      <formula>0.9</formula>
    </cfRule>
    <cfRule type="cellIs" dxfId="16550" priority="402" operator="greaterThan">
      <formula>0.85</formula>
    </cfRule>
  </conditionalFormatting>
  <conditionalFormatting sqref="N47">
    <cfRule type="cellIs" dxfId="16549" priority="399" operator="greaterThan">
      <formula>0.9</formula>
    </cfRule>
    <cfRule type="cellIs" dxfId="16548" priority="400" operator="greaterThan">
      <formula>0.85</formula>
    </cfRule>
  </conditionalFormatting>
  <conditionalFormatting sqref="E47">
    <cfRule type="expression" dxfId="16547" priority="395">
      <formula>AND(IF(OR($Q47=1,$Q47=2),1,0),IF($X47&lt;=20,1,0))</formula>
    </cfRule>
    <cfRule type="expression" dxfId="16546" priority="396">
      <formula>AND(IF($Q47=2,1,0),IF($X47&lt;30,1,0))</formula>
    </cfRule>
    <cfRule type="expression" dxfId="16545" priority="397">
      <formula>AND(IF($Q47=3,1,0),IF($X47&lt;30,1,0))</formula>
    </cfRule>
    <cfRule type="expression" dxfId="16544" priority="398">
      <formula>AND(IF($Q47=3,1,IF($Q47=4,1,0)),IF($F47&lt;=85,1,0))</formula>
    </cfRule>
  </conditionalFormatting>
  <conditionalFormatting sqref="X47">
    <cfRule type="expression" dxfId="16543" priority="391">
      <formula>AND(IF(OR($Q47=1,$Q47=2),1,0),IF($X47&lt;=20,1,0))</formula>
    </cfRule>
    <cfRule type="expression" dxfId="16542" priority="392">
      <formula>AND(IF($Q47=2,1,0),IF($X47&lt;30,1,0))</formula>
    </cfRule>
    <cfRule type="expression" dxfId="16541" priority="393">
      <formula>AND(IF($Q47=3,1,0),IF($X47&lt;30,1,0))</formula>
    </cfRule>
    <cfRule type="expression" dxfId="16540" priority="394">
      <formula>AND(IF($Q47=3,1,IF($Q47=4,1,0)),IF($F47&lt;=85,1,0))</formula>
    </cfRule>
  </conditionalFormatting>
  <conditionalFormatting sqref="AI47">
    <cfRule type="expression" dxfId="16539" priority="387">
      <formula>AND(IF(OR($Q47=1,$Q47=2),1,0),IF($X47&lt;=20,1,0))</formula>
    </cfRule>
    <cfRule type="expression" dxfId="16538" priority="388">
      <formula>AND(IF($Q47=2,1,0),IF($X47&lt;30,1,0))</formula>
    </cfRule>
    <cfRule type="expression" dxfId="16537" priority="389">
      <formula>AND(IF($Q47=3,1,0),IF($X47&lt;30,1,0))</formula>
    </cfRule>
    <cfRule type="expression" dxfId="16536" priority="390">
      <formula>AND(IF($Q47=3,1,IF($Q47=4,1,0)),IF($F47&lt;=85,1,0))</formula>
    </cfRule>
  </conditionalFormatting>
  <conditionalFormatting sqref="AV48">
    <cfRule type="expression" dxfId="16535" priority="385">
      <formula>AV48="X"</formula>
    </cfRule>
    <cfRule type="expression" dxfId="16534" priority="386">
      <formula>AV48="후보"</formula>
    </cfRule>
  </conditionalFormatting>
  <conditionalFormatting sqref="AC48">
    <cfRule type="cellIs" dxfId="16533" priority="382" operator="greaterThan">
      <formula>0.9</formula>
    </cfRule>
    <cfRule type="cellIs" dxfId="16532" priority="383" operator="greaterThan">
      <formula>0.85</formula>
    </cfRule>
  </conditionalFormatting>
  <conditionalFormatting sqref="N48">
    <cfRule type="cellIs" dxfId="16531" priority="380" operator="greaterThan">
      <formula>0.9</formula>
    </cfRule>
    <cfRule type="cellIs" dxfId="16530" priority="381" operator="greaterThan">
      <formula>0.85</formula>
    </cfRule>
  </conditionalFormatting>
  <conditionalFormatting sqref="E48">
    <cfRule type="expression" dxfId="16529" priority="376">
      <formula>AND(IF(OR($Q48=1,$Q48=2),1,0),IF($X48&lt;=20,1,0))</formula>
    </cfRule>
    <cfRule type="expression" dxfId="16528" priority="377">
      <formula>AND(IF($Q48=2,1,0),IF($X48&lt;30,1,0))</formula>
    </cfRule>
    <cfRule type="expression" dxfId="16527" priority="378">
      <formula>AND(IF($Q48=3,1,0),IF($X48&lt;30,1,0))</formula>
    </cfRule>
    <cfRule type="expression" dxfId="16526" priority="379">
      <formula>AND(IF($Q48=3,1,IF($Q48=4,1,0)),IF($F48&lt;=85,1,0))</formula>
    </cfRule>
  </conditionalFormatting>
  <conditionalFormatting sqref="X48">
    <cfRule type="expression" dxfId="16525" priority="372">
      <formula>AND(IF(OR($Q48=1,$Q48=2),1,0),IF($X48&lt;=20,1,0))</formula>
    </cfRule>
    <cfRule type="expression" dxfId="16524" priority="373">
      <formula>AND(IF($Q48=2,1,0),IF($X48&lt;30,1,0))</formula>
    </cfRule>
    <cfRule type="expression" dxfId="16523" priority="374">
      <formula>AND(IF($Q48=3,1,0),IF($X48&lt;30,1,0))</formula>
    </cfRule>
    <cfRule type="expression" dxfId="16522" priority="375">
      <formula>AND(IF($Q48=3,1,IF($Q48=4,1,0)),IF($F48&lt;=85,1,0))</formula>
    </cfRule>
  </conditionalFormatting>
  <conditionalFormatting sqref="AI48">
    <cfRule type="expression" dxfId="16521" priority="368">
      <formula>AND(IF(OR($Q48=1,$Q48=2),1,0),IF($X48&lt;=20,1,0))</formula>
    </cfRule>
    <cfRule type="expression" dxfId="16520" priority="369">
      <formula>AND(IF($Q48=2,1,0),IF($X48&lt;30,1,0))</formula>
    </cfRule>
    <cfRule type="expression" dxfId="16519" priority="370">
      <formula>AND(IF($Q48=3,1,0),IF($X48&lt;30,1,0))</formula>
    </cfRule>
    <cfRule type="expression" dxfId="16518" priority="371">
      <formula>AND(IF($Q48=3,1,IF($Q48=4,1,0)),IF($F48&lt;=85,1,0))</formula>
    </cfRule>
  </conditionalFormatting>
  <conditionalFormatting sqref="AV49">
    <cfRule type="expression" dxfId="16517" priority="366">
      <formula>AV49="X"</formula>
    </cfRule>
    <cfRule type="expression" dxfId="16516" priority="367">
      <formula>AV49="후보"</formula>
    </cfRule>
  </conditionalFormatting>
  <conditionalFormatting sqref="AC49 N49">
    <cfRule type="cellIs" dxfId="16515" priority="363" operator="greaterThan">
      <formula>0.9</formula>
    </cfRule>
    <cfRule type="cellIs" dxfId="16514" priority="364" operator="greaterThan">
      <formula>0.85</formula>
    </cfRule>
  </conditionalFormatting>
  <conditionalFormatting sqref="AV50">
    <cfRule type="expression" dxfId="16513" priority="361">
      <formula>AV50="X"</formula>
    </cfRule>
    <cfRule type="expression" dxfId="16512" priority="362">
      <formula>AV50="후보"</formula>
    </cfRule>
  </conditionalFormatting>
  <conditionalFormatting sqref="AC50">
    <cfRule type="cellIs" dxfId="16511" priority="358" operator="greaterThan">
      <formula>0.9</formula>
    </cfRule>
    <cfRule type="cellIs" dxfId="16510" priority="359" operator="greaterThan">
      <formula>0.85</formula>
    </cfRule>
  </conditionalFormatting>
  <conditionalFormatting sqref="N50">
    <cfRule type="cellIs" dxfId="16509" priority="356" operator="greaterThan">
      <formula>0.9</formula>
    </cfRule>
    <cfRule type="cellIs" dxfId="16508" priority="357" operator="greaterThan">
      <formula>0.85</formula>
    </cfRule>
  </conditionalFormatting>
  <conditionalFormatting sqref="E50">
    <cfRule type="expression" dxfId="16507" priority="352">
      <formula>AND(IF(OR($Q50=1,$Q50=2),1,0),IF($X50&lt;=20,1,0))</formula>
    </cfRule>
    <cfRule type="expression" dxfId="16506" priority="353">
      <formula>AND(IF($Q50=2,1,0),IF($X50&lt;30,1,0))</formula>
    </cfRule>
    <cfRule type="expression" dxfId="16505" priority="354">
      <formula>AND(IF($Q50=3,1,0),IF($X50&lt;30,1,0))</formula>
    </cfRule>
    <cfRule type="expression" dxfId="16504" priority="355">
      <formula>AND(IF($Q50=3,1,IF($Q50=4,1,0)),IF($F50&lt;=85,1,0))</formula>
    </cfRule>
  </conditionalFormatting>
  <conditionalFormatting sqref="X50">
    <cfRule type="expression" dxfId="16503" priority="348">
      <formula>AND(IF(OR($Q50=1,$Q50=2),1,0),IF($X50&lt;=20,1,0))</formula>
    </cfRule>
    <cfRule type="expression" dxfId="16502" priority="349">
      <formula>AND(IF($Q50=2,1,0),IF($X50&lt;30,1,0))</formula>
    </cfRule>
    <cfRule type="expression" dxfId="16501" priority="350">
      <formula>AND(IF($Q50=3,1,0),IF($X50&lt;30,1,0))</formula>
    </cfRule>
    <cfRule type="expression" dxfId="16500" priority="351">
      <formula>AND(IF($Q50=3,1,IF($Q50=4,1,0)),IF($F50&lt;=85,1,0))</formula>
    </cfRule>
  </conditionalFormatting>
  <conditionalFormatting sqref="AI50">
    <cfRule type="expression" dxfId="16499" priority="344">
      <formula>AND(IF(OR($Q50=1,$Q50=2),1,0),IF($X50&lt;=20,1,0))</formula>
    </cfRule>
    <cfRule type="expression" dxfId="16498" priority="345">
      <formula>AND(IF($Q50=2,1,0),IF($X50&lt;30,1,0))</formula>
    </cfRule>
    <cfRule type="expression" dxfId="16497" priority="346">
      <formula>AND(IF($Q50=3,1,0),IF($X50&lt;30,1,0))</formula>
    </cfRule>
    <cfRule type="expression" dxfId="16496" priority="347">
      <formula>AND(IF($Q50=3,1,IF($Q50=4,1,0)),IF($F50&lt;=85,1,0))</formula>
    </cfRule>
  </conditionalFormatting>
  <conditionalFormatting sqref="AV51">
    <cfRule type="expression" dxfId="16495" priority="342">
      <formula>AV51="X"</formula>
    </cfRule>
    <cfRule type="expression" dxfId="16494" priority="343">
      <formula>AV51="후보"</formula>
    </cfRule>
  </conditionalFormatting>
  <conditionalFormatting sqref="AC51 N51">
    <cfRule type="cellIs" dxfId="16493" priority="339" operator="greaterThan">
      <formula>0.9</formula>
    </cfRule>
    <cfRule type="cellIs" dxfId="16492" priority="340" operator="greaterThan">
      <formula>0.85</formula>
    </cfRule>
  </conditionalFormatting>
  <conditionalFormatting sqref="AV52">
    <cfRule type="expression" dxfId="16491" priority="337">
      <formula>AV52="X"</formula>
    </cfRule>
    <cfRule type="expression" dxfId="16490" priority="338">
      <formula>AV52="후보"</formula>
    </cfRule>
  </conditionalFormatting>
  <conditionalFormatting sqref="AC52">
    <cfRule type="cellIs" dxfId="16489" priority="334" operator="greaterThan">
      <formula>0.9</formula>
    </cfRule>
    <cfRule type="cellIs" dxfId="16488" priority="335" operator="greaterThan">
      <formula>0.85</formula>
    </cfRule>
  </conditionalFormatting>
  <conditionalFormatting sqref="N52">
    <cfRule type="cellIs" dxfId="16487" priority="332" operator="greaterThan">
      <formula>0.9</formula>
    </cfRule>
    <cfRule type="cellIs" dxfId="16486" priority="333" operator="greaterThan">
      <formula>0.85</formula>
    </cfRule>
  </conditionalFormatting>
  <conditionalFormatting sqref="E52">
    <cfRule type="expression" dxfId="16485" priority="328">
      <formula>AND(IF(OR($Q52=1,$Q52=2),1,0),IF($X52&lt;=20,1,0))</formula>
    </cfRule>
    <cfRule type="expression" dxfId="16484" priority="329">
      <formula>AND(IF($Q52=2,1,0),IF($X52&lt;30,1,0))</formula>
    </cfRule>
    <cfRule type="expression" dxfId="16483" priority="330">
      <formula>AND(IF($Q52=3,1,0),IF($X52&lt;30,1,0))</formula>
    </cfRule>
    <cfRule type="expression" dxfId="16482" priority="331">
      <formula>AND(IF($Q52=3,1,IF($Q52=4,1,0)),IF($F52&lt;=85,1,0))</formula>
    </cfRule>
  </conditionalFormatting>
  <conditionalFormatting sqref="X52">
    <cfRule type="expression" dxfId="16481" priority="324">
      <formula>AND(IF(OR($Q52=1,$Q52=2),1,0),IF($X52&lt;=20,1,0))</formula>
    </cfRule>
    <cfRule type="expression" dxfId="16480" priority="325">
      <formula>AND(IF($Q52=2,1,0),IF($X52&lt;30,1,0))</formula>
    </cfRule>
    <cfRule type="expression" dxfId="16479" priority="326">
      <formula>AND(IF($Q52=3,1,0),IF($X52&lt;30,1,0))</formula>
    </cfRule>
    <cfRule type="expression" dxfId="16478" priority="327">
      <formula>AND(IF($Q52=3,1,IF($Q52=4,1,0)),IF($F52&lt;=85,1,0))</formula>
    </cfRule>
  </conditionalFormatting>
  <conditionalFormatting sqref="AI52">
    <cfRule type="expression" dxfId="16477" priority="320">
      <formula>AND(IF(OR($Q52=1,$Q52=2),1,0),IF($X52&lt;=20,1,0))</formula>
    </cfRule>
    <cfRule type="expression" dxfId="16476" priority="321">
      <formula>AND(IF($Q52=2,1,0),IF($X52&lt;30,1,0))</formula>
    </cfRule>
    <cfRule type="expression" dxfId="16475" priority="322">
      <formula>AND(IF($Q52=3,1,0),IF($X52&lt;30,1,0))</formula>
    </cfRule>
    <cfRule type="expression" dxfId="16474" priority="323">
      <formula>AND(IF($Q52=3,1,IF($Q52=4,1,0)),IF($F52&lt;=85,1,0))</formula>
    </cfRule>
  </conditionalFormatting>
  <conditionalFormatting sqref="AV53">
    <cfRule type="expression" dxfId="16473" priority="318">
      <formula>AV53="X"</formula>
    </cfRule>
    <cfRule type="expression" dxfId="16472" priority="319">
      <formula>AV53="후보"</formula>
    </cfRule>
  </conditionalFormatting>
  <conditionalFormatting sqref="AC53">
    <cfRule type="cellIs" dxfId="16471" priority="315" operator="greaterThan">
      <formula>0.9</formula>
    </cfRule>
    <cfRule type="cellIs" dxfId="16470" priority="316" operator="greaterThan">
      <formula>0.85</formula>
    </cfRule>
  </conditionalFormatting>
  <conditionalFormatting sqref="N53">
    <cfRule type="cellIs" dxfId="16469" priority="313" operator="greaterThan">
      <formula>0.9</formula>
    </cfRule>
    <cfRule type="cellIs" dxfId="16468" priority="314" operator="greaterThan">
      <formula>0.85</formula>
    </cfRule>
  </conditionalFormatting>
  <conditionalFormatting sqref="E53">
    <cfRule type="expression" dxfId="16467" priority="309">
      <formula>AND(IF(OR($Q53=1,$Q53=2),1,0),IF($X53&lt;=20,1,0))</formula>
    </cfRule>
    <cfRule type="expression" dxfId="16466" priority="310">
      <formula>AND(IF($Q53=2,1,0),IF($X53&lt;30,1,0))</formula>
    </cfRule>
    <cfRule type="expression" dxfId="16465" priority="311">
      <formula>AND(IF($Q53=3,1,0),IF($X53&lt;30,1,0))</formula>
    </cfRule>
    <cfRule type="expression" dxfId="16464" priority="312">
      <formula>AND(IF($Q53=3,1,IF($Q53=4,1,0)),IF($F53&lt;=85,1,0))</formula>
    </cfRule>
  </conditionalFormatting>
  <conditionalFormatting sqref="X53">
    <cfRule type="expression" dxfId="16463" priority="305">
      <formula>AND(IF(OR($Q53=1,$Q53=2),1,0),IF($X53&lt;=20,1,0))</formula>
    </cfRule>
    <cfRule type="expression" dxfId="16462" priority="306">
      <formula>AND(IF($Q53=2,1,0),IF($X53&lt;30,1,0))</formula>
    </cfRule>
    <cfRule type="expression" dxfId="16461" priority="307">
      <formula>AND(IF($Q53=3,1,0),IF($X53&lt;30,1,0))</formula>
    </cfRule>
    <cfRule type="expression" dxfId="16460" priority="308">
      <formula>AND(IF($Q53=3,1,IF($Q53=4,1,0)),IF($F53&lt;=85,1,0))</formula>
    </cfRule>
  </conditionalFormatting>
  <conditionalFormatting sqref="AI53">
    <cfRule type="expression" dxfId="16459" priority="301">
      <formula>AND(IF(OR($Q53=1,$Q53=2),1,0),IF($X53&lt;=20,1,0))</formula>
    </cfRule>
    <cfRule type="expression" dxfId="16458" priority="302">
      <formula>AND(IF($Q53=2,1,0),IF($X53&lt;30,1,0))</formula>
    </cfRule>
    <cfRule type="expression" dxfId="16457" priority="303">
      <formula>AND(IF($Q53=3,1,0),IF($X53&lt;30,1,0))</formula>
    </cfRule>
    <cfRule type="expression" dxfId="16456" priority="304">
      <formula>AND(IF($Q53=3,1,IF($Q53=4,1,0)),IF($F53&lt;=85,1,0))</formula>
    </cfRule>
  </conditionalFormatting>
  <conditionalFormatting sqref="AV54">
    <cfRule type="expression" dxfId="16455" priority="299">
      <formula>AV54="X"</formula>
    </cfRule>
    <cfRule type="expression" dxfId="16454" priority="300">
      <formula>AV54="후보"</formula>
    </cfRule>
  </conditionalFormatting>
  <conditionalFormatting sqref="AC54">
    <cfRule type="cellIs" dxfId="16453" priority="296" operator="greaterThan">
      <formula>0.9</formula>
    </cfRule>
    <cfRule type="cellIs" dxfId="16452" priority="297" operator="greaterThan">
      <formula>0.85</formula>
    </cfRule>
  </conditionalFormatting>
  <conditionalFormatting sqref="N54">
    <cfRule type="cellIs" dxfId="16451" priority="294" operator="greaterThan">
      <formula>0.9</formula>
    </cfRule>
    <cfRule type="cellIs" dxfId="16450" priority="295" operator="greaterThan">
      <formula>0.85</formula>
    </cfRule>
  </conditionalFormatting>
  <conditionalFormatting sqref="E54">
    <cfRule type="expression" dxfId="16449" priority="290">
      <formula>AND(IF(OR($Q54=1,$Q54=2),1,0),IF($X54&lt;=20,1,0))</formula>
    </cfRule>
    <cfRule type="expression" dxfId="16448" priority="291">
      <formula>AND(IF($Q54=2,1,0),IF($X54&lt;30,1,0))</formula>
    </cfRule>
    <cfRule type="expression" dxfId="16447" priority="292">
      <formula>AND(IF($Q54=3,1,0),IF($X54&lt;30,1,0))</formula>
    </cfRule>
    <cfRule type="expression" dxfId="16446" priority="293">
      <formula>AND(IF($Q54=3,1,IF($Q54=4,1,0)),IF($F54&lt;=85,1,0))</formula>
    </cfRule>
  </conditionalFormatting>
  <conditionalFormatting sqref="X54">
    <cfRule type="expression" dxfId="16445" priority="286">
      <formula>AND(IF(OR($Q54=1,$Q54=2),1,0),IF($X54&lt;=20,1,0))</formula>
    </cfRule>
    <cfRule type="expression" dxfId="16444" priority="287">
      <formula>AND(IF($Q54=2,1,0),IF($X54&lt;30,1,0))</formula>
    </cfRule>
    <cfRule type="expression" dxfId="16443" priority="288">
      <formula>AND(IF($Q54=3,1,0),IF($X54&lt;30,1,0))</formula>
    </cfRule>
    <cfRule type="expression" dxfId="16442" priority="289">
      <formula>AND(IF($Q54=3,1,IF($Q54=4,1,0)),IF($F54&lt;=85,1,0))</formula>
    </cfRule>
  </conditionalFormatting>
  <conditionalFormatting sqref="AI54">
    <cfRule type="expression" dxfId="16441" priority="282">
      <formula>AND(IF(OR($Q54=1,$Q54=2),1,0),IF($X54&lt;=20,1,0))</formula>
    </cfRule>
    <cfRule type="expression" dxfId="16440" priority="283">
      <formula>AND(IF($Q54=2,1,0),IF($X54&lt;30,1,0))</formula>
    </cfRule>
    <cfRule type="expression" dxfId="16439" priority="284">
      <formula>AND(IF($Q54=3,1,0),IF($X54&lt;30,1,0))</formula>
    </cfRule>
    <cfRule type="expression" dxfId="16438" priority="285">
      <formula>AND(IF($Q54=3,1,IF($Q54=4,1,0)),IF($F54&lt;=85,1,0))</formula>
    </cfRule>
  </conditionalFormatting>
  <conditionalFormatting sqref="AV55">
    <cfRule type="expression" dxfId="16437" priority="280">
      <formula>AV55="X"</formula>
    </cfRule>
    <cfRule type="expression" dxfId="16436" priority="281">
      <formula>AV55="후보"</formula>
    </cfRule>
  </conditionalFormatting>
  <conditionalFormatting sqref="AC55">
    <cfRule type="cellIs" dxfId="16435" priority="277" operator="greaterThan">
      <formula>0.9</formula>
    </cfRule>
    <cfRule type="cellIs" dxfId="16434" priority="278" operator="greaterThan">
      <formula>0.85</formula>
    </cfRule>
  </conditionalFormatting>
  <conditionalFormatting sqref="N55">
    <cfRule type="cellIs" dxfId="16433" priority="275" operator="greaterThan">
      <formula>0.9</formula>
    </cfRule>
    <cfRule type="cellIs" dxfId="16432" priority="276" operator="greaterThan">
      <formula>0.85</formula>
    </cfRule>
  </conditionalFormatting>
  <conditionalFormatting sqref="E55">
    <cfRule type="expression" dxfId="16431" priority="271">
      <formula>AND(IF(OR($Q55=1,$Q55=2),1,0),IF($X55&lt;=20,1,0))</formula>
    </cfRule>
    <cfRule type="expression" dxfId="16430" priority="272">
      <formula>AND(IF($Q55=2,1,0),IF($X55&lt;30,1,0))</formula>
    </cfRule>
    <cfRule type="expression" dxfId="16429" priority="273">
      <formula>AND(IF($Q55=3,1,0),IF($X55&lt;30,1,0))</formula>
    </cfRule>
    <cfRule type="expression" dxfId="16428" priority="274">
      <formula>AND(IF($Q55=3,1,IF($Q55=4,1,0)),IF($F55&lt;=85,1,0))</formula>
    </cfRule>
  </conditionalFormatting>
  <conditionalFormatting sqref="X55">
    <cfRule type="expression" dxfId="16427" priority="267">
      <formula>AND(IF(OR($Q55=1,$Q55=2),1,0),IF($X55&lt;=20,1,0))</formula>
    </cfRule>
    <cfRule type="expression" dxfId="16426" priority="268">
      <formula>AND(IF($Q55=2,1,0),IF($X55&lt;30,1,0))</formula>
    </cfRule>
    <cfRule type="expression" dxfId="16425" priority="269">
      <formula>AND(IF($Q55=3,1,0),IF($X55&lt;30,1,0))</formula>
    </cfRule>
    <cfRule type="expression" dxfId="16424" priority="270">
      <formula>AND(IF($Q55=3,1,IF($Q55=4,1,0)),IF($F55&lt;=85,1,0))</formula>
    </cfRule>
  </conditionalFormatting>
  <conditionalFormatting sqref="AI55">
    <cfRule type="expression" dxfId="16423" priority="263">
      <formula>AND(IF(OR($Q55=1,$Q55=2),1,0),IF($X55&lt;=20,1,0))</formula>
    </cfRule>
    <cfRule type="expression" dxfId="16422" priority="264">
      <formula>AND(IF($Q55=2,1,0),IF($X55&lt;30,1,0))</formula>
    </cfRule>
    <cfRule type="expression" dxfId="16421" priority="265">
      <formula>AND(IF($Q55=3,1,0),IF($X55&lt;30,1,0))</formula>
    </cfRule>
    <cfRule type="expression" dxfId="16420" priority="266">
      <formula>AND(IF($Q55=3,1,IF($Q55=4,1,0)),IF($F55&lt;=85,1,0))</formula>
    </cfRule>
  </conditionalFormatting>
  <conditionalFormatting sqref="AV56">
    <cfRule type="expression" dxfId="16419" priority="261">
      <formula>AV56="X"</formula>
    </cfRule>
    <cfRule type="expression" dxfId="16418" priority="262">
      <formula>AV56="후보"</formula>
    </cfRule>
  </conditionalFormatting>
  <conditionalFormatting sqref="AC56">
    <cfRule type="cellIs" dxfId="16417" priority="258" operator="greaterThan">
      <formula>0.9</formula>
    </cfRule>
    <cfRule type="cellIs" dxfId="16416" priority="259" operator="greaterThan">
      <formula>0.85</formula>
    </cfRule>
  </conditionalFormatting>
  <conditionalFormatting sqref="N56">
    <cfRule type="cellIs" dxfId="16415" priority="256" operator="greaterThan">
      <formula>0.9</formula>
    </cfRule>
    <cfRule type="cellIs" dxfId="16414" priority="257" operator="greaterThan">
      <formula>0.85</formula>
    </cfRule>
  </conditionalFormatting>
  <conditionalFormatting sqref="E56">
    <cfRule type="expression" dxfId="16413" priority="252">
      <formula>AND(IF(OR($Q56=1,$Q56=2),1,0),IF($X56&lt;=20,1,0))</formula>
    </cfRule>
    <cfRule type="expression" dxfId="16412" priority="253">
      <formula>AND(IF($Q56=2,1,0),IF($X56&lt;30,1,0))</formula>
    </cfRule>
    <cfRule type="expression" dxfId="16411" priority="254">
      <formula>AND(IF($Q56=3,1,0),IF($X56&lt;30,1,0))</formula>
    </cfRule>
    <cfRule type="expression" dxfId="16410" priority="255">
      <formula>AND(IF($Q56=3,1,IF($Q56=4,1,0)),IF($F56&lt;=85,1,0))</formula>
    </cfRule>
  </conditionalFormatting>
  <conditionalFormatting sqref="X56">
    <cfRule type="expression" dxfId="16409" priority="248">
      <formula>AND(IF(OR($Q56=1,$Q56=2),1,0),IF($X56&lt;=20,1,0))</formula>
    </cfRule>
    <cfRule type="expression" dxfId="16408" priority="249">
      <formula>AND(IF($Q56=2,1,0),IF($X56&lt;30,1,0))</formula>
    </cfRule>
    <cfRule type="expression" dxfId="16407" priority="250">
      <formula>AND(IF($Q56=3,1,0),IF($X56&lt;30,1,0))</formula>
    </cfRule>
    <cfRule type="expression" dxfId="16406" priority="251">
      <formula>AND(IF($Q56=3,1,IF($Q56=4,1,0)),IF($F56&lt;=85,1,0))</formula>
    </cfRule>
  </conditionalFormatting>
  <conditionalFormatting sqref="AI56">
    <cfRule type="expression" dxfId="16405" priority="244">
      <formula>AND(IF(OR($Q56=1,$Q56=2),1,0),IF($X56&lt;=20,1,0))</formula>
    </cfRule>
    <cfRule type="expression" dxfId="16404" priority="245">
      <formula>AND(IF($Q56=2,1,0),IF($X56&lt;30,1,0))</formula>
    </cfRule>
    <cfRule type="expression" dxfId="16403" priority="246">
      <formula>AND(IF($Q56=3,1,0),IF($X56&lt;30,1,0))</formula>
    </cfRule>
    <cfRule type="expression" dxfId="16402" priority="247">
      <formula>AND(IF($Q56=3,1,IF($Q56=4,1,0)),IF($F56&lt;=85,1,0))</formula>
    </cfRule>
  </conditionalFormatting>
  <conditionalFormatting sqref="AV57">
    <cfRule type="expression" dxfId="16401" priority="242">
      <formula>AV57="X"</formula>
    </cfRule>
    <cfRule type="expression" dxfId="16400" priority="243">
      <formula>AV57="후보"</formula>
    </cfRule>
  </conditionalFormatting>
  <conditionalFormatting sqref="AC57">
    <cfRule type="cellIs" dxfId="16399" priority="239" operator="greaterThan">
      <formula>0.9</formula>
    </cfRule>
    <cfRule type="cellIs" dxfId="16398" priority="240" operator="greaterThan">
      <formula>0.85</formula>
    </cfRule>
  </conditionalFormatting>
  <conditionalFormatting sqref="N57">
    <cfRule type="cellIs" dxfId="16397" priority="237" operator="greaterThan">
      <formula>0.9</formula>
    </cfRule>
    <cfRule type="cellIs" dxfId="16396" priority="238" operator="greaterThan">
      <formula>0.85</formula>
    </cfRule>
  </conditionalFormatting>
  <conditionalFormatting sqref="E57">
    <cfRule type="expression" dxfId="16395" priority="233">
      <formula>AND(IF(OR($Q57=1,$Q57=2),1,0),IF($X57&lt;=20,1,0))</formula>
    </cfRule>
    <cfRule type="expression" dxfId="16394" priority="234">
      <formula>AND(IF($Q57=2,1,0),IF($X57&lt;30,1,0))</formula>
    </cfRule>
    <cfRule type="expression" dxfId="16393" priority="235">
      <formula>AND(IF($Q57=3,1,0),IF($X57&lt;30,1,0))</formula>
    </cfRule>
    <cfRule type="expression" dxfId="16392" priority="236">
      <formula>AND(IF($Q57=3,1,IF($Q57=4,1,0)),IF($F57&lt;=85,1,0))</formula>
    </cfRule>
  </conditionalFormatting>
  <conditionalFormatting sqref="X57">
    <cfRule type="expression" dxfId="16391" priority="229">
      <formula>AND(IF(OR($Q57=1,$Q57=2),1,0),IF($X57&lt;=20,1,0))</formula>
    </cfRule>
    <cfRule type="expression" dxfId="16390" priority="230">
      <formula>AND(IF($Q57=2,1,0),IF($X57&lt;30,1,0))</formula>
    </cfRule>
    <cfRule type="expression" dxfId="16389" priority="231">
      <formula>AND(IF($Q57=3,1,0),IF($X57&lt;30,1,0))</formula>
    </cfRule>
    <cfRule type="expression" dxfId="16388" priority="232">
      <formula>AND(IF($Q57=3,1,IF($Q57=4,1,0)),IF($F57&lt;=85,1,0))</formula>
    </cfRule>
  </conditionalFormatting>
  <conditionalFormatting sqref="AI57">
    <cfRule type="expression" dxfId="16387" priority="225">
      <formula>AND(IF(OR($Q57=1,$Q57=2),1,0),IF($X57&lt;=20,1,0))</formula>
    </cfRule>
    <cfRule type="expression" dxfId="16386" priority="226">
      <formula>AND(IF($Q57=2,1,0),IF($X57&lt;30,1,0))</formula>
    </cfRule>
    <cfRule type="expression" dxfId="16385" priority="227">
      <formula>AND(IF($Q57=3,1,0),IF($X57&lt;30,1,0))</formula>
    </cfRule>
    <cfRule type="expression" dxfId="16384" priority="228">
      <formula>AND(IF($Q57=3,1,IF($Q57=4,1,0)),IF($F57&lt;=85,1,0))</formula>
    </cfRule>
  </conditionalFormatting>
  <conditionalFormatting sqref="AV58">
    <cfRule type="expression" dxfId="16383" priority="223">
      <formula>AV58="X"</formula>
    </cfRule>
    <cfRule type="expression" dxfId="16382" priority="224">
      <formula>AV58="후보"</formula>
    </cfRule>
  </conditionalFormatting>
  <conditionalFormatting sqref="AC58">
    <cfRule type="cellIs" dxfId="16381" priority="220" operator="greaterThan">
      <formula>0.9</formula>
    </cfRule>
    <cfRule type="cellIs" dxfId="16380" priority="221" operator="greaterThan">
      <formula>0.85</formula>
    </cfRule>
  </conditionalFormatting>
  <conditionalFormatting sqref="N58">
    <cfRule type="cellIs" dxfId="16379" priority="218" operator="greaterThan">
      <formula>0.9</formula>
    </cfRule>
    <cfRule type="cellIs" dxfId="16378" priority="219" operator="greaterThan">
      <formula>0.85</formula>
    </cfRule>
  </conditionalFormatting>
  <conditionalFormatting sqref="E58">
    <cfRule type="expression" dxfId="16377" priority="214">
      <formula>AND(IF(OR($Q58=1,$Q58=2),1,0),IF($X58&lt;=20,1,0))</formula>
    </cfRule>
    <cfRule type="expression" dxfId="16376" priority="215">
      <formula>AND(IF($Q58=2,1,0),IF($X58&lt;30,1,0))</formula>
    </cfRule>
    <cfRule type="expression" dxfId="16375" priority="216">
      <formula>AND(IF($Q58=3,1,0),IF($X58&lt;30,1,0))</formula>
    </cfRule>
    <cfRule type="expression" dxfId="16374" priority="217">
      <formula>AND(IF($Q58=3,1,IF($Q58=4,1,0)),IF($F58&lt;=85,1,0))</formula>
    </cfRule>
  </conditionalFormatting>
  <conditionalFormatting sqref="X58">
    <cfRule type="expression" dxfId="16373" priority="210">
      <formula>AND(IF(OR($Q58=1,$Q58=2),1,0),IF($X58&lt;=20,1,0))</formula>
    </cfRule>
    <cfRule type="expression" dxfId="16372" priority="211">
      <formula>AND(IF($Q58=2,1,0),IF($X58&lt;30,1,0))</formula>
    </cfRule>
    <cfRule type="expression" dxfId="16371" priority="212">
      <formula>AND(IF($Q58=3,1,0),IF($X58&lt;30,1,0))</formula>
    </cfRule>
    <cfRule type="expression" dxfId="16370" priority="213">
      <formula>AND(IF($Q58=3,1,IF($Q58=4,1,0)),IF($F58&lt;=85,1,0))</formula>
    </cfRule>
  </conditionalFormatting>
  <conditionalFormatting sqref="AI58">
    <cfRule type="expression" dxfId="16369" priority="206">
      <formula>AND(IF(OR($Q58=1,$Q58=2),1,0),IF($X58&lt;=20,1,0))</formula>
    </cfRule>
    <cfRule type="expression" dxfId="16368" priority="207">
      <formula>AND(IF($Q58=2,1,0),IF($X58&lt;30,1,0))</formula>
    </cfRule>
    <cfRule type="expression" dxfId="16367" priority="208">
      <formula>AND(IF($Q58=3,1,0),IF($X58&lt;30,1,0))</formula>
    </cfRule>
    <cfRule type="expression" dxfId="16366" priority="209">
      <formula>AND(IF($Q58=3,1,IF($Q58=4,1,0)),IF($F58&lt;=85,1,0))</formula>
    </cfRule>
  </conditionalFormatting>
  <conditionalFormatting sqref="AV59">
    <cfRule type="expression" dxfId="16365" priority="204">
      <formula>AV59="X"</formula>
    </cfRule>
    <cfRule type="expression" dxfId="16364" priority="205">
      <formula>AV59="후보"</formula>
    </cfRule>
  </conditionalFormatting>
  <conditionalFormatting sqref="AC59 N59">
    <cfRule type="cellIs" dxfId="16363" priority="201" operator="greaterThan">
      <formula>0.9</formula>
    </cfRule>
    <cfRule type="cellIs" dxfId="16362" priority="202" operator="greaterThan">
      <formula>0.85</formula>
    </cfRule>
  </conditionalFormatting>
  <conditionalFormatting sqref="AV60">
    <cfRule type="expression" dxfId="16361" priority="199">
      <formula>AV60="X"</formula>
    </cfRule>
    <cfRule type="expression" dxfId="16360" priority="200">
      <formula>AV60="후보"</formula>
    </cfRule>
  </conditionalFormatting>
  <conditionalFormatting sqref="AC60">
    <cfRule type="cellIs" dxfId="16359" priority="196" operator="greaterThan">
      <formula>0.9</formula>
    </cfRule>
    <cfRule type="cellIs" dxfId="16358" priority="197" operator="greaterThan">
      <formula>0.85</formula>
    </cfRule>
  </conditionalFormatting>
  <conditionalFormatting sqref="N60">
    <cfRule type="cellIs" dxfId="16357" priority="194" operator="greaterThan">
      <formula>0.9</formula>
    </cfRule>
    <cfRule type="cellIs" dxfId="16356" priority="195" operator="greaterThan">
      <formula>0.85</formula>
    </cfRule>
  </conditionalFormatting>
  <conditionalFormatting sqref="E60">
    <cfRule type="expression" dxfId="16355" priority="190">
      <formula>AND(IF(OR($Q60=1,$Q60=2),1,0),IF($X60&lt;=20,1,0))</formula>
    </cfRule>
    <cfRule type="expression" dxfId="16354" priority="191">
      <formula>AND(IF($Q60=2,1,0),IF($X60&lt;30,1,0))</formula>
    </cfRule>
    <cfRule type="expression" dxfId="16353" priority="192">
      <formula>AND(IF($Q60=3,1,0),IF($X60&lt;30,1,0))</formula>
    </cfRule>
    <cfRule type="expression" dxfId="16352" priority="193">
      <formula>AND(IF($Q60=3,1,IF($Q60=4,1,0)),IF($F60&lt;=85,1,0))</formula>
    </cfRule>
  </conditionalFormatting>
  <conditionalFormatting sqref="X60">
    <cfRule type="expression" dxfId="16351" priority="186">
      <formula>AND(IF(OR($Q60=1,$Q60=2),1,0),IF($X60&lt;=20,1,0))</formula>
    </cfRule>
    <cfRule type="expression" dxfId="16350" priority="187">
      <formula>AND(IF($Q60=2,1,0),IF($X60&lt;30,1,0))</formula>
    </cfRule>
    <cfRule type="expression" dxfId="16349" priority="188">
      <formula>AND(IF($Q60=3,1,0),IF($X60&lt;30,1,0))</formula>
    </cfRule>
    <cfRule type="expression" dxfId="16348" priority="189">
      <formula>AND(IF($Q60=3,1,IF($Q60=4,1,0)),IF($F60&lt;=85,1,0))</formula>
    </cfRule>
  </conditionalFormatting>
  <conditionalFormatting sqref="AI60">
    <cfRule type="expression" dxfId="16347" priority="182">
      <formula>AND(IF(OR($Q60=1,$Q60=2),1,0),IF($X60&lt;=20,1,0))</formula>
    </cfRule>
    <cfRule type="expression" dxfId="16346" priority="183">
      <formula>AND(IF($Q60=2,1,0),IF($X60&lt;30,1,0))</formula>
    </cfRule>
    <cfRule type="expression" dxfId="16345" priority="184">
      <formula>AND(IF($Q60=3,1,0),IF($X60&lt;30,1,0))</formula>
    </cfRule>
    <cfRule type="expression" dxfId="16344" priority="185">
      <formula>AND(IF($Q60=3,1,IF($Q60=4,1,0)),IF($F60&lt;=85,1,0))</formula>
    </cfRule>
  </conditionalFormatting>
  <conditionalFormatting sqref="AV61">
    <cfRule type="expression" dxfId="16343" priority="180">
      <formula>AV61="X"</formula>
    </cfRule>
    <cfRule type="expression" dxfId="16342" priority="181">
      <formula>AV61="후보"</formula>
    </cfRule>
  </conditionalFormatting>
  <conditionalFormatting sqref="AC61">
    <cfRule type="cellIs" dxfId="16341" priority="177" operator="greaterThan">
      <formula>0.9</formula>
    </cfRule>
    <cfRule type="cellIs" dxfId="16340" priority="178" operator="greaterThan">
      <formula>0.85</formula>
    </cfRule>
  </conditionalFormatting>
  <conditionalFormatting sqref="N61">
    <cfRule type="cellIs" dxfId="16339" priority="175" operator="greaterThan">
      <formula>0.9</formula>
    </cfRule>
    <cfRule type="cellIs" dxfId="16338" priority="176" operator="greaterThan">
      <formula>0.85</formula>
    </cfRule>
  </conditionalFormatting>
  <conditionalFormatting sqref="E61">
    <cfRule type="expression" dxfId="16337" priority="171">
      <formula>AND(IF(OR($Q61=1,$Q61=2),1,0),IF($X61&lt;=20,1,0))</formula>
    </cfRule>
    <cfRule type="expression" dxfId="16336" priority="172">
      <formula>AND(IF($Q61=2,1,0),IF($X61&lt;30,1,0))</formula>
    </cfRule>
    <cfRule type="expression" dxfId="16335" priority="173">
      <formula>AND(IF($Q61=3,1,0),IF($X61&lt;30,1,0))</formula>
    </cfRule>
    <cfRule type="expression" dxfId="16334" priority="174">
      <formula>AND(IF($Q61=3,1,IF($Q61=4,1,0)),IF($F61&lt;=85,1,0))</formula>
    </cfRule>
  </conditionalFormatting>
  <conditionalFormatting sqref="X61">
    <cfRule type="expression" dxfId="16333" priority="167">
      <formula>AND(IF(OR($Q61=1,$Q61=2),1,0),IF($X61&lt;=20,1,0))</formula>
    </cfRule>
    <cfRule type="expression" dxfId="16332" priority="168">
      <formula>AND(IF($Q61=2,1,0),IF($X61&lt;30,1,0))</formula>
    </cfRule>
    <cfRule type="expression" dxfId="16331" priority="169">
      <formula>AND(IF($Q61=3,1,0),IF($X61&lt;30,1,0))</formula>
    </cfRule>
    <cfRule type="expression" dxfId="16330" priority="170">
      <formula>AND(IF($Q61=3,1,IF($Q61=4,1,0)),IF($F61&lt;=85,1,0))</formula>
    </cfRule>
  </conditionalFormatting>
  <conditionalFormatting sqref="AI61">
    <cfRule type="expression" dxfId="16329" priority="163">
      <formula>AND(IF(OR($Q61=1,$Q61=2),1,0),IF($X61&lt;=20,1,0))</formula>
    </cfRule>
    <cfRule type="expression" dxfId="16328" priority="164">
      <formula>AND(IF($Q61=2,1,0),IF($X61&lt;30,1,0))</formula>
    </cfRule>
    <cfRule type="expression" dxfId="16327" priority="165">
      <formula>AND(IF($Q61=3,1,0),IF($X61&lt;30,1,0))</formula>
    </cfRule>
    <cfRule type="expression" dxfId="16326" priority="166">
      <formula>AND(IF($Q61=3,1,IF($Q61=4,1,0)),IF($F61&lt;=85,1,0))</formula>
    </cfRule>
  </conditionalFormatting>
  <conditionalFormatting sqref="AV62">
    <cfRule type="expression" dxfId="16325" priority="161">
      <formula>AV62="X"</formula>
    </cfRule>
    <cfRule type="expression" dxfId="16324" priority="162">
      <formula>AV62="후보"</formula>
    </cfRule>
  </conditionalFormatting>
  <conditionalFormatting sqref="AC62">
    <cfRule type="cellIs" dxfId="16323" priority="158" operator="greaterThan">
      <formula>0.9</formula>
    </cfRule>
    <cfRule type="cellIs" dxfId="16322" priority="159" operator="greaterThan">
      <formula>0.85</formula>
    </cfRule>
  </conditionalFormatting>
  <conditionalFormatting sqref="N62">
    <cfRule type="cellIs" dxfId="16321" priority="156" operator="greaterThan">
      <formula>0.9</formula>
    </cfRule>
    <cfRule type="cellIs" dxfId="16320" priority="157" operator="greaterThan">
      <formula>0.85</formula>
    </cfRule>
  </conditionalFormatting>
  <conditionalFormatting sqref="E62">
    <cfRule type="expression" dxfId="16319" priority="152">
      <formula>AND(IF(OR($Q62=1,$Q62=2),1,0),IF($X62&lt;=20,1,0))</formula>
    </cfRule>
    <cfRule type="expression" dxfId="16318" priority="153">
      <formula>AND(IF($Q62=2,1,0),IF($X62&lt;30,1,0))</formula>
    </cfRule>
    <cfRule type="expression" dxfId="16317" priority="154">
      <formula>AND(IF($Q62=3,1,0),IF($X62&lt;30,1,0))</formula>
    </cfRule>
    <cfRule type="expression" dxfId="16316" priority="155">
      <formula>AND(IF($Q62=3,1,IF($Q62=4,1,0)),IF($F62&lt;=85,1,0))</formula>
    </cfRule>
  </conditionalFormatting>
  <conditionalFormatting sqref="X62">
    <cfRule type="expression" dxfId="16315" priority="148">
      <formula>AND(IF(OR($Q62=1,$Q62=2),1,0),IF($X62&lt;=20,1,0))</formula>
    </cfRule>
    <cfRule type="expression" dxfId="16314" priority="149">
      <formula>AND(IF($Q62=2,1,0),IF($X62&lt;30,1,0))</formula>
    </cfRule>
    <cfRule type="expression" dxfId="16313" priority="150">
      <formula>AND(IF($Q62=3,1,0),IF($X62&lt;30,1,0))</formula>
    </cfRule>
    <cfRule type="expression" dxfId="16312" priority="151">
      <formula>AND(IF($Q62=3,1,IF($Q62=4,1,0)),IF($F62&lt;=85,1,0))</formula>
    </cfRule>
  </conditionalFormatting>
  <conditionalFormatting sqref="AI62">
    <cfRule type="expression" dxfId="16311" priority="144">
      <formula>AND(IF(OR($Q62=1,$Q62=2),1,0),IF($X62&lt;=20,1,0))</formula>
    </cfRule>
    <cfRule type="expression" dxfId="16310" priority="145">
      <formula>AND(IF($Q62=2,1,0),IF($X62&lt;30,1,0))</formula>
    </cfRule>
    <cfRule type="expression" dxfId="16309" priority="146">
      <formula>AND(IF($Q62=3,1,0),IF($X62&lt;30,1,0))</formula>
    </cfRule>
    <cfRule type="expression" dxfId="16308" priority="147">
      <formula>AND(IF($Q62=3,1,IF($Q62=4,1,0)),IF($F62&lt;=85,1,0))</formula>
    </cfRule>
  </conditionalFormatting>
  <conditionalFormatting sqref="AV63">
    <cfRule type="expression" dxfId="16307" priority="142">
      <formula>AV63="X"</formula>
    </cfRule>
    <cfRule type="expression" dxfId="16306" priority="143">
      <formula>AV63="후보"</formula>
    </cfRule>
  </conditionalFormatting>
  <conditionalFormatting sqref="AC63 N63">
    <cfRule type="cellIs" dxfId="16305" priority="139" operator="greaterThan">
      <formula>0.9</formula>
    </cfRule>
    <cfRule type="cellIs" dxfId="16304" priority="140" operator="greaterThan">
      <formula>0.85</formula>
    </cfRule>
  </conditionalFormatting>
  <conditionalFormatting sqref="AV64">
    <cfRule type="expression" dxfId="16303" priority="137">
      <formula>AV64="X"</formula>
    </cfRule>
    <cfRule type="expression" dxfId="16302" priority="138">
      <formula>AV64="후보"</formula>
    </cfRule>
  </conditionalFormatting>
  <conditionalFormatting sqref="AC64">
    <cfRule type="cellIs" dxfId="16301" priority="134" operator="greaterThan">
      <formula>0.9</formula>
    </cfRule>
    <cfRule type="cellIs" dxfId="16300" priority="135" operator="greaterThan">
      <formula>0.85</formula>
    </cfRule>
  </conditionalFormatting>
  <conditionalFormatting sqref="N64">
    <cfRule type="cellIs" dxfId="16299" priority="132" operator="greaterThan">
      <formula>0.9</formula>
    </cfRule>
    <cfRule type="cellIs" dxfId="16298" priority="133" operator="greaterThan">
      <formula>0.85</formula>
    </cfRule>
  </conditionalFormatting>
  <conditionalFormatting sqref="E64">
    <cfRule type="expression" dxfId="16297" priority="128">
      <formula>AND(IF(OR($Q64=1,$Q64=2),1,0),IF($X64&lt;=20,1,0))</formula>
    </cfRule>
    <cfRule type="expression" dxfId="16296" priority="129">
      <formula>AND(IF($Q64=2,1,0),IF($X64&lt;30,1,0))</formula>
    </cfRule>
    <cfRule type="expression" dxfId="16295" priority="130">
      <formula>AND(IF($Q64=3,1,0),IF($X64&lt;30,1,0))</formula>
    </cfRule>
    <cfRule type="expression" dxfId="16294" priority="131">
      <formula>AND(IF($Q64=3,1,IF($Q64=4,1,0)),IF($F64&lt;=85,1,0))</formula>
    </cfRule>
  </conditionalFormatting>
  <conditionalFormatting sqref="X64">
    <cfRule type="expression" dxfId="16293" priority="124">
      <formula>AND(IF(OR($Q64=1,$Q64=2),1,0),IF($X64&lt;=20,1,0))</formula>
    </cfRule>
    <cfRule type="expression" dxfId="16292" priority="125">
      <formula>AND(IF($Q64=2,1,0),IF($X64&lt;30,1,0))</formula>
    </cfRule>
    <cfRule type="expression" dxfId="16291" priority="126">
      <formula>AND(IF($Q64=3,1,0),IF($X64&lt;30,1,0))</formula>
    </cfRule>
    <cfRule type="expression" dxfId="16290" priority="127">
      <formula>AND(IF($Q64=3,1,IF($Q64=4,1,0)),IF($F64&lt;=85,1,0))</formula>
    </cfRule>
  </conditionalFormatting>
  <conditionalFormatting sqref="AI64">
    <cfRule type="expression" dxfId="16289" priority="120">
      <formula>AND(IF(OR($Q64=1,$Q64=2),1,0),IF($X64&lt;=20,1,0))</formula>
    </cfRule>
    <cfRule type="expression" dxfId="16288" priority="121">
      <formula>AND(IF($Q64=2,1,0),IF($X64&lt;30,1,0))</formula>
    </cfRule>
    <cfRule type="expression" dxfId="16287" priority="122">
      <formula>AND(IF($Q64=3,1,0),IF($X64&lt;30,1,0))</formula>
    </cfRule>
    <cfRule type="expression" dxfId="16286" priority="123">
      <formula>AND(IF($Q64=3,1,IF($Q64=4,1,0)),IF($F64&lt;=85,1,0))</formula>
    </cfRule>
  </conditionalFormatting>
  <conditionalFormatting sqref="AV65">
    <cfRule type="expression" dxfId="16285" priority="118">
      <formula>AV65="X"</formula>
    </cfRule>
    <cfRule type="expression" dxfId="16284" priority="119">
      <formula>AV65="후보"</formula>
    </cfRule>
  </conditionalFormatting>
  <conditionalFormatting sqref="AC65">
    <cfRule type="cellIs" dxfId="16283" priority="115" operator="greaterThan">
      <formula>0.9</formula>
    </cfRule>
    <cfRule type="cellIs" dxfId="16282" priority="116" operator="greaterThan">
      <formula>0.85</formula>
    </cfRule>
  </conditionalFormatting>
  <conditionalFormatting sqref="N65">
    <cfRule type="cellIs" dxfId="16281" priority="113" operator="greaterThan">
      <formula>0.9</formula>
    </cfRule>
    <cfRule type="cellIs" dxfId="16280" priority="114" operator="greaterThan">
      <formula>0.85</formula>
    </cfRule>
  </conditionalFormatting>
  <conditionalFormatting sqref="E65">
    <cfRule type="expression" dxfId="16279" priority="109">
      <formula>AND(IF(OR($Q65=1,$Q65=2),1,0),IF($X65&lt;=20,1,0))</formula>
    </cfRule>
    <cfRule type="expression" dxfId="16278" priority="110">
      <formula>AND(IF($Q65=2,1,0),IF($X65&lt;30,1,0))</formula>
    </cfRule>
    <cfRule type="expression" dxfId="16277" priority="111">
      <formula>AND(IF($Q65=3,1,0),IF($X65&lt;30,1,0))</formula>
    </cfRule>
    <cfRule type="expression" dxfId="16276" priority="112">
      <formula>AND(IF($Q65=3,1,IF($Q65=4,1,0)),IF($F65&lt;=85,1,0))</formula>
    </cfRule>
  </conditionalFormatting>
  <conditionalFormatting sqref="X65">
    <cfRule type="expression" dxfId="16275" priority="105">
      <formula>AND(IF(OR($Q65=1,$Q65=2),1,0),IF($X65&lt;=20,1,0))</formula>
    </cfRule>
    <cfRule type="expression" dxfId="16274" priority="106">
      <formula>AND(IF($Q65=2,1,0),IF($X65&lt;30,1,0))</formula>
    </cfRule>
    <cfRule type="expression" dxfId="16273" priority="107">
      <formula>AND(IF($Q65=3,1,0),IF($X65&lt;30,1,0))</formula>
    </cfRule>
    <cfRule type="expression" dxfId="16272" priority="108">
      <formula>AND(IF($Q65=3,1,IF($Q65=4,1,0)),IF($F65&lt;=85,1,0))</formula>
    </cfRule>
  </conditionalFormatting>
  <conditionalFormatting sqref="AI65">
    <cfRule type="expression" dxfId="16271" priority="101">
      <formula>AND(IF(OR($Q65=1,$Q65=2),1,0),IF($X65&lt;=20,1,0))</formula>
    </cfRule>
    <cfRule type="expression" dxfId="16270" priority="102">
      <formula>AND(IF($Q65=2,1,0),IF($X65&lt;30,1,0))</formula>
    </cfRule>
    <cfRule type="expression" dxfId="16269" priority="103">
      <formula>AND(IF($Q65=3,1,0),IF($X65&lt;30,1,0))</formula>
    </cfRule>
    <cfRule type="expression" dxfId="16268" priority="104">
      <formula>AND(IF($Q65=3,1,IF($Q65=4,1,0)),IF($F65&lt;=85,1,0))</formula>
    </cfRule>
  </conditionalFormatting>
  <conditionalFormatting sqref="AV66">
    <cfRule type="expression" dxfId="16267" priority="99">
      <formula>AV66="X"</formula>
    </cfRule>
    <cfRule type="expression" dxfId="16266" priority="100">
      <formula>AV66="후보"</formula>
    </cfRule>
  </conditionalFormatting>
  <conditionalFormatting sqref="AC66">
    <cfRule type="cellIs" dxfId="16265" priority="96" operator="greaterThan">
      <formula>0.9</formula>
    </cfRule>
    <cfRule type="cellIs" dxfId="16264" priority="97" operator="greaterThan">
      <formula>0.85</formula>
    </cfRule>
  </conditionalFormatting>
  <conditionalFormatting sqref="N66">
    <cfRule type="cellIs" dxfId="16263" priority="94" operator="greaterThan">
      <formula>0.9</formula>
    </cfRule>
    <cfRule type="cellIs" dxfId="16262" priority="95" operator="greaterThan">
      <formula>0.85</formula>
    </cfRule>
  </conditionalFormatting>
  <conditionalFormatting sqref="E66">
    <cfRule type="expression" dxfId="16261" priority="90">
      <formula>AND(IF(OR($Q66=1,$Q66=2),1,0),IF($X66&lt;=20,1,0))</formula>
    </cfRule>
    <cfRule type="expression" dxfId="16260" priority="91">
      <formula>AND(IF($Q66=2,1,0),IF($X66&lt;30,1,0))</formula>
    </cfRule>
    <cfRule type="expression" dxfId="16259" priority="92">
      <formula>AND(IF($Q66=3,1,0),IF($X66&lt;30,1,0))</formula>
    </cfRule>
    <cfRule type="expression" dxfId="16258" priority="93">
      <formula>AND(IF($Q66=3,1,IF($Q66=4,1,0)),IF($F66&lt;=85,1,0))</formula>
    </cfRule>
  </conditionalFormatting>
  <conditionalFormatting sqref="X66">
    <cfRule type="expression" dxfId="16257" priority="86">
      <formula>AND(IF(OR($Q66=1,$Q66=2),1,0),IF($X66&lt;=20,1,0))</formula>
    </cfRule>
    <cfRule type="expression" dxfId="16256" priority="87">
      <formula>AND(IF($Q66=2,1,0),IF($X66&lt;30,1,0))</formula>
    </cfRule>
    <cfRule type="expression" dxfId="16255" priority="88">
      <formula>AND(IF($Q66=3,1,0),IF($X66&lt;30,1,0))</formula>
    </cfRule>
    <cfRule type="expression" dxfId="16254" priority="89">
      <formula>AND(IF($Q66=3,1,IF($Q66=4,1,0)),IF($F66&lt;=85,1,0))</formula>
    </cfRule>
  </conditionalFormatting>
  <conditionalFormatting sqref="AI66">
    <cfRule type="expression" dxfId="16253" priority="82">
      <formula>AND(IF(OR($Q66=1,$Q66=2),1,0),IF($X66&lt;=20,1,0))</formula>
    </cfRule>
    <cfRule type="expression" dxfId="16252" priority="83">
      <formula>AND(IF($Q66=2,1,0),IF($X66&lt;30,1,0))</formula>
    </cfRule>
    <cfRule type="expression" dxfId="16251" priority="84">
      <formula>AND(IF($Q66=3,1,0),IF($X66&lt;30,1,0))</formula>
    </cfRule>
    <cfRule type="expression" dxfId="16250" priority="85">
      <formula>AND(IF($Q66=3,1,IF($Q66=4,1,0)),IF($F66&lt;=85,1,0))</formula>
    </cfRule>
  </conditionalFormatting>
  <conditionalFormatting sqref="AV67">
    <cfRule type="expression" dxfId="16249" priority="80">
      <formula>AV67="X"</formula>
    </cfRule>
    <cfRule type="expression" dxfId="16248" priority="81">
      <formula>AV67="후보"</formula>
    </cfRule>
  </conditionalFormatting>
  <conditionalFormatting sqref="AC67 N67">
    <cfRule type="cellIs" dxfId="16247" priority="77" operator="greaterThan">
      <formula>0.9</formula>
    </cfRule>
    <cfRule type="cellIs" dxfId="16246" priority="78" operator="greaterThan">
      <formula>0.85</formula>
    </cfRule>
  </conditionalFormatting>
  <conditionalFormatting sqref="AV68">
    <cfRule type="expression" dxfId="16245" priority="75">
      <formula>AV68="X"</formula>
    </cfRule>
    <cfRule type="expression" dxfId="16244" priority="76">
      <formula>AV68="후보"</formula>
    </cfRule>
  </conditionalFormatting>
  <conditionalFormatting sqref="AC68">
    <cfRule type="cellIs" dxfId="16243" priority="72" operator="greaterThan">
      <formula>0.9</formula>
    </cfRule>
    <cfRule type="cellIs" dxfId="16242" priority="73" operator="greaterThan">
      <formula>0.85</formula>
    </cfRule>
  </conditionalFormatting>
  <conditionalFormatting sqref="N68">
    <cfRule type="cellIs" dxfId="16241" priority="70" operator="greaterThan">
      <formula>0.9</formula>
    </cfRule>
    <cfRule type="cellIs" dxfId="16240" priority="71" operator="greaterThan">
      <formula>0.85</formula>
    </cfRule>
  </conditionalFormatting>
  <conditionalFormatting sqref="E68">
    <cfRule type="expression" dxfId="16239" priority="66">
      <formula>AND(IF(OR($Q68=1,$Q68=2),1,0),IF($X68&lt;=20,1,0))</formula>
    </cfRule>
    <cfRule type="expression" dxfId="16238" priority="67">
      <formula>AND(IF($Q68=2,1,0),IF($X68&lt;30,1,0))</formula>
    </cfRule>
    <cfRule type="expression" dxfId="16237" priority="68">
      <formula>AND(IF($Q68=3,1,0),IF($X68&lt;30,1,0))</formula>
    </cfRule>
    <cfRule type="expression" dxfId="16236" priority="69">
      <formula>AND(IF($Q68=3,1,IF($Q68=4,1,0)),IF($F68&lt;=85,1,0))</formula>
    </cfRule>
  </conditionalFormatting>
  <conditionalFormatting sqref="X68">
    <cfRule type="expression" dxfId="16235" priority="62">
      <formula>AND(IF(OR($Q68=1,$Q68=2),1,0),IF($X68&lt;=20,1,0))</formula>
    </cfRule>
    <cfRule type="expression" dxfId="16234" priority="63">
      <formula>AND(IF($Q68=2,1,0),IF($X68&lt;30,1,0))</formula>
    </cfRule>
    <cfRule type="expression" dxfId="16233" priority="64">
      <formula>AND(IF($Q68=3,1,0),IF($X68&lt;30,1,0))</formula>
    </cfRule>
    <cfRule type="expression" dxfId="16232" priority="65">
      <formula>AND(IF($Q68=3,1,IF($Q68=4,1,0)),IF($F68&lt;=85,1,0))</formula>
    </cfRule>
  </conditionalFormatting>
  <conditionalFormatting sqref="AI68">
    <cfRule type="expression" dxfId="16231" priority="58">
      <formula>AND(IF(OR($Q68=1,$Q68=2),1,0),IF($X68&lt;=20,1,0))</formula>
    </cfRule>
    <cfRule type="expression" dxfId="16230" priority="59">
      <formula>AND(IF($Q68=2,1,0),IF($X68&lt;30,1,0))</formula>
    </cfRule>
    <cfRule type="expression" dxfId="16229" priority="60">
      <formula>AND(IF($Q68=3,1,0),IF($X68&lt;30,1,0))</formula>
    </cfRule>
    <cfRule type="expression" dxfId="16228" priority="61">
      <formula>AND(IF($Q68=3,1,IF($Q68=4,1,0)),IF($F68&lt;=85,1,0))</formula>
    </cfRule>
  </conditionalFormatting>
  <conditionalFormatting sqref="AV69">
    <cfRule type="expression" dxfId="16227" priority="56">
      <formula>AV69="X"</formula>
    </cfRule>
    <cfRule type="expression" dxfId="16226" priority="57">
      <formula>AV69="후보"</formula>
    </cfRule>
  </conditionalFormatting>
  <conditionalFormatting sqref="AC69">
    <cfRule type="cellIs" dxfId="16225" priority="53" operator="greaterThan">
      <formula>0.9</formula>
    </cfRule>
    <cfRule type="cellIs" dxfId="16224" priority="54" operator="greaterThan">
      <formula>0.85</formula>
    </cfRule>
  </conditionalFormatting>
  <conditionalFormatting sqref="N69">
    <cfRule type="cellIs" dxfId="16223" priority="51" operator="greaterThan">
      <formula>0.9</formula>
    </cfRule>
    <cfRule type="cellIs" dxfId="16222" priority="52" operator="greaterThan">
      <formula>0.85</formula>
    </cfRule>
  </conditionalFormatting>
  <conditionalFormatting sqref="E69">
    <cfRule type="expression" dxfId="16221" priority="47">
      <formula>AND(IF(OR($Q69=1,$Q69=2),1,0),IF($X69&lt;=20,1,0))</formula>
    </cfRule>
    <cfRule type="expression" dxfId="16220" priority="48">
      <formula>AND(IF($Q69=2,1,0),IF($X69&lt;30,1,0))</formula>
    </cfRule>
    <cfRule type="expression" dxfId="16219" priority="49">
      <formula>AND(IF($Q69=3,1,0),IF($X69&lt;30,1,0))</formula>
    </cfRule>
    <cfRule type="expression" dxfId="16218" priority="50">
      <formula>AND(IF($Q69=3,1,IF($Q69=4,1,0)),IF($F69&lt;=85,1,0))</formula>
    </cfRule>
  </conditionalFormatting>
  <conditionalFormatting sqref="X69">
    <cfRule type="expression" dxfId="16217" priority="43">
      <formula>AND(IF(OR($Q69=1,$Q69=2),1,0),IF($X69&lt;=20,1,0))</formula>
    </cfRule>
    <cfRule type="expression" dxfId="16216" priority="44">
      <formula>AND(IF($Q69=2,1,0),IF($X69&lt;30,1,0))</formula>
    </cfRule>
    <cfRule type="expression" dxfId="16215" priority="45">
      <formula>AND(IF($Q69=3,1,0),IF($X69&lt;30,1,0))</formula>
    </cfRule>
    <cfRule type="expression" dxfId="16214" priority="46">
      <formula>AND(IF($Q69=3,1,IF($Q69=4,1,0)),IF($F69&lt;=85,1,0))</formula>
    </cfRule>
  </conditionalFormatting>
  <conditionalFormatting sqref="AI69">
    <cfRule type="expression" dxfId="16213" priority="39">
      <formula>AND(IF(OR($Q69=1,$Q69=2),1,0),IF($X69&lt;=20,1,0))</formula>
    </cfRule>
    <cfRule type="expression" dxfId="16212" priority="40">
      <formula>AND(IF($Q69=2,1,0),IF($X69&lt;30,1,0))</formula>
    </cfRule>
    <cfRule type="expression" dxfId="16211" priority="41">
      <formula>AND(IF($Q69=3,1,0),IF($X69&lt;30,1,0))</formula>
    </cfRule>
    <cfRule type="expression" dxfId="16210" priority="42">
      <formula>AND(IF($Q69=3,1,IF($Q69=4,1,0)),IF($F69&lt;=85,1,0))</formula>
    </cfRule>
  </conditionalFormatting>
  <conditionalFormatting sqref="AV70">
    <cfRule type="expression" dxfId="16209" priority="37">
      <formula>AV70="X"</formula>
    </cfRule>
    <cfRule type="expression" dxfId="16208" priority="38">
      <formula>AV70="후보"</formula>
    </cfRule>
  </conditionalFormatting>
  <conditionalFormatting sqref="AC70">
    <cfRule type="cellIs" dxfId="16207" priority="34" operator="greaterThan">
      <formula>0.9</formula>
    </cfRule>
    <cfRule type="cellIs" dxfId="16206" priority="35" operator="greaterThan">
      <formula>0.85</formula>
    </cfRule>
  </conditionalFormatting>
  <conditionalFormatting sqref="N70">
    <cfRule type="cellIs" dxfId="16205" priority="32" operator="greaterThan">
      <formula>0.9</formula>
    </cfRule>
    <cfRule type="cellIs" dxfId="16204" priority="33" operator="greaterThan">
      <formula>0.85</formula>
    </cfRule>
  </conditionalFormatting>
  <conditionalFormatting sqref="E70">
    <cfRule type="expression" dxfId="16203" priority="28">
      <formula>AND(IF(OR($Q70=1,$Q70=2),1,0),IF($X70&lt;=20,1,0))</formula>
    </cfRule>
    <cfRule type="expression" dxfId="16202" priority="29">
      <formula>AND(IF($Q70=2,1,0),IF($X70&lt;30,1,0))</formula>
    </cfRule>
    <cfRule type="expression" dxfId="16201" priority="30">
      <formula>AND(IF($Q70=3,1,0),IF($X70&lt;30,1,0))</formula>
    </cfRule>
    <cfRule type="expression" dxfId="16200" priority="31">
      <formula>AND(IF($Q70=3,1,IF($Q70=4,1,0)),IF($F70&lt;=85,1,0))</formula>
    </cfRule>
  </conditionalFormatting>
  <conditionalFormatting sqref="X70">
    <cfRule type="expression" dxfId="16199" priority="24">
      <formula>AND(IF(OR($Q70=1,$Q70=2),1,0),IF($X70&lt;=20,1,0))</formula>
    </cfRule>
    <cfRule type="expression" dxfId="16198" priority="25">
      <formula>AND(IF($Q70=2,1,0),IF($X70&lt;30,1,0))</formula>
    </cfRule>
    <cfRule type="expression" dxfId="16197" priority="26">
      <formula>AND(IF($Q70=3,1,0),IF($X70&lt;30,1,0))</formula>
    </cfRule>
    <cfRule type="expression" dxfId="16196" priority="27">
      <formula>AND(IF($Q70=3,1,IF($Q70=4,1,0)),IF($F70&lt;=85,1,0))</formula>
    </cfRule>
  </conditionalFormatting>
  <conditionalFormatting sqref="AI70">
    <cfRule type="expression" dxfId="16195" priority="20">
      <formula>AND(IF(OR($Q70=1,$Q70=2),1,0),IF($X70&lt;=20,1,0))</formula>
    </cfRule>
    <cfRule type="expression" dxfId="16194" priority="21">
      <formula>AND(IF($Q70=2,1,0),IF($X70&lt;30,1,0))</formula>
    </cfRule>
    <cfRule type="expression" dxfId="16193" priority="22">
      <formula>AND(IF($Q70=3,1,0),IF($X70&lt;30,1,0))</formula>
    </cfRule>
    <cfRule type="expression" dxfId="16192" priority="23">
      <formula>AND(IF($Q70=3,1,IF($Q70=4,1,0)),IF($F70&lt;=85,1,0))</formula>
    </cfRule>
  </conditionalFormatting>
  <conditionalFormatting sqref="AV71">
    <cfRule type="expression" dxfId="16191" priority="18">
      <formula>AV71="X"</formula>
    </cfRule>
    <cfRule type="expression" dxfId="16190" priority="19">
      <formula>AV71="후보"</formula>
    </cfRule>
  </conditionalFormatting>
  <conditionalFormatting sqref="AC71">
    <cfRule type="cellIs" dxfId="16189" priority="15" operator="greaterThan">
      <formula>0.9</formula>
    </cfRule>
    <cfRule type="cellIs" dxfId="16188" priority="16" operator="greaterThan">
      <formula>0.85</formula>
    </cfRule>
  </conditionalFormatting>
  <conditionalFormatting sqref="N71">
    <cfRule type="cellIs" dxfId="16187" priority="13" operator="greaterThan">
      <formula>0.9</formula>
    </cfRule>
    <cfRule type="cellIs" dxfId="16186" priority="14" operator="greaterThan">
      <formula>0.85</formula>
    </cfRule>
  </conditionalFormatting>
  <conditionalFormatting sqref="E71">
    <cfRule type="expression" dxfId="16185" priority="9">
      <formula>AND(IF(OR($Q71=1,$Q71=2),1,0),IF($X71&lt;=20,1,0))</formula>
    </cfRule>
    <cfRule type="expression" dxfId="16184" priority="10">
      <formula>AND(IF($Q71=2,1,0),IF($X71&lt;30,1,0))</formula>
    </cfRule>
    <cfRule type="expression" dxfId="16183" priority="11">
      <formula>AND(IF($Q71=3,1,0),IF($X71&lt;30,1,0))</formula>
    </cfRule>
    <cfRule type="expression" dxfId="16182" priority="12">
      <formula>AND(IF($Q71=3,1,IF($Q71=4,1,0)),IF($F71&lt;=85,1,0))</formula>
    </cfRule>
  </conditionalFormatting>
  <conditionalFormatting sqref="X71">
    <cfRule type="expression" dxfId="16181" priority="5">
      <formula>AND(IF(OR($Q71=1,$Q71=2),1,0),IF($X71&lt;=20,1,0))</formula>
    </cfRule>
    <cfRule type="expression" dxfId="16180" priority="6">
      <formula>AND(IF($Q71=2,1,0),IF($X71&lt;30,1,0))</formula>
    </cfRule>
    <cfRule type="expression" dxfId="16179" priority="7">
      <formula>AND(IF($Q71=3,1,0),IF($X71&lt;30,1,0))</formula>
    </cfRule>
    <cfRule type="expression" dxfId="16178" priority="8">
      <formula>AND(IF($Q71=3,1,IF($Q71=4,1,0)),IF($F71&lt;=85,1,0))</formula>
    </cfRule>
  </conditionalFormatting>
  <conditionalFormatting sqref="AI71">
    <cfRule type="expression" dxfId="16177" priority="1">
      <formula>AND(IF(OR($Q71=1,$Q71=2),1,0),IF($X71&lt;=20,1,0))</formula>
    </cfRule>
    <cfRule type="expression" dxfId="16176" priority="2">
      <formula>AND(IF($Q71=2,1,0),IF($X71&lt;30,1,0))</formula>
    </cfRule>
    <cfRule type="expression" dxfId="16175" priority="3">
      <formula>AND(IF($Q71=3,1,0),IF($X71&lt;30,1,0))</formula>
    </cfRule>
    <cfRule type="expression" dxfId="16174" priority="4">
      <formula>AND(IF($Q71=3,1,IF($Q71=4,1,0)),IF($F71&lt;=85,1,0))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>
    <pageSetUpPr fitToPage="1"/>
  </sheetPr>
  <dimension ref="A1:AV1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9" sqref="A19:XFD19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5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0" width="9" style="37" customWidth="1"/>
    <col min="51" max="16384" width="9" style="37"/>
  </cols>
  <sheetData>
    <row r="1" spans="1:48" ht="17.25" customHeight="1" x14ac:dyDescent="0.3">
      <c r="A1" s="7" t="str">
        <f>단지추출!A1</f>
        <v>인천광역시 연수구</v>
      </c>
      <c r="I1" s="42" t="s">
        <v>1827</v>
      </c>
      <c r="X1" s="37" t="s">
        <v>5</v>
      </c>
      <c r="Y1" s="37"/>
      <c r="AA1" s="39">
        <f>단지추출!AA1</f>
        <v>70000</v>
      </c>
      <c r="AH1" s="7" t="str">
        <f>A1</f>
        <v>인천광역시 연수구</v>
      </c>
      <c r="AJ1" s="117" t="str">
        <f>A1&amp;" 전체 등급"</f>
        <v>인천광역시 연수구 전체 등급</v>
      </c>
      <c r="AK1" s="118"/>
      <c r="AL1" s="118"/>
      <c r="AM1" s="118"/>
      <c r="AN1" s="119"/>
      <c r="AO1" s="22">
        <f>단지추출!AO1</f>
        <v>80</v>
      </c>
      <c r="AP1" s="22">
        <f>단지추출!AP1</f>
        <v>50000</v>
      </c>
      <c r="AQ1" s="22">
        <f>단지추출!AQ1</f>
        <v>15000</v>
      </c>
      <c r="AR1" s="22">
        <f>단지추출!AR1</f>
        <v>5000</v>
      </c>
      <c r="AS1" s="2"/>
      <c r="AT1" s="2"/>
      <c r="AU1" s="22">
        <f>단지추출!AU1</f>
        <v>300</v>
      </c>
    </row>
    <row r="2" spans="1:48" x14ac:dyDescent="0.3">
      <c r="A2" s="80">
        <f>단지추출!A2</f>
        <v>44197</v>
      </c>
      <c r="W2" s="38"/>
      <c r="X2" s="38" t="s">
        <v>10</v>
      </c>
      <c r="Y2" s="38"/>
      <c r="AA2" s="39">
        <f>단지추출!AA2</f>
        <v>10000</v>
      </c>
      <c r="AH2" s="18" t="str">
        <f>AH1 &amp;" " &amp;A4</f>
        <v>인천광역시 연수구 태평동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4" t="s">
        <v>15</v>
      </c>
      <c r="AP2" s="65"/>
      <c r="AQ2" s="66"/>
      <c r="AR2" s="64" t="s">
        <v>16</v>
      </c>
      <c r="AS2" s="66"/>
      <c r="AT2" s="64" t="s">
        <v>17</v>
      </c>
      <c r="AU2" s="66"/>
      <c r="AV2" s="40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1828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106" t="s">
        <v>27</v>
      </c>
      <c r="Z3" s="12" t="s">
        <v>41</v>
      </c>
      <c r="AA3" s="12" t="s">
        <v>42</v>
      </c>
      <c r="AB3" s="12" t="s">
        <v>1828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19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(5억↓)</v>
      </c>
      <c r="AQ3" s="11" t="str">
        <f>"지역평단가
("&amp;AQ1&amp;"↓)"</f>
        <v>지역평단가
(15000↓)</v>
      </c>
      <c r="AR3" s="11" t="str">
        <f>"투자규모★
(갭"&amp;AR1/1000&amp;"천↓)"</f>
        <v>투자규모★
(갭5천↓)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1" t="s">
        <v>18</v>
      </c>
    </row>
    <row r="4" spans="1:48" x14ac:dyDescent="0.3">
      <c r="A4" s="8" t="s">
        <v>1239</v>
      </c>
      <c r="B4" s="76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07"/>
      <c r="R4" s="107"/>
      <c r="S4" s="76"/>
      <c r="T4" s="5"/>
      <c r="U4" s="9"/>
      <c r="W4" s="9"/>
      <c r="X4" s="9"/>
      <c r="Y4" s="91"/>
      <c r="Z4" s="9"/>
      <c r="AA4" s="9"/>
      <c r="AB4" s="9"/>
      <c r="AC4" s="9"/>
      <c r="AD4" s="9"/>
      <c r="AE4" s="76"/>
      <c r="AF4" s="5"/>
      <c r="AH4" s="20"/>
      <c r="AI4" s="108" t="str">
        <f t="shared" si="0"/>
        <v/>
      </c>
      <c r="AJ4" s="76"/>
      <c r="AK4" s="76"/>
      <c r="AL4" s="76"/>
      <c r="AM4" s="76"/>
      <c r="AN4" s="76"/>
      <c r="AO4" s="76"/>
      <c r="AP4" s="76"/>
      <c r="AQ4" s="76"/>
      <c r="AR4" s="76"/>
      <c r="AS4" s="76"/>
      <c r="AT4" s="76"/>
      <c r="AU4" s="76"/>
      <c r="AV4" s="76"/>
    </row>
    <row r="5" spans="1:48" x14ac:dyDescent="0.3">
      <c r="A5" s="9"/>
      <c r="B5" s="76"/>
      <c r="C5" s="6"/>
      <c r="D5" s="9"/>
      <c r="E5" s="14"/>
      <c r="F5" s="85"/>
      <c r="G5" s="9"/>
      <c r="H5" s="9"/>
      <c r="I5" s="9"/>
      <c r="J5" s="9"/>
      <c r="K5" s="9"/>
      <c r="L5" s="9"/>
      <c r="M5" s="9"/>
      <c r="N5" s="9"/>
      <c r="O5" s="90"/>
      <c r="P5" s="90"/>
      <c r="Q5" s="86"/>
      <c r="R5" s="86"/>
      <c r="S5" s="9"/>
      <c r="T5" s="47"/>
      <c r="U5" s="9"/>
      <c r="W5" s="67" t="str">
        <f>$A$4&amp;" "&amp;A6&amp;"("&amp;B6&amp;","&amp;C6&amp;"^)"</f>
        <v>태평동 전주태평아이파크('22.05.,1319^)</v>
      </c>
      <c r="X5" s="68"/>
      <c r="Y5" s="68"/>
      <c r="Z5" s="68"/>
      <c r="AA5" s="68"/>
      <c r="AB5" s="68"/>
      <c r="AC5" s="68"/>
      <c r="AD5" s="68"/>
      <c r="AE5" s="68"/>
      <c r="AF5" s="69"/>
      <c r="AH5" s="20" t="str">
        <f t="shared" ref="AH5:AH19" si="1">IF(A5="","",A5)</f>
        <v/>
      </c>
      <c r="AI5" s="108" t="str">
        <f t="shared" si="0"/>
        <v/>
      </c>
      <c r="AJ5" s="76"/>
      <c r="AK5" s="76"/>
      <c r="AL5" s="76"/>
      <c r="AM5" s="76"/>
      <c r="AN5" s="76"/>
      <c r="AO5" s="76"/>
      <c r="AP5" s="76"/>
      <c r="AQ5" s="76"/>
      <c r="AR5" s="76"/>
      <c r="AS5" s="76"/>
      <c r="AT5" s="76"/>
      <c r="AU5" s="76"/>
      <c r="AV5" s="76"/>
    </row>
    <row r="6" spans="1:48" x14ac:dyDescent="0.3">
      <c r="A6" s="9" t="s">
        <v>1241</v>
      </c>
      <c r="B6" s="10" t="s">
        <v>1892</v>
      </c>
      <c r="C6" s="87">
        <v>1319</v>
      </c>
      <c r="D6" s="85">
        <v>79.599999999999994</v>
      </c>
      <c r="E6" s="86">
        <v>24</v>
      </c>
      <c r="F6" s="85">
        <v>59.7</v>
      </c>
      <c r="G6" s="17">
        <v>18</v>
      </c>
      <c r="H6" s="87">
        <v>433</v>
      </c>
      <c r="I6" s="88"/>
      <c r="J6" s="88"/>
      <c r="K6" s="88"/>
      <c r="L6" s="88"/>
      <c r="M6" s="89">
        <f t="shared" ref="M6:M11" si="2">I6-K6</f>
        <v>0</v>
      </c>
      <c r="N6" s="4" t="str">
        <f t="shared" ref="N6:N11" si="3">IF(ISERROR(K6/I6),"",K6/I6)</f>
        <v/>
      </c>
      <c r="O6" s="90">
        <f t="shared" ref="O6:O11" si="4">I6/E6</f>
        <v>0</v>
      </c>
      <c r="P6" s="90">
        <f t="shared" ref="P6:P11" si="5">K6/E6</f>
        <v>0</v>
      </c>
      <c r="Q6" s="76">
        <v>3</v>
      </c>
      <c r="R6" s="76">
        <v>2</v>
      </c>
      <c r="S6" s="76" t="s">
        <v>61</v>
      </c>
      <c r="T6" s="5" t="s">
        <v>275</v>
      </c>
      <c r="U6" s="9"/>
      <c r="W6" s="85">
        <f t="shared" ref="W6:X11" si="6">D6</f>
        <v>79.599999999999994</v>
      </c>
      <c r="X6" s="86">
        <f t="shared" si="6"/>
        <v>24</v>
      </c>
      <c r="Y6" s="91">
        <f t="shared" ref="Y6:Z11" si="7">H6</f>
        <v>433</v>
      </c>
      <c r="Z6" s="89">
        <f t="shared" si="7"/>
        <v>0</v>
      </c>
      <c r="AA6" s="89">
        <f t="shared" ref="AA6:AA11" si="8">K6</f>
        <v>0</v>
      </c>
      <c r="AB6" s="89">
        <f t="shared" ref="AB6:AD11" si="9">M6</f>
        <v>0</v>
      </c>
      <c r="AC6" s="4" t="str">
        <f t="shared" si="9"/>
        <v/>
      </c>
      <c r="AD6" s="90">
        <f t="shared" si="9"/>
        <v>0</v>
      </c>
      <c r="AE6" s="76" t="str">
        <f t="shared" ref="AE6:AE11" si="10">S6</f>
        <v>계</v>
      </c>
      <c r="AF6" s="76" t="str">
        <f t="shared" ref="AF6:AF11" si="11">Q6&amp;"/"&amp;R6</f>
        <v>3/2</v>
      </c>
      <c r="AH6" s="20" t="str">
        <f t="shared" si="1"/>
        <v>전주태평아이파크</v>
      </c>
      <c r="AI6" s="86">
        <f t="shared" si="0"/>
        <v>24</v>
      </c>
      <c r="AJ6" s="76" t="str">
        <f t="shared" ref="AJ6:AJ11" si="12">IF(AI6="","",$AJ$2)</f>
        <v>A-</v>
      </c>
      <c r="AK6" s="76" t="s">
        <v>13</v>
      </c>
      <c r="AL6" s="76" t="s">
        <v>62</v>
      </c>
      <c r="AM6" s="76" t="s">
        <v>63</v>
      </c>
      <c r="AN6" s="76" t="str">
        <f t="shared" ref="AN6:AN11" si="13">IF(AI6="","",$AN$2)</f>
        <v>C</v>
      </c>
      <c r="AO6" s="76" t="str">
        <f t="shared" ref="AO6:AO11" si="14">IF(N6="","",IF(N6&gt;=$AO$1/100,"O","X"))</f>
        <v/>
      </c>
      <c r="AP6" s="76" t="str">
        <f t="shared" ref="AP6:AP11" si="15">IF(I6="","",IF(I6&lt;=$AP$1,"O","X"))</f>
        <v/>
      </c>
      <c r="AQ6" s="76" t="str">
        <f t="shared" ref="AQ6:AQ11" si="16">IF(O6="","",IF(O6&lt;=$AQ$1,"O","X"))</f>
        <v>O</v>
      </c>
      <c r="AR6" s="76" t="str">
        <f t="shared" ref="AR6:AR11" si="17">IF(M6="","",IF(M6&lt;=$AR$1,"O","X"))</f>
        <v>O</v>
      </c>
      <c r="AS6" s="76" t="s">
        <v>2</v>
      </c>
      <c r="AT6" s="76" t="str">
        <f t="shared" ref="AT6:AT11" si="18">IF(OR(F6="",AI6=""),"",IF(AND((F6&lt;=85),(AI6&gt;=15)),"O","X"))</f>
        <v>O</v>
      </c>
      <c r="AU6" s="76" t="str">
        <f t="shared" ref="AU6:AU11" si="19">IF(C6="","",IF(C6&gt;=$AU$1,"O","X"))</f>
        <v>O</v>
      </c>
      <c r="AV6" s="76" t="str">
        <f t="shared" ref="AV6:AV11" si="20">IF(AO6="","",IF(AND(AO6="O",AP6="O",AR6="O",AT6="O",AU6="O"),"후보","X"))</f>
        <v/>
      </c>
    </row>
    <row r="7" spans="1:48" x14ac:dyDescent="0.3">
      <c r="A7" s="9" t="s">
        <v>1241</v>
      </c>
      <c r="B7" s="10" t="s">
        <v>1892</v>
      </c>
      <c r="C7" s="87">
        <v>1319</v>
      </c>
      <c r="D7" s="85">
        <v>81.2</v>
      </c>
      <c r="E7" s="86">
        <v>25</v>
      </c>
      <c r="F7" s="85">
        <v>59.8</v>
      </c>
      <c r="G7" s="17">
        <v>18</v>
      </c>
      <c r="H7" s="87">
        <v>99</v>
      </c>
      <c r="I7" s="88"/>
      <c r="J7" s="88"/>
      <c r="K7" s="88"/>
      <c r="L7" s="88"/>
      <c r="M7" s="89">
        <f t="shared" si="2"/>
        <v>0</v>
      </c>
      <c r="N7" s="4" t="str">
        <f t="shared" si="3"/>
        <v/>
      </c>
      <c r="O7" s="90">
        <f t="shared" si="4"/>
        <v>0</v>
      </c>
      <c r="P7" s="90">
        <f t="shared" si="5"/>
        <v>0</v>
      </c>
      <c r="Q7" s="76">
        <v>3</v>
      </c>
      <c r="R7" s="76">
        <v>2</v>
      </c>
      <c r="S7" s="76" t="s">
        <v>61</v>
      </c>
      <c r="T7" s="5" t="s">
        <v>276</v>
      </c>
      <c r="U7" s="9"/>
      <c r="W7" s="85">
        <f t="shared" si="6"/>
        <v>81.2</v>
      </c>
      <c r="X7" s="86">
        <f t="shared" si="6"/>
        <v>25</v>
      </c>
      <c r="Y7" s="91">
        <f t="shared" si="7"/>
        <v>99</v>
      </c>
      <c r="Z7" s="89">
        <f t="shared" si="7"/>
        <v>0</v>
      </c>
      <c r="AA7" s="89">
        <f t="shared" si="8"/>
        <v>0</v>
      </c>
      <c r="AB7" s="89">
        <f t="shared" si="9"/>
        <v>0</v>
      </c>
      <c r="AC7" s="4" t="str">
        <f t="shared" si="9"/>
        <v/>
      </c>
      <c r="AD7" s="90">
        <f t="shared" si="9"/>
        <v>0</v>
      </c>
      <c r="AE7" s="76" t="str">
        <f t="shared" si="10"/>
        <v>계</v>
      </c>
      <c r="AF7" s="76" t="str">
        <f t="shared" si="11"/>
        <v>3/2</v>
      </c>
      <c r="AH7" s="20" t="str">
        <f t="shared" si="1"/>
        <v>전주태평아이파크</v>
      </c>
      <c r="AI7" s="86">
        <f t="shared" si="0"/>
        <v>25</v>
      </c>
      <c r="AJ7" s="76" t="str">
        <f t="shared" si="12"/>
        <v>A-</v>
      </c>
      <c r="AK7" s="76" t="s">
        <v>13</v>
      </c>
      <c r="AL7" s="76" t="s">
        <v>62</v>
      </c>
      <c r="AM7" s="76" t="s">
        <v>63</v>
      </c>
      <c r="AN7" s="76" t="str">
        <f t="shared" si="13"/>
        <v>C</v>
      </c>
      <c r="AO7" s="76" t="str">
        <f t="shared" si="14"/>
        <v/>
      </c>
      <c r="AP7" s="76" t="str">
        <f t="shared" si="15"/>
        <v/>
      </c>
      <c r="AQ7" s="76" t="str">
        <f t="shared" si="16"/>
        <v>O</v>
      </c>
      <c r="AR7" s="76" t="str">
        <f t="shared" si="17"/>
        <v>O</v>
      </c>
      <c r="AS7" s="76" t="s">
        <v>2</v>
      </c>
      <c r="AT7" s="76" t="str">
        <f t="shared" si="18"/>
        <v>O</v>
      </c>
      <c r="AU7" s="76" t="str">
        <f t="shared" si="19"/>
        <v>O</v>
      </c>
      <c r="AV7" s="76" t="str">
        <f t="shared" si="20"/>
        <v/>
      </c>
    </row>
    <row r="8" spans="1:48" x14ac:dyDescent="0.3">
      <c r="A8" s="9" t="s">
        <v>1241</v>
      </c>
      <c r="B8" s="10" t="s">
        <v>1892</v>
      </c>
      <c r="C8" s="87">
        <v>1319</v>
      </c>
      <c r="D8" s="85">
        <v>98.5</v>
      </c>
      <c r="E8" s="86">
        <v>30</v>
      </c>
      <c r="F8" s="85">
        <v>75</v>
      </c>
      <c r="G8" s="17">
        <v>23</v>
      </c>
      <c r="H8" s="87">
        <v>80</v>
      </c>
      <c r="I8" s="88"/>
      <c r="J8" s="88"/>
      <c r="K8" s="88"/>
      <c r="L8" s="88"/>
      <c r="M8" s="89">
        <f t="shared" si="2"/>
        <v>0</v>
      </c>
      <c r="N8" s="4" t="str">
        <f t="shared" si="3"/>
        <v/>
      </c>
      <c r="O8" s="90">
        <f t="shared" si="4"/>
        <v>0</v>
      </c>
      <c r="P8" s="90">
        <f t="shared" si="5"/>
        <v>0</v>
      </c>
      <c r="Q8" s="76">
        <v>3</v>
      </c>
      <c r="R8" s="76">
        <v>2</v>
      </c>
      <c r="S8" s="76" t="s">
        <v>61</v>
      </c>
      <c r="T8" s="5" t="s">
        <v>277</v>
      </c>
      <c r="U8" s="9"/>
      <c r="W8" s="85">
        <f t="shared" si="6"/>
        <v>98.5</v>
      </c>
      <c r="X8" s="86">
        <f t="shared" si="6"/>
        <v>30</v>
      </c>
      <c r="Y8" s="91">
        <f t="shared" si="7"/>
        <v>80</v>
      </c>
      <c r="Z8" s="89">
        <f t="shared" si="7"/>
        <v>0</v>
      </c>
      <c r="AA8" s="89">
        <f t="shared" si="8"/>
        <v>0</v>
      </c>
      <c r="AB8" s="89">
        <f t="shared" si="9"/>
        <v>0</v>
      </c>
      <c r="AC8" s="4" t="str">
        <f t="shared" si="9"/>
        <v/>
      </c>
      <c r="AD8" s="90">
        <f t="shared" si="9"/>
        <v>0</v>
      </c>
      <c r="AE8" s="76" t="str">
        <f t="shared" si="10"/>
        <v>계</v>
      </c>
      <c r="AF8" s="76" t="str">
        <f t="shared" si="11"/>
        <v>3/2</v>
      </c>
      <c r="AH8" s="20" t="str">
        <f t="shared" si="1"/>
        <v>전주태평아이파크</v>
      </c>
      <c r="AI8" s="86">
        <f t="shared" si="0"/>
        <v>30</v>
      </c>
      <c r="AJ8" s="76" t="str">
        <f t="shared" si="12"/>
        <v>A-</v>
      </c>
      <c r="AK8" s="76" t="s">
        <v>13</v>
      </c>
      <c r="AL8" s="76" t="s">
        <v>62</v>
      </c>
      <c r="AM8" s="76" t="s">
        <v>63</v>
      </c>
      <c r="AN8" s="76" t="str">
        <f t="shared" si="13"/>
        <v>C</v>
      </c>
      <c r="AO8" s="76" t="str">
        <f t="shared" si="14"/>
        <v/>
      </c>
      <c r="AP8" s="76" t="str">
        <f t="shared" si="15"/>
        <v/>
      </c>
      <c r="AQ8" s="76" t="str">
        <f t="shared" si="16"/>
        <v>O</v>
      </c>
      <c r="AR8" s="76" t="str">
        <f t="shared" si="17"/>
        <v>O</v>
      </c>
      <c r="AS8" s="76" t="s">
        <v>2</v>
      </c>
      <c r="AT8" s="76" t="str">
        <f t="shared" si="18"/>
        <v>O</v>
      </c>
      <c r="AU8" s="76" t="str">
        <f t="shared" si="19"/>
        <v>O</v>
      </c>
      <c r="AV8" s="76" t="str">
        <f t="shared" si="20"/>
        <v/>
      </c>
    </row>
    <row r="9" spans="1:48" x14ac:dyDescent="0.3">
      <c r="A9" s="9" t="s">
        <v>1241</v>
      </c>
      <c r="B9" s="10" t="s">
        <v>1892</v>
      </c>
      <c r="C9" s="87">
        <v>1319</v>
      </c>
      <c r="D9" s="85">
        <v>99.5</v>
      </c>
      <c r="E9" s="86">
        <v>30</v>
      </c>
      <c r="F9" s="85">
        <v>74.900000000000006</v>
      </c>
      <c r="G9" s="17">
        <v>23</v>
      </c>
      <c r="H9" s="87">
        <v>200</v>
      </c>
      <c r="I9" s="88"/>
      <c r="J9" s="88"/>
      <c r="K9" s="88"/>
      <c r="L9" s="88"/>
      <c r="M9" s="89">
        <f t="shared" si="2"/>
        <v>0</v>
      </c>
      <c r="N9" s="4" t="str">
        <f t="shared" si="3"/>
        <v/>
      </c>
      <c r="O9" s="90">
        <f t="shared" si="4"/>
        <v>0</v>
      </c>
      <c r="P9" s="90">
        <f t="shared" si="5"/>
        <v>0</v>
      </c>
      <c r="Q9" s="76">
        <v>3</v>
      </c>
      <c r="R9" s="76">
        <v>2</v>
      </c>
      <c r="S9" s="76" t="s">
        <v>61</v>
      </c>
      <c r="T9" s="5" t="s">
        <v>278</v>
      </c>
      <c r="U9" s="9"/>
      <c r="W9" s="85">
        <f t="shared" si="6"/>
        <v>99.5</v>
      </c>
      <c r="X9" s="86">
        <f t="shared" si="6"/>
        <v>30</v>
      </c>
      <c r="Y9" s="91">
        <f t="shared" si="7"/>
        <v>200</v>
      </c>
      <c r="Z9" s="89">
        <f t="shared" si="7"/>
        <v>0</v>
      </c>
      <c r="AA9" s="89">
        <f t="shared" si="8"/>
        <v>0</v>
      </c>
      <c r="AB9" s="89">
        <f t="shared" si="9"/>
        <v>0</v>
      </c>
      <c r="AC9" s="4" t="str">
        <f t="shared" si="9"/>
        <v/>
      </c>
      <c r="AD9" s="90">
        <f t="shared" si="9"/>
        <v>0</v>
      </c>
      <c r="AE9" s="76" t="str">
        <f t="shared" si="10"/>
        <v>계</v>
      </c>
      <c r="AF9" s="76" t="str">
        <f t="shared" si="11"/>
        <v>3/2</v>
      </c>
      <c r="AH9" s="20" t="str">
        <f t="shared" si="1"/>
        <v>전주태평아이파크</v>
      </c>
      <c r="AI9" s="86">
        <f t="shared" si="0"/>
        <v>30</v>
      </c>
      <c r="AJ9" s="76" t="str">
        <f t="shared" si="12"/>
        <v>A-</v>
      </c>
      <c r="AK9" s="76" t="s">
        <v>13</v>
      </c>
      <c r="AL9" s="76" t="s">
        <v>62</v>
      </c>
      <c r="AM9" s="76" t="s">
        <v>63</v>
      </c>
      <c r="AN9" s="76" t="str">
        <f t="shared" si="13"/>
        <v>C</v>
      </c>
      <c r="AO9" s="76" t="str">
        <f t="shared" si="14"/>
        <v/>
      </c>
      <c r="AP9" s="76" t="str">
        <f t="shared" si="15"/>
        <v/>
      </c>
      <c r="AQ9" s="76" t="str">
        <f t="shared" si="16"/>
        <v>O</v>
      </c>
      <c r="AR9" s="76" t="str">
        <f t="shared" si="17"/>
        <v>O</v>
      </c>
      <c r="AS9" s="76" t="s">
        <v>2</v>
      </c>
      <c r="AT9" s="76" t="str">
        <f t="shared" si="18"/>
        <v>O</v>
      </c>
      <c r="AU9" s="76" t="str">
        <f t="shared" si="19"/>
        <v>O</v>
      </c>
      <c r="AV9" s="76" t="str">
        <f t="shared" si="20"/>
        <v/>
      </c>
    </row>
    <row r="10" spans="1:48" x14ac:dyDescent="0.3">
      <c r="A10" s="9" t="s">
        <v>1241</v>
      </c>
      <c r="B10" s="10" t="s">
        <v>1892</v>
      </c>
      <c r="C10" s="87">
        <v>1319</v>
      </c>
      <c r="D10" s="85">
        <v>111.7</v>
      </c>
      <c r="E10" s="86">
        <v>34</v>
      </c>
      <c r="F10" s="85">
        <v>84.8</v>
      </c>
      <c r="G10" s="17">
        <v>26</v>
      </c>
      <c r="H10" s="87">
        <v>412</v>
      </c>
      <c r="I10" s="88"/>
      <c r="J10" s="88"/>
      <c r="K10" s="88"/>
      <c r="L10" s="88"/>
      <c r="M10" s="89">
        <f t="shared" si="2"/>
        <v>0</v>
      </c>
      <c r="N10" s="4" t="str">
        <f t="shared" si="3"/>
        <v/>
      </c>
      <c r="O10" s="90">
        <f t="shared" si="4"/>
        <v>0</v>
      </c>
      <c r="P10" s="90">
        <f t="shared" si="5"/>
        <v>0</v>
      </c>
      <c r="Q10" s="76">
        <v>3</v>
      </c>
      <c r="R10" s="76">
        <v>2</v>
      </c>
      <c r="S10" s="76" t="s">
        <v>61</v>
      </c>
      <c r="T10" s="5" t="s">
        <v>220</v>
      </c>
      <c r="U10" s="9"/>
      <c r="W10" s="85">
        <f t="shared" si="6"/>
        <v>111.7</v>
      </c>
      <c r="X10" s="86">
        <f t="shared" si="6"/>
        <v>34</v>
      </c>
      <c r="Y10" s="91">
        <f t="shared" si="7"/>
        <v>412</v>
      </c>
      <c r="Z10" s="89">
        <f t="shared" si="7"/>
        <v>0</v>
      </c>
      <c r="AA10" s="89">
        <f t="shared" si="8"/>
        <v>0</v>
      </c>
      <c r="AB10" s="89">
        <f t="shared" si="9"/>
        <v>0</v>
      </c>
      <c r="AC10" s="4" t="str">
        <f t="shared" si="9"/>
        <v/>
      </c>
      <c r="AD10" s="90">
        <f t="shared" si="9"/>
        <v>0</v>
      </c>
      <c r="AE10" s="76" t="str">
        <f t="shared" si="10"/>
        <v>계</v>
      </c>
      <c r="AF10" s="76" t="str">
        <f t="shared" si="11"/>
        <v>3/2</v>
      </c>
      <c r="AH10" s="20" t="str">
        <f t="shared" si="1"/>
        <v>전주태평아이파크</v>
      </c>
      <c r="AI10" s="86">
        <f t="shared" si="0"/>
        <v>34</v>
      </c>
      <c r="AJ10" s="76" t="str">
        <f t="shared" si="12"/>
        <v>A-</v>
      </c>
      <c r="AK10" s="76" t="s">
        <v>13</v>
      </c>
      <c r="AL10" s="76" t="s">
        <v>62</v>
      </c>
      <c r="AM10" s="76" t="s">
        <v>63</v>
      </c>
      <c r="AN10" s="76" t="str">
        <f t="shared" si="13"/>
        <v>C</v>
      </c>
      <c r="AO10" s="76" t="str">
        <f t="shared" si="14"/>
        <v/>
      </c>
      <c r="AP10" s="76" t="str">
        <f t="shared" si="15"/>
        <v/>
      </c>
      <c r="AQ10" s="76" t="str">
        <f t="shared" si="16"/>
        <v>O</v>
      </c>
      <c r="AR10" s="76" t="str">
        <f t="shared" si="17"/>
        <v>O</v>
      </c>
      <c r="AS10" s="76" t="s">
        <v>2</v>
      </c>
      <c r="AT10" s="76" t="str">
        <f t="shared" si="18"/>
        <v>O</v>
      </c>
      <c r="AU10" s="76" t="str">
        <f t="shared" si="19"/>
        <v>O</v>
      </c>
      <c r="AV10" s="76" t="str">
        <f t="shared" si="20"/>
        <v/>
      </c>
    </row>
    <row r="11" spans="1:48" x14ac:dyDescent="0.3">
      <c r="A11" s="9" t="s">
        <v>1241</v>
      </c>
      <c r="B11" s="10" t="s">
        <v>1892</v>
      </c>
      <c r="C11" s="87">
        <v>1319</v>
      </c>
      <c r="D11" s="85">
        <v>112.6</v>
      </c>
      <c r="E11" s="86">
        <v>34</v>
      </c>
      <c r="F11" s="85">
        <v>84.7</v>
      </c>
      <c r="G11" s="17">
        <v>26</v>
      </c>
      <c r="H11" s="87">
        <v>95</v>
      </c>
      <c r="I11" s="88"/>
      <c r="J11" s="88"/>
      <c r="K11" s="88"/>
      <c r="L11" s="88"/>
      <c r="M11" s="89">
        <f t="shared" si="2"/>
        <v>0</v>
      </c>
      <c r="N11" s="4" t="str">
        <f t="shared" si="3"/>
        <v/>
      </c>
      <c r="O11" s="90">
        <f t="shared" si="4"/>
        <v>0</v>
      </c>
      <c r="P11" s="90">
        <f t="shared" si="5"/>
        <v>0</v>
      </c>
      <c r="Q11" s="76">
        <v>3</v>
      </c>
      <c r="R11" s="76">
        <v>2</v>
      </c>
      <c r="S11" s="76" t="s">
        <v>61</v>
      </c>
      <c r="T11" s="5" t="s">
        <v>249</v>
      </c>
      <c r="U11" s="9"/>
      <c r="W11" s="85">
        <f t="shared" si="6"/>
        <v>112.6</v>
      </c>
      <c r="X11" s="86">
        <f t="shared" si="6"/>
        <v>34</v>
      </c>
      <c r="Y11" s="91">
        <f t="shared" si="7"/>
        <v>95</v>
      </c>
      <c r="Z11" s="89">
        <f t="shared" si="7"/>
        <v>0</v>
      </c>
      <c r="AA11" s="89">
        <f t="shared" si="8"/>
        <v>0</v>
      </c>
      <c r="AB11" s="89">
        <f t="shared" si="9"/>
        <v>0</v>
      </c>
      <c r="AC11" s="4" t="str">
        <f t="shared" si="9"/>
        <v/>
      </c>
      <c r="AD11" s="90">
        <f t="shared" si="9"/>
        <v>0</v>
      </c>
      <c r="AE11" s="76" t="str">
        <f t="shared" si="10"/>
        <v>계</v>
      </c>
      <c r="AF11" s="76" t="str">
        <f t="shared" si="11"/>
        <v>3/2</v>
      </c>
      <c r="AH11" s="20" t="str">
        <f t="shared" si="1"/>
        <v>전주태평아이파크</v>
      </c>
      <c r="AI11" s="86">
        <f t="shared" si="0"/>
        <v>34</v>
      </c>
      <c r="AJ11" s="76" t="str">
        <f t="shared" si="12"/>
        <v>A-</v>
      </c>
      <c r="AK11" s="76" t="s">
        <v>13</v>
      </c>
      <c r="AL11" s="76" t="s">
        <v>62</v>
      </c>
      <c r="AM11" s="76" t="s">
        <v>63</v>
      </c>
      <c r="AN11" s="76" t="str">
        <f t="shared" si="13"/>
        <v>C</v>
      </c>
      <c r="AO11" s="76" t="str">
        <f t="shared" si="14"/>
        <v/>
      </c>
      <c r="AP11" s="76" t="str">
        <f t="shared" si="15"/>
        <v/>
      </c>
      <c r="AQ11" s="76" t="str">
        <f t="shared" si="16"/>
        <v>O</v>
      </c>
      <c r="AR11" s="76" t="str">
        <f t="shared" si="17"/>
        <v>O</v>
      </c>
      <c r="AS11" s="76" t="s">
        <v>2</v>
      </c>
      <c r="AT11" s="76" t="str">
        <f t="shared" si="18"/>
        <v>O</v>
      </c>
      <c r="AU11" s="76" t="str">
        <f t="shared" si="19"/>
        <v>O</v>
      </c>
      <c r="AV11" s="76" t="str">
        <f t="shared" si="20"/>
        <v/>
      </c>
    </row>
    <row r="12" spans="1:48" x14ac:dyDescent="0.3">
      <c r="A12" s="9"/>
      <c r="B12" s="76"/>
      <c r="C12" s="6"/>
      <c r="D12" s="9"/>
      <c r="E12" s="14"/>
      <c r="F12" s="85"/>
      <c r="G12" s="9"/>
      <c r="H12" s="9"/>
      <c r="I12" s="9"/>
      <c r="J12" s="9"/>
      <c r="K12" s="9"/>
      <c r="L12" s="9"/>
      <c r="M12" s="9"/>
      <c r="N12" s="9"/>
      <c r="O12" s="90"/>
      <c r="P12" s="90"/>
      <c r="Q12" s="86"/>
      <c r="R12" s="86"/>
      <c r="S12" s="9"/>
      <c r="T12" s="47"/>
      <c r="U12" s="9"/>
      <c r="W12" s="67" t="str">
        <f>$A$4&amp;" "&amp;A13&amp;"("&amp;B13&amp;","&amp;C13&amp;"^)"</f>
        <v>태평동 전주태평SK뷰('09.01.,712^)</v>
      </c>
      <c r="X12" s="68"/>
      <c r="Y12" s="68"/>
      <c r="Z12" s="68"/>
      <c r="AA12" s="68"/>
      <c r="AB12" s="68"/>
      <c r="AC12" s="68"/>
      <c r="AD12" s="68"/>
      <c r="AE12" s="68"/>
      <c r="AF12" s="69"/>
      <c r="AH12" s="20" t="str">
        <f t="shared" si="1"/>
        <v/>
      </c>
      <c r="AI12" s="108" t="str">
        <f t="shared" si="0"/>
        <v/>
      </c>
      <c r="AJ12" s="76"/>
      <c r="AK12" s="76"/>
      <c r="AL12" s="76"/>
      <c r="AM12" s="76"/>
      <c r="AN12" s="76"/>
      <c r="AO12" s="76"/>
      <c r="AP12" s="76"/>
      <c r="AQ12" s="76"/>
      <c r="AR12" s="76"/>
      <c r="AS12" s="76"/>
      <c r="AT12" s="76"/>
      <c r="AU12" s="76"/>
      <c r="AV12" s="76"/>
    </row>
    <row r="13" spans="1:48" x14ac:dyDescent="0.3">
      <c r="A13" s="9" t="s">
        <v>1245</v>
      </c>
      <c r="B13" s="10" t="s">
        <v>1893</v>
      </c>
      <c r="C13" s="87">
        <v>712</v>
      </c>
      <c r="D13" s="85">
        <v>151</v>
      </c>
      <c r="E13" s="86">
        <v>46</v>
      </c>
      <c r="F13" s="85">
        <v>122.3</v>
      </c>
      <c r="G13" s="17">
        <v>37</v>
      </c>
      <c r="H13" s="87">
        <v>76</v>
      </c>
      <c r="I13" s="88"/>
      <c r="J13" s="88"/>
      <c r="K13" s="88"/>
      <c r="L13" s="88"/>
      <c r="M13" s="89">
        <f t="shared" ref="M13:M19" si="21">I13-K13</f>
        <v>0</v>
      </c>
      <c r="N13" s="4" t="str">
        <f t="shared" ref="N13:N19" si="22">IF(ISERROR(K13/I13),"",K13/I13)</f>
        <v/>
      </c>
      <c r="O13" s="90">
        <f t="shared" ref="O13:O19" si="23">I13/E13</f>
        <v>0</v>
      </c>
      <c r="P13" s="90">
        <f t="shared" ref="P13:P19" si="24">K13/E13</f>
        <v>0</v>
      </c>
      <c r="Q13" s="76">
        <v>4</v>
      </c>
      <c r="R13" s="76">
        <v>2</v>
      </c>
      <c r="S13" s="76" t="s">
        <v>68</v>
      </c>
      <c r="T13" s="5">
        <v>150</v>
      </c>
      <c r="U13" s="9"/>
      <c r="W13" s="85">
        <f t="shared" ref="W13:X19" si="25">D13</f>
        <v>151</v>
      </c>
      <c r="X13" s="86">
        <f t="shared" si="25"/>
        <v>46</v>
      </c>
      <c r="Y13" s="91">
        <f t="shared" ref="Y13:Z19" si="26">H13</f>
        <v>76</v>
      </c>
      <c r="Z13" s="89">
        <f t="shared" si="26"/>
        <v>0</v>
      </c>
      <c r="AA13" s="89">
        <f t="shared" ref="AA13:AA19" si="27">K13</f>
        <v>0</v>
      </c>
      <c r="AB13" s="89">
        <f t="shared" ref="AB13:AD19" si="28">M13</f>
        <v>0</v>
      </c>
      <c r="AC13" s="4" t="str">
        <f t="shared" si="28"/>
        <v/>
      </c>
      <c r="AD13" s="90">
        <f t="shared" si="28"/>
        <v>0</v>
      </c>
      <c r="AE13" s="76" t="str">
        <f t="shared" ref="AE13:AE19" si="29">S13</f>
        <v>복</v>
      </c>
      <c r="AF13" s="76" t="str">
        <f t="shared" ref="AF13:AF19" si="30">Q13&amp;"/"&amp;R13</f>
        <v>4/2</v>
      </c>
      <c r="AH13" s="20" t="str">
        <f t="shared" si="1"/>
        <v>전주태평SK뷰</v>
      </c>
      <c r="AI13" s="86">
        <f t="shared" si="0"/>
        <v>46</v>
      </c>
      <c r="AJ13" s="76" t="str">
        <f t="shared" ref="AJ13:AJ19" si="31">IF(AI13="","",$AJ$2)</f>
        <v>A-</v>
      </c>
      <c r="AK13" s="76" t="s">
        <v>13</v>
      </c>
      <c r="AL13" s="76" t="s">
        <v>62</v>
      </c>
      <c r="AM13" s="76" t="s">
        <v>63</v>
      </c>
      <c r="AN13" s="76" t="str">
        <f t="shared" ref="AN13:AN19" si="32">IF(AI13="","",$AN$2)</f>
        <v>C</v>
      </c>
      <c r="AO13" s="76" t="str">
        <f t="shared" ref="AO13:AO19" si="33">IF(N13="","",IF(N13&gt;=$AO$1/100,"O","X"))</f>
        <v/>
      </c>
      <c r="AP13" s="76" t="str">
        <f t="shared" ref="AP13:AP19" si="34">IF(I13="","",IF(I13&lt;=$AP$1,"O","X"))</f>
        <v/>
      </c>
      <c r="AQ13" s="76" t="str">
        <f t="shared" ref="AQ13:AQ19" si="35">IF(O13="","",IF(O13&lt;=$AQ$1,"O","X"))</f>
        <v>O</v>
      </c>
      <c r="AR13" s="76" t="str">
        <f t="shared" ref="AR13:AR19" si="36">IF(M13="","",IF(M13&lt;=$AR$1,"O","X"))</f>
        <v>O</v>
      </c>
      <c r="AS13" s="76" t="s">
        <v>2</v>
      </c>
      <c r="AT13" s="76" t="str">
        <f t="shared" ref="AT13:AT19" si="37">IF(OR(F13="",AI13=""),"",IF(AND((F13&lt;=85),(AI13&gt;=15)),"O","X"))</f>
        <v>X</v>
      </c>
      <c r="AU13" s="76" t="str">
        <f t="shared" ref="AU13:AU19" si="38">IF(C13="","",IF(C13&gt;=$AU$1,"O","X"))</f>
        <v>O</v>
      </c>
      <c r="AV13" s="76" t="str">
        <f t="shared" ref="AV13:AV19" si="39">IF(AO13="","",IF(AND(AO13="O",AP13="O",AR13="O",AT13="O",AU13="O"),"후보","X"))</f>
        <v/>
      </c>
    </row>
    <row r="14" spans="1:48" x14ac:dyDescent="0.3">
      <c r="A14" s="9" t="s">
        <v>1245</v>
      </c>
      <c r="B14" s="10" t="s">
        <v>1893</v>
      </c>
      <c r="C14" s="87">
        <v>712</v>
      </c>
      <c r="D14" s="85">
        <v>162.5</v>
      </c>
      <c r="E14" s="86">
        <v>49</v>
      </c>
      <c r="F14" s="85">
        <v>131.19999999999999</v>
      </c>
      <c r="G14" s="17">
        <v>40</v>
      </c>
      <c r="H14" s="87">
        <v>90</v>
      </c>
      <c r="I14" s="88"/>
      <c r="J14" s="88"/>
      <c r="K14" s="88"/>
      <c r="L14" s="88"/>
      <c r="M14" s="89">
        <f t="shared" si="21"/>
        <v>0</v>
      </c>
      <c r="N14" s="4" t="str">
        <f t="shared" si="22"/>
        <v/>
      </c>
      <c r="O14" s="90">
        <f t="shared" si="23"/>
        <v>0</v>
      </c>
      <c r="P14" s="90">
        <f t="shared" si="24"/>
        <v>0</v>
      </c>
      <c r="Q14" s="76">
        <v>4</v>
      </c>
      <c r="R14" s="76">
        <v>2</v>
      </c>
      <c r="S14" s="76" t="s">
        <v>68</v>
      </c>
      <c r="T14" s="5">
        <v>162</v>
      </c>
      <c r="U14" s="9"/>
      <c r="W14" s="85">
        <f t="shared" si="25"/>
        <v>162.5</v>
      </c>
      <c r="X14" s="86">
        <f t="shared" si="25"/>
        <v>49</v>
      </c>
      <c r="Y14" s="91">
        <f t="shared" si="26"/>
        <v>90</v>
      </c>
      <c r="Z14" s="89">
        <f t="shared" si="26"/>
        <v>0</v>
      </c>
      <c r="AA14" s="89">
        <f t="shared" si="27"/>
        <v>0</v>
      </c>
      <c r="AB14" s="89">
        <f t="shared" si="28"/>
        <v>0</v>
      </c>
      <c r="AC14" s="4" t="str">
        <f t="shared" si="28"/>
        <v/>
      </c>
      <c r="AD14" s="90">
        <f t="shared" si="28"/>
        <v>0</v>
      </c>
      <c r="AE14" s="76" t="str">
        <f t="shared" si="29"/>
        <v>복</v>
      </c>
      <c r="AF14" s="76" t="str">
        <f t="shared" si="30"/>
        <v>4/2</v>
      </c>
      <c r="AH14" s="20" t="str">
        <f t="shared" si="1"/>
        <v>전주태평SK뷰</v>
      </c>
      <c r="AI14" s="86">
        <f t="shared" si="0"/>
        <v>49</v>
      </c>
      <c r="AJ14" s="76" t="str">
        <f t="shared" si="31"/>
        <v>A-</v>
      </c>
      <c r="AK14" s="76" t="s">
        <v>13</v>
      </c>
      <c r="AL14" s="76" t="s">
        <v>62</v>
      </c>
      <c r="AM14" s="76" t="s">
        <v>63</v>
      </c>
      <c r="AN14" s="76" t="str">
        <f t="shared" si="32"/>
        <v>C</v>
      </c>
      <c r="AO14" s="76" t="str">
        <f t="shared" si="33"/>
        <v/>
      </c>
      <c r="AP14" s="76" t="str">
        <f t="shared" si="34"/>
        <v/>
      </c>
      <c r="AQ14" s="76" t="str">
        <f t="shared" si="35"/>
        <v>O</v>
      </c>
      <c r="AR14" s="76" t="str">
        <f t="shared" si="36"/>
        <v>O</v>
      </c>
      <c r="AS14" s="76" t="s">
        <v>2</v>
      </c>
      <c r="AT14" s="76" t="str">
        <f t="shared" si="37"/>
        <v>X</v>
      </c>
      <c r="AU14" s="76" t="str">
        <f t="shared" si="38"/>
        <v>O</v>
      </c>
      <c r="AV14" s="76" t="str">
        <f t="shared" si="39"/>
        <v/>
      </c>
    </row>
    <row r="15" spans="1:48" x14ac:dyDescent="0.3">
      <c r="A15" s="9" t="s">
        <v>1245</v>
      </c>
      <c r="B15" s="10" t="s">
        <v>1893</v>
      </c>
      <c r="C15" s="87">
        <v>712</v>
      </c>
      <c r="D15" s="85">
        <v>164.9</v>
      </c>
      <c r="E15" s="86">
        <v>50</v>
      </c>
      <c r="F15" s="85">
        <v>135.69999999999999</v>
      </c>
      <c r="G15" s="17">
        <v>41</v>
      </c>
      <c r="H15" s="87">
        <v>204</v>
      </c>
      <c r="I15" s="88"/>
      <c r="J15" s="88"/>
      <c r="K15" s="88">
        <v>50000</v>
      </c>
      <c r="L15" s="88" t="s">
        <v>219</v>
      </c>
      <c r="M15" s="89">
        <f t="shared" si="21"/>
        <v>-50000</v>
      </c>
      <c r="N15" s="4" t="str">
        <f t="shared" si="22"/>
        <v/>
      </c>
      <c r="O15" s="90">
        <f t="shared" si="23"/>
        <v>0</v>
      </c>
      <c r="P15" s="90">
        <f t="shared" si="24"/>
        <v>1000</v>
      </c>
      <c r="Q15" s="76">
        <v>4</v>
      </c>
      <c r="R15" s="76">
        <v>2</v>
      </c>
      <c r="S15" s="76" t="s">
        <v>68</v>
      </c>
      <c r="T15" s="5">
        <v>164</v>
      </c>
      <c r="U15" s="9"/>
      <c r="W15" s="85">
        <f t="shared" si="25"/>
        <v>164.9</v>
      </c>
      <c r="X15" s="86">
        <f t="shared" si="25"/>
        <v>50</v>
      </c>
      <c r="Y15" s="91">
        <f t="shared" si="26"/>
        <v>204</v>
      </c>
      <c r="Z15" s="89">
        <f t="shared" si="26"/>
        <v>0</v>
      </c>
      <c r="AA15" s="89">
        <f t="shared" si="27"/>
        <v>50000</v>
      </c>
      <c r="AB15" s="89">
        <f t="shared" si="28"/>
        <v>-50000</v>
      </c>
      <c r="AC15" s="4" t="str">
        <f t="shared" si="28"/>
        <v/>
      </c>
      <c r="AD15" s="90">
        <f t="shared" si="28"/>
        <v>0</v>
      </c>
      <c r="AE15" s="76" t="str">
        <f t="shared" si="29"/>
        <v>복</v>
      </c>
      <c r="AF15" s="76" t="str">
        <f t="shared" si="30"/>
        <v>4/2</v>
      </c>
      <c r="AH15" s="20" t="str">
        <f t="shared" si="1"/>
        <v>전주태평SK뷰</v>
      </c>
      <c r="AI15" s="86">
        <f t="shared" si="0"/>
        <v>50</v>
      </c>
      <c r="AJ15" s="76" t="str">
        <f t="shared" si="31"/>
        <v>A-</v>
      </c>
      <c r="AK15" s="76" t="s">
        <v>13</v>
      </c>
      <c r="AL15" s="76" t="s">
        <v>62</v>
      </c>
      <c r="AM15" s="76" t="s">
        <v>63</v>
      </c>
      <c r="AN15" s="76" t="str">
        <f t="shared" si="32"/>
        <v>C</v>
      </c>
      <c r="AO15" s="76" t="str">
        <f t="shared" si="33"/>
        <v/>
      </c>
      <c r="AP15" s="76" t="str">
        <f t="shared" si="34"/>
        <v/>
      </c>
      <c r="AQ15" s="76" t="str">
        <f t="shared" si="35"/>
        <v>O</v>
      </c>
      <c r="AR15" s="76" t="str">
        <f t="shared" si="36"/>
        <v>O</v>
      </c>
      <c r="AS15" s="76" t="s">
        <v>2</v>
      </c>
      <c r="AT15" s="76" t="str">
        <f t="shared" si="37"/>
        <v>X</v>
      </c>
      <c r="AU15" s="76" t="str">
        <f t="shared" si="38"/>
        <v>O</v>
      </c>
      <c r="AV15" s="76" t="str">
        <f t="shared" si="39"/>
        <v/>
      </c>
    </row>
    <row r="16" spans="1:48" x14ac:dyDescent="0.3">
      <c r="A16" s="9" t="s">
        <v>1245</v>
      </c>
      <c r="B16" s="10" t="s">
        <v>1893</v>
      </c>
      <c r="C16" s="87">
        <v>712</v>
      </c>
      <c r="D16" s="85">
        <v>197.3</v>
      </c>
      <c r="E16" s="86">
        <v>60</v>
      </c>
      <c r="F16" s="85">
        <v>164.1</v>
      </c>
      <c r="G16" s="17">
        <v>50</v>
      </c>
      <c r="H16" s="87">
        <v>130</v>
      </c>
      <c r="I16" s="88"/>
      <c r="J16" s="88"/>
      <c r="K16" s="88"/>
      <c r="L16" s="88"/>
      <c r="M16" s="89">
        <f t="shared" si="21"/>
        <v>0</v>
      </c>
      <c r="N16" s="4" t="str">
        <f t="shared" si="22"/>
        <v/>
      </c>
      <c r="O16" s="90">
        <f t="shared" si="23"/>
        <v>0</v>
      </c>
      <c r="P16" s="90">
        <f t="shared" si="24"/>
        <v>0</v>
      </c>
      <c r="Q16" s="76">
        <v>4</v>
      </c>
      <c r="R16" s="76">
        <v>2</v>
      </c>
      <c r="S16" s="76" t="s">
        <v>68</v>
      </c>
      <c r="T16" s="5">
        <v>197</v>
      </c>
      <c r="U16" s="9"/>
      <c r="W16" s="85">
        <f t="shared" si="25"/>
        <v>197.3</v>
      </c>
      <c r="X16" s="86">
        <f t="shared" si="25"/>
        <v>60</v>
      </c>
      <c r="Y16" s="91">
        <f t="shared" si="26"/>
        <v>130</v>
      </c>
      <c r="Z16" s="89">
        <f t="shared" si="26"/>
        <v>0</v>
      </c>
      <c r="AA16" s="89">
        <f t="shared" si="27"/>
        <v>0</v>
      </c>
      <c r="AB16" s="89">
        <f t="shared" si="28"/>
        <v>0</v>
      </c>
      <c r="AC16" s="4" t="str">
        <f t="shared" si="28"/>
        <v/>
      </c>
      <c r="AD16" s="90">
        <f t="shared" si="28"/>
        <v>0</v>
      </c>
      <c r="AE16" s="76" t="str">
        <f t="shared" si="29"/>
        <v>복</v>
      </c>
      <c r="AF16" s="76" t="str">
        <f t="shared" si="30"/>
        <v>4/2</v>
      </c>
      <c r="AH16" s="20" t="str">
        <f t="shared" si="1"/>
        <v>전주태평SK뷰</v>
      </c>
      <c r="AI16" s="86">
        <f t="shared" si="0"/>
        <v>60</v>
      </c>
      <c r="AJ16" s="76" t="str">
        <f t="shared" si="31"/>
        <v>A-</v>
      </c>
      <c r="AK16" s="76" t="s">
        <v>13</v>
      </c>
      <c r="AL16" s="76" t="s">
        <v>62</v>
      </c>
      <c r="AM16" s="76" t="s">
        <v>63</v>
      </c>
      <c r="AN16" s="76" t="str">
        <f t="shared" si="32"/>
        <v>C</v>
      </c>
      <c r="AO16" s="76" t="str">
        <f t="shared" si="33"/>
        <v/>
      </c>
      <c r="AP16" s="76" t="str">
        <f t="shared" si="34"/>
        <v/>
      </c>
      <c r="AQ16" s="76" t="str">
        <f t="shared" si="35"/>
        <v>O</v>
      </c>
      <c r="AR16" s="76" t="str">
        <f t="shared" si="36"/>
        <v>O</v>
      </c>
      <c r="AS16" s="76" t="s">
        <v>2</v>
      </c>
      <c r="AT16" s="76" t="str">
        <f t="shared" si="37"/>
        <v>X</v>
      </c>
      <c r="AU16" s="76" t="str">
        <f t="shared" si="38"/>
        <v>O</v>
      </c>
      <c r="AV16" s="76" t="str">
        <f t="shared" si="39"/>
        <v/>
      </c>
    </row>
    <row r="17" spans="1:48" x14ac:dyDescent="0.3">
      <c r="A17" s="9" t="s">
        <v>1245</v>
      </c>
      <c r="B17" s="10" t="s">
        <v>1893</v>
      </c>
      <c r="C17" s="87">
        <v>712</v>
      </c>
      <c r="D17" s="85">
        <v>229.2</v>
      </c>
      <c r="E17" s="86">
        <v>69</v>
      </c>
      <c r="F17" s="85">
        <v>189.8</v>
      </c>
      <c r="G17" s="17">
        <v>57</v>
      </c>
      <c r="H17" s="87">
        <v>172</v>
      </c>
      <c r="I17" s="88">
        <v>75000</v>
      </c>
      <c r="J17" s="88" t="s">
        <v>90</v>
      </c>
      <c r="K17" s="88"/>
      <c r="L17" s="88"/>
      <c r="M17" s="89">
        <f t="shared" si="21"/>
        <v>75000</v>
      </c>
      <c r="N17" s="4">
        <f t="shared" si="22"/>
        <v>0</v>
      </c>
      <c r="O17" s="90">
        <f t="shared" si="23"/>
        <v>1086.9565217391305</v>
      </c>
      <c r="P17" s="90">
        <f t="shared" si="24"/>
        <v>0</v>
      </c>
      <c r="Q17" s="76">
        <v>4</v>
      </c>
      <c r="R17" s="76">
        <v>3</v>
      </c>
      <c r="S17" s="76" t="s">
        <v>68</v>
      </c>
      <c r="T17" s="5">
        <v>229</v>
      </c>
      <c r="U17" s="9"/>
      <c r="W17" s="85">
        <f t="shared" si="25"/>
        <v>229.2</v>
      </c>
      <c r="X17" s="86">
        <f t="shared" si="25"/>
        <v>69</v>
      </c>
      <c r="Y17" s="91">
        <f t="shared" si="26"/>
        <v>172</v>
      </c>
      <c r="Z17" s="89">
        <f t="shared" si="26"/>
        <v>75000</v>
      </c>
      <c r="AA17" s="89">
        <f t="shared" si="27"/>
        <v>0</v>
      </c>
      <c r="AB17" s="89">
        <f t="shared" si="28"/>
        <v>75000</v>
      </c>
      <c r="AC17" s="4">
        <f t="shared" si="28"/>
        <v>0</v>
      </c>
      <c r="AD17" s="90">
        <f t="shared" si="28"/>
        <v>1086.9565217391305</v>
      </c>
      <c r="AE17" s="76" t="str">
        <f t="shared" si="29"/>
        <v>복</v>
      </c>
      <c r="AF17" s="76" t="str">
        <f t="shared" si="30"/>
        <v>4/3</v>
      </c>
      <c r="AH17" s="20" t="str">
        <f t="shared" si="1"/>
        <v>전주태평SK뷰</v>
      </c>
      <c r="AI17" s="86">
        <f t="shared" si="0"/>
        <v>69</v>
      </c>
      <c r="AJ17" s="76" t="str">
        <f t="shared" si="31"/>
        <v>A-</v>
      </c>
      <c r="AK17" s="76" t="s">
        <v>13</v>
      </c>
      <c r="AL17" s="76" t="s">
        <v>62</v>
      </c>
      <c r="AM17" s="76" t="s">
        <v>63</v>
      </c>
      <c r="AN17" s="76" t="str">
        <f t="shared" si="32"/>
        <v>C</v>
      </c>
      <c r="AO17" s="76" t="str">
        <f t="shared" si="33"/>
        <v>X</v>
      </c>
      <c r="AP17" s="76" t="str">
        <f t="shared" si="34"/>
        <v>X</v>
      </c>
      <c r="AQ17" s="76" t="str">
        <f t="shared" si="35"/>
        <v>O</v>
      </c>
      <c r="AR17" s="76" t="str">
        <f t="shared" si="36"/>
        <v>X</v>
      </c>
      <c r="AS17" s="76" t="s">
        <v>2</v>
      </c>
      <c r="AT17" s="76" t="str">
        <f t="shared" si="37"/>
        <v>X</v>
      </c>
      <c r="AU17" s="76" t="str">
        <f t="shared" si="38"/>
        <v>O</v>
      </c>
      <c r="AV17" s="76" t="str">
        <f t="shared" si="39"/>
        <v>X</v>
      </c>
    </row>
    <row r="18" spans="1:48" x14ac:dyDescent="0.3">
      <c r="A18" s="9" t="s">
        <v>1245</v>
      </c>
      <c r="B18" s="10" t="s">
        <v>1893</v>
      </c>
      <c r="C18" s="87">
        <v>712</v>
      </c>
      <c r="D18" s="85">
        <v>256.39999999999998</v>
      </c>
      <c r="E18" s="86">
        <v>78</v>
      </c>
      <c r="F18" s="85">
        <v>205.8</v>
      </c>
      <c r="G18" s="17">
        <v>62</v>
      </c>
      <c r="H18" s="87">
        <v>34</v>
      </c>
      <c r="I18" s="88">
        <v>95000</v>
      </c>
      <c r="J18" s="88" t="s">
        <v>89</v>
      </c>
      <c r="K18" s="88"/>
      <c r="L18" s="88"/>
      <c r="M18" s="89">
        <f t="shared" si="21"/>
        <v>95000</v>
      </c>
      <c r="N18" s="4">
        <f t="shared" si="22"/>
        <v>0</v>
      </c>
      <c r="O18" s="90">
        <f t="shared" si="23"/>
        <v>1217.948717948718</v>
      </c>
      <c r="P18" s="90">
        <f t="shared" si="24"/>
        <v>0</v>
      </c>
      <c r="Q18" s="76">
        <v>4</v>
      </c>
      <c r="R18" s="76">
        <v>3</v>
      </c>
      <c r="S18" s="76" t="s">
        <v>68</v>
      </c>
      <c r="T18" s="5">
        <v>256</v>
      </c>
      <c r="U18" s="9"/>
      <c r="W18" s="85">
        <f t="shared" si="25"/>
        <v>256.39999999999998</v>
      </c>
      <c r="X18" s="86">
        <f t="shared" si="25"/>
        <v>78</v>
      </c>
      <c r="Y18" s="91">
        <f t="shared" si="26"/>
        <v>34</v>
      </c>
      <c r="Z18" s="89">
        <f t="shared" si="26"/>
        <v>95000</v>
      </c>
      <c r="AA18" s="89">
        <f t="shared" si="27"/>
        <v>0</v>
      </c>
      <c r="AB18" s="89">
        <f t="shared" si="28"/>
        <v>95000</v>
      </c>
      <c r="AC18" s="4">
        <f t="shared" si="28"/>
        <v>0</v>
      </c>
      <c r="AD18" s="90">
        <f t="shared" si="28"/>
        <v>1217.948717948718</v>
      </c>
      <c r="AE18" s="76" t="str">
        <f t="shared" si="29"/>
        <v>복</v>
      </c>
      <c r="AF18" s="76" t="str">
        <f t="shared" si="30"/>
        <v>4/3</v>
      </c>
      <c r="AH18" s="20" t="str">
        <f t="shared" si="1"/>
        <v>전주태평SK뷰</v>
      </c>
      <c r="AI18" s="86">
        <f t="shared" si="0"/>
        <v>78</v>
      </c>
      <c r="AJ18" s="76" t="str">
        <f t="shared" si="31"/>
        <v>A-</v>
      </c>
      <c r="AK18" s="76" t="s">
        <v>13</v>
      </c>
      <c r="AL18" s="76" t="s">
        <v>62</v>
      </c>
      <c r="AM18" s="76" t="s">
        <v>63</v>
      </c>
      <c r="AN18" s="76" t="str">
        <f t="shared" si="32"/>
        <v>C</v>
      </c>
      <c r="AO18" s="76" t="str">
        <f t="shared" si="33"/>
        <v>X</v>
      </c>
      <c r="AP18" s="76" t="str">
        <f t="shared" si="34"/>
        <v>X</v>
      </c>
      <c r="AQ18" s="76" t="str">
        <f t="shared" si="35"/>
        <v>O</v>
      </c>
      <c r="AR18" s="76" t="str">
        <f t="shared" si="36"/>
        <v>X</v>
      </c>
      <c r="AS18" s="76" t="s">
        <v>2</v>
      </c>
      <c r="AT18" s="76" t="str">
        <f t="shared" si="37"/>
        <v>X</v>
      </c>
      <c r="AU18" s="76" t="str">
        <f t="shared" si="38"/>
        <v>O</v>
      </c>
      <c r="AV18" s="76" t="str">
        <f t="shared" si="39"/>
        <v>X</v>
      </c>
    </row>
    <row r="19" spans="1:48" x14ac:dyDescent="0.3">
      <c r="A19" s="9" t="s">
        <v>1245</v>
      </c>
      <c r="B19" s="10" t="s">
        <v>1893</v>
      </c>
      <c r="C19" s="87">
        <v>712</v>
      </c>
      <c r="D19" s="85">
        <v>296.60000000000002</v>
      </c>
      <c r="E19" s="86">
        <v>90</v>
      </c>
      <c r="F19" s="85">
        <v>235.1</v>
      </c>
      <c r="G19" s="17">
        <v>71</v>
      </c>
      <c r="H19" s="87">
        <v>6</v>
      </c>
      <c r="I19" s="88"/>
      <c r="J19" s="88"/>
      <c r="K19" s="88"/>
      <c r="L19" s="88"/>
      <c r="M19" s="89">
        <f t="shared" si="21"/>
        <v>0</v>
      </c>
      <c r="N19" s="4" t="str">
        <f t="shared" si="22"/>
        <v/>
      </c>
      <c r="O19" s="90">
        <f t="shared" si="23"/>
        <v>0</v>
      </c>
      <c r="P19" s="90">
        <f t="shared" si="24"/>
        <v>0</v>
      </c>
      <c r="Q19" s="76">
        <v>4</v>
      </c>
      <c r="R19" s="76">
        <v>3</v>
      </c>
      <c r="S19" s="76" t="s">
        <v>68</v>
      </c>
      <c r="T19" s="5">
        <v>296</v>
      </c>
      <c r="U19" s="9"/>
      <c r="W19" s="85">
        <f t="shared" si="25"/>
        <v>296.60000000000002</v>
      </c>
      <c r="X19" s="86">
        <f t="shared" si="25"/>
        <v>90</v>
      </c>
      <c r="Y19" s="91">
        <f t="shared" si="26"/>
        <v>6</v>
      </c>
      <c r="Z19" s="89">
        <f t="shared" si="26"/>
        <v>0</v>
      </c>
      <c r="AA19" s="89">
        <f t="shared" si="27"/>
        <v>0</v>
      </c>
      <c r="AB19" s="89">
        <f t="shared" si="28"/>
        <v>0</v>
      </c>
      <c r="AC19" s="4" t="str">
        <f t="shared" si="28"/>
        <v/>
      </c>
      <c r="AD19" s="90">
        <f t="shared" si="28"/>
        <v>0</v>
      </c>
      <c r="AE19" s="76" t="str">
        <f t="shared" si="29"/>
        <v>복</v>
      </c>
      <c r="AF19" s="76" t="str">
        <f t="shared" si="30"/>
        <v>4/3</v>
      </c>
      <c r="AH19" s="20" t="str">
        <f t="shared" si="1"/>
        <v>전주태평SK뷰</v>
      </c>
      <c r="AI19" s="86">
        <f t="shared" si="0"/>
        <v>90</v>
      </c>
      <c r="AJ19" s="76" t="str">
        <f t="shared" si="31"/>
        <v>A-</v>
      </c>
      <c r="AK19" s="76" t="s">
        <v>13</v>
      </c>
      <c r="AL19" s="76" t="s">
        <v>62</v>
      </c>
      <c r="AM19" s="76" t="s">
        <v>63</v>
      </c>
      <c r="AN19" s="76" t="str">
        <f t="shared" si="32"/>
        <v>C</v>
      </c>
      <c r="AO19" s="76" t="str">
        <f t="shared" si="33"/>
        <v/>
      </c>
      <c r="AP19" s="76" t="str">
        <f t="shared" si="34"/>
        <v/>
      </c>
      <c r="AQ19" s="76" t="str">
        <f t="shared" si="35"/>
        <v>O</v>
      </c>
      <c r="AR19" s="76" t="str">
        <f t="shared" si="36"/>
        <v>O</v>
      </c>
      <c r="AS19" s="76" t="s">
        <v>2</v>
      </c>
      <c r="AT19" s="76" t="str">
        <f t="shared" si="37"/>
        <v>X</v>
      </c>
      <c r="AU19" s="76" t="str">
        <f t="shared" si="38"/>
        <v>O</v>
      </c>
      <c r="AV19" s="76" t="str">
        <f t="shared" si="39"/>
        <v/>
      </c>
    </row>
  </sheetData>
  <mergeCells count="1">
    <mergeCell ref="AJ1:AN1"/>
  </mergeCells>
  <phoneticPr fontId="2" type="noConversion"/>
  <conditionalFormatting sqref="AV4:AV6">
    <cfRule type="expression" dxfId="16173" priority="253">
      <formula>AV4="X"</formula>
    </cfRule>
    <cfRule type="expression" dxfId="16172" priority="254">
      <formula>AV4="후보"</formula>
    </cfRule>
  </conditionalFormatting>
  <conditionalFormatting sqref="AC1:AC2 AC4:AC6 N4:N5">
    <cfRule type="cellIs" dxfId="16171" priority="250" operator="greaterThan">
      <formula>0.9</formula>
    </cfRule>
    <cfRule type="cellIs" dxfId="16170" priority="251" operator="greaterThan">
      <formula>0.85</formula>
    </cfRule>
  </conditionalFormatting>
  <conditionalFormatting sqref="N1:N2">
    <cfRule type="cellIs" dxfId="16169" priority="248" operator="greaterThan">
      <formula>0.9</formula>
    </cfRule>
    <cfRule type="cellIs" dxfId="16168" priority="249" operator="greaterThan">
      <formula>0.85</formula>
    </cfRule>
  </conditionalFormatting>
  <conditionalFormatting sqref="N6">
    <cfRule type="cellIs" dxfId="16167" priority="246" operator="greaterThan">
      <formula>0.9</formula>
    </cfRule>
    <cfRule type="cellIs" dxfId="16166" priority="247" operator="greaterThan">
      <formula>0.85</formula>
    </cfRule>
  </conditionalFormatting>
  <conditionalFormatting sqref="E6">
    <cfRule type="expression" dxfId="16165" priority="242">
      <formula>AND(IF(OR($Q6=1,$Q6=2),1,0),IF($X6&lt;=20,1,0))</formula>
    </cfRule>
    <cfRule type="expression" dxfId="16164" priority="243">
      <formula>AND(IF($Q6=2,1,0),IF($X6&lt;30,1,0))</formula>
    </cfRule>
    <cfRule type="expression" dxfId="16163" priority="244">
      <formula>AND(IF($Q6=3,1,0),IF($X6&lt;30,1,0))</formula>
    </cfRule>
    <cfRule type="expression" dxfId="16162" priority="245">
      <formula>AND(IF($Q6=3,1,IF($Q6=4,1,0)),IF($F6&lt;=85,1,0))</formula>
    </cfRule>
  </conditionalFormatting>
  <conditionalFormatting sqref="X6">
    <cfRule type="expression" dxfId="16161" priority="238">
      <formula>AND(IF(OR($Q6=1,$Q6=2),1,0),IF($X6&lt;=20,1,0))</formula>
    </cfRule>
    <cfRule type="expression" dxfId="16160" priority="239">
      <formula>AND(IF($Q6=2,1,0),IF($X6&lt;30,1,0))</formula>
    </cfRule>
    <cfRule type="expression" dxfId="16159" priority="240">
      <formula>AND(IF($Q6=3,1,0),IF($X6&lt;30,1,0))</formula>
    </cfRule>
    <cfRule type="expression" dxfId="16158" priority="241">
      <formula>AND(IF($Q6=3,1,IF($Q6=4,1,0)),IF($F6&lt;=85,1,0))</formula>
    </cfRule>
  </conditionalFormatting>
  <conditionalFormatting sqref="AI6">
    <cfRule type="expression" dxfId="16157" priority="234">
      <formula>AND(IF(OR($Q6=1,$Q6=2),1,0),IF($X6&lt;=20,1,0))</formula>
    </cfRule>
    <cfRule type="expression" dxfId="16156" priority="235">
      <formula>AND(IF($Q6=2,1,0),IF($X6&lt;30,1,0))</formula>
    </cfRule>
    <cfRule type="expression" dxfId="16155" priority="236">
      <formula>AND(IF($Q6=3,1,0),IF($X6&lt;30,1,0))</formula>
    </cfRule>
    <cfRule type="expression" dxfId="16154" priority="237">
      <formula>AND(IF($Q6=3,1,IF($Q6=4,1,0)),IF($F6&lt;=85,1,0))</formula>
    </cfRule>
  </conditionalFormatting>
  <conditionalFormatting sqref="AV7">
    <cfRule type="expression" dxfId="16153" priority="232">
      <formula>AV7="X"</formula>
    </cfRule>
    <cfRule type="expression" dxfId="16152" priority="233">
      <formula>AV7="후보"</formula>
    </cfRule>
  </conditionalFormatting>
  <conditionalFormatting sqref="AC7">
    <cfRule type="cellIs" dxfId="16151" priority="229" operator="greaterThan">
      <formula>0.9</formula>
    </cfRule>
    <cfRule type="cellIs" dxfId="16150" priority="230" operator="greaterThan">
      <formula>0.85</formula>
    </cfRule>
  </conditionalFormatting>
  <conditionalFormatting sqref="N7">
    <cfRule type="cellIs" dxfId="16149" priority="227" operator="greaterThan">
      <formula>0.9</formula>
    </cfRule>
    <cfRule type="cellIs" dxfId="16148" priority="228" operator="greaterThan">
      <formula>0.85</formula>
    </cfRule>
  </conditionalFormatting>
  <conditionalFormatting sqref="E7">
    <cfRule type="expression" dxfId="16147" priority="223">
      <formula>AND(IF(OR($Q7=1,$Q7=2),1,0),IF($X7&lt;=20,1,0))</formula>
    </cfRule>
    <cfRule type="expression" dxfId="16146" priority="224">
      <formula>AND(IF($Q7=2,1,0),IF($X7&lt;30,1,0))</formula>
    </cfRule>
    <cfRule type="expression" dxfId="16145" priority="225">
      <formula>AND(IF($Q7=3,1,0),IF($X7&lt;30,1,0))</formula>
    </cfRule>
    <cfRule type="expression" dxfId="16144" priority="226">
      <formula>AND(IF($Q7=3,1,IF($Q7=4,1,0)),IF($F7&lt;=85,1,0))</formula>
    </cfRule>
  </conditionalFormatting>
  <conditionalFormatting sqref="X7">
    <cfRule type="expression" dxfId="16143" priority="219">
      <formula>AND(IF(OR($Q7=1,$Q7=2),1,0),IF($X7&lt;=20,1,0))</formula>
    </cfRule>
    <cfRule type="expression" dxfId="16142" priority="220">
      <formula>AND(IF($Q7=2,1,0),IF($X7&lt;30,1,0))</formula>
    </cfRule>
    <cfRule type="expression" dxfId="16141" priority="221">
      <formula>AND(IF($Q7=3,1,0),IF($X7&lt;30,1,0))</formula>
    </cfRule>
    <cfRule type="expression" dxfId="16140" priority="222">
      <formula>AND(IF($Q7=3,1,IF($Q7=4,1,0)),IF($F7&lt;=85,1,0))</formula>
    </cfRule>
  </conditionalFormatting>
  <conditionalFormatting sqref="AI7">
    <cfRule type="expression" dxfId="16139" priority="215">
      <formula>AND(IF(OR($Q7=1,$Q7=2),1,0),IF($X7&lt;=20,1,0))</formula>
    </cfRule>
    <cfRule type="expression" dxfId="16138" priority="216">
      <formula>AND(IF($Q7=2,1,0),IF($X7&lt;30,1,0))</formula>
    </cfRule>
    <cfRule type="expression" dxfId="16137" priority="217">
      <formula>AND(IF($Q7=3,1,0),IF($X7&lt;30,1,0))</formula>
    </cfRule>
    <cfRule type="expression" dxfId="16136" priority="218">
      <formula>AND(IF($Q7=3,1,IF($Q7=4,1,0)),IF($F7&lt;=85,1,0))</formula>
    </cfRule>
  </conditionalFormatting>
  <conditionalFormatting sqref="AV8">
    <cfRule type="expression" dxfId="16135" priority="213">
      <formula>AV8="X"</formula>
    </cfRule>
    <cfRule type="expression" dxfId="16134" priority="214">
      <formula>AV8="후보"</formula>
    </cfRule>
  </conditionalFormatting>
  <conditionalFormatting sqref="AC8">
    <cfRule type="cellIs" dxfId="16133" priority="210" operator="greaterThan">
      <formula>0.9</formula>
    </cfRule>
    <cfRule type="cellIs" dxfId="16132" priority="211" operator="greaterThan">
      <formula>0.85</formula>
    </cfRule>
  </conditionalFormatting>
  <conditionalFormatting sqref="N8">
    <cfRule type="cellIs" dxfId="16131" priority="208" operator="greaterThan">
      <formula>0.9</formula>
    </cfRule>
    <cfRule type="cellIs" dxfId="16130" priority="209" operator="greaterThan">
      <formula>0.85</formula>
    </cfRule>
  </conditionalFormatting>
  <conditionalFormatting sqref="E8">
    <cfRule type="expression" dxfId="16129" priority="204">
      <formula>AND(IF(OR($Q8=1,$Q8=2),1,0),IF($X8&lt;=20,1,0))</formula>
    </cfRule>
    <cfRule type="expression" dxfId="16128" priority="205">
      <formula>AND(IF($Q8=2,1,0),IF($X8&lt;30,1,0))</formula>
    </cfRule>
    <cfRule type="expression" dxfId="16127" priority="206">
      <formula>AND(IF($Q8=3,1,0),IF($X8&lt;30,1,0))</formula>
    </cfRule>
    <cfRule type="expression" dxfId="16126" priority="207">
      <formula>AND(IF($Q8=3,1,IF($Q8=4,1,0)),IF($F8&lt;=85,1,0))</formula>
    </cfRule>
  </conditionalFormatting>
  <conditionalFormatting sqref="X8">
    <cfRule type="expression" dxfId="16125" priority="200">
      <formula>AND(IF(OR($Q8=1,$Q8=2),1,0),IF($X8&lt;=20,1,0))</formula>
    </cfRule>
    <cfRule type="expression" dxfId="16124" priority="201">
      <formula>AND(IF($Q8=2,1,0),IF($X8&lt;30,1,0))</formula>
    </cfRule>
    <cfRule type="expression" dxfId="16123" priority="202">
      <formula>AND(IF($Q8=3,1,0),IF($X8&lt;30,1,0))</formula>
    </cfRule>
    <cfRule type="expression" dxfId="16122" priority="203">
      <formula>AND(IF($Q8=3,1,IF($Q8=4,1,0)),IF($F8&lt;=85,1,0))</formula>
    </cfRule>
  </conditionalFormatting>
  <conditionalFormatting sqref="AI8">
    <cfRule type="expression" dxfId="16121" priority="196">
      <formula>AND(IF(OR($Q8=1,$Q8=2),1,0),IF($X8&lt;=20,1,0))</formula>
    </cfRule>
    <cfRule type="expression" dxfId="16120" priority="197">
      <formula>AND(IF($Q8=2,1,0),IF($X8&lt;30,1,0))</formula>
    </cfRule>
    <cfRule type="expression" dxfId="16119" priority="198">
      <formula>AND(IF($Q8=3,1,0),IF($X8&lt;30,1,0))</formula>
    </cfRule>
    <cfRule type="expression" dxfId="16118" priority="199">
      <formula>AND(IF($Q8=3,1,IF($Q8=4,1,0)),IF($F8&lt;=85,1,0))</formula>
    </cfRule>
  </conditionalFormatting>
  <conditionalFormatting sqref="AV9">
    <cfRule type="expression" dxfId="16117" priority="194">
      <formula>AV9="X"</formula>
    </cfRule>
    <cfRule type="expression" dxfId="16116" priority="195">
      <formula>AV9="후보"</formula>
    </cfRule>
  </conditionalFormatting>
  <conditionalFormatting sqref="AC9">
    <cfRule type="cellIs" dxfId="16115" priority="191" operator="greaterThan">
      <formula>0.9</formula>
    </cfRule>
    <cfRule type="cellIs" dxfId="16114" priority="192" operator="greaterThan">
      <formula>0.85</formula>
    </cfRule>
  </conditionalFormatting>
  <conditionalFormatting sqref="N9">
    <cfRule type="cellIs" dxfId="16113" priority="189" operator="greaterThan">
      <formula>0.9</formula>
    </cfRule>
    <cfRule type="cellIs" dxfId="16112" priority="190" operator="greaterThan">
      <formula>0.85</formula>
    </cfRule>
  </conditionalFormatting>
  <conditionalFormatting sqref="E9">
    <cfRule type="expression" dxfId="16111" priority="185">
      <formula>AND(IF(OR($Q9=1,$Q9=2),1,0),IF($X9&lt;=20,1,0))</formula>
    </cfRule>
    <cfRule type="expression" dxfId="16110" priority="186">
      <formula>AND(IF($Q9=2,1,0),IF($X9&lt;30,1,0))</formula>
    </cfRule>
    <cfRule type="expression" dxfId="16109" priority="187">
      <formula>AND(IF($Q9=3,1,0),IF($X9&lt;30,1,0))</formula>
    </cfRule>
    <cfRule type="expression" dxfId="16108" priority="188">
      <formula>AND(IF($Q9=3,1,IF($Q9=4,1,0)),IF($F9&lt;=85,1,0))</formula>
    </cfRule>
  </conditionalFormatting>
  <conditionalFormatting sqref="X9">
    <cfRule type="expression" dxfId="16107" priority="181">
      <formula>AND(IF(OR($Q9=1,$Q9=2),1,0),IF($X9&lt;=20,1,0))</formula>
    </cfRule>
    <cfRule type="expression" dxfId="16106" priority="182">
      <formula>AND(IF($Q9=2,1,0),IF($X9&lt;30,1,0))</formula>
    </cfRule>
    <cfRule type="expression" dxfId="16105" priority="183">
      <formula>AND(IF($Q9=3,1,0),IF($X9&lt;30,1,0))</formula>
    </cfRule>
    <cfRule type="expression" dxfId="16104" priority="184">
      <formula>AND(IF($Q9=3,1,IF($Q9=4,1,0)),IF($F9&lt;=85,1,0))</formula>
    </cfRule>
  </conditionalFormatting>
  <conditionalFormatting sqref="AI9">
    <cfRule type="expression" dxfId="16103" priority="177">
      <formula>AND(IF(OR($Q9=1,$Q9=2),1,0),IF($X9&lt;=20,1,0))</formula>
    </cfRule>
    <cfRule type="expression" dxfId="16102" priority="178">
      <formula>AND(IF($Q9=2,1,0),IF($X9&lt;30,1,0))</formula>
    </cfRule>
    <cfRule type="expression" dxfId="16101" priority="179">
      <formula>AND(IF($Q9=3,1,0),IF($X9&lt;30,1,0))</formula>
    </cfRule>
    <cfRule type="expression" dxfId="16100" priority="180">
      <formula>AND(IF($Q9=3,1,IF($Q9=4,1,0)),IF($F9&lt;=85,1,0))</formula>
    </cfRule>
  </conditionalFormatting>
  <conditionalFormatting sqref="AV10">
    <cfRule type="expression" dxfId="16099" priority="175">
      <formula>AV10="X"</formula>
    </cfRule>
    <cfRule type="expression" dxfId="16098" priority="176">
      <formula>AV10="후보"</formula>
    </cfRule>
  </conditionalFormatting>
  <conditionalFormatting sqref="AC10">
    <cfRule type="cellIs" dxfId="16097" priority="172" operator="greaterThan">
      <formula>0.9</formula>
    </cfRule>
    <cfRule type="cellIs" dxfId="16096" priority="173" operator="greaterThan">
      <formula>0.85</formula>
    </cfRule>
  </conditionalFormatting>
  <conditionalFormatting sqref="N10">
    <cfRule type="cellIs" dxfId="16095" priority="170" operator="greaterThan">
      <formula>0.9</formula>
    </cfRule>
    <cfRule type="cellIs" dxfId="16094" priority="171" operator="greaterThan">
      <formula>0.85</formula>
    </cfRule>
  </conditionalFormatting>
  <conditionalFormatting sqref="E10">
    <cfRule type="expression" dxfId="16093" priority="166">
      <formula>AND(IF(OR($Q10=1,$Q10=2),1,0),IF($X10&lt;=20,1,0))</formula>
    </cfRule>
    <cfRule type="expression" dxfId="16092" priority="167">
      <formula>AND(IF($Q10=2,1,0),IF($X10&lt;30,1,0))</formula>
    </cfRule>
    <cfRule type="expression" dxfId="16091" priority="168">
      <formula>AND(IF($Q10=3,1,0),IF($X10&lt;30,1,0))</formula>
    </cfRule>
    <cfRule type="expression" dxfId="16090" priority="169">
      <formula>AND(IF($Q10=3,1,IF($Q10=4,1,0)),IF($F10&lt;=85,1,0))</formula>
    </cfRule>
  </conditionalFormatting>
  <conditionalFormatting sqref="X10">
    <cfRule type="expression" dxfId="16089" priority="162">
      <formula>AND(IF(OR($Q10=1,$Q10=2),1,0),IF($X10&lt;=20,1,0))</formula>
    </cfRule>
    <cfRule type="expression" dxfId="16088" priority="163">
      <formula>AND(IF($Q10=2,1,0),IF($X10&lt;30,1,0))</formula>
    </cfRule>
    <cfRule type="expression" dxfId="16087" priority="164">
      <formula>AND(IF($Q10=3,1,0),IF($X10&lt;30,1,0))</formula>
    </cfRule>
    <cfRule type="expression" dxfId="16086" priority="165">
      <formula>AND(IF($Q10=3,1,IF($Q10=4,1,0)),IF($F10&lt;=85,1,0))</formula>
    </cfRule>
  </conditionalFormatting>
  <conditionalFormatting sqref="AI10">
    <cfRule type="expression" dxfId="16085" priority="158">
      <formula>AND(IF(OR($Q10=1,$Q10=2),1,0),IF($X10&lt;=20,1,0))</formula>
    </cfRule>
    <cfRule type="expression" dxfId="16084" priority="159">
      <formula>AND(IF($Q10=2,1,0),IF($X10&lt;30,1,0))</formula>
    </cfRule>
    <cfRule type="expression" dxfId="16083" priority="160">
      <formula>AND(IF($Q10=3,1,0),IF($X10&lt;30,1,0))</formula>
    </cfRule>
    <cfRule type="expression" dxfId="16082" priority="161">
      <formula>AND(IF($Q10=3,1,IF($Q10=4,1,0)),IF($F10&lt;=85,1,0))</formula>
    </cfRule>
  </conditionalFormatting>
  <conditionalFormatting sqref="AV11">
    <cfRule type="expression" dxfId="16081" priority="156">
      <formula>AV11="X"</formula>
    </cfRule>
    <cfRule type="expression" dxfId="16080" priority="157">
      <formula>AV11="후보"</formula>
    </cfRule>
  </conditionalFormatting>
  <conditionalFormatting sqref="AC11">
    <cfRule type="cellIs" dxfId="16079" priority="153" operator="greaterThan">
      <formula>0.9</formula>
    </cfRule>
    <cfRule type="cellIs" dxfId="16078" priority="154" operator="greaterThan">
      <formula>0.85</formula>
    </cfRule>
  </conditionalFormatting>
  <conditionalFormatting sqref="N11">
    <cfRule type="cellIs" dxfId="16077" priority="151" operator="greaterThan">
      <formula>0.9</formula>
    </cfRule>
    <cfRule type="cellIs" dxfId="16076" priority="152" operator="greaterThan">
      <formula>0.85</formula>
    </cfRule>
  </conditionalFormatting>
  <conditionalFormatting sqref="E11">
    <cfRule type="expression" dxfId="16075" priority="147">
      <formula>AND(IF(OR($Q11=1,$Q11=2),1,0),IF($X11&lt;=20,1,0))</formula>
    </cfRule>
    <cfRule type="expression" dxfId="16074" priority="148">
      <formula>AND(IF($Q11=2,1,0),IF($X11&lt;30,1,0))</formula>
    </cfRule>
    <cfRule type="expression" dxfId="16073" priority="149">
      <formula>AND(IF($Q11=3,1,0),IF($X11&lt;30,1,0))</formula>
    </cfRule>
    <cfRule type="expression" dxfId="16072" priority="150">
      <formula>AND(IF($Q11=3,1,IF($Q11=4,1,0)),IF($F11&lt;=85,1,0))</formula>
    </cfRule>
  </conditionalFormatting>
  <conditionalFormatting sqref="X11">
    <cfRule type="expression" dxfId="16071" priority="143">
      <formula>AND(IF(OR($Q11=1,$Q11=2),1,0),IF($X11&lt;=20,1,0))</formula>
    </cfRule>
    <cfRule type="expression" dxfId="16070" priority="144">
      <formula>AND(IF($Q11=2,1,0),IF($X11&lt;30,1,0))</formula>
    </cfRule>
    <cfRule type="expression" dxfId="16069" priority="145">
      <formula>AND(IF($Q11=3,1,0),IF($X11&lt;30,1,0))</formula>
    </cfRule>
    <cfRule type="expression" dxfId="16068" priority="146">
      <formula>AND(IF($Q11=3,1,IF($Q11=4,1,0)),IF($F11&lt;=85,1,0))</formula>
    </cfRule>
  </conditionalFormatting>
  <conditionalFormatting sqref="AI11">
    <cfRule type="expression" dxfId="16067" priority="139">
      <formula>AND(IF(OR($Q11=1,$Q11=2),1,0),IF($X11&lt;=20,1,0))</formula>
    </cfRule>
    <cfRule type="expression" dxfId="16066" priority="140">
      <formula>AND(IF($Q11=2,1,0),IF($X11&lt;30,1,0))</formula>
    </cfRule>
    <cfRule type="expression" dxfId="16065" priority="141">
      <formula>AND(IF($Q11=3,1,0),IF($X11&lt;30,1,0))</formula>
    </cfRule>
    <cfRule type="expression" dxfId="16064" priority="142">
      <formula>AND(IF($Q11=3,1,IF($Q11=4,1,0)),IF($F11&lt;=85,1,0))</formula>
    </cfRule>
  </conditionalFormatting>
  <conditionalFormatting sqref="AV12">
    <cfRule type="expression" dxfId="16063" priority="137">
      <formula>AV12="X"</formula>
    </cfRule>
    <cfRule type="expression" dxfId="16062" priority="138">
      <formula>AV12="후보"</formula>
    </cfRule>
  </conditionalFormatting>
  <conditionalFormatting sqref="AC12 N12">
    <cfRule type="cellIs" dxfId="16061" priority="134" operator="greaterThan">
      <formula>0.9</formula>
    </cfRule>
    <cfRule type="cellIs" dxfId="16060" priority="135" operator="greaterThan">
      <formula>0.85</formula>
    </cfRule>
  </conditionalFormatting>
  <conditionalFormatting sqref="AV13">
    <cfRule type="expression" dxfId="16059" priority="132">
      <formula>AV13="X"</formula>
    </cfRule>
    <cfRule type="expression" dxfId="16058" priority="133">
      <formula>AV13="후보"</formula>
    </cfRule>
  </conditionalFormatting>
  <conditionalFormatting sqref="AC13">
    <cfRule type="cellIs" dxfId="16057" priority="129" operator="greaterThan">
      <formula>0.9</formula>
    </cfRule>
    <cfRule type="cellIs" dxfId="16056" priority="130" operator="greaterThan">
      <formula>0.85</formula>
    </cfRule>
  </conditionalFormatting>
  <conditionalFormatting sqref="N13">
    <cfRule type="cellIs" dxfId="16055" priority="127" operator="greaterThan">
      <formula>0.9</formula>
    </cfRule>
    <cfRule type="cellIs" dxfId="16054" priority="128" operator="greaterThan">
      <formula>0.85</formula>
    </cfRule>
  </conditionalFormatting>
  <conditionalFormatting sqref="E13">
    <cfRule type="expression" dxfId="16053" priority="123">
      <formula>AND(IF(OR($Q13=1,$Q13=2),1,0),IF($X13&lt;=20,1,0))</formula>
    </cfRule>
    <cfRule type="expression" dxfId="16052" priority="124">
      <formula>AND(IF($Q13=2,1,0),IF($X13&lt;30,1,0))</formula>
    </cfRule>
    <cfRule type="expression" dxfId="16051" priority="125">
      <formula>AND(IF($Q13=3,1,0),IF($X13&lt;30,1,0))</formula>
    </cfRule>
    <cfRule type="expression" dxfId="16050" priority="126">
      <formula>AND(IF($Q13=3,1,IF($Q13=4,1,0)),IF($F13&lt;=85,1,0))</formula>
    </cfRule>
  </conditionalFormatting>
  <conditionalFormatting sqref="X13">
    <cfRule type="expression" dxfId="16049" priority="119">
      <formula>AND(IF(OR($Q13=1,$Q13=2),1,0),IF($X13&lt;=20,1,0))</formula>
    </cfRule>
    <cfRule type="expression" dxfId="16048" priority="120">
      <formula>AND(IF($Q13=2,1,0),IF($X13&lt;30,1,0))</formula>
    </cfRule>
    <cfRule type="expression" dxfId="16047" priority="121">
      <formula>AND(IF($Q13=3,1,0),IF($X13&lt;30,1,0))</formula>
    </cfRule>
    <cfRule type="expression" dxfId="16046" priority="122">
      <formula>AND(IF($Q13=3,1,IF($Q13=4,1,0)),IF($F13&lt;=85,1,0))</formula>
    </cfRule>
  </conditionalFormatting>
  <conditionalFormatting sqref="AI13">
    <cfRule type="expression" dxfId="16045" priority="115">
      <formula>AND(IF(OR($Q13=1,$Q13=2),1,0),IF($X13&lt;=20,1,0))</formula>
    </cfRule>
    <cfRule type="expression" dxfId="16044" priority="116">
      <formula>AND(IF($Q13=2,1,0),IF($X13&lt;30,1,0))</formula>
    </cfRule>
    <cfRule type="expression" dxfId="16043" priority="117">
      <formula>AND(IF($Q13=3,1,0),IF($X13&lt;30,1,0))</formula>
    </cfRule>
    <cfRule type="expression" dxfId="16042" priority="118">
      <formula>AND(IF($Q13=3,1,IF($Q13=4,1,0)),IF($F13&lt;=85,1,0))</formula>
    </cfRule>
  </conditionalFormatting>
  <conditionalFormatting sqref="AV14">
    <cfRule type="expression" dxfId="16041" priority="113">
      <formula>AV14="X"</formula>
    </cfRule>
    <cfRule type="expression" dxfId="16040" priority="114">
      <formula>AV14="후보"</formula>
    </cfRule>
  </conditionalFormatting>
  <conditionalFormatting sqref="AC14">
    <cfRule type="cellIs" dxfId="16039" priority="110" operator="greaterThan">
      <formula>0.9</formula>
    </cfRule>
    <cfRule type="cellIs" dxfId="16038" priority="111" operator="greaterThan">
      <formula>0.85</formula>
    </cfRule>
  </conditionalFormatting>
  <conditionalFormatting sqref="N14">
    <cfRule type="cellIs" dxfId="16037" priority="108" operator="greaterThan">
      <formula>0.9</formula>
    </cfRule>
    <cfRule type="cellIs" dxfId="16036" priority="109" operator="greaterThan">
      <formula>0.85</formula>
    </cfRule>
  </conditionalFormatting>
  <conditionalFormatting sqref="E14">
    <cfRule type="expression" dxfId="16035" priority="104">
      <formula>AND(IF(OR($Q14=1,$Q14=2),1,0),IF($X14&lt;=20,1,0))</formula>
    </cfRule>
    <cfRule type="expression" dxfId="16034" priority="105">
      <formula>AND(IF($Q14=2,1,0),IF($X14&lt;30,1,0))</formula>
    </cfRule>
    <cfRule type="expression" dxfId="16033" priority="106">
      <formula>AND(IF($Q14=3,1,0),IF($X14&lt;30,1,0))</formula>
    </cfRule>
    <cfRule type="expression" dxfId="16032" priority="107">
      <formula>AND(IF($Q14=3,1,IF($Q14=4,1,0)),IF($F14&lt;=85,1,0))</formula>
    </cfRule>
  </conditionalFormatting>
  <conditionalFormatting sqref="X14">
    <cfRule type="expression" dxfId="16031" priority="100">
      <formula>AND(IF(OR($Q14=1,$Q14=2),1,0),IF($X14&lt;=20,1,0))</formula>
    </cfRule>
    <cfRule type="expression" dxfId="16030" priority="101">
      <formula>AND(IF($Q14=2,1,0),IF($X14&lt;30,1,0))</formula>
    </cfRule>
    <cfRule type="expression" dxfId="16029" priority="102">
      <formula>AND(IF($Q14=3,1,0),IF($X14&lt;30,1,0))</formula>
    </cfRule>
    <cfRule type="expression" dxfId="16028" priority="103">
      <formula>AND(IF($Q14=3,1,IF($Q14=4,1,0)),IF($F14&lt;=85,1,0))</formula>
    </cfRule>
  </conditionalFormatting>
  <conditionalFormatting sqref="AI14">
    <cfRule type="expression" dxfId="16027" priority="96">
      <formula>AND(IF(OR($Q14=1,$Q14=2),1,0),IF($X14&lt;=20,1,0))</formula>
    </cfRule>
    <cfRule type="expression" dxfId="16026" priority="97">
      <formula>AND(IF($Q14=2,1,0),IF($X14&lt;30,1,0))</formula>
    </cfRule>
    <cfRule type="expression" dxfId="16025" priority="98">
      <formula>AND(IF($Q14=3,1,0),IF($X14&lt;30,1,0))</formula>
    </cfRule>
    <cfRule type="expression" dxfId="16024" priority="99">
      <formula>AND(IF($Q14=3,1,IF($Q14=4,1,0)),IF($F14&lt;=85,1,0))</formula>
    </cfRule>
  </conditionalFormatting>
  <conditionalFormatting sqref="AV15">
    <cfRule type="expression" dxfId="16023" priority="94">
      <formula>AV15="X"</formula>
    </cfRule>
    <cfRule type="expression" dxfId="16022" priority="95">
      <formula>AV15="후보"</formula>
    </cfRule>
  </conditionalFormatting>
  <conditionalFormatting sqref="AC15">
    <cfRule type="cellIs" dxfId="16021" priority="91" operator="greaterThan">
      <formula>0.9</formula>
    </cfRule>
    <cfRule type="cellIs" dxfId="16020" priority="92" operator="greaterThan">
      <formula>0.85</formula>
    </cfRule>
  </conditionalFormatting>
  <conditionalFormatting sqref="N15">
    <cfRule type="cellIs" dxfId="16019" priority="89" operator="greaterThan">
      <formula>0.9</formula>
    </cfRule>
    <cfRule type="cellIs" dxfId="16018" priority="90" operator="greaterThan">
      <formula>0.85</formula>
    </cfRule>
  </conditionalFormatting>
  <conditionalFormatting sqref="E15">
    <cfRule type="expression" dxfId="16017" priority="85">
      <formula>AND(IF(OR($Q15=1,$Q15=2),1,0),IF($X15&lt;=20,1,0))</formula>
    </cfRule>
    <cfRule type="expression" dxfId="16016" priority="86">
      <formula>AND(IF($Q15=2,1,0),IF($X15&lt;30,1,0))</formula>
    </cfRule>
    <cfRule type="expression" dxfId="16015" priority="87">
      <formula>AND(IF($Q15=3,1,0),IF($X15&lt;30,1,0))</formula>
    </cfRule>
    <cfRule type="expression" dxfId="16014" priority="88">
      <formula>AND(IF($Q15=3,1,IF($Q15=4,1,0)),IF($F15&lt;=85,1,0))</formula>
    </cfRule>
  </conditionalFormatting>
  <conditionalFormatting sqref="X15">
    <cfRule type="expression" dxfId="16013" priority="81">
      <formula>AND(IF(OR($Q15=1,$Q15=2),1,0),IF($X15&lt;=20,1,0))</formula>
    </cfRule>
    <cfRule type="expression" dxfId="16012" priority="82">
      <formula>AND(IF($Q15=2,1,0),IF($X15&lt;30,1,0))</formula>
    </cfRule>
    <cfRule type="expression" dxfId="16011" priority="83">
      <formula>AND(IF($Q15=3,1,0),IF($X15&lt;30,1,0))</formula>
    </cfRule>
    <cfRule type="expression" dxfId="16010" priority="84">
      <formula>AND(IF($Q15=3,1,IF($Q15=4,1,0)),IF($F15&lt;=85,1,0))</formula>
    </cfRule>
  </conditionalFormatting>
  <conditionalFormatting sqref="AI15">
    <cfRule type="expression" dxfId="16009" priority="77">
      <formula>AND(IF(OR($Q15=1,$Q15=2),1,0),IF($X15&lt;=20,1,0))</formula>
    </cfRule>
    <cfRule type="expression" dxfId="16008" priority="78">
      <formula>AND(IF($Q15=2,1,0),IF($X15&lt;30,1,0))</formula>
    </cfRule>
    <cfRule type="expression" dxfId="16007" priority="79">
      <formula>AND(IF($Q15=3,1,0),IF($X15&lt;30,1,0))</formula>
    </cfRule>
    <cfRule type="expression" dxfId="16006" priority="80">
      <formula>AND(IF($Q15=3,1,IF($Q15=4,1,0)),IF($F15&lt;=85,1,0))</formula>
    </cfRule>
  </conditionalFormatting>
  <conditionalFormatting sqref="AV16">
    <cfRule type="expression" dxfId="16005" priority="75">
      <formula>AV16="X"</formula>
    </cfRule>
    <cfRule type="expression" dxfId="16004" priority="76">
      <formula>AV16="후보"</formula>
    </cfRule>
  </conditionalFormatting>
  <conditionalFormatting sqref="AC16">
    <cfRule type="cellIs" dxfId="16003" priority="72" operator="greaterThan">
      <formula>0.9</formula>
    </cfRule>
    <cfRule type="cellIs" dxfId="16002" priority="73" operator="greaterThan">
      <formula>0.85</formula>
    </cfRule>
  </conditionalFormatting>
  <conditionalFormatting sqref="N16">
    <cfRule type="cellIs" dxfId="16001" priority="70" operator="greaterThan">
      <formula>0.9</formula>
    </cfRule>
    <cfRule type="cellIs" dxfId="16000" priority="71" operator="greaterThan">
      <formula>0.85</formula>
    </cfRule>
  </conditionalFormatting>
  <conditionalFormatting sqref="E16">
    <cfRule type="expression" dxfId="15999" priority="66">
      <formula>AND(IF(OR($Q16=1,$Q16=2),1,0),IF($X16&lt;=20,1,0))</formula>
    </cfRule>
    <cfRule type="expression" dxfId="15998" priority="67">
      <formula>AND(IF($Q16=2,1,0),IF($X16&lt;30,1,0))</formula>
    </cfRule>
    <cfRule type="expression" dxfId="15997" priority="68">
      <formula>AND(IF($Q16=3,1,0),IF($X16&lt;30,1,0))</formula>
    </cfRule>
    <cfRule type="expression" dxfId="15996" priority="69">
      <formula>AND(IF($Q16=3,1,IF($Q16=4,1,0)),IF($F16&lt;=85,1,0))</formula>
    </cfRule>
  </conditionalFormatting>
  <conditionalFormatting sqref="X16">
    <cfRule type="expression" dxfId="15995" priority="62">
      <formula>AND(IF(OR($Q16=1,$Q16=2),1,0),IF($X16&lt;=20,1,0))</formula>
    </cfRule>
    <cfRule type="expression" dxfId="15994" priority="63">
      <formula>AND(IF($Q16=2,1,0),IF($X16&lt;30,1,0))</formula>
    </cfRule>
    <cfRule type="expression" dxfId="15993" priority="64">
      <formula>AND(IF($Q16=3,1,0),IF($X16&lt;30,1,0))</formula>
    </cfRule>
    <cfRule type="expression" dxfId="15992" priority="65">
      <formula>AND(IF($Q16=3,1,IF($Q16=4,1,0)),IF($F16&lt;=85,1,0))</formula>
    </cfRule>
  </conditionalFormatting>
  <conditionalFormatting sqref="AI16">
    <cfRule type="expression" dxfId="15991" priority="58">
      <formula>AND(IF(OR($Q16=1,$Q16=2),1,0),IF($X16&lt;=20,1,0))</formula>
    </cfRule>
    <cfRule type="expression" dxfId="15990" priority="59">
      <formula>AND(IF($Q16=2,1,0),IF($X16&lt;30,1,0))</formula>
    </cfRule>
    <cfRule type="expression" dxfId="15989" priority="60">
      <formula>AND(IF($Q16=3,1,0),IF($X16&lt;30,1,0))</formula>
    </cfRule>
    <cfRule type="expression" dxfId="15988" priority="61">
      <formula>AND(IF($Q16=3,1,IF($Q16=4,1,0)),IF($F16&lt;=85,1,0))</formula>
    </cfRule>
  </conditionalFormatting>
  <conditionalFormatting sqref="AV17">
    <cfRule type="expression" dxfId="15987" priority="56">
      <formula>AV17="X"</formula>
    </cfRule>
    <cfRule type="expression" dxfId="15986" priority="57">
      <formula>AV17="후보"</formula>
    </cfRule>
  </conditionalFormatting>
  <conditionalFormatting sqref="AC17">
    <cfRule type="cellIs" dxfId="15985" priority="53" operator="greaterThan">
      <formula>0.9</formula>
    </cfRule>
    <cfRule type="cellIs" dxfId="15984" priority="54" operator="greaterThan">
      <formula>0.85</formula>
    </cfRule>
  </conditionalFormatting>
  <conditionalFormatting sqref="N17">
    <cfRule type="cellIs" dxfId="15983" priority="51" operator="greaterThan">
      <formula>0.9</formula>
    </cfRule>
    <cfRule type="cellIs" dxfId="15982" priority="52" operator="greaterThan">
      <formula>0.85</formula>
    </cfRule>
  </conditionalFormatting>
  <conditionalFormatting sqref="E17">
    <cfRule type="expression" dxfId="15981" priority="47">
      <formula>AND(IF(OR($Q17=1,$Q17=2),1,0),IF($X17&lt;=20,1,0))</formula>
    </cfRule>
    <cfRule type="expression" dxfId="15980" priority="48">
      <formula>AND(IF($Q17=2,1,0),IF($X17&lt;30,1,0))</formula>
    </cfRule>
    <cfRule type="expression" dxfId="15979" priority="49">
      <formula>AND(IF($Q17=3,1,0),IF($X17&lt;30,1,0))</formula>
    </cfRule>
    <cfRule type="expression" dxfId="15978" priority="50">
      <formula>AND(IF($Q17=3,1,IF($Q17=4,1,0)),IF($F17&lt;=85,1,0))</formula>
    </cfRule>
  </conditionalFormatting>
  <conditionalFormatting sqref="X17">
    <cfRule type="expression" dxfId="15977" priority="43">
      <formula>AND(IF(OR($Q17=1,$Q17=2),1,0),IF($X17&lt;=20,1,0))</formula>
    </cfRule>
    <cfRule type="expression" dxfId="15976" priority="44">
      <formula>AND(IF($Q17=2,1,0),IF($X17&lt;30,1,0))</formula>
    </cfRule>
    <cfRule type="expression" dxfId="15975" priority="45">
      <formula>AND(IF($Q17=3,1,0),IF($X17&lt;30,1,0))</formula>
    </cfRule>
    <cfRule type="expression" dxfId="15974" priority="46">
      <formula>AND(IF($Q17=3,1,IF($Q17=4,1,0)),IF($F17&lt;=85,1,0))</formula>
    </cfRule>
  </conditionalFormatting>
  <conditionalFormatting sqref="AI17">
    <cfRule type="expression" dxfId="15973" priority="39">
      <formula>AND(IF(OR($Q17=1,$Q17=2),1,0),IF($X17&lt;=20,1,0))</formula>
    </cfRule>
    <cfRule type="expression" dxfId="15972" priority="40">
      <formula>AND(IF($Q17=2,1,0),IF($X17&lt;30,1,0))</formula>
    </cfRule>
    <cfRule type="expression" dxfId="15971" priority="41">
      <formula>AND(IF($Q17=3,1,0),IF($X17&lt;30,1,0))</formula>
    </cfRule>
    <cfRule type="expression" dxfId="15970" priority="42">
      <formula>AND(IF($Q17=3,1,IF($Q17=4,1,0)),IF($F17&lt;=85,1,0))</formula>
    </cfRule>
  </conditionalFormatting>
  <conditionalFormatting sqref="AV18">
    <cfRule type="expression" dxfId="15969" priority="37">
      <formula>AV18="X"</formula>
    </cfRule>
    <cfRule type="expression" dxfId="15968" priority="38">
      <formula>AV18="후보"</formula>
    </cfRule>
  </conditionalFormatting>
  <conditionalFormatting sqref="AC18">
    <cfRule type="cellIs" dxfId="15967" priority="34" operator="greaterThan">
      <formula>0.9</formula>
    </cfRule>
    <cfRule type="cellIs" dxfId="15966" priority="35" operator="greaterThan">
      <formula>0.85</formula>
    </cfRule>
  </conditionalFormatting>
  <conditionalFormatting sqref="N18">
    <cfRule type="cellIs" dxfId="15965" priority="32" operator="greaterThan">
      <formula>0.9</formula>
    </cfRule>
    <cfRule type="cellIs" dxfId="15964" priority="33" operator="greaterThan">
      <formula>0.85</formula>
    </cfRule>
  </conditionalFormatting>
  <conditionalFormatting sqref="E18">
    <cfRule type="expression" dxfId="15963" priority="28">
      <formula>AND(IF(OR($Q18=1,$Q18=2),1,0),IF($X18&lt;=20,1,0))</formula>
    </cfRule>
    <cfRule type="expression" dxfId="15962" priority="29">
      <formula>AND(IF($Q18=2,1,0),IF($X18&lt;30,1,0))</formula>
    </cfRule>
    <cfRule type="expression" dxfId="15961" priority="30">
      <formula>AND(IF($Q18=3,1,0),IF($X18&lt;30,1,0))</formula>
    </cfRule>
    <cfRule type="expression" dxfId="15960" priority="31">
      <formula>AND(IF($Q18=3,1,IF($Q18=4,1,0)),IF($F18&lt;=85,1,0))</formula>
    </cfRule>
  </conditionalFormatting>
  <conditionalFormatting sqref="X18">
    <cfRule type="expression" dxfId="15959" priority="24">
      <formula>AND(IF(OR($Q18=1,$Q18=2),1,0),IF($X18&lt;=20,1,0))</formula>
    </cfRule>
    <cfRule type="expression" dxfId="15958" priority="25">
      <formula>AND(IF($Q18=2,1,0),IF($X18&lt;30,1,0))</formula>
    </cfRule>
    <cfRule type="expression" dxfId="15957" priority="26">
      <formula>AND(IF($Q18=3,1,0),IF($X18&lt;30,1,0))</formula>
    </cfRule>
    <cfRule type="expression" dxfId="15956" priority="27">
      <formula>AND(IF($Q18=3,1,IF($Q18=4,1,0)),IF($F18&lt;=85,1,0))</formula>
    </cfRule>
  </conditionalFormatting>
  <conditionalFormatting sqref="AI18">
    <cfRule type="expression" dxfId="15955" priority="20">
      <formula>AND(IF(OR($Q18=1,$Q18=2),1,0),IF($X18&lt;=20,1,0))</formula>
    </cfRule>
    <cfRule type="expression" dxfId="15954" priority="21">
      <formula>AND(IF($Q18=2,1,0),IF($X18&lt;30,1,0))</formula>
    </cfRule>
    <cfRule type="expression" dxfId="15953" priority="22">
      <formula>AND(IF($Q18=3,1,0),IF($X18&lt;30,1,0))</formula>
    </cfRule>
    <cfRule type="expression" dxfId="15952" priority="23">
      <formula>AND(IF($Q18=3,1,IF($Q18=4,1,0)),IF($F18&lt;=85,1,0))</formula>
    </cfRule>
  </conditionalFormatting>
  <conditionalFormatting sqref="AV19">
    <cfRule type="expression" dxfId="15951" priority="18">
      <formula>AV19="X"</formula>
    </cfRule>
    <cfRule type="expression" dxfId="15950" priority="19">
      <formula>AV19="후보"</formula>
    </cfRule>
  </conditionalFormatting>
  <conditionalFormatting sqref="AC19">
    <cfRule type="cellIs" dxfId="15949" priority="15" operator="greaterThan">
      <formula>0.9</formula>
    </cfRule>
    <cfRule type="cellIs" dxfId="15948" priority="16" operator="greaterThan">
      <formula>0.85</formula>
    </cfRule>
  </conditionalFormatting>
  <conditionalFormatting sqref="N19">
    <cfRule type="cellIs" dxfId="15947" priority="13" operator="greaterThan">
      <formula>0.9</formula>
    </cfRule>
    <cfRule type="cellIs" dxfId="15946" priority="14" operator="greaterThan">
      <formula>0.85</formula>
    </cfRule>
  </conditionalFormatting>
  <conditionalFormatting sqref="E19">
    <cfRule type="expression" dxfId="15945" priority="9">
      <formula>AND(IF(OR($Q19=1,$Q19=2),1,0),IF($X19&lt;=20,1,0))</formula>
    </cfRule>
    <cfRule type="expression" dxfId="15944" priority="10">
      <formula>AND(IF($Q19=2,1,0),IF($X19&lt;30,1,0))</formula>
    </cfRule>
    <cfRule type="expression" dxfId="15943" priority="11">
      <formula>AND(IF($Q19=3,1,0),IF($X19&lt;30,1,0))</formula>
    </cfRule>
    <cfRule type="expression" dxfId="15942" priority="12">
      <formula>AND(IF($Q19=3,1,IF($Q19=4,1,0)),IF($F19&lt;=85,1,0))</formula>
    </cfRule>
  </conditionalFormatting>
  <conditionalFormatting sqref="X19">
    <cfRule type="expression" dxfId="15941" priority="5">
      <formula>AND(IF(OR($Q19=1,$Q19=2),1,0),IF($X19&lt;=20,1,0))</formula>
    </cfRule>
    <cfRule type="expression" dxfId="15940" priority="6">
      <formula>AND(IF($Q19=2,1,0),IF($X19&lt;30,1,0))</formula>
    </cfRule>
    <cfRule type="expression" dxfId="15939" priority="7">
      <formula>AND(IF($Q19=3,1,0),IF($X19&lt;30,1,0))</formula>
    </cfRule>
    <cfRule type="expression" dxfId="15938" priority="8">
      <formula>AND(IF($Q19=3,1,IF($Q19=4,1,0)),IF($F19&lt;=85,1,0))</formula>
    </cfRule>
  </conditionalFormatting>
  <conditionalFormatting sqref="AI19">
    <cfRule type="expression" dxfId="15937" priority="1">
      <formula>AND(IF(OR($Q19=1,$Q19=2),1,0),IF($X19&lt;=20,1,0))</formula>
    </cfRule>
    <cfRule type="expression" dxfId="15936" priority="2">
      <formula>AND(IF($Q19=2,1,0),IF($X19&lt;30,1,0))</formula>
    </cfRule>
    <cfRule type="expression" dxfId="15935" priority="3">
      <formula>AND(IF($Q19=3,1,0),IF($X19&lt;30,1,0))</formula>
    </cfRule>
    <cfRule type="expression" dxfId="15934" priority="4">
      <formula>AND(IF($Q19=3,1,IF($Q19=4,1,0)),IF($F19&lt;=85,1,0))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>
    <pageSetUpPr fitToPage="1"/>
  </sheetPr>
  <dimension ref="A1:AV4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3" sqref="A43:XFD43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5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0" width="9" style="37" customWidth="1"/>
    <col min="51" max="16384" width="9" style="37"/>
  </cols>
  <sheetData>
    <row r="1" spans="1:48" ht="17.25" customHeight="1" x14ac:dyDescent="0.3">
      <c r="A1" s="7" t="str">
        <f>단지추출!A1</f>
        <v>인천광역시 연수구</v>
      </c>
      <c r="I1" s="42" t="s">
        <v>1827</v>
      </c>
      <c r="X1" s="37" t="s">
        <v>5</v>
      </c>
      <c r="Y1" s="37"/>
      <c r="AA1" s="39">
        <f>단지추출!AA1</f>
        <v>70000</v>
      </c>
      <c r="AH1" s="7" t="str">
        <f>A1</f>
        <v>인천광역시 연수구</v>
      </c>
      <c r="AJ1" s="117" t="str">
        <f>A1&amp;" 전체 등급"</f>
        <v>인천광역시 연수구 전체 등급</v>
      </c>
      <c r="AK1" s="118"/>
      <c r="AL1" s="118"/>
      <c r="AM1" s="118"/>
      <c r="AN1" s="119"/>
      <c r="AO1" s="22">
        <f>단지추출!AO1</f>
        <v>80</v>
      </c>
      <c r="AP1" s="22">
        <f>단지추출!AP1</f>
        <v>50000</v>
      </c>
      <c r="AQ1" s="22">
        <f>단지추출!AQ1</f>
        <v>15000</v>
      </c>
      <c r="AR1" s="22">
        <f>단지추출!AR1</f>
        <v>5000</v>
      </c>
      <c r="AS1" s="2"/>
      <c r="AT1" s="2"/>
      <c r="AU1" s="22">
        <f>단지추출!AU1</f>
        <v>300</v>
      </c>
    </row>
    <row r="2" spans="1:48" x14ac:dyDescent="0.3">
      <c r="A2" s="80">
        <f>단지추출!A2</f>
        <v>44197</v>
      </c>
      <c r="W2" s="38"/>
      <c r="X2" s="38" t="s">
        <v>10</v>
      </c>
      <c r="Y2" s="38"/>
      <c r="AA2" s="39">
        <f>단지추출!AA2</f>
        <v>10000</v>
      </c>
      <c r="AH2" s="18" t="str">
        <f>AH1 &amp;" " &amp;A4</f>
        <v>인천광역시 연수구 평화동1가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4" t="s">
        <v>15</v>
      </c>
      <c r="AP2" s="65"/>
      <c r="AQ2" s="66"/>
      <c r="AR2" s="64" t="s">
        <v>16</v>
      </c>
      <c r="AS2" s="66"/>
      <c r="AT2" s="64" t="s">
        <v>17</v>
      </c>
      <c r="AU2" s="66"/>
      <c r="AV2" s="40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1828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106" t="s">
        <v>27</v>
      </c>
      <c r="Z3" s="12" t="s">
        <v>41</v>
      </c>
      <c r="AA3" s="12" t="s">
        <v>42</v>
      </c>
      <c r="AB3" s="12" t="s">
        <v>1828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43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(5억↓)</v>
      </c>
      <c r="AQ3" s="11" t="str">
        <f>"지역평단가
("&amp;AQ1&amp;"↓)"</f>
        <v>지역평단가
(15000↓)</v>
      </c>
      <c r="AR3" s="11" t="str">
        <f>"투자규모★
(갭"&amp;AR1/1000&amp;"천↓)"</f>
        <v>투자규모★
(갭5천↓)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1" t="s">
        <v>18</v>
      </c>
    </row>
    <row r="4" spans="1:48" x14ac:dyDescent="0.3">
      <c r="A4" s="8" t="s">
        <v>1264</v>
      </c>
      <c r="B4" s="76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07"/>
      <c r="R4" s="107"/>
      <c r="S4" s="76"/>
      <c r="T4" s="5"/>
      <c r="U4" s="9"/>
      <c r="W4" s="9"/>
      <c r="X4" s="9"/>
      <c r="Y4" s="91"/>
      <c r="Z4" s="9"/>
      <c r="AA4" s="9"/>
      <c r="AB4" s="9"/>
      <c r="AC4" s="9"/>
      <c r="AD4" s="9"/>
      <c r="AE4" s="76"/>
      <c r="AF4" s="5"/>
      <c r="AH4" s="20"/>
      <c r="AI4" s="108" t="str">
        <f t="shared" si="0"/>
        <v/>
      </c>
      <c r="AJ4" s="76"/>
      <c r="AK4" s="76"/>
      <c r="AL4" s="76"/>
      <c r="AM4" s="76"/>
      <c r="AN4" s="76"/>
      <c r="AO4" s="76"/>
      <c r="AP4" s="76"/>
      <c r="AQ4" s="76"/>
      <c r="AR4" s="76"/>
      <c r="AS4" s="76"/>
      <c r="AT4" s="76"/>
      <c r="AU4" s="76"/>
      <c r="AV4" s="76"/>
    </row>
    <row r="5" spans="1:48" x14ac:dyDescent="0.3">
      <c r="A5" s="9"/>
      <c r="B5" s="76"/>
      <c r="C5" s="6"/>
      <c r="D5" s="9"/>
      <c r="E5" s="14"/>
      <c r="F5" s="85"/>
      <c r="G5" s="9"/>
      <c r="H5" s="9"/>
      <c r="I5" s="9"/>
      <c r="J5" s="9"/>
      <c r="K5" s="9"/>
      <c r="L5" s="9"/>
      <c r="M5" s="9"/>
      <c r="N5" s="9"/>
      <c r="O5" s="90"/>
      <c r="P5" s="90"/>
      <c r="Q5" s="86"/>
      <c r="R5" s="86"/>
      <c r="S5" s="9"/>
      <c r="T5" s="47"/>
      <c r="U5" s="9"/>
      <c r="W5" s="67" t="str">
        <f>$A$4&amp;" "&amp;A6&amp;"("&amp;B6&amp;","&amp;C6&amp;"^)"</f>
        <v>평화동1가 한성('96.12.,496^)</v>
      </c>
      <c r="X5" s="68"/>
      <c r="Y5" s="68"/>
      <c r="Z5" s="68"/>
      <c r="AA5" s="68"/>
      <c r="AB5" s="68"/>
      <c r="AC5" s="68"/>
      <c r="AD5" s="68"/>
      <c r="AE5" s="68"/>
      <c r="AF5" s="69"/>
      <c r="AH5" s="20" t="str">
        <f t="shared" ref="AH5:AH43" si="1">IF(A5="","",A5)</f>
        <v/>
      </c>
      <c r="AI5" s="108" t="str">
        <f t="shared" si="0"/>
        <v/>
      </c>
      <c r="AJ5" s="76"/>
      <c r="AK5" s="76"/>
      <c r="AL5" s="76"/>
      <c r="AM5" s="76"/>
      <c r="AN5" s="76"/>
      <c r="AO5" s="76"/>
      <c r="AP5" s="76"/>
      <c r="AQ5" s="76"/>
      <c r="AR5" s="76"/>
      <c r="AS5" s="76"/>
      <c r="AT5" s="76"/>
      <c r="AU5" s="76"/>
      <c r="AV5" s="76"/>
    </row>
    <row r="6" spans="1:48" x14ac:dyDescent="0.3">
      <c r="A6" s="9" t="s">
        <v>1260</v>
      </c>
      <c r="B6" s="10" t="s">
        <v>1894</v>
      </c>
      <c r="C6" s="87">
        <v>496</v>
      </c>
      <c r="D6" s="85">
        <v>80.2</v>
      </c>
      <c r="E6" s="86">
        <v>24</v>
      </c>
      <c r="F6" s="85">
        <v>59.9</v>
      </c>
      <c r="G6" s="17">
        <v>18</v>
      </c>
      <c r="H6" s="87">
        <v>376</v>
      </c>
      <c r="I6" s="88">
        <v>11500</v>
      </c>
      <c r="J6" s="88" t="s">
        <v>84</v>
      </c>
      <c r="K6" s="88"/>
      <c r="L6" s="88"/>
      <c r="M6" s="89">
        <f>I6-K6</f>
        <v>11500</v>
      </c>
      <c r="N6" s="4">
        <f>IF(ISERROR(K6/I6),"",K6/I6)</f>
        <v>0</v>
      </c>
      <c r="O6" s="90">
        <f>I6/E6</f>
        <v>479.16666666666669</v>
      </c>
      <c r="P6" s="90">
        <f>K6/E6</f>
        <v>0</v>
      </c>
      <c r="Q6" s="76">
        <v>3</v>
      </c>
      <c r="R6" s="76">
        <v>1</v>
      </c>
      <c r="S6" s="76" t="s">
        <v>61</v>
      </c>
      <c r="T6" s="5">
        <v>80</v>
      </c>
      <c r="U6" s="9"/>
      <c r="W6" s="85">
        <f t="shared" ref="W6:X8" si="2">D6</f>
        <v>80.2</v>
      </c>
      <c r="X6" s="86">
        <f t="shared" si="2"/>
        <v>24</v>
      </c>
      <c r="Y6" s="91">
        <f t="shared" ref="Y6:Z8" si="3">H6</f>
        <v>376</v>
      </c>
      <c r="Z6" s="89">
        <f t="shared" si="3"/>
        <v>11500</v>
      </c>
      <c r="AA6" s="89">
        <f>K6</f>
        <v>0</v>
      </c>
      <c r="AB6" s="89">
        <f t="shared" ref="AB6:AD8" si="4">M6</f>
        <v>11500</v>
      </c>
      <c r="AC6" s="4">
        <f t="shared" si="4"/>
        <v>0</v>
      </c>
      <c r="AD6" s="90">
        <f t="shared" si="4"/>
        <v>479.16666666666669</v>
      </c>
      <c r="AE6" s="76" t="str">
        <f>S6</f>
        <v>계</v>
      </c>
      <c r="AF6" s="76" t="str">
        <f>Q6&amp;"/"&amp;R6</f>
        <v>3/1</v>
      </c>
      <c r="AH6" s="20" t="str">
        <f t="shared" si="1"/>
        <v>한성</v>
      </c>
      <c r="AI6" s="86">
        <f t="shared" si="0"/>
        <v>24</v>
      </c>
      <c r="AJ6" s="76" t="str">
        <f>IF(AI6="","",$AJ$2)</f>
        <v>A-</v>
      </c>
      <c r="AK6" s="76" t="s">
        <v>13</v>
      </c>
      <c r="AL6" s="76" t="s">
        <v>62</v>
      </c>
      <c r="AM6" s="76" t="s">
        <v>63</v>
      </c>
      <c r="AN6" s="76" t="str">
        <f>IF(AI6="","",$AN$2)</f>
        <v>C</v>
      </c>
      <c r="AO6" s="76" t="str">
        <f>IF(N6="","",IF(N6&gt;=$AO$1/100,"O","X"))</f>
        <v>X</v>
      </c>
      <c r="AP6" s="76" t="str">
        <f>IF(I6="","",IF(I6&lt;=$AP$1,"O","X"))</f>
        <v>O</v>
      </c>
      <c r="AQ6" s="76" t="str">
        <f>IF(O6="","",IF(O6&lt;=$AQ$1,"O","X"))</f>
        <v>O</v>
      </c>
      <c r="AR6" s="76" t="str">
        <f>IF(M6="","",IF(M6&lt;=$AR$1,"O","X"))</f>
        <v>X</v>
      </c>
      <c r="AS6" s="76" t="s">
        <v>2</v>
      </c>
      <c r="AT6" s="76" t="str">
        <f>IF(OR(F6="",AI6=""),"",IF(AND((F6&lt;=85),(AI6&gt;=15)),"O","X"))</f>
        <v>O</v>
      </c>
      <c r="AU6" s="76" t="str">
        <f>IF(C6="","",IF(C6&gt;=$AU$1,"O","X"))</f>
        <v>O</v>
      </c>
      <c r="AV6" s="76" t="str">
        <f>IF(AO6="","",IF(AND(AO6="O",AP6="O",AR6="O",AT6="O",AU6="O"),"후보","X"))</f>
        <v>X</v>
      </c>
    </row>
    <row r="7" spans="1:48" x14ac:dyDescent="0.3">
      <c r="A7" s="9" t="s">
        <v>1260</v>
      </c>
      <c r="B7" s="10" t="s">
        <v>1894</v>
      </c>
      <c r="C7" s="87">
        <v>496</v>
      </c>
      <c r="D7" s="85">
        <v>98.3</v>
      </c>
      <c r="E7" s="86">
        <v>30</v>
      </c>
      <c r="F7" s="85">
        <v>77.599999999999994</v>
      </c>
      <c r="G7" s="17">
        <v>23</v>
      </c>
      <c r="H7" s="87">
        <v>100</v>
      </c>
      <c r="I7" s="88">
        <v>13500</v>
      </c>
      <c r="J7" s="88" t="s">
        <v>83</v>
      </c>
      <c r="K7" s="88">
        <v>13000</v>
      </c>
      <c r="L7" s="88" t="s">
        <v>84</v>
      </c>
      <c r="M7" s="89">
        <f>I7-K7</f>
        <v>500</v>
      </c>
      <c r="N7" s="4">
        <f>IF(ISERROR(K7/I7),"",K7/I7)</f>
        <v>0.96296296296296291</v>
      </c>
      <c r="O7" s="90">
        <f>I7/E7</f>
        <v>450</v>
      </c>
      <c r="P7" s="90">
        <f>K7/E7</f>
        <v>433.33333333333331</v>
      </c>
      <c r="Q7" s="76">
        <v>3</v>
      </c>
      <c r="R7" s="76">
        <v>2</v>
      </c>
      <c r="S7" s="76" t="s">
        <v>61</v>
      </c>
      <c r="T7" s="5" t="s">
        <v>283</v>
      </c>
      <c r="U7" s="9"/>
      <c r="W7" s="85">
        <f t="shared" si="2"/>
        <v>98.3</v>
      </c>
      <c r="X7" s="86">
        <f t="shared" si="2"/>
        <v>30</v>
      </c>
      <c r="Y7" s="91">
        <f t="shared" si="3"/>
        <v>100</v>
      </c>
      <c r="Z7" s="89">
        <f t="shared" si="3"/>
        <v>13500</v>
      </c>
      <c r="AA7" s="89">
        <f>K7</f>
        <v>13000</v>
      </c>
      <c r="AB7" s="89">
        <f t="shared" si="4"/>
        <v>500</v>
      </c>
      <c r="AC7" s="4">
        <f t="shared" si="4"/>
        <v>0.96296296296296291</v>
      </c>
      <c r="AD7" s="90">
        <f t="shared" si="4"/>
        <v>450</v>
      </c>
      <c r="AE7" s="76" t="str">
        <f>S7</f>
        <v>계</v>
      </c>
      <c r="AF7" s="76" t="str">
        <f>Q7&amp;"/"&amp;R7</f>
        <v>3/2</v>
      </c>
      <c r="AH7" s="20" t="str">
        <f t="shared" si="1"/>
        <v>한성</v>
      </c>
      <c r="AI7" s="86">
        <f t="shared" si="0"/>
        <v>30</v>
      </c>
      <c r="AJ7" s="76" t="str">
        <f>IF(AI7="","",$AJ$2)</f>
        <v>A-</v>
      </c>
      <c r="AK7" s="76" t="s">
        <v>13</v>
      </c>
      <c r="AL7" s="76" t="s">
        <v>62</v>
      </c>
      <c r="AM7" s="76" t="s">
        <v>63</v>
      </c>
      <c r="AN7" s="76" t="str">
        <f>IF(AI7="","",$AN$2)</f>
        <v>C</v>
      </c>
      <c r="AO7" s="76" t="str">
        <f>IF(N7="","",IF(N7&gt;=$AO$1/100,"O","X"))</f>
        <v>O</v>
      </c>
      <c r="AP7" s="76" t="str">
        <f>IF(I7="","",IF(I7&lt;=$AP$1,"O","X"))</f>
        <v>O</v>
      </c>
      <c r="AQ7" s="76" t="str">
        <f>IF(O7="","",IF(O7&lt;=$AQ$1,"O","X"))</f>
        <v>O</v>
      </c>
      <c r="AR7" s="76" t="str">
        <f>IF(M7="","",IF(M7&lt;=$AR$1,"O","X"))</f>
        <v>O</v>
      </c>
      <c r="AS7" s="76" t="s">
        <v>2</v>
      </c>
      <c r="AT7" s="76" t="str">
        <f>IF(OR(F7="",AI7=""),"",IF(AND((F7&lt;=85),(AI7&gt;=15)),"O","X"))</f>
        <v>O</v>
      </c>
      <c r="AU7" s="76" t="str">
        <f>IF(C7="","",IF(C7&gt;=$AU$1,"O","X"))</f>
        <v>O</v>
      </c>
      <c r="AV7" s="76" t="str">
        <f>IF(AO7="","",IF(AND(AO7="O",AP7="O",AR7="O",AT7="O",AU7="O"),"후보","X"))</f>
        <v>후보</v>
      </c>
    </row>
    <row r="8" spans="1:48" x14ac:dyDescent="0.3">
      <c r="A8" s="9" t="s">
        <v>1260</v>
      </c>
      <c r="B8" s="10" t="s">
        <v>1894</v>
      </c>
      <c r="C8" s="87">
        <v>496</v>
      </c>
      <c r="D8" s="85">
        <v>98.2</v>
      </c>
      <c r="E8" s="86">
        <v>30</v>
      </c>
      <c r="F8" s="85">
        <v>77.5</v>
      </c>
      <c r="G8" s="17">
        <v>23</v>
      </c>
      <c r="H8" s="87">
        <v>20</v>
      </c>
      <c r="I8" s="88">
        <v>13800</v>
      </c>
      <c r="J8" s="88" t="s">
        <v>84</v>
      </c>
      <c r="K8" s="88"/>
      <c r="L8" s="88"/>
      <c r="M8" s="89">
        <f>I8-K8</f>
        <v>13800</v>
      </c>
      <c r="N8" s="4">
        <f>IF(ISERROR(K8/I8),"",K8/I8)</f>
        <v>0</v>
      </c>
      <c r="O8" s="90">
        <f>I8/E8</f>
        <v>460</v>
      </c>
      <c r="P8" s="90">
        <f>K8/E8</f>
        <v>0</v>
      </c>
      <c r="Q8" s="76">
        <v>3</v>
      </c>
      <c r="R8" s="76">
        <v>2</v>
      </c>
      <c r="S8" s="76" t="s">
        <v>61</v>
      </c>
      <c r="T8" s="5" t="s">
        <v>277</v>
      </c>
      <c r="U8" s="9"/>
      <c r="W8" s="85">
        <f t="shared" si="2"/>
        <v>98.2</v>
      </c>
      <c r="X8" s="86">
        <f t="shared" si="2"/>
        <v>30</v>
      </c>
      <c r="Y8" s="91">
        <f t="shared" si="3"/>
        <v>20</v>
      </c>
      <c r="Z8" s="89">
        <f t="shared" si="3"/>
        <v>13800</v>
      </c>
      <c r="AA8" s="89">
        <f>K8</f>
        <v>0</v>
      </c>
      <c r="AB8" s="89">
        <f t="shared" si="4"/>
        <v>13800</v>
      </c>
      <c r="AC8" s="4">
        <f t="shared" si="4"/>
        <v>0</v>
      </c>
      <c r="AD8" s="90">
        <f t="shared" si="4"/>
        <v>460</v>
      </c>
      <c r="AE8" s="76" t="str">
        <f>S8</f>
        <v>계</v>
      </c>
      <c r="AF8" s="76" t="str">
        <f>Q8&amp;"/"&amp;R8</f>
        <v>3/2</v>
      </c>
      <c r="AH8" s="20" t="str">
        <f t="shared" si="1"/>
        <v>한성</v>
      </c>
      <c r="AI8" s="86">
        <f t="shared" si="0"/>
        <v>30</v>
      </c>
      <c r="AJ8" s="76" t="str">
        <f>IF(AI8="","",$AJ$2)</f>
        <v>A-</v>
      </c>
      <c r="AK8" s="76" t="s">
        <v>13</v>
      </c>
      <c r="AL8" s="76" t="s">
        <v>62</v>
      </c>
      <c r="AM8" s="76" t="s">
        <v>63</v>
      </c>
      <c r="AN8" s="76" t="str">
        <f>IF(AI8="","",$AN$2)</f>
        <v>C</v>
      </c>
      <c r="AO8" s="76" t="str">
        <f>IF(N8="","",IF(N8&gt;=$AO$1/100,"O","X"))</f>
        <v>X</v>
      </c>
      <c r="AP8" s="76" t="str">
        <f>IF(I8="","",IF(I8&lt;=$AP$1,"O","X"))</f>
        <v>O</v>
      </c>
      <c r="AQ8" s="76" t="str">
        <f>IF(O8="","",IF(O8&lt;=$AQ$1,"O","X"))</f>
        <v>O</v>
      </c>
      <c r="AR8" s="76" t="str">
        <f>IF(M8="","",IF(M8&lt;=$AR$1,"O","X"))</f>
        <v>X</v>
      </c>
      <c r="AS8" s="76" t="s">
        <v>2</v>
      </c>
      <c r="AT8" s="76" t="str">
        <f>IF(OR(F8="",AI8=""),"",IF(AND((F8&lt;=85),(AI8&gt;=15)),"O","X"))</f>
        <v>O</v>
      </c>
      <c r="AU8" s="76" t="str">
        <f>IF(C8="","",IF(C8&gt;=$AU$1,"O","X"))</f>
        <v>O</v>
      </c>
      <c r="AV8" s="76" t="str">
        <f>IF(AO8="","",IF(AND(AO8="O",AP8="O",AR8="O",AT8="O",AU8="O"),"후보","X"))</f>
        <v>X</v>
      </c>
    </row>
    <row r="9" spans="1:48" x14ac:dyDescent="0.3">
      <c r="A9" s="9"/>
      <c r="B9" s="76"/>
      <c r="C9" s="6"/>
      <c r="D9" s="9"/>
      <c r="E9" s="14"/>
      <c r="F9" s="85"/>
      <c r="G9" s="9"/>
      <c r="H9" s="9"/>
      <c r="I9" s="9"/>
      <c r="J9" s="9"/>
      <c r="K9" s="9"/>
      <c r="L9" s="9"/>
      <c r="M9" s="9"/>
      <c r="N9" s="9"/>
      <c r="O9" s="90"/>
      <c r="P9" s="90"/>
      <c r="Q9" s="86"/>
      <c r="R9" s="86"/>
      <c r="S9" s="9"/>
      <c r="T9" s="47"/>
      <c r="U9" s="9"/>
      <c r="W9" s="67" t="str">
        <f>$A$4&amp;" "&amp;A10&amp;"("&amp;B10&amp;","&amp;C10&amp;"^)"</f>
        <v>평화동1가 평화주공2단지('92.04.,1350^)</v>
      </c>
      <c r="X9" s="68"/>
      <c r="Y9" s="68"/>
      <c r="Z9" s="68"/>
      <c r="AA9" s="68"/>
      <c r="AB9" s="68"/>
      <c r="AC9" s="68"/>
      <c r="AD9" s="68"/>
      <c r="AE9" s="68"/>
      <c r="AF9" s="69"/>
      <c r="AH9" s="20" t="str">
        <f t="shared" si="1"/>
        <v/>
      </c>
      <c r="AI9" s="108" t="str">
        <f t="shared" si="0"/>
        <v/>
      </c>
      <c r="AJ9" s="76"/>
      <c r="AK9" s="76"/>
      <c r="AL9" s="76"/>
      <c r="AM9" s="76"/>
      <c r="AN9" s="76"/>
      <c r="AO9" s="76"/>
      <c r="AP9" s="76"/>
      <c r="AQ9" s="76"/>
      <c r="AR9" s="76"/>
      <c r="AS9" s="76"/>
      <c r="AT9" s="76"/>
      <c r="AU9" s="76"/>
      <c r="AV9" s="76"/>
    </row>
    <row r="10" spans="1:48" x14ac:dyDescent="0.3">
      <c r="A10" s="9" t="s">
        <v>1279</v>
      </c>
      <c r="B10" s="10" t="s">
        <v>1895</v>
      </c>
      <c r="C10" s="87">
        <v>1350</v>
      </c>
      <c r="D10" s="85">
        <v>50.4</v>
      </c>
      <c r="E10" s="86">
        <v>15</v>
      </c>
      <c r="F10" s="85">
        <v>38.6</v>
      </c>
      <c r="G10" s="17">
        <v>12</v>
      </c>
      <c r="H10" s="87">
        <v>900</v>
      </c>
      <c r="I10" s="88">
        <v>5300</v>
      </c>
      <c r="J10" s="88" t="s">
        <v>85</v>
      </c>
      <c r="K10" s="88">
        <v>5000</v>
      </c>
      <c r="L10" s="88" t="s">
        <v>72</v>
      </c>
      <c r="M10" s="89">
        <f>I10-K10</f>
        <v>300</v>
      </c>
      <c r="N10" s="4">
        <f>IF(ISERROR(K10/I10),"",K10/I10)</f>
        <v>0.94339622641509435</v>
      </c>
      <c r="O10" s="90">
        <f>I10/E10</f>
        <v>353.33333333333331</v>
      </c>
      <c r="P10" s="90">
        <f>K10/E10</f>
        <v>333.33333333333331</v>
      </c>
      <c r="Q10" s="76">
        <v>2</v>
      </c>
      <c r="R10" s="76">
        <v>1</v>
      </c>
      <c r="S10" s="76" t="s">
        <v>68</v>
      </c>
      <c r="T10" s="5">
        <v>50</v>
      </c>
      <c r="U10" s="9"/>
      <c r="W10" s="85">
        <f>D10</f>
        <v>50.4</v>
      </c>
      <c r="X10" s="86">
        <f>E10</f>
        <v>15</v>
      </c>
      <c r="Y10" s="91">
        <f>H10</f>
        <v>900</v>
      </c>
      <c r="Z10" s="89">
        <f>I10</f>
        <v>5300</v>
      </c>
      <c r="AA10" s="89">
        <f>K10</f>
        <v>5000</v>
      </c>
      <c r="AB10" s="89">
        <f t="shared" ref="AB10:AD11" si="5">M10</f>
        <v>300</v>
      </c>
      <c r="AC10" s="4">
        <f t="shared" si="5"/>
        <v>0.94339622641509435</v>
      </c>
      <c r="AD10" s="90">
        <f t="shared" si="5"/>
        <v>353.33333333333331</v>
      </c>
      <c r="AE10" s="76" t="str">
        <f>S10</f>
        <v>복</v>
      </c>
      <c r="AF10" s="76" t="str">
        <f>Q10&amp;"/"&amp;R10</f>
        <v>2/1</v>
      </c>
      <c r="AH10" s="20" t="str">
        <f t="shared" si="1"/>
        <v>평화주공2단지</v>
      </c>
      <c r="AI10" s="86">
        <f t="shared" si="0"/>
        <v>15</v>
      </c>
      <c r="AJ10" s="76" t="str">
        <f>IF(AI10="","",$AJ$2)</f>
        <v>A-</v>
      </c>
      <c r="AK10" s="76" t="s">
        <v>13</v>
      </c>
      <c r="AL10" s="76" t="s">
        <v>62</v>
      </c>
      <c r="AM10" s="76" t="s">
        <v>63</v>
      </c>
      <c r="AN10" s="76" t="str">
        <f>IF(AI10="","",$AN$2)</f>
        <v>C</v>
      </c>
      <c r="AO10" s="76" t="str">
        <f>IF(N10="","",IF(N10&gt;=$AO$1/100,"O","X"))</f>
        <v>O</v>
      </c>
      <c r="AP10" s="76" t="str">
        <f>IF(I10="","",IF(I10&lt;=$AP$1,"O","X"))</f>
        <v>O</v>
      </c>
      <c r="AQ10" s="76" t="str">
        <f>IF(O10="","",IF(O10&lt;=$AQ$1,"O","X"))</f>
        <v>O</v>
      </c>
      <c r="AR10" s="76" t="str">
        <f>IF(M10="","",IF(M10&lt;=$AR$1,"O","X"))</f>
        <v>O</v>
      </c>
      <c r="AS10" s="76" t="s">
        <v>2</v>
      </c>
      <c r="AT10" s="76" t="str">
        <f>IF(OR(F10="",AI10=""),"",IF(AND((F10&lt;=85),(AI10&gt;=15)),"O","X"))</f>
        <v>O</v>
      </c>
      <c r="AU10" s="76" t="str">
        <f>IF(C10="","",IF(C10&gt;=$AU$1,"O","X"))</f>
        <v>O</v>
      </c>
      <c r="AV10" s="76" t="str">
        <f>IF(AO10="","",IF(AND(AO10="O",AP10="O",AR10="O",AT10="O",AU10="O"),"후보","X"))</f>
        <v>후보</v>
      </c>
    </row>
    <row r="11" spans="1:48" x14ac:dyDescent="0.3">
      <c r="A11" s="9" t="s">
        <v>1279</v>
      </c>
      <c r="B11" s="10" t="s">
        <v>1895</v>
      </c>
      <c r="C11" s="87">
        <v>1350</v>
      </c>
      <c r="D11" s="85">
        <v>58.6</v>
      </c>
      <c r="E11" s="86">
        <v>18</v>
      </c>
      <c r="F11" s="85">
        <v>44.9</v>
      </c>
      <c r="G11" s="17">
        <v>14</v>
      </c>
      <c r="H11" s="87">
        <v>450</v>
      </c>
      <c r="I11" s="88">
        <v>6200</v>
      </c>
      <c r="J11" s="88" t="s">
        <v>181</v>
      </c>
      <c r="K11" s="88">
        <v>8000</v>
      </c>
      <c r="L11" s="88" t="s">
        <v>131</v>
      </c>
      <c r="M11" s="89">
        <f>I11-K11</f>
        <v>-1800</v>
      </c>
      <c r="N11" s="4">
        <f>IF(ISERROR(K11/I11),"",K11/I11)</f>
        <v>1.2903225806451613</v>
      </c>
      <c r="O11" s="90">
        <f>I11/E11</f>
        <v>344.44444444444446</v>
      </c>
      <c r="P11" s="90">
        <f>K11/E11</f>
        <v>444.44444444444446</v>
      </c>
      <c r="Q11" s="76">
        <v>2</v>
      </c>
      <c r="R11" s="76">
        <v>1</v>
      </c>
      <c r="S11" s="76" t="s">
        <v>68</v>
      </c>
      <c r="T11" s="5">
        <v>58</v>
      </c>
      <c r="U11" s="9"/>
      <c r="W11" s="85">
        <f>D11</f>
        <v>58.6</v>
      </c>
      <c r="X11" s="86">
        <f>E11</f>
        <v>18</v>
      </c>
      <c r="Y11" s="91">
        <f>H11</f>
        <v>450</v>
      </c>
      <c r="Z11" s="89">
        <f>I11</f>
        <v>6200</v>
      </c>
      <c r="AA11" s="89">
        <f>K11</f>
        <v>8000</v>
      </c>
      <c r="AB11" s="89">
        <f t="shared" si="5"/>
        <v>-1800</v>
      </c>
      <c r="AC11" s="4">
        <f t="shared" si="5"/>
        <v>1.2903225806451613</v>
      </c>
      <c r="AD11" s="90">
        <f t="shared" si="5"/>
        <v>344.44444444444446</v>
      </c>
      <c r="AE11" s="76" t="str">
        <f>S11</f>
        <v>복</v>
      </c>
      <c r="AF11" s="76" t="str">
        <f>Q11&amp;"/"&amp;R11</f>
        <v>2/1</v>
      </c>
      <c r="AH11" s="20" t="str">
        <f t="shared" si="1"/>
        <v>평화주공2단지</v>
      </c>
      <c r="AI11" s="86">
        <f t="shared" si="0"/>
        <v>18</v>
      </c>
      <c r="AJ11" s="76" t="str">
        <f>IF(AI11="","",$AJ$2)</f>
        <v>A-</v>
      </c>
      <c r="AK11" s="76" t="s">
        <v>13</v>
      </c>
      <c r="AL11" s="76" t="s">
        <v>62</v>
      </c>
      <c r="AM11" s="76" t="s">
        <v>63</v>
      </c>
      <c r="AN11" s="76" t="str">
        <f>IF(AI11="","",$AN$2)</f>
        <v>C</v>
      </c>
      <c r="AO11" s="76" t="str">
        <f>IF(N11="","",IF(N11&gt;=$AO$1/100,"O","X"))</f>
        <v>O</v>
      </c>
      <c r="AP11" s="76" t="str">
        <f>IF(I11="","",IF(I11&lt;=$AP$1,"O","X"))</f>
        <v>O</v>
      </c>
      <c r="AQ11" s="76" t="str">
        <f>IF(O11="","",IF(O11&lt;=$AQ$1,"O","X"))</f>
        <v>O</v>
      </c>
      <c r="AR11" s="76" t="str">
        <f>IF(M11="","",IF(M11&lt;=$AR$1,"O","X"))</f>
        <v>O</v>
      </c>
      <c r="AS11" s="76" t="s">
        <v>2</v>
      </c>
      <c r="AT11" s="76" t="str">
        <f>IF(OR(F11="",AI11=""),"",IF(AND((F11&lt;=85),(AI11&gt;=15)),"O","X"))</f>
        <v>O</v>
      </c>
      <c r="AU11" s="76" t="str">
        <f>IF(C11="","",IF(C11&gt;=$AU$1,"O","X"))</f>
        <v>O</v>
      </c>
      <c r="AV11" s="76" t="str">
        <f>IF(AO11="","",IF(AND(AO11="O",AP11="O",AR11="O",AT11="O",AU11="O"),"후보","X"))</f>
        <v>후보</v>
      </c>
    </row>
    <row r="12" spans="1:48" x14ac:dyDescent="0.3">
      <c r="A12" s="9"/>
      <c r="B12" s="76"/>
      <c r="C12" s="6"/>
      <c r="D12" s="9"/>
      <c r="E12" s="14"/>
      <c r="F12" s="85"/>
      <c r="G12" s="9"/>
      <c r="H12" s="9"/>
      <c r="I12" s="9"/>
      <c r="J12" s="9"/>
      <c r="K12" s="9"/>
      <c r="L12" s="9"/>
      <c r="M12" s="9"/>
      <c r="N12" s="9"/>
      <c r="O12" s="90"/>
      <c r="P12" s="90"/>
      <c r="Q12" s="86"/>
      <c r="R12" s="86"/>
      <c r="S12" s="9"/>
      <c r="T12" s="47"/>
      <c r="U12" s="9"/>
      <c r="W12" s="67" t="str">
        <f>$A$4&amp;" "&amp;A13&amp;"("&amp;B13&amp;","&amp;C13&amp;"^)"</f>
        <v>평화동1가 평화주공3단지('92.11.,720^)</v>
      </c>
      <c r="X12" s="68"/>
      <c r="Y12" s="68"/>
      <c r="Z12" s="68"/>
      <c r="AA12" s="68"/>
      <c r="AB12" s="68"/>
      <c r="AC12" s="68"/>
      <c r="AD12" s="68"/>
      <c r="AE12" s="68"/>
      <c r="AF12" s="69"/>
      <c r="AH12" s="20" t="str">
        <f t="shared" si="1"/>
        <v/>
      </c>
      <c r="AI12" s="108" t="str">
        <f t="shared" si="0"/>
        <v/>
      </c>
      <c r="AJ12" s="76"/>
      <c r="AK12" s="76"/>
      <c r="AL12" s="76"/>
      <c r="AM12" s="76"/>
      <c r="AN12" s="76"/>
      <c r="AO12" s="76"/>
      <c r="AP12" s="76"/>
      <c r="AQ12" s="76"/>
      <c r="AR12" s="76"/>
      <c r="AS12" s="76"/>
      <c r="AT12" s="76"/>
      <c r="AU12" s="76"/>
      <c r="AV12" s="76"/>
    </row>
    <row r="13" spans="1:48" x14ac:dyDescent="0.3">
      <c r="A13" s="9" t="s">
        <v>1289</v>
      </c>
      <c r="B13" s="10" t="s">
        <v>1896</v>
      </c>
      <c r="C13" s="87">
        <v>720</v>
      </c>
      <c r="D13" s="85">
        <v>50.4</v>
      </c>
      <c r="E13" s="86">
        <v>15</v>
      </c>
      <c r="F13" s="85">
        <v>38.6</v>
      </c>
      <c r="G13" s="17">
        <v>12</v>
      </c>
      <c r="H13" s="87">
        <v>480</v>
      </c>
      <c r="I13" s="88">
        <v>5400</v>
      </c>
      <c r="J13" s="88" t="s">
        <v>84</v>
      </c>
      <c r="K13" s="88"/>
      <c r="L13" s="88"/>
      <c r="M13" s="89">
        <f>I13-K13</f>
        <v>5400</v>
      </c>
      <c r="N13" s="4">
        <f>IF(ISERROR(K13/I13),"",K13/I13)</f>
        <v>0</v>
      </c>
      <c r="O13" s="90">
        <f>I13/E13</f>
        <v>360</v>
      </c>
      <c r="P13" s="90">
        <f>K13/E13</f>
        <v>0</v>
      </c>
      <c r="Q13" s="76">
        <v>2</v>
      </c>
      <c r="R13" s="76">
        <v>1</v>
      </c>
      <c r="S13" s="76" t="s">
        <v>68</v>
      </c>
      <c r="T13" s="5">
        <v>50</v>
      </c>
      <c r="U13" s="9"/>
      <c r="W13" s="85">
        <f>D13</f>
        <v>50.4</v>
      </c>
      <c r="X13" s="86">
        <f>E13</f>
        <v>15</v>
      </c>
      <c r="Y13" s="91">
        <f>H13</f>
        <v>480</v>
      </c>
      <c r="Z13" s="89">
        <f>I13</f>
        <v>5400</v>
      </c>
      <c r="AA13" s="89">
        <f>K13</f>
        <v>0</v>
      </c>
      <c r="AB13" s="89">
        <f t="shared" ref="AB13:AD14" si="6">M13</f>
        <v>5400</v>
      </c>
      <c r="AC13" s="4">
        <f t="shared" si="6"/>
        <v>0</v>
      </c>
      <c r="AD13" s="90">
        <f t="shared" si="6"/>
        <v>360</v>
      </c>
      <c r="AE13" s="76" t="str">
        <f>S13</f>
        <v>복</v>
      </c>
      <c r="AF13" s="76" t="str">
        <f>Q13&amp;"/"&amp;R13</f>
        <v>2/1</v>
      </c>
      <c r="AH13" s="20" t="str">
        <f t="shared" si="1"/>
        <v>평화주공3단지</v>
      </c>
      <c r="AI13" s="86">
        <f t="shared" si="0"/>
        <v>15</v>
      </c>
      <c r="AJ13" s="76" t="str">
        <f>IF(AI13="","",$AJ$2)</f>
        <v>A-</v>
      </c>
      <c r="AK13" s="76" t="s">
        <v>13</v>
      </c>
      <c r="AL13" s="76" t="s">
        <v>62</v>
      </c>
      <c r="AM13" s="76" t="s">
        <v>63</v>
      </c>
      <c r="AN13" s="76" t="str">
        <f>IF(AI13="","",$AN$2)</f>
        <v>C</v>
      </c>
      <c r="AO13" s="76" t="str">
        <f>IF(N13="","",IF(N13&gt;=$AO$1/100,"O","X"))</f>
        <v>X</v>
      </c>
      <c r="AP13" s="76" t="str">
        <f>IF(I13="","",IF(I13&lt;=$AP$1,"O","X"))</f>
        <v>O</v>
      </c>
      <c r="AQ13" s="76" t="str">
        <f>IF(O13="","",IF(O13&lt;=$AQ$1,"O","X"))</f>
        <v>O</v>
      </c>
      <c r="AR13" s="76" t="str">
        <f>IF(M13="","",IF(M13&lt;=$AR$1,"O","X"))</f>
        <v>X</v>
      </c>
      <c r="AS13" s="76" t="s">
        <v>2</v>
      </c>
      <c r="AT13" s="76" t="str">
        <f>IF(OR(F13="",AI13=""),"",IF(AND((F13&lt;=85),(AI13&gt;=15)),"O","X"))</f>
        <v>O</v>
      </c>
      <c r="AU13" s="76" t="str">
        <f>IF(C13="","",IF(C13&gt;=$AU$1,"O","X"))</f>
        <v>O</v>
      </c>
      <c r="AV13" s="76" t="str">
        <f>IF(AO13="","",IF(AND(AO13="O",AP13="O",AR13="O",AT13="O",AU13="O"),"후보","X"))</f>
        <v>X</v>
      </c>
    </row>
    <row r="14" spans="1:48" x14ac:dyDescent="0.3">
      <c r="A14" s="9" t="s">
        <v>1289</v>
      </c>
      <c r="B14" s="10" t="s">
        <v>1896</v>
      </c>
      <c r="C14" s="87">
        <v>720</v>
      </c>
      <c r="D14" s="85">
        <v>58.6</v>
      </c>
      <c r="E14" s="86">
        <v>18</v>
      </c>
      <c r="F14" s="85">
        <v>44.9</v>
      </c>
      <c r="G14" s="17">
        <v>14</v>
      </c>
      <c r="H14" s="87">
        <v>240</v>
      </c>
      <c r="I14" s="88">
        <v>6300</v>
      </c>
      <c r="J14" s="88" t="s">
        <v>84</v>
      </c>
      <c r="K14" s="88"/>
      <c r="L14" s="88"/>
      <c r="M14" s="89">
        <f>I14-K14</f>
        <v>6300</v>
      </c>
      <c r="N14" s="4">
        <f>IF(ISERROR(K14/I14),"",K14/I14)</f>
        <v>0</v>
      </c>
      <c r="O14" s="90">
        <f>I14/E14</f>
        <v>350</v>
      </c>
      <c r="P14" s="90">
        <f>K14/E14</f>
        <v>0</v>
      </c>
      <c r="Q14" s="76">
        <v>2</v>
      </c>
      <c r="R14" s="76">
        <v>1</v>
      </c>
      <c r="S14" s="76" t="s">
        <v>68</v>
      </c>
      <c r="T14" s="5">
        <v>58</v>
      </c>
      <c r="U14" s="9"/>
      <c r="W14" s="85">
        <f>D14</f>
        <v>58.6</v>
      </c>
      <c r="X14" s="86">
        <f>E14</f>
        <v>18</v>
      </c>
      <c r="Y14" s="91">
        <f>H14</f>
        <v>240</v>
      </c>
      <c r="Z14" s="89">
        <f>I14</f>
        <v>6300</v>
      </c>
      <c r="AA14" s="89">
        <f>K14</f>
        <v>0</v>
      </c>
      <c r="AB14" s="89">
        <f t="shared" si="6"/>
        <v>6300</v>
      </c>
      <c r="AC14" s="4">
        <f t="shared" si="6"/>
        <v>0</v>
      </c>
      <c r="AD14" s="90">
        <f t="shared" si="6"/>
        <v>350</v>
      </c>
      <c r="AE14" s="76" t="str">
        <f>S14</f>
        <v>복</v>
      </c>
      <c r="AF14" s="76" t="str">
        <f>Q14&amp;"/"&amp;R14</f>
        <v>2/1</v>
      </c>
      <c r="AH14" s="20" t="str">
        <f t="shared" si="1"/>
        <v>평화주공3단지</v>
      </c>
      <c r="AI14" s="86">
        <f t="shared" si="0"/>
        <v>18</v>
      </c>
      <c r="AJ14" s="76" t="str">
        <f>IF(AI14="","",$AJ$2)</f>
        <v>A-</v>
      </c>
      <c r="AK14" s="76" t="s">
        <v>13</v>
      </c>
      <c r="AL14" s="76" t="s">
        <v>62</v>
      </c>
      <c r="AM14" s="76" t="s">
        <v>63</v>
      </c>
      <c r="AN14" s="76" t="str">
        <f>IF(AI14="","",$AN$2)</f>
        <v>C</v>
      </c>
      <c r="AO14" s="76" t="str">
        <f>IF(N14="","",IF(N14&gt;=$AO$1/100,"O","X"))</f>
        <v>X</v>
      </c>
      <c r="AP14" s="76" t="str">
        <f>IF(I14="","",IF(I14&lt;=$AP$1,"O","X"))</f>
        <v>O</v>
      </c>
      <c r="AQ14" s="76" t="str">
        <f>IF(O14="","",IF(O14&lt;=$AQ$1,"O","X"))</f>
        <v>O</v>
      </c>
      <c r="AR14" s="76" t="str">
        <f>IF(M14="","",IF(M14&lt;=$AR$1,"O","X"))</f>
        <v>X</v>
      </c>
      <c r="AS14" s="76" t="s">
        <v>2</v>
      </c>
      <c r="AT14" s="76" t="str">
        <f>IF(OR(F14="",AI14=""),"",IF(AND((F14&lt;=85),(AI14&gt;=15)),"O","X"))</f>
        <v>O</v>
      </c>
      <c r="AU14" s="76" t="str">
        <f>IF(C14="","",IF(C14&gt;=$AU$1,"O","X"))</f>
        <v>O</v>
      </c>
      <c r="AV14" s="76" t="str">
        <f>IF(AO14="","",IF(AND(AO14="O",AP14="O",AR14="O",AT14="O",AU14="O"),"후보","X"))</f>
        <v>X</v>
      </c>
    </row>
    <row r="15" spans="1:48" x14ac:dyDescent="0.3">
      <c r="A15" s="9"/>
      <c r="B15" s="76"/>
      <c r="C15" s="6"/>
      <c r="D15" s="9"/>
      <c r="E15" s="14"/>
      <c r="F15" s="85"/>
      <c r="G15" s="9"/>
      <c r="H15" s="9"/>
      <c r="I15" s="9"/>
      <c r="J15" s="9"/>
      <c r="K15" s="9"/>
      <c r="L15" s="9"/>
      <c r="M15" s="9"/>
      <c r="N15" s="9"/>
      <c r="O15" s="90"/>
      <c r="P15" s="90"/>
      <c r="Q15" s="86"/>
      <c r="R15" s="86"/>
      <c r="S15" s="9"/>
      <c r="T15" s="47"/>
      <c r="U15" s="9"/>
      <c r="W15" s="67" t="str">
        <f>$A$4&amp;" "&amp;A16&amp;"("&amp;B16&amp;","&amp;C16&amp;"^)"</f>
        <v>평화동1가 평화오네뜨('13.12.,431^)</v>
      </c>
      <c r="X15" s="68"/>
      <c r="Y15" s="68"/>
      <c r="Z15" s="68"/>
      <c r="AA15" s="68"/>
      <c r="AB15" s="68"/>
      <c r="AC15" s="68"/>
      <c r="AD15" s="68"/>
      <c r="AE15" s="68"/>
      <c r="AF15" s="69"/>
      <c r="AH15" s="20" t="str">
        <f t="shared" si="1"/>
        <v/>
      </c>
      <c r="AI15" s="108" t="str">
        <f t="shared" si="0"/>
        <v/>
      </c>
      <c r="AJ15" s="76"/>
      <c r="AK15" s="76"/>
      <c r="AL15" s="76"/>
      <c r="AM15" s="76"/>
      <c r="AN15" s="76"/>
      <c r="AO15" s="76"/>
      <c r="AP15" s="76"/>
      <c r="AQ15" s="76"/>
      <c r="AR15" s="76"/>
      <c r="AS15" s="76"/>
      <c r="AT15" s="76"/>
      <c r="AU15" s="76"/>
      <c r="AV15" s="76"/>
    </row>
    <row r="16" spans="1:48" x14ac:dyDescent="0.3">
      <c r="A16" s="9" t="s">
        <v>1297</v>
      </c>
      <c r="B16" s="10" t="s">
        <v>1897</v>
      </c>
      <c r="C16" s="87">
        <v>431</v>
      </c>
      <c r="D16" s="85">
        <v>94.1</v>
      </c>
      <c r="E16" s="86">
        <v>28</v>
      </c>
      <c r="F16" s="85">
        <v>68.900000000000006</v>
      </c>
      <c r="G16" s="17">
        <v>21</v>
      </c>
      <c r="H16" s="87">
        <v>250</v>
      </c>
      <c r="I16" s="88">
        <v>19500</v>
      </c>
      <c r="J16" s="88" t="s">
        <v>75</v>
      </c>
      <c r="K16" s="88"/>
      <c r="L16" s="88"/>
      <c r="M16" s="89">
        <f t="shared" ref="M16:M23" si="7">I16-K16</f>
        <v>19500</v>
      </c>
      <c r="N16" s="4">
        <f t="shared" ref="N16:N23" si="8">IF(ISERROR(K16/I16),"",K16/I16)</f>
        <v>0</v>
      </c>
      <c r="O16" s="90">
        <f t="shared" ref="O16:O23" si="9">I16/E16</f>
        <v>696.42857142857144</v>
      </c>
      <c r="P16" s="90">
        <f t="shared" ref="P16:P23" si="10">K16/E16</f>
        <v>0</v>
      </c>
      <c r="Q16" s="76">
        <v>3</v>
      </c>
      <c r="R16" s="76">
        <v>2</v>
      </c>
      <c r="S16" s="76" t="s">
        <v>61</v>
      </c>
      <c r="T16" s="5" t="s">
        <v>290</v>
      </c>
      <c r="U16" s="9"/>
      <c r="W16" s="85">
        <f t="shared" ref="W16:X23" si="11">D16</f>
        <v>94.1</v>
      </c>
      <c r="X16" s="86">
        <f t="shared" si="11"/>
        <v>28</v>
      </c>
      <c r="Y16" s="91">
        <f t="shared" ref="Y16:Z23" si="12">H16</f>
        <v>250</v>
      </c>
      <c r="Z16" s="89">
        <f t="shared" si="12"/>
        <v>19500</v>
      </c>
      <c r="AA16" s="89">
        <f t="shared" ref="AA16:AA23" si="13">K16</f>
        <v>0</v>
      </c>
      <c r="AB16" s="89">
        <f t="shared" ref="AB16:AD23" si="14">M16</f>
        <v>19500</v>
      </c>
      <c r="AC16" s="4">
        <f t="shared" si="14"/>
        <v>0</v>
      </c>
      <c r="AD16" s="90">
        <f t="shared" si="14"/>
        <v>696.42857142857144</v>
      </c>
      <c r="AE16" s="76" t="str">
        <f t="shared" ref="AE16:AE23" si="15">S16</f>
        <v>계</v>
      </c>
      <c r="AF16" s="76" t="str">
        <f t="shared" ref="AF16:AF23" si="16">Q16&amp;"/"&amp;R16</f>
        <v>3/2</v>
      </c>
      <c r="AH16" s="20" t="str">
        <f t="shared" si="1"/>
        <v>평화오네뜨</v>
      </c>
      <c r="AI16" s="86">
        <f t="shared" si="0"/>
        <v>28</v>
      </c>
      <c r="AJ16" s="76" t="str">
        <f t="shared" ref="AJ16:AJ23" si="17">IF(AI16="","",$AJ$2)</f>
        <v>A-</v>
      </c>
      <c r="AK16" s="76" t="s">
        <v>13</v>
      </c>
      <c r="AL16" s="76" t="s">
        <v>62</v>
      </c>
      <c r="AM16" s="76" t="s">
        <v>63</v>
      </c>
      <c r="AN16" s="76" t="str">
        <f t="shared" ref="AN16:AN23" si="18">IF(AI16="","",$AN$2)</f>
        <v>C</v>
      </c>
      <c r="AO16" s="76" t="str">
        <f t="shared" ref="AO16:AO23" si="19">IF(N16="","",IF(N16&gt;=$AO$1/100,"O","X"))</f>
        <v>X</v>
      </c>
      <c r="AP16" s="76" t="str">
        <f t="shared" ref="AP16:AP23" si="20">IF(I16="","",IF(I16&lt;=$AP$1,"O","X"))</f>
        <v>O</v>
      </c>
      <c r="AQ16" s="76" t="str">
        <f t="shared" ref="AQ16:AQ23" si="21">IF(O16="","",IF(O16&lt;=$AQ$1,"O","X"))</f>
        <v>O</v>
      </c>
      <c r="AR16" s="76" t="str">
        <f t="shared" ref="AR16:AR23" si="22">IF(M16="","",IF(M16&lt;=$AR$1,"O","X"))</f>
        <v>X</v>
      </c>
      <c r="AS16" s="76" t="s">
        <v>2</v>
      </c>
      <c r="AT16" s="76" t="str">
        <f t="shared" ref="AT16:AT23" si="23">IF(OR(F16="",AI16=""),"",IF(AND((F16&lt;=85),(AI16&gt;=15)),"O","X"))</f>
        <v>O</v>
      </c>
      <c r="AU16" s="76" t="str">
        <f t="shared" ref="AU16:AU23" si="24">IF(C16="","",IF(C16&gt;=$AU$1,"O","X"))</f>
        <v>O</v>
      </c>
      <c r="AV16" s="76" t="str">
        <f t="shared" ref="AV16:AV23" si="25">IF(AO16="","",IF(AND(AO16="O",AP16="O",AR16="O",AT16="O",AU16="O"),"후보","X"))</f>
        <v>X</v>
      </c>
    </row>
    <row r="17" spans="1:48" x14ac:dyDescent="0.3">
      <c r="A17" s="9" t="s">
        <v>1297</v>
      </c>
      <c r="B17" s="10" t="s">
        <v>1897</v>
      </c>
      <c r="C17" s="87">
        <v>431</v>
      </c>
      <c r="D17" s="85">
        <v>94.1</v>
      </c>
      <c r="E17" s="86">
        <v>28</v>
      </c>
      <c r="F17" s="85">
        <v>68.900000000000006</v>
      </c>
      <c r="G17" s="17">
        <v>21</v>
      </c>
      <c r="H17" s="87">
        <v>32</v>
      </c>
      <c r="I17" s="88">
        <v>19500</v>
      </c>
      <c r="J17" s="88" t="s">
        <v>75</v>
      </c>
      <c r="K17" s="88"/>
      <c r="L17" s="88"/>
      <c r="M17" s="89">
        <f t="shared" si="7"/>
        <v>19500</v>
      </c>
      <c r="N17" s="4">
        <f t="shared" si="8"/>
        <v>0</v>
      </c>
      <c r="O17" s="90">
        <f t="shared" si="9"/>
        <v>696.42857142857144</v>
      </c>
      <c r="P17" s="90">
        <f t="shared" si="10"/>
        <v>0</v>
      </c>
      <c r="Q17" s="76">
        <v>3</v>
      </c>
      <c r="R17" s="76">
        <v>2</v>
      </c>
      <c r="S17" s="76" t="s">
        <v>61</v>
      </c>
      <c r="T17" s="5" t="s">
        <v>291</v>
      </c>
      <c r="U17" s="9"/>
      <c r="W17" s="85">
        <f t="shared" si="11"/>
        <v>94.1</v>
      </c>
      <c r="X17" s="86">
        <f t="shared" si="11"/>
        <v>28</v>
      </c>
      <c r="Y17" s="91">
        <f t="shared" si="12"/>
        <v>32</v>
      </c>
      <c r="Z17" s="89">
        <f t="shared" si="12"/>
        <v>19500</v>
      </c>
      <c r="AA17" s="89">
        <f t="shared" si="13"/>
        <v>0</v>
      </c>
      <c r="AB17" s="89">
        <f t="shared" si="14"/>
        <v>19500</v>
      </c>
      <c r="AC17" s="4">
        <f t="shared" si="14"/>
        <v>0</v>
      </c>
      <c r="AD17" s="90">
        <f t="shared" si="14"/>
        <v>696.42857142857144</v>
      </c>
      <c r="AE17" s="76" t="str">
        <f t="shared" si="15"/>
        <v>계</v>
      </c>
      <c r="AF17" s="76" t="str">
        <f t="shared" si="16"/>
        <v>3/2</v>
      </c>
      <c r="AH17" s="20" t="str">
        <f t="shared" si="1"/>
        <v>평화오네뜨</v>
      </c>
      <c r="AI17" s="86">
        <f t="shared" si="0"/>
        <v>28</v>
      </c>
      <c r="AJ17" s="76" t="str">
        <f t="shared" si="17"/>
        <v>A-</v>
      </c>
      <c r="AK17" s="76" t="s">
        <v>13</v>
      </c>
      <c r="AL17" s="76" t="s">
        <v>62</v>
      </c>
      <c r="AM17" s="76" t="s">
        <v>63</v>
      </c>
      <c r="AN17" s="76" t="str">
        <f t="shared" si="18"/>
        <v>C</v>
      </c>
      <c r="AO17" s="76" t="str">
        <f t="shared" si="19"/>
        <v>X</v>
      </c>
      <c r="AP17" s="76" t="str">
        <f t="shared" si="20"/>
        <v>O</v>
      </c>
      <c r="AQ17" s="76" t="str">
        <f t="shared" si="21"/>
        <v>O</v>
      </c>
      <c r="AR17" s="76" t="str">
        <f t="shared" si="22"/>
        <v>X</v>
      </c>
      <c r="AS17" s="76" t="s">
        <v>2</v>
      </c>
      <c r="AT17" s="76" t="str">
        <f t="shared" si="23"/>
        <v>O</v>
      </c>
      <c r="AU17" s="76" t="str">
        <f t="shared" si="24"/>
        <v>O</v>
      </c>
      <c r="AV17" s="76" t="str">
        <f t="shared" si="25"/>
        <v>X</v>
      </c>
    </row>
    <row r="18" spans="1:48" x14ac:dyDescent="0.3">
      <c r="A18" s="9" t="s">
        <v>1297</v>
      </c>
      <c r="B18" s="10" t="s">
        <v>1897</v>
      </c>
      <c r="C18" s="87">
        <v>431</v>
      </c>
      <c r="D18" s="85">
        <v>109.8</v>
      </c>
      <c r="E18" s="86">
        <v>33</v>
      </c>
      <c r="F18" s="85">
        <v>85</v>
      </c>
      <c r="G18" s="17">
        <v>26</v>
      </c>
      <c r="H18" s="87">
        <v>20</v>
      </c>
      <c r="I18" s="88"/>
      <c r="J18" s="88"/>
      <c r="K18" s="88"/>
      <c r="L18" s="88"/>
      <c r="M18" s="89">
        <f t="shared" si="7"/>
        <v>0</v>
      </c>
      <c r="N18" s="4" t="str">
        <f t="shared" si="8"/>
        <v/>
      </c>
      <c r="O18" s="90">
        <f t="shared" si="9"/>
        <v>0</v>
      </c>
      <c r="P18" s="90">
        <f t="shared" si="10"/>
        <v>0</v>
      </c>
      <c r="Q18" s="76">
        <v>3</v>
      </c>
      <c r="R18" s="76">
        <v>2</v>
      </c>
      <c r="S18" s="76" t="s">
        <v>61</v>
      </c>
      <c r="T18" s="5" t="s">
        <v>192</v>
      </c>
      <c r="U18" s="9"/>
      <c r="W18" s="85">
        <f t="shared" si="11"/>
        <v>109.8</v>
      </c>
      <c r="X18" s="86">
        <f t="shared" si="11"/>
        <v>33</v>
      </c>
      <c r="Y18" s="91">
        <f t="shared" si="12"/>
        <v>20</v>
      </c>
      <c r="Z18" s="89">
        <f t="shared" si="12"/>
        <v>0</v>
      </c>
      <c r="AA18" s="89">
        <f t="shared" si="13"/>
        <v>0</v>
      </c>
      <c r="AB18" s="89">
        <f t="shared" si="14"/>
        <v>0</v>
      </c>
      <c r="AC18" s="4" t="str">
        <f t="shared" si="14"/>
        <v/>
      </c>
      <c r="AD18" s="90">
        <f t="shared" si="14"/>
        <v>0</v>
      </c>
      <c r="AE18" s="76" t="str">
        <f t="shared" si="15"/>
        <v>계</v>
      </c>
      <c r="AF18" s="76" t="str">
        <f t="shared" si="16"/>
        <v>3/2</v>
      </c>
      <c r="AH18" s="20" t="str">
        <f t="shared" si="1"/>
        <v>평화오네뜨</v>
      </c>
      <c r="AI18" s="86">
        <f t="shared" si="0"/>
        <v>33</v>
      </c>
      <c r="AJ18" s="76" t="str">
        <f t="shared" si="17"/>
        <v>A-</v>
      </c>
      <c r="AK18" s="76" t="s">
        <v>13</v>
      </c>
      <c r="AL18" s="76" t="s">
        <v>62</v>
      </c>
      <c r="AM18" s="76" t="s">
        <v>63</v>
      </c>
      <c r="AN18" s="76" t="str">
        <f t="shared" si="18"/>
        <v>C</v>
      </c>
      <c r="AO18" s="76" t="str">
        <f t="shared" si="19"/>
        <v/>
      </c>
      <c r="AP18" s="76" t="str">
        <f t="shared" si="20"/>
        <v/>
      </c>
      <c r="AQ18" s="76" t="str">
        <f t="shared" si="21"/>
        <v>O</v>
      </c>
      <c r="AR18" s="76" t="str">
        <f t="shared" si="22"/>
        <v>O</v>
      </c>
      <c r="AS18" s="76" t="s">
        <v>2</v>
      </c>
      <c r="AT18" s="76" t="str">
        <f t="shared" si="23"/>
        <v>O</v>
      </c>
      <c r="AU18" s="76" t="str">
        <f t="shared" si="24"/>
        <v>O</v>
      </c>
      <c r="AV18" s="76" t="str">
        <f t="shared" si="25"/>
        <v/>
      </c>
    </row>
    <row r="19" spans="1:48" x14ac:dyDescent="0.3">
      <c r="A19" s="9" t="s">
        <v>1297</v>
      </c>
      <c r="B19" s="10" t="s">
        <v>1897</v>
      </c>
      <c r="C19" s="87">
        <v>431</v>
      </c>
      <c r="D19" s="85">
        <v>110</v>
      </c>
      <c r="E19" s="86">
        <v>33</v>
      </c>
      <c r="F19" s="85">
        <v>85</v>
      </c>
      <c r="G19" s="17">
        <v>26</v>
      </c>
      <c r="H19" s="87">
        <v>55</v>
      </c>
      <c r="I19" s="88"/>
      <c r="J19" s="88"/>
      <c r="K19" s="88"/>
      <c r="L19" s="88"/>
      <c r="M19" s="89">
        <f t="shared" si="7"/>
        <v>0</v>
      </c>
      <c r="N19" s="4" t="str">
        <f t="shared" si="8"/>
        <v/>
      </c>
      <c r="O19" s="90">
        <f t="shared" si="9"/>
        <v>0</v>
      </c>
      <c r="P19" s="90">
        <f t="shared" si="10"/>
        <v>0</v>
      </c>
      <c r="Q19" s="76">
        <v>3</v>
      </c>
      <c r="R19" s="76">
        <v>2</v>
      </c>
      <c r="S19" s="76" t="s">
        <v>61</v>
      </c>
      <c r="T19" s="5" t="s">
        <v>292</v>
      </c>
      <c r="U19" s="9"/>
      <c r="W19" s="85">
        <f t="shared" si="11"/>
        <v>110</v>
      </c>
      <c r="X19" s="86">
        <f t="shared" si="11"/>
        <v>33</v>
      </c>
      <c r="Y19" s="91">
        <f t="shared" si="12"/>
        <v>55</v>
      </c>
      <c r="Z19" s="89">
        <f t="shared" si="12"/>
        <v>0</v>
      </c>
      <c r="AA19" s="89">
        <f t="shared" si="13"/>
        <v>0</v>
      </c>
      <c r="AB19" s="89">
        <f t="shared" si="14"/>
        <v>0</v>
      </c>
      <c r="AC19" s="4" t="str">
        <f t="shared" si="14"/>
        <v/>
      </c>
      <c r="AD19" s="90">
        <f t="shared" si="14"/>
        <v>0</v>
      </c>
      <c r="AE19" s="76" t="str">
        <f t="shared" si="15"/>
        <v>계</v>
      </c>
      <c r="AF19" s="76" t="str">
        <f t="shared" si="16"/>
        <v>3/2</v>
      </c>
      <c r="AH19" s="20" t="str">
        <f t="shared" si="1"/>
        <v>평화오네뜨</v>
      </c>
      <c r="AI19" s="86">
        <f t="shared" si="0"/>
        <v>33</v>
      </c>
      <c r="AJ19" s="76" t="str">
        <f t="shared" si="17"/>
        <v>A-</v>
      </c>
      <c r="AK19" s="76" t="s">
        <v>13</v>
      </c>
      <c r="AL19" s="76" t="s">
        <v>62</v>
      </c>
      <c r="AM19" s="76" t="s">
        <v>63</v>
      </c>
      <c r="AN19" s="76" t="str">
        <f t="shared" si="18"/>
        <v>C</v>
      </c>
      <c r="AO19" s="76" t="str">
        <f t="shared" si="19"/>
        <v/>
      </c>
      <c r="AP19" s="76" t="str">
        <f t="shared" si="20"/>
        <v/>
      </c>
      <c r="AQ19" s="76" t="str">
        <f t="shared" si="21"/>
        <v>O</v>
      </c>
      <c r="AR19" s="76" t="str">
        <f t="shared" si="22"/>
        <v>O</v>
      </c>
      <c r="AS19" s="76" t="s">
        <v>2</v>
      </c>
      <c r="AT19" s="76" t="str">
        <f t="shared" si="23"/>
        <v>O</v>
      </c>
      <c r="AU19" s="76" t="str">
        <f t="shared" si="24"/>
        <v>O</v>
      </c>
      <c r="AV19" s="76" t="str">
        <f t="shared" si="25"/>
        <v/>
      </c>
    </row>
    <row r="20" spans="1:48" x14ac:dyDescent="0.3">
      <c r="A20" s="9" t="s">
        <v>1297</v>
      </c>
      <c r="B20" s="10" t="s">
        <v>1897</v>
      </c>
      <c r="C20" s="87">
        <v>431</v>
      </c>
      <c r="D20" s="85">
        <v>110.4</v>
      </c>
      <c r="E20" s="86">
        <v>33</v>
      </c>
      <c r="F20" s="85">
        <v>85</v>
      </c>
      <c r="G20" s="17">
        <v>26</v>
      </c>
      <c r="H20" s="87">
        <v>30</v>
      </c>
      <c r="I20" s="88">
        <v>28500</v>
      </c>
      <c r="J20" s="88" t="s">
        <v>72</v>
      </c>
      <c r="K20" s="88"/>
      <c r="L20" s="88"/>
      <c r="M20" s="89">
        <f t="shared" si="7"/>
        <v>28500</v>
      </c>
      <c r="N20" s="4">
        <f t="shared" si="8"/>
        <v>0</v>
      </c>
      <c r="O20" s="90">
        <f t="shared" si="9"/>
        <v>863.63636363636363</v>
      </c>
      <c r="P20" s="90">
        <f t="shared" si="10"/>
        <v>0</v>
      </c>
      <c r="Q20" s="76">
        <v>3</v>
      </c>
      <c r="R20" s="76">
        <v>2</v>
      </c>
      <c r="S20" s="76" t="s">
        <v>61</v>
      </c>
      <c r="T20" s="5" t="s">
        <v>293</v>
      </c>
      <c r="U20" s="9"/>
      <c r="W20" s="85">
        <f t="shared" si="11"/>
        <v>110.4</v>
      </c>
      <c r="X20" s="86">
        <f t="shared" si="11"/>
        <v>33</v>
      </c>
      <c r="Y20" s="91">
        <f t="shared" si="12"/>
        <v>30</v>
      </c>
      <c r="Z20" s="89">
        <f t="shared" si="12"/>
        <v>28500</v>
      </c>
      <c r="AA20" s="89">
        <f t="shared" si="13"/>
        <v>0</v>
      </c>
      <c r="AB20" s="89">
        <f t="shared" si="14"/>
        <v>28500</v>
      </c>
      <c r="AC20" s="4">
        <f t="shared" si="14"/>
        <v>0</v>
      </c>
      <c r="AD20" s="90">
        <f t="shared" si="14"/>
        <v>863.63636363636363</v>
      </c>
      <c r="AE20" s="76" t="str">
        <f t="shared" si="15"/>
        <v>계</v>
      </c>
      <c r="AF20" s="76" t="str">
        <f t="shared" si="16"/>
        <v>3/2</v>
      </c>
      <c r="AH20" s="20" t="str">
        <f t="shared" si="1"/>
        <v>평화오네뜨</v>
      </c>
      <c r="AI20" s="86">
        <f t="shared" si="0"/>
        <v>33</v>
      </c>
      <c r="AJ20" s="76" t="str">
        <f t="shared" si="17"/>
        <v>A-</v>
      </c>
      <c r="AK20" s="76" t="s">
        <v>13</v>
      </c>
      <c r="AL20" s="76" t="s">
        <v>62</v>
      </c>
      <c r="AM20" s="76" t="s">
        <v>63</v>
      </c>
      <c r="AN20" s="76" t="str">
        <f t="shared" si="18"/>
        <v>C</v>
      </c>
      <c r="AO20" s="76" t="str">
        <f t="shared" si="19"/>
        <v>X</v>
      </c>
      <c r="AP20" s="76" t="str">
        <f t="shared" si="20"/>
        <v>O</v>
      </c>
      <c r="AQ20" s="76" t="str">
        <f t="shared" si="21"/>
        <v>O</v>
      </c>
      <c r="AR20" s="76" t="str">
        <f t="shared" si="22"/>
        <v>X</v>
      </c>
      <c r="AS20" s="76" t="s">
        <v>2</v>
      </c>
      <c r="AT20" s="76" t="str">
        <f t="shared" si="23"/>
        <v>O</v>
      </c>
      <c r="AU20" s="76" t="str">
        <f t="shared" si="24"/>
        <v>O</v>
      </c>
      <c r="AV20" s="76" t="str">
        <f t="shared" si="25"/>
        <v>X</v>
      </c>
    </row>
    <row r="21" spans="1:48" x14ac:dyDescent="0.3">
      <c r="A21" s="9" t="s">
        <v>1297</v>
      </c>
      <c r="B21" s="10" t="s">
        <v>1897</v>
      </c>
      <c r="C21" s="87">
        <v>431</v>
      </c>
      <c r="D21" s="85">
        <v>110.5</v>
      </c>
      <c r="E21" s="86">
        <v>33</v>
      </c>
      <c r="F21" s="85">
        <v>85</v>
      </c>
      <c r="G21" s="17">
        <v>26</v>
      </c>
      <c r="H21" s="87">
        <v>11</v>
      </c>
      <c r="I21" s="88"/>
      <c r="J21" s="88"/>
      <c r="K21" s="88"/>
      <c r="L21" s="88"/>
      <c r="M21" s="89">
        <f t="shared" si="7"/>
        <v>0</v>
      </c>
      <c r="N21" s="4" t="str">
        <f t="shared" si="8"/>
        <v/>
      </c>
      <c r="O21" s="90">
        <f t="shared" si="9"/>
        <v>0</v>
      </c>
      <c r="P21" s="90">
        <f t="shared" si="10"/>
        <v>0</v>
      </c>
      <c r="Q21" s="76">
        <v>3</v>
      </c>
      <c r="R21" s="76">
        <v>2</v>
      </c>
      <c r="S21" s="76" t="s">
        <v>61</v>
      </c>
      <c r="T21" s="5" t="s">
        <v>294</v>
      </c>
      <c r="U21" s="9"/>
      <c r="W21" s="85">
        <f t="shared" si="11"/>
        <v>110.5</v>
      </c>
      <c r="X21" s="86">
        <f t="shared" si="11"/>
        <v>33</v>
      </c>
      <c r="Y21" s="91">
        <f t="shared" si="12"/>
        <v>11</v>
      </c>
      <c r="Z21" s="89">
        <f t="shared" si="12"/>
        <v>0</v>
      </c>
      <c r="AA21" s="89">
        <f t="shared" si="13"/>
        <v>0</v>
      </c>
      <c r="AB21" s="89">
        <f t="shared" si="14"/>
        <v>0</v>
      </c>
      <c r="AC21" s="4" t="str">
        <f t="shared" si="14"/>
        <v/>
      </c>
      <c r="AD21" s="90">
        <f t="shared" si="14"/>
        <v>0</v>
      </c>
      <c r="AE21" s="76" t="str">
        <f t="shared" si="15"/>
        <v>계</v>
      </c>
      <c r="AF21" s="76" t="str">
        <f t="shared" si="16"/>
        <v>3/2</v>
      </c>
      <c r="AH21" s="20" t="str">
        <f t="shared" si="1"/>
        <v>평화오네뜨</v>
      </c>
      <c r="AI21" s="86">
        <f t="shared" si="0"/>
        <v>33</v>
      </c>
      <c r="AJ21" s="76" t="str">
        <f t="shared" si="17"/>
        <v>A-</v>
      </c>
      <c r="AK21" s="76" t="s">
        <v>13</v>
      </c>
      <c r="AL21" s="76" t="s">
        <v>62</v>
      </c>
      <c r="AM21" s="76" t="s">
        <v>63</v>
      </c>
      <c r="AN21" s="76" t="str">
        <f t="shared" si="18"/>
        <v>C</v>
      </c>
      <c r="AO21" s="76" t="str">
        <f t="shared" si="19"/>
        <v/>
      </c>
      <c r="AP21" s="76" t="str">
        <f t="shared" si="20"/>
        <v/>
      </c>
      <c r="AQ21" s="76" t="str">
        <f t="shared" si="21"/>
        <v>O</v>
      </c>
      <c r="AR21" s="76" t="str">
        <f t="shared" si="22"/>
        <v>O</v>
      </c>
      <c r="AS21" s="76" t="s">
        <v>2</v>
      </c>
      <c r="AT21" s="76" t="str">
        <f t="shared" si="23"/>
        <v>O</v>
      </c>
      <c r="AU21" s="76" t="str">
        <f t="shared" si="24"/>
        <v>O</v>
      </c>
      <c r="AV21" s="76" t="str">
        <f t="shared" si="25"/>
        <v/>
      </c>
    </row>
    <row r="22" spans="1:48" x14ac:dyDescent="0.3">
      <c r="A22" s="9" t="s">
        <v>1297</v>
      </c>
      <c r="B22" s="10" t="s">
        <v>1897</v>
      </c>
      <c r="C22" s="87">
        <v>431</v>
      </c>
      <c r="D22" s="85">
        <v>111.2</v>
      </c>
      <c r="E22" s="86">
        <v>34</v>
      </c>
      <c r="F22" s="85">
        <v>85</v>
      </c>
      <c r="G22" s="17">
        <v>26</v>
      </c>
      <c r="H22" s="87">
        <v>24</v>
      </c>
      <c r="I22" s="88">
        <v>28500</v>
      </c>
      <c r="J22" s="88" t="s">
        <v>90</v>
      </c>
      <c r="K22" s="88"/>
      <c r="L22" s="88"/>
      <c r="M22" s="89">
        <f t="shared" si="7"/>
        <v>28500</v>
      </c>
      <c r="N22" s="4">
        <f t="shared" si="8"/>
        <v>0</v>
      </c>
      <c r="O22" s="90">
        <f t="shared" si="9"/>
        <v>838.23529411764707</v>
      </c>
      <c r="P22" s="90">
        <f t="shared" si="10"/>
        <v>0</v>
      </c>
      <c r="Q22" s="76">
        <v>4</v>
      </c>
      <c r="R22" s="76">
        <v>2</v>
      </c>
      <c r="S22" s="76" t="s">
        <v>61</v>
      </c>
      <c r="T22" s="5" t="s">
        <v>126</v>
      </c>
      <c r="U22" s="9"/>
      <c r="W22" s="85">
        <f t="shared" si="11"/>
        <v>111.2</v>
      </c>
      <c r="X22" s="86">
        <f t="shared" si="11"/>
        <v>34</v>
      </c>
      <c r="Y22" s="91">
        <f t="shared" si="12"/>
        <v>24</v>
      </c>
      <c r="Z22" s="89">
        <f t="shared" si="12"/>
        <v>28500</v>
      </c>
      <c r="AA22" s="89">
        <f t="shared" si="13"/>
        <v>0</v>
      </c>
      <c r="AB22" s="89">
        <f t="shared" si="14"/>
        <v>28500</v>
      </c>
      <c r="AC22" s="4">
        <f t="shared" si="14"/>
        <v>0</v>
      </c>
      <c r="AD22" s="90">
        <f t="shared" si="14"/>
        <v>838.23529411764707</v>
      </c>
      <c r="AE22" s="76" t="str">
        <f t="shared" si="15"/>
        <v>계</v>
      </c>
      <c r="AF22" s="76" t="str">
        <f t="shared" si="16"/>
        <v>4/2</v>
      </c>
      <c r="AH22" s="20" t="str">
        <f t="shared" si="1"/>
        <v>평화오네뜨</v>
      </c>
      <c r="AI22" s="86">
        <f t="shared" si="0"/>
        <v>34</v>
      </c>
      <c r="AJ22" s="76" t="str">
        <f t="shared" si="17"/>
        <v>A-</v>
      </c>
      <c r="AK22" s="76" t="s">
        <v>13</v>
      </c>
      <c r="AL22" s="76" t="s">
        <v>62</v>
      </c>
      <c r="AM22" s="76" t="s">
        <v>63</v>
      </c>
      <c r="AN22" s="76" t="str">
        <f t="shared" si="18"/>
        <v>C</v>
      </c>
      <c r="AO22" s="76" t="str">
        <f t="shared" si="19"/>
        <v>X</v>
      </c>
      <c r="AP22" s="76" t="str">
        <f t="shared" si="20"/>
        <v>O</v>
      </c>
      <c r="AQ22" s="76" t="str">
        <f t="shared" si="21"/>
        <v>O</v>
      </c>
      <c r="AR22" s="76" t="str">
        <f t="shared" si="22"/>
        <v>X</v>
      </c>
      <c r="AS22" s="76" t="s">
        <v>2</v>
      </c>
      <c r="AT22" s="76" t="str">
        <f t="shared" si="23"/>
        <v>O</v>
      </c>
      <c r="AU22" s="76" t="str">
        <f t="shared" si="24"/>
        <v>O</v>
      </c>
      <c r="AV22" s="76" t="str">
        <f t="shared" si="25"/>
        <v>X</v>
      </c>
    </row>
    <row r="23" spans="1:48" x14ac:dyDescent="0.3">
      <c r="A23" s="9" t="s">
        <v>1297</v>
      </c>
      <c r="B23" s="10" t="s">
        <v>1897</v>
      </c>
      <c r="C23" s="87">
        <v>431</v>
      </c>
      <c r="D23" s="85">
        <v>111.4</v>
      </c>
      <c r="E23" s="86">
        <v>34</v>
      </c>
      <c r="F23" s="85">
        <v>85</v>
      </c>
      <c r="G23" s="17">
        <v>26</v>
      </c>
      <c r="H23" s="87">
        <v>9</v>
      </c>
      <c r="I23" s="88">
        <v>28500</v>
      </c>
      <c r="J23" s="88" t="s">
        <v>72</v>
      </c>
      <c r="K23" s="88"/>
      <c r="L23" s="88"/>
      <c r="M23" s="89">
        <f t="shared" si="7"/>
        <v>28500</v>
      </c>
      <c r="N23" s="4">
        <f t="shared" si="8"/>
        <v>0</v>
      </c>
      <c r="O23" s="90">
        <f t="shared" si="9"/>
        <v>838.23529411764707</v>
      </c>
      <c r="P23" s="90">
        <f t="shared" si="10"/>
        <v>0</v>
      </c>
      <c r="Q23" s="76">
        <v>3</v>
      </c>
      <c r="R23" s="76">
        <v>2</v>
      </c>
      <c r="S23" s="76" t="s">
        <v>61</v>
      </c>
      <c r="T23" s="5" t="s">
        <v>295</v>
      </c>
      <c r="U23" s="9"/>
      <c r="W23" s="85">
        <f t="shared" si="11"/>
        <v>111.4</v>
      </c>
      <c r="X23" s="86">
        <f t="shared" si="11"/>
        <v>34</v>
      </c>
      <c r="Y23" s="91">
        <f t="shared" si="12"/>
        <v>9</v>
      </c>
      <c r="Z23" s="89">
        <f t="shared" si="12"/>
        <v>28500</v>
      </c>
      <c r="AA23" s="89">
        <f t="shared" si="13"/>
        <v>0</v>
      </c>
      <c r="AB23" s="89">
        <f t="shared" si="14"/>
        <v>28500</v>
      </c>
      <c r="AC23" s="4">
        <f t="shared" si="14"/>
        <v>0</v>
      </c>
      <c r="AD23" s="90">
        <f t="shared" si="14"/>
        <v>838.23529411764707</v>
      </c>
      <c r="AE23" s="76" t="str">
        <f t="shared" si="15"/>
        <v>계</v>
      </c>
      <c r="AF23" s="76" t="str">
        <f t="shared" si="16"/>
        <v>3/2</v>
      </c>
      <c r="AH23" s="20" t="str">
        <f t="shared" si="1"/>
        <v>평화오네뜨</v>
      </c>
      <c r="AI23" s="86">
        <f t="shared" si="0"/>
        <v>34</v>
      </c>
      <c r="AJ23" s="76" t="str">
        <f t="shared" si="17"/>
        <v>A-</v>
      </c>
      <c r="AK23" s="76" t="s">
        <v>13</v>
      </c>
      <c r="AL23" s="76" t="s">
        <v>62</v>
      </c>
      <c r="AM23" s="76" t="s">
        <v>63</v>
      </c>
      <c r="AN23" s="76" t="str">
        <f t="shared" si="18"/>
        <v>C</v>
      </c>
      <c r="AO23" s="76" t="str">
        <f t="shared" si="19"/>
        <v>X</v>
      </c>
      <c r="AP23" s="76" t="str">
        <f t="shared" si="20"/>
        <v>O</v>
      </c>
      <c r="AQ23" s="76" t="str">
        <f t="shared" si="21"/>
        <v>O</v>
      </c>
      <c r="AR23" s="76" t="str">
        <f t="shared" si="22"/>
        <v>X</v>
      </c>
      <c r="AS23" s="76" t="s">
        <v>2</v>
      </c>
      <c r="AT23" s="76" t="str">
        <f t="shared" si="23"/>
        <v>O</v>
      </c>
      <c r="AU23" s="76" t="str">
        <f t="shared" si="24"/>
        <v>O</v>
      </c>
      <c r="AV23" s="76" t="str">
        <f t="shared" si="25"/>
        <v>X</v>
      </c>
    </row>
    <row r="24" spans="1:48" x14ac:dyDescent="0.3">
      <c r="A24" s="9"/>
      <c r="B24" s="76"/>
      <c r="C24" s="6"/>
      <c r="D24" s="9"/>
      <c r="E24" s="14"/>
      <c r="F24" s="85"/>
      <c r="G24" s="9"/>
      <c r="H24" s="9"/>
      <c r="I24" s="9"/>
      <c r="J24" s="9"/>
      <c r="K24" s="9"/>
      <c r="L24" s="9"/>
      <c r="M24" s="9"/>
      <c r="N24" s="9"/>
      <c r="O24" s="90"/>
      <c r="P24" s="90"/>
      <c r="Q24" s="86"/>
      <c r="R24" s="86"/>
      <c r="S24" s="9"/>
      <c r="T24" s="47"/>
      <c r="U24" s="9"/>
      <c r="W24" s="67" t="str">
        <f>$A$4&amp;" "&amp;A25&amp;"("&amp;B25&amp;","&amp;C25&amp;"^)"</f>
        <v>평화동1가 코오롱('95.01.,1259^)</v>
      </c>
      <c r="X24" s="68"/>
      <c r="Y24" s="68"/>
      <c r="Z24" s="68"/>
      <c r="AA24" s="68"/>
      <c r="AB24" s="68"/>
      <c r="AC24" s="68"/>
      <c r="AD24" s="68"/>
      <c r="AE24" s="68"/>
      <c r="AF24" s="69"/>
      <c r="AH24" s="20" t="str">
        <f t="shared" si="1"/>
        <v/>
      </c>
      <c r="AI24" s="108" t="str">
        <f t="shared" si="0"/>
        <v/>
      </c>
      <c r="AJ24" s="76"/>
      <c r="AK24" s="76"/>
      <c r="AL24" s="76"/>
      <c r="AM24" s="76"/>
      <c r="AN24" s="76"/>
      <c r="AO24" s="76"/>
      <c r="AP24" s="76"/>
      <c r="AQ24" s="76"/>
      <c r="AR24" s="76"/>
      <c r="AS24" s="76"/>
      <c r="AT24" s="76"/>
      <c r="AU24" s="76"/>
      <c r="AV24" s="76"/>
    </row>
    <row r="25" spans="1:48" x14ac:dyDescent="0.3">
      <c r="A25" s="9" t="s">
        <v>1301</v>
      </c>
      <c r="B25" s="10" t="s">
        <v>1898</v>
      </c>
      <c r="C25" s="87">
        <v>1259</v>
      </c>
      <c r="D25" s="85">
        <v>93.7</v>
      </c>
      <c r="E25" s="86">
        <v>28</v>
      </c>
      <c r="F25" s="85">
        <v>73</v>
      </c>
      <c r="G25" s="17">
        <v>22</v>
      </c>
      <c r="H25" s="87">
        <v>256</v>
      </c>
      <c r="I25" s="88">
        <v>16500</v>
      </c>
      <c r="J25" s="88" t="s">
        <v>90</v>
      </c>
      <c r="K25" s="88"/>
      <c r="L25" s="88"/>
      <c r="M25" s="89">
        <f>I25-K25</f>
        <v>16500</v>
      </c>
      <c r="N25" s="4">
        <f>IF(ISERROR(K25/I25),"",K25/I25)</f>
        <v>0</v>
      </c>
      <c r="O25" s="90">
        <f>I25/E25</f>
        <v>589.28571428571433</v>
      </c>
      <c r="P25" s="90">
        <f>K25/E25</f>
        <v>0</v>
      </c>
      <c r="Q25" s="76">
        <v>3</v>
      </c>
      <c r="R25" s="76">
        <v>1</v>
      </c>
      <c r="S25" s="76" t="s">
        <v>61</v>
      </c>
      <c r="T25" s="5">
        <v>93</v>
      </c>
      <c r="U25" s="9"/>
      <c r="W25" s="85">
        <f t="shared" ref="W25:X29" si="26">D25</f>
        <v>93.7</v>
      </c>
      <c r="X25" s="86">
        <f t="shared" si="26"/>
        <v>28</v>
      </c>
      <c r="Y25" s="91">
        <f t="shared" ref="Y25:Z29" si="27">H25</f>
        <v>256</v>
      </c>
      <c r="Z25" s="89">
        <f t="shared" si="27"/>
        <v>16500</v>
      </c>
      <c r="AA25" s="89">
        <f>K25</f>
        <v>0</v>
      </c>
      <c r="AB25" s="89">
        <f t="shared" ref="AB25:AD29" si="28">M25</f>
        <v>16500</v>
      </c>
      <c r="AC25" s="4">
        <f t="shared" si="28"/>
        <v>0</v>
      </c>
      <c r="AD25" s="90">
        <f t="shared" si="28"/>
        <v>589.28571428571433</v>
      </c>
      <c r="AE25" s="76" t="str">
        <f>S25</f>
        <v>계</v>
      </c>
      <c r="AF25" s="76" t="str">
        <f>Q25&amp;"/"&amp;R25</f>
        <v>3/1</v>
      </c>
      <c r="AH25" s="20" t="str">
        <f t="shared" si="1"/>
        <v>코오롱</v>
      </c>
      <c r="AI25" s="86">
        <f t="shared" si="0"/>
        <v>28</v>
      </c>
      <c r="AJ25" s="76" t="str">
        <f>IF(AI25="","",$AJ$2)</f>
        <v>A-</v>
      </c>
      <c r="AK25" s="76" t="s">
        <v>13</v>
      </c>
      <c r="AL25" s="76" t="s">
        <v>62</v>
      </c>
      <c r="AM25" s="76" t="s">
        <v>63</v>
      </c>
      <c r="AN25" s="76" t="str">
        <f>IF(AI25="","",$AN$2)</f>
        <v>C</v>
      </c>
      <c r="AO25" s="76" t="str">
        <f>IF(N25="","",IF(N25&gt;=$AO$1/100,"O","X"))</f>
        <v>X</v>
      </c>
      <c r="AP25" s="76" t="str">
        <f>IF(I25="","",IF(I25&lt;=$AP$1,"O","X"))</f>
        <v>O</v>
      </c>
      <c r="AQ25" s="76" t="str">
        <f>IF(O25="","",IF(O25&lt;=$AQ$1,"O","X"))</f>
        <v>O</v>
      </c>
      <c r="AR25" s="76" t="str">
        <f>IF(M25="","",IF(M25&lt;=$AR$1,"O","X"))</f>
        <v>X</v>
      </c>
      <c r="AS25" s="76" t="s">
        <v>2</v>
      </c>
      <c r="AT25" s="76" t="str">
        <f>IF(OR(F25="",AI25=""),"",IF(AND((F25&lt;=85),(AI25&gt;=15)),"O","X"))</f>
        <v>O</v>
      </c>
      <c r="AU25" s="76" t="str">
        <f>IF(C25="","",IF(C25&gt;=$AU$1,"O","X"))</f>
        <v>O</v>
      </c>
      <c r="AV25" s="76" t="str">
        <f>IF(AO25="","",IF(AND(AO25="O",AP25="O",AR25="O",AT25="O",AU25="O"),"후보","X"))</f>
        <v>X</v>
      </c>
    </row>
    <row r="26" spans="1:48" x14ac:dyDescent="0.3">
      <c r="A26" s="9" t="s">
        <v>1301</v>
      </c>
      <c r="B26" s="10" t="s">
        <v>1898</v>
      </c>
      <c r="C26" s="87">
        <v>1259</v>
      </c>
      <c r="D26" s="85">
        <v>105.6</v>
      </c>
      <c r="E26" s="86">
        <v>32</v>
      </c>
      <c r="F26" s="85">
        <v>84.8</v>
      </c>
      <c r="G26" s="17">
        <v>26</v>
      </c>
      <c r="H26" s="87">
        <v>718</v>
      </c>
      <c r="I26" s="88">
        <v>18000</v>
      </c>
      <c r="J26" s="88" t="s">
        <v>189</v>
      </c>
      <c r="K26" s="88">
        <v>21000</v>
      </c>
      <c r="L26" s="88" t="s">
        <v>181</v>
      </c>
      <c r="M26" s="89">
        <f>I26-K26</f>
        <v>-3000</v>
      </c>
      <c r="N26" s="4">
        <f>IF(ISERROR(K26/I26),"",K26/I26)</f>
        <v>1.1666666666666667</v>
      </c>
      <c r="O26" s="90">
        <f>I26/E26</f>
        <v>562.5</v>
      </c>
      <c r="P26" s="90">
        <f>K26/E26</f>
        <v>656.25</v>
      </c>
      <c r="Q26" s="76">
        <v>3</v>
      </c>
      <c r="R26" s="76">
        <v>2</v>
      </c>
      <c r="S26" s="76" t="s">
        <v>61</v>
      </c>
      <c r="T26" s="5">
        <v>105</v>
      </c>
      <c r="U26" s="9"/>
      <c r="W26" s="85">
        <f t="shared" si="26"/>
        <v>105.6</v>
      </c>
      <c r="X26" s="86">
        <f t="shared" si="26"/>
        <v>32</v>
      </c>
      <c r="Y26" s="91">
        <f t="shared" si="27"/>
        <v>718</v>
      </c>
      <c r="Z26" s="89">
        <f t="shared" si="27"/>
        <v>18000</v>
      </c>
      <c r="AA26" s="89">
        <f>K26</f>
        <v>21000</v>
      </c>
      <c r="AB26" s="89">
        <f t="shared" si="28"/>
        <v>-3000</v>
      </c>
      <c r="AC26" s="4">
        <f t="shared" si="28"/>
        <v>1.1666666666666667</v>
      </c>
      <c r="AD26" s="90">
        <f t="shared" si="28"/>
        <v>562.5</v>
      </c>
      <c r="AE26" s="76" t="str">
        <f>S26</f>
        <v>계</v>
      </c>
      <c r="AF26" s="76" t="str">
        <f>Q26&amp;"/"&amp;R26</f>
        <v>3/2</v>
      </c>
      <c r="AH26" s="20" t="str">
        <f t="shared" si="1"/>
        <v>코오롱</v>
      </c>
      <c r="AI26" s="86">
        <f t="shared" si="0"/>
        <v>32</v>
      </c>
      <c r="AJ26" s="76" t="str">
        <f>IF(AI26="","",$AJ$2)</f>
        <v>A-</v>
      </c>
      <c r="AK26" s="76" t="s">
        <v>13</v>
      </c>
      <c r="AL26" s="76" t="s">
        <v>62</v>
      </c>
      <c r="AM26" s="76" t="s">
        <v>63</v>
      </c>
      <c r="AN26" s="76" t="str">
        <f>IF(AI26="","",$AN$2)</f>
        <v>C</v>
      </c>
      <c r="AO26" s="76" t="str">
        <f>IF(N26="","",IF(N26&gt;=$AO$1/100,"O","X"))</f>
        <v>O</v>
      </c>
      <c r="AP26" s="76" t="str">
        <f>IF(I26="","",IF(I26&lt;=$AP$1,"O","X"))</f>
        <v>O</v>
      </c>
      <c r="AQ26" s="76" t="str">
        <f>IF(O26="","",IF(O26&lt;=$AQ$1,"O","X"))</f>
        <v>O</v>
      </c>
      <c r="AR26" s="76" t="str">
        <f>IF(M26="","",IF(M26&lt;=$AR$1,"O","X"))</f>
        <v>O</v>
      </c>
      <c r="AS26" s="76" t="s">
        <v>2</v>
      </c>
      <c r="AT26" s="76" t="str">
        <f>IF(OR(F26="",AI26=""),"",IF(AND((F26&lt;=85),(AI26&gt;=15)),"O","X"))</f>
        <v>O</v>
      </c>
      <c r="AU26" s="76" t="str">
        <f>IF(C26="","",IF(C26&gt;=$AU$1,"O","X"))</f>
        <v>O</v>
      </c>
      <c r="AV26" s="76" t="str">
        <f>IF(AO26="","",IF(AND(AO26="O",AP26="O",AR26="O",AT26="O",AU26="O"),"후보","X"))</f>
        <v>후보</v>
      </c>
    </row>
    <row r="27" spans="1:48" x14ac:dyDescent="0.3">
      <c r="A27" s="9" t="s">
        <v>1301</v>
      </c>
      <c r="B27" s="10" t="s">
        <v>1898</v>
      </c>
      <c r="C27" s="87">
        <v>1259</v>
      </c>
      <c r="D27" s="85">
        <v>124</v>
      </c>
      <c r="E27" s="86">
        <v>37</v>
      </c>
      <c r="F27" s="85">
        <v>102</v>
      </c>
      <c r="G27" s="17">
        <v>31</v>
      </c>
      <c r="H27" s="87">
        <v>111</v>
      </c>
      <c r="I27" s="88"/>
      <c r="J27" s="88"/>
      <c r="K27" s="88"/>
      <c r="L27" s="88"/>
      <c r="M27" s="89">
        <f>I27-K27</f>
        <v>0</v>
      </c>
      <c r="N27" s="4" t="str">
        <f>IF(ISERROR(K27/I27),"",K27/I27)</f>
        <v/>
      </c>
      <c r="O27" s="90">
        <f>I27/E27</f>
        <v>0</v>
      </c>
      <c r="P27" s="90">
        <f>K27/E27</f>
        <v>0</v>
      </c>
      <c r="Q27" s="76">
        <v>3</v>
      </c>
      <c r="R27" s="76">
        <v>2</v>
      </c>
      <c r="S27" s="76" t="s">
        <v>61</v>
      </c>
      <c r="T27" s="5">
        <v>123</v>
      </c>
      <c r="U27" s="9"/>
      <c r="W27" s="85">
        <f t="shared" si="26"/>
        <v>124</v>
      </c>
      <c r="X27" s="86">
        <f t="shared" si="26"/>
        <v>37</v>
      </c>
      <c r="Y27" s="91">
        <f t="shared" si="27"/>
        <v>111</v>
      </c>
      <c r="Z27" s="89">
        <f t="shared" si="27"/>
        <v>0</v>
      </c>
      <c r="AA27" s="89">
        <f>K27</f>
        <v>0</v>
      </c>
      <c r="AB27" s="89">
        <f t="shared" si="28"/>
        <v>0</v>
      </c>
      <c r="AC27" s="4" t="str">
        <f t="shared" si="28"/>
        <v/>
      </c>
      <c r="AD27" s="90">
        <f t="shared" si="28"/>
        <v>0</v>
      </c>
      <c r="AE27" s="76" t="str">
        <f>S27</f>
        <v>계</v>
      </c>
      <c r="AF27" s="76" t="str">
        <f>Q27&amp;"/"&amp;R27</f>
        <v>3/2</v>
      </c>
      <c r="AH27" s="20" t="str">
        <f t="shared" si="1"/>
        <v>코오롱</v>
      </c>
      <c r="AI27" s="86">
        <f t="shared" si="0"/>
        <v>37</v>
      </c>
      <c r="AJ27" s="76" t="str">
        <f>IF(AI27="","",$AJ$2)</f>
        <v>A-</v>
      </c>
      <c r="AK27" s="76" t="s">
        <v>13</v>
      </c>
      <c r="AL27" s="76" t="s">
        <v>62</v>
      </c>
      <c r="AM27" s="76" t="s">
        <v>63</v>
      </c>
      <c r="AN27" s="76" t="str">
        <f>IF(AI27="","",$AN$2)</f>
        <v>C</v>
      </c>
      <c r="AO27" s="76" t="str">
        <f>IF(N27="","",IF(N27&gt;=$AO$1/100,"O","X"))</f>
        <v/>
      </c>
      <c r="AP27" s="76" t="str">
        <f>IF(I27="","",IF(I27&lt;=$AP$1,"O","X"))</f>
        <v/>
      </c>
      <c r="AQ27" s="76" t="str">
        <f>IF(O27="","",IF(O27&lt;=$AQ$1,"O","X"))</f>
        <v>O</v>
      </c>
      <c r="AR27" s="76" t="str">
        <f>IF(M27="","",IF(M27&lt;=$AR$1,"O","X"))</f>
        <v>O</v>
      </c>
      <c r="AS27" s="76" t="s">
        <v>2</v>
      </c>
      <c r="AT27" s="76" t="str">
        <f>IF(OR(F27="",AI27=""),"",IF(AND((F27&lt;=85),(AI27&gt;=15)),"O","X"))</f>
        <v>X</v>
      </c>
      <c r="AU27" s="76" t="str">
        <f>IF(C27="","",IF(C27&gt;=$AU$1,"O","X"))</f>
        <v>O</v>
      </c>
      <c r="AV27" s="76" t="str">
        <f>IF(AO27="","",IF(AND(AO27="O",AP27="O",AR27="O",AT27="O",AU27="O"),"후보","X"))</f>
        <v/>
      </c>
    </row>
    <row r="28" spans="1:48" x14ac:dyDescent="0.3">
      <c r="A28" s="9" t="s">
        <v>1301</v>
      </c>
      <c r="B28" s="10" t="s">
        <v>1898</v>
      </c>
      <c r="C28" s="87">
        <v>1259</v>
      </c>
      <c r="D28" s="85">
        <v>159.69999999999999</v>
      </c>
      <c r="E28" s="86">
        <v>48</v>
      </c>
      <c r="F28" s="85">
        <v>134.30000000000001</v>
      </c>
      <c r="G28" s="17">
        <v>41</v>
      </c>
      <c r="H28" s="87">
        <v>138</v>
      </c>
      <c r="I28" s="88">
        <v>28000</v>
      </c>
      <c r="J28" s="88" t="s">
        <v>75</v>
      </c>
      <c r="K28" s="88"/>
      <c r="L28" s="88"/>
      <c r="M28" s="89">
        <f>I28-K28</f>
        <v>28000</v>
      </c>
      <c r="N28" s="4">
        <f>IF(ISERROR(K28/I28),"",K28/I28)</f>
        <v>0</v>
      </c>
      <c r="O28" s="90">
        <f>I28/E28</f>
        <v>583.33333333333337</v>
      </c>
      <c r="P28" s="90">
        <f>K28/E28</f>
        <v>0</v>
      </c>
      <c r="Q28" s="76">
        <v>4</v>
      </c>
      <c r="R28" s="76">
        <v>2</v>
      </c>
      <c r="S28" s="76" t="s">
        <v>61</v>
      </c>
      <c r="T28" s="5">
        <v>159</v>
      </c>
      <c r="U28" s="9"/>
      <c r="W28" s="85">
        <f t="shared" si="26"/>
        <v>159.69999999999999</v>
      </c>
      <c r="X28" s="86">
        <f t="shared" si="26"/>
        <v>48</v>
      </c>
      <c r="Y28" s="91">
        <f t="shared" si="27"/>
        <v>138</v>
      </c>
      <c r="Z28" s="89">
        <f t="shared" si="27"/>
        <v>28000</v>
      </c>
      <c r="AA28" s="89">
        <f>K28</f>
        <v>0</v>
      </c>
      <c r="AB28" s="89">
        <f t="shared" si="28"/>
        <v>28000</v>
      </c>
      <c r="AC28" s="4">
        <f t="shared" si="28"/>
        <v>0</v>
      </c>
      <c r="AD28" s="90">
        <f t="shared" si="28"/>
        <v>583.33333333333337</v>
      </c>
      <c r="AE28" s="76" t="str">
        <f>S28</f>
        <v>계</v>
      </c>
      <c r="AF28" s="76" t="str">
        <f>Q28&amp;"/"&amp;R28</f>
        <v>4/2</v>
      </c>
      <c r="AH28" s="20" t="str">
        <f t="shared" si="1"/>
        <v>코오롱</v>
      </c>
      <c r="AI28" s="86">
        <f t="shared" si="0"/>
        <v>48</v>
      </c>
      <c r="AJ28" s="76" t="str">
        <f>IF(AI28="","",$AJ$2)</f>
        <v>A-</v>
      </c>
      <c r="AK28" s="76" t="s">
        <v>13</v>
      </c>
      <c r="AL28" s="76" t="s">
        <v>62</v>
      </c>
      <c r="AM28" s="76" t="s">
        <v>63</v>
      </c>
      <c r="AN28" s="76" t="str">
        <f>IF(AI28="","",$AN$2)</f>
        <v>C</v>
      </c>
      <c r="AO28" s="76" t="str">
        <f>IF(N28="","",IF(N28&gt;=$AO$1/100,"O","X"))</f>
        <v>X</v>
      </c>
      <c r="AP28" s="76" t="str">
        <f>IF(I28="","",IF(I28&lt;=$AP$1,"O","X"))</f>
        <v>O</v>
      </c>
      <c r="AQ28" s="76" t="str">
        <f>IF(O28="","",IF(O28&lt;=$AQ$1,"O","X"))</f>
        <v>O</v>
      </c>
      <c r="AR28" s="76" t="str">
        <f>IF(M28="","",IF(M28&lt;=$AR$1,"O","X"))</f>
        <v>X</v>
      </c>
      <c r="AS28" s="76" t="s">
        <v>2</v>
      </c>
      <c r="AT28" s="76" t="str">
        <f>IF(OR(F28="",AI28=""),"",IF(AND((F28&lt;=85),(AI28&gt;=15)),"O","X"))</f>
        <v>X</v>
      </c>
      <c r="AU28" s="76" t="str">
        <f>IF(C28="","",IF(C28&gt;=$AU$1,"O","X"))</f>
        <v>O</v>
      </c>
      <c r="AV28" s="76" t="str">
        <f>IF(AO28="","",IF(AND(AO28="O",AP28="O",AR28="O",AT28="O",AU28="O"),"후보","X"))</f>
        <v>X</v>
      </c>
    </row>
    <row r="29" spans="1:48" x14ac:dyDescent="0.3">
      <c r="A29" s="9" t="s">
        <v>1301</v>
      </c>
      <c r="B29" s="10" t="s">
        <v>1898</v>
      </c>
      <c r="C29" s="87">
        <v>1259</v>
      </c>
      <c r="D29" s="85">
        <v>217.1</v>
      </c>
      <c r="E29" s="86">
        <v>66</v>
      </c>
      <c r="F29" s="85">
        <v>188.6</v>
      </c>
      <c r="G29" s="17">
        <v>57</v>
      </c>
      <c r="H29" s="87">
        <v>36</v>
      </c>
      <c r="I29" s="88"/>
      <c r="J29" s="88"/>
      <c r="K29" s="88"/>
      <c r="L29" s="88"/>
      <c r="M29" s="89">
        <f>I29-K29</f>
        <v>0</v>
      </c>
      <c r="N29" s="4" t="str">
        <f>IF(ISERROR(K29/I29),"",K29/I29)</f>
        <v/>
      </c>
      <c r="O29" s="90">
        <f>I29/E29</f>
        <v>0</v>
      </c>
      <c r="P29" s="90">
        <f>K29/E29</f>
        <v>0</v>
      </c>
      <c r="Q29" s="76">
        <v>5</v>
      </c>
      <c r="R29" s="76">
        <v>2</v>
      </c>
      <c r="S29" s="76" t="s">
        <v>61</v>
      </c>
      <c r="T29" s="5">
        <v>217</v>
      </c>
      <c r="U29" s="9"/>
      <c r="W29" s="85">
        <f t="shared" si="26"/>
        <v>217.1</v>
      </c>
      <c r="X29" s="86">
        <f t="shared" si="26"/>
        <v>66</v>
      </c>
      <c r="Y29" s="91">
        <f t="shared" si="27"/>
        <v>36</v>
      </c>
      <c r="Z29" s="89">
        <f t="shared" si="27"/>
        <v>0</v>
      </c>
      <c r="AA29" s="89">
        <f>K29</f>
        <v>0</v>
      </c>
      <c r="AB29" s="89">
        <f t="shared" si="28"/>
        <v>0</v>
      </c>
      <c r="AC29" s="4" t="str">
        <f t="shared" si="28"/>
        <v/>
      </c>
      <c r="AD29" s="90">
        <f t="shared" si="28"/>
        <v>0</v>
      </c>
      <c r="AE29" s="76" t="str">
        <f>S29</f>
        <v>계</v>
      </c>
      <c r="AF29" s="76" t="str">
        <f>Q29&amp;"/"&amp;R29</f>
        <v>5/2</v>
      </c>
      <c r="AH29" s="20" t="str">
        <f t="shared" si="1"/>
        <v>코오롱</v>
      </c>
      <c r="AI29" s="86">
        <f t="shared" si="0"/>
        <v>66</v>
      </c>
      <c r="AJ29" s="76" t="str">
        <f>IF(AI29="","",$AJ$2)</f>
        <v>A-</v>
      </c>
      <c r="AK29" s="76" t="s">
        <v>13</v>
      </c>
      <c r="AL29" s="76" t="s">
        <v>62</v>
      </c>
      <c r="AM29" s="76" t="s">
        <v>63</v>
      </c>
      <c r="AN29" s="76" t="str">
        <f>IF(AI29="","",$AN$2)</f>
        <v>C</v>
      </c>
      <c r="AO29" s="76" t="str">
        <f>IF(N29="","",IF(N29&gt;=$AO$1/100,"O","X"))</f>
        <v/>
      </c>
      <c r="AP29" s="76" t="str">
        <f>IF(I29="","",IF(I29&lt;=$AP$1,"O","X"))</f>
        <v/>
      </c>
      <c r="AQ29" s="76" t="str">
        <f>IF(O29="","",IF(O29&lt;=$AQ$1,"O","X"))</f>
        <v>O</v>
      </c>
      <c r="AR29" s="76" t="str">
        <f>IF(M29="","",IF(M29&lt;=$AR$1,"O","X"))</f>
        <v>O</v>
      </c>
      <c r="AS29" s="76" t="s">
        <v>2</v>
      </c>
      <c r="AT29" s="76" t="str">
        <f>IF(OR(F29="",AI29=""),"",IF(AND((F29&lt;=85),(AI29&gt;=15)),"O","X"))</f>
        <v>X</v>
      </c>
      <c r="AU29" s="76" t="str">
        <f>IF(C29="","",IF(C29&gt;=$AU$1,"O","X"))</f>
        <v>O</v>
      </c>
      <c r="AV29" s="76" t="str">
        <f>IF(AO29="","",IF(AND(AO29="O",AP29="O",AR29="O",AT29="O",AU29="O"),"후보","X"))</f>
        <v/>
      </c>
    </row>
    <row r="30" spans="1:48" x14ac:dyDescent="0.3">
      <c r="A30" s="9"/>
      <c r="B30" s="76"/>
      <c r="C30" s="6"/>
      <c r="D30" s="9"/>
      <c r="E30" s="14"/>
      <c r="F30" s="85"/>
      <c r="G30" s="9"/>
      <c r="H30" s="9"/>
      <c r="I30" s="9"/>
      <c r="J30" s="9"/>
      <c r="K30" s="9"/>
      <c r="L30" s="9"/>
      <c r="M30" s="9"/>
      <c r="N30" s="9"/>
      <c r="O30" s="90"/>
      <c r="P30" s="90"/>
      <c r="Q30" s="86"/>
      <c r="R30" s="86"/>
      <c r="S30" s="9"/>
      <c r="T30" s="47"/>
      <c r="U30" s="9"/>
      <c r="W30" s="67" t="str">
        <f>$A$4&amp;" "&amp;A31&amp;"("&amp;B31&amp;","&amp;C31&amp;"^)"</f>
        <v>평화동1가 일성('97.08.,488^)</v>
      </c>
      <c r="X30" s="68"/>
      <c r="Y30" s="68"/>
      <c r="Z30" s="68"/>
      <c r="AA30" s="68"/>
      <c r="AB30" s="68"/>
      <c r="AC30" s="68"/>
      <c r="AD30" s="68"/>
      <c r="AE30" s="68"/>
      <c r="AF30" s="69"/>
      <c r="AH30" s="20" t="str">
        <f t="shared" si="1"/>
        <v/>
      </c>
      <c r="AI30" s="108" t="str">
        <f t="shared" si="0"/>
        <v/>
      </c>
      <c r="AJ30" s="76"/>
      <c r="AK30" s="76"/>
      <c r="AL30" s="76"/>
      <c r="AM30" s="76"/>
      <c r="AN30" s="76"/>
      <c r="AO30" s="76"/>
      <c r="AP30" s="76"/>
      <c r="AQ30" s="76"/>
      <c r="AR30" s="76"/>
      <c r="AS30" s="76"/>
      <c r="AT30" s="76"/>
      <c r="AU30" s="76"/>
      <c r="AV30" s="76"/>
    </row>
    <row r="31" spans="1:48" x14ac:dyDescent="0.3">
      <c r="A31" s="9" t="s">
        <v>1306</v>
      </c>
      <c r="B31" s="10" t="s">
        <v>1899</v>
      </c>
      <c r="C31" s="87">
        <v>488</v>
      </c>
      <c r="D31" s="85">
        <v>79.400000000000006</v>
      </c>
      <c r="E31" s="86">
        <v>24</v>
      </c>
      <c r="F31" s="85">
        <v>59.8</v>
      </c>
      <c r="G31" s="17">
        <v>18</v>
      </c>
      <c r="H31" s="87">
        <v>238</v>
      </c>
      <c r="I31" s="88">
        <v>13000</v>
      </c>
      <c r="J31" s="88" t="s">
        <v>71</v>
      </c>
      <c r="K31" s="88"/>
      <c r="L31" s="88"/>
      <c r="M31" s="89">
        <f>I31-K31</f>
        <v>13000</v>
      </c>
      <c r="N31" s="4">
        <f>IF(ISERROR(K31/I31),"",K31/I31)</f>
        <v>0</v>
      </c>
      <c r="O31" s="90">
        <f>I31/E31</f>
        <v>541.66666666666663</v>
      </c>
      <c r="P31" s="90">
        <f>K31/E31</f>
        <v>0</v>
      </c>
      <c r="Q31" s="76">
        <v>3</v>
      </c>
      <c r="R31" s="76">
        <v>1</v>
      </c>
      <c r="S31" s="76" t="s">
        <v>61</v>
      </c>
      <c r="T31" s="5">
        <v>79</v>
      </c>
      <c r="U31" s="9"/>
      <c r="W31" s="85">
        <f t="shared" ref="W31:X34" si="29">D31</f>
        <v>79.400000000000006</v>
      </c>
      <c r="X31" s="86">
        <f t="shared" si="29"/>
        <v>24</v>
      </c>
      <c r="Y31" s="91">
        <f t="shared" ref="Y31:Z34" si="30">H31</f>
        <v>238</v>
      </c>
      <c r="Z31" s="89">
        <f t="shared" si="30"/>
        <v>13000</v>
      </c>
      <c r="AA31" s="89">
        <f>K31</f>
        <v>0</v>
      </c>
      <c r="AB31" s="89">
        <f t="shared" ref="AB31:AD34" si="31">M31</f>
        <v>13000</v>
      </c>
      <c r="AC31" s="4">
        <f t="shared" si="31"/>
        <v>0</v>
      </c>
      <c r="AD31" s="90">
        <f t="shared" si="31"/>
        <v>541.66666666666663</v>
      </c>
      <c r="AE31" s="76" t="str">
        <f>S31</f>
        <v>계</v>
      </c>
      <c r="AF31" s="76" t="str">
        <f>Q31&amp;"/"&amp;R31</f>
        <v>3/1</v>
      </c>
      <c r="AH31" s="20" t="str">
        <f t="shared" si="1"/>
        <v>일성</v>
      </c>
      <c r="AI31" s="86">
        <f t="shared" si="0"/>
        <v>24</v>
      </c>
      <c r="AJ31" s="76" t="str">
        <f>IF(AI31="","",$AJ$2)</f>
        <v>A-</v>
      </c>
      <c r="AK31" s="76" t="s">
        <v>13</v>
      </c>
      <c r="AL31" s="76" t="s">
        <v>62</v>
      </c>
      <c r="AM31" s="76" t="s">
        <v>63</v>
      </c>
      <c r="AN31" s="76" t="str">
        <f>IF(AI31="","",$AN$2)</f>
        <v>C</v>
      </c>
      <c r="AO31" s="76" t="str">
        <f>IF(N31="","",IF(N31&gt;=$AO$1/100,"O","X"))</f>
        <v>X</v>
      </c>
      <c r="AP31" s="76" t="str">
        <f>IF(I31="","",IF(I31&lt;=$AP$1,"O","X"))</f>
        <v>O</v>
      </c>
      <c r="AQ31" s="76" t="str">
        <f>IF(O31="","",IF(O31&lt;=$AQ$1,"O","X"))</f>
        <v>O</v>
      </c>
      <c r="AR31" s="76" t="str">
        <f>IF(M31="","",IF(M31&lt;=$AR$1,"O","X"))</f>
        <v>X</v>
      </c>
      <c r="AS31" s="76" t="s">
        <v>2</v>
      </c>
      <c r="AT31" s="76" t="str">
        <f>IF(OR(F31="",AI31=""),"",IF(AND((F31&lt;=85),(AI31&gt;=15)),"O","X"))</f>
        <v>O</v>
      </c>
      <c r="AU31" s="76" t="str">
        <f>IF(C31="","",IF(C31&gt;=$AU$1,"O","X"))</f>
        <v>O</v>
      </c>
      <c r="AV31" s="76" t="str">
        <f>IF(AO31="","",IF(AND(AO31="O",AP31="O",AR31="O",AT31="O",AU31="O"),"후보","X"))</f>
        <v>X</v>
      </c>
    </row>
    <row r="32" spans="1:48" x14ac:dyDescent="0.3">
      <c r="A32" s="9" t="s">
        <v>1306</v>
      </c>
      <c r="B32" s="10" t="s">
        <v>1899</v>
      </c>
      <c r="C32" s="87">
        <v>488</v>
      </c>
      <c r="D32" s="85">
        <v>93.4</v>
      </c>
      <c r="E32" s="86">
        <v>28</v>
      </c>
      <c r="F32" s="85">
        <v>72.599999999999994</v>
      </c>
      <c r="G32" s="17">
        <v>22</v>
      </c>
      <c r="H32" s="87">
        <v>36</v>
      </c>
      <c r="I32" s="88"/>
      <c r="J32" s="88"/>
      <c r="K32" s="88"/>
      <c r="L32" s="88"/>
      <c r="M32" s="89">
        <f>I32-K32</f>
        <v>0</v>
      </c>
      <c r="N32" s="4" t="str">
        <f>IF(ISERROR(K32/I32),"",K32/I32)</f>
        <v/>
      </c>
      <c r="O32" s="90">
        <f>I32/E32</f>
        <v>0</v>
      </c>
      <c r="P32" s="90">
        <f>K32/E32</f>
        <v>0</v>
      </c>
      <c r="Q32" s="76">
        <v>3</v>
      </c>
      <c r="R32" s="76">
        <v>2</v>
      </c>
      <c r="S32" s="76" t="s">
        <v>61</v>
      </c>
      <c r="T32" s="5" t="s">
        <v>300</v>
      </c>
      <c r="U32" s="9"/>
      <c r="W32" s="85">
        <f t="shared" si="29"/>
        <v>93.4</v>
      </c>
      <c r="X32" s="86">
        <f t="shared" si="29"/>
        <v>28</v>
      </c>
      <c r="Y32" s="91">
        <f t="shared" si="30"/>
        <v>36</v>
      </c>
      <c r="Z32" s="89">
        <f t="shared" si="30"/>
        <v>0</v>
      </c>
      <c r="AA32" s="89">
        <f>K32</f>
        <v>0</v>
      </c>
      <c r="AB32" s="89">
        <f t="shared" si="31"/>
        <v>0</v>
      </c>
      <c r="AC32" s="4" t="str">
        <f t="shared" si="31"/>
        <v/>
      </c>
      <c r="AD32" s="90">
        <f t="shared" si="31"/>
        <v>0</v>
      </c>
      <c r="AE32" s="76" t="str">
        <f>S32</f>
        <v>계</v>
      </c>
      <c r="AF32" s="76" t="str">
        <f>Q32&amp;"/"&amp;R32</f>
        <v>3/2</v>
      </c>
      <c r="AH32" s="20" t="str">
        <f t="shared" si="1"/>
        <v>일성</v>
      </c>
      <c r="AI32" s="86">
        <f t="shared" si="0"/>
        <v>28</v>
      </c>
      <c r="AJ32" s="76" t="str">
        <f>IF(AI32="","",$AJ$2)</f>
        <v>A-</v>
      </c>
      <c r="AK32" s="76" t="s">
        <v>13</v>
      </c>
      <c r="AL32" s="76" t="s">
        <v>62</v>
      </c>
      <c r="AM32" s="76" t="s">
        <v>63</v>
      </c>
      <c r="AN32" s="76" t="str">
        <f>IF(AI32="","",$AN$2)</f>
        <v>C</v>
      </c>
      <c r="AO32" s="76" t="str">
        <f>IF(N32="","",IF(N32&gt;=$AO$1/100,"O","X"))</f>
        <v/>
      </c>
      <c r="AP32" s="76" t="str">
        <f>IF(I32="","",IF(I32&lt;=$AP$1,"O","X"))</f>
        <v/>
      </c>
      <c r="AQ32" s="76" t="str">
        <f>IF(O32="","",IF(O32&lt;=$AQ$1,"O","X"))</f>
        <v>O</v>
      </c>
      <c r="AR32" s="76" t="str">
        <f>IF(M32="","",IF(M32&lt;=$AR$1,"O","X"))</f>
        <v>O</v>
      </c>
      <c r="AS32" s="76" t="s">
        <v>2</v>
      </c>
      <c r="AT32" s="76" t="str">
        <f>IF(OR(F32="",AI32=""),"",IF(AND((F32&lt;=85),(AI32&gt;=15)),"O","X"))</f>
        <v>O</v>
      </c>
      <c r="AU32" s="76" t="str">
        <f>IF(C32="","",IF(C32&gt;=$AU$1,"O","X"))</f>
        <v>O</v>
      </c>
      <c r="AV32" s="76" t="str">
        <f>IF(AO32="","",IF(AND(AO32="O",AP32="O",AR32="O",AT32="O",AU32="O"),"후보","X"))</f>
        <v/>
      </c>
    </row>
    <row r="33" spans="1:48" x14ac:dyDescent="0.3">
      <c r="A33" s="9" t="s">
        <v>1306</v>
      </c>
      <c r="B33" s="10" t="s">
        <v>1899</v>
      </c>
      <c r="C33" s="87">
        <v>488</v>
      </c>
      <c r="D33" s="85">
        <v>93.9</v>
      </c>
      <c r="E33" s="86">
        <v>28</v>
      </c>
      <c r="F33" s="85">
        <v>72.900000000000006</v>
      </c>
      <c r="G33" s="17">
        <v>22</v>
      </c>
      <c r="H33" s="87">
        <v>34</v>
      </c>
      <c r="I33" s="88"/>
      <c r="J33" s="88"/>
      <c r="K33" s="88"/>
      <c r="L33" s="88"/>
      <c r="M33" s="89">
        <f>I33-K33</f>
        <v>0</v>
      </c>
      <c r="N33" s="4" t="str">
        <f>IF(ISERROR(K33/I33),"",K33/I33)</f>
        <v/>
      </c>
      <c r="O33" s="90">
        <f>I33/E33</f>
        <v>0</v>
      </c>
      <c r="P33" s="90">
        <f>K33/E33</f>
        <v>0</v>
      </c>
      <c r="Q33" s="76">
        <v>3</v>
      </c>
      <c r="R33" s="76">
        <v>2</v>
      </c>
      <c r="S33" s="76" t="s">
        <v>61</v>
      </c>
      <c r="T33" s="5">
        <v>93</v>
      </c>
      <c r="U33" s="9"/>
      <c r="W33" s="85">
        <f t="shared" si="29"/>
        <v>93.9</v>
      </c>
      <c r="X33" s="86">
        <f t="shared" si="29"/>
        <v>28</v>
      </c>
      <c r="Y33" s="91">
        <f t="shared" si="30"/>
        <v>34</v>
      </c>
      <c r="Z33" s="89">
        <f t="shared" si="30"/>
        <v>0</v>
      </c>
      <c r="AA33" s="89">
        <f>K33</f>
        <v>0</v>
      </c>
      <c r="AB33" s="89">
        <f t="shared" si="31"/>
        <v>0</v>
      </c>
      <c r="AC33" s="4" t="str">
        <f t="shared" si="31"/>
        <v/>
      </c>
      <c r="AD33" s="90">
        <f t="shared" si="31"/>
        <v>0</v>
      </c>
      <c r="AE33" s="76" t="str">
        <f>S33</f>
        <v>계</v>
      </c>
      <c r="AF33" s="76" t="str">
        <f>Q33&amp;"/"&amp;R33</f>
        <v>3/2</v>
      </c>
      <c r="AH33" s="20" t="str">
        <f t="shared" si="1"/>
        <v>일성</v>
      </c>
      <c r="AI33" s="86">
        <f t="shared" si="0"/>
        <v>28</v>
      </c>
      <c r="AJ33" s="76" t="str">
        <f>IF(AI33="","",$AJ$2)</f>
        <v>A-</v>
      </c>
      <c r="AK33" s="76" t="s">
        <v>13</v>
      </c>
      <c r="AL33" s="76" t="s">
        <v>62</v>
      </c>
      <c r="AM33" s="76" t="s">
        <v>63</v>
      </c>
      <c r="AN33" s="76" t="str">
        <f>IF(AI33="","",$AN$2)</f>
        <v>C</v>
      </c>
      <c r="AO33" s="76" t="str">
        <f>IF(N33="","",IF(N33&gt;=$AO$1/100,"O","X"))</f>
        <v/>
      </c>
      <c r="AP33" s="76" t="str">
        <f>IF(I33="","",IF(I33&lt;=$AP$1,"O","X"))</f>
        <v/>
      </c>
      <c r="AQ33" s="76" t="str">
        <f>IF(O33="","",IF(O33&lt;=$AQ$1,"O","X"))</f>
        <v>O</v>
      </c>
      <c r="AR33" s="76" t="str">
        <f>IF(M33="","",IF(M33&lt;=$AR$1,"O","X"))</f>
        <v>O</v>
      </c>
      <c r="AS33" s="76" t="s">
        <v>2</v>
      </c>
      <c r="AT33" s="76" t="str">
        <f>IF(OR(F33="",AI33=""),"",IF(AND((F33&lt;=85),(AI33&gt;=15)),"O","X"))</f>
        <v>O</v>
      </c>
      <c r="AU33" s="76" t="str">
        <f>IF(C33="","",IF(C33&gt;=$AU$1,"O","X"))</f>
        <v>O</v>
      </c>
      <c r="AV33" s="76" t="str">
        <f>IF(AO33="","",IF(AND(AO33="O",AP33="O",AR33="O",AT33="O",AU33="O"),"후보","X"))</f>
        <v/>
      </c>
    </row>
    <row r="34" spans="1:48" x14ac:dyDescent="0.3">
      <c r="A34" s="9" t="s">
        <v>1306</v>
      </c>
      <c r="B34" s="10" t="s">
        <v>1899</v>
      </c>
      <c r="C34" s="87">
        <v>488</v>
      </c>
      <c r="D34" s="85">
        <v>107.5</v>
      </c>
      <c r="E34" s="86">
        <v>33</v>
      </c>
      <c r="F34" s="85">
        <v>84.8</v>
      </c>
      <c r="G34" s="17">
        <v>26</v>
      </c>
      <c r="H34" s="87">
        <v>180</v>
      </c>
      <c r="I34" s="88"/>
      <c r="J34" s="88"/>
      <c r="K34" s="88"/>
      <c r="L34" s="88"/>
      <c r="M34" s="89">
        <f>I34-K34</f>
        <v>0</v>
      </c>
      <c r="N34" s="4" t="str">
        <f>IF(ISERROR(K34/I34),"",K34/I34)</f>
        <v/>
      </c>
      <c r="O34" s="90">
        <f>I34/E34</f>
        <v>0</v>
      </c>
      <c r="P34" s="90">
        <f>K34/E34</f>
        <v>0</v>
      </c>
      <c r="Q34" s="76">
        <v>3</v>
      </c>
      <c r="R34" s="76">
        <v>2</v>
      </c>
      <c r="S34" s="76" t="s">
        <v>61</v>
      </c>
      <c r="T34" s="5">
        <v>107</v>
      </c>
      <c r="U34" s="9"/>
      <c r="W34" s="85">
        <f t="shared" si="29"/>
        <v>107.5</v>
      </c>
      <c r="X34" s="86">
        <f t="shared" si="29"/>
        <v>33</v>
      </c>
      <c r="Y34" s="91">
        <f t="shared" si="30"/>
        <v>180</v>
      </c>
      <c r="Z34" s="89">
        <f t="shared" si="30"/>
        <v>0</v>
      </c>
      <c r="AA34" s="89">
        <f>K34</f>
        <v>0</v>
      </c>
      <c r="AB34" s="89">
        <f t="shared" si="31"/>
        <v>0</v>
      </c>
      <c r="AC34" s="4" t="str">
        <f t="shared" si="31"/>
        <v/>
      </c>
      <c r="AD34" s="90">
        <f t="shared" si="31"/>
        <v>0</v>
      </c>
      <c r="AE34" s="76" t="str">
        <f>S34</f>
        <v>계</v>
      </c>
      <c r="AF34" s="76" t="str">
        <f>Q34&amp;"/"&amp;R34</f>
        <v>3/2</v>
      </c>
      <c r="AH34" s="20" t="str">
        <f t="shared" si="1"/>
        <v>일성</v>
      </c>
      <c r="AI34" s="86">
        <f t="shared" si="0"/>
        <v>33</v>
      </c>
      <c r="AJ34" s="76" t="str">
        <f>IF(AI34="","",$AJ$2)</f>
        <v>A-</v>
      </c>
      <c r="AK34" s="76" t="s">
        <v>13</v>
      </c>
      <c r="AL34" s="76" t="s">
        <v>62</v>
      </c>
      <c r="AM34" s="76" t="s">
        <v>63</v>
      </c>
      <c r="AN34" s="76" t="str">
        <f>IF(AI34="","",$AN$2)</f>
        <v>C</v>
      </c>
      <c r="AO34" s="76" t="str">
        <f>IF(N34="","",IF(N34&gt;=$AO$1/100,"O","X"))</f>
        <v/>
      </c>
      <c r="AP34" s="76" t="str">
        <f>IF(I34="","",IF(I34&lt;=$AP$1,"O","X"))</f>
        <v/>
      </c>
      <c r="AQ34" s="76" t="str">
        <f>IF(O34="","",IF(O34&lt;=$AQ$1,"O","X"))</f>
        <v>O</v>
      </c>
      <c r="AR34" s="76" t="str">
        <f>IF(M34="","",IF(M34&lt;=$AR$1,"O","X"))</f>
        <v>O</v>
      </c>
      <c r="AS34" s="76" t="s">
        <v>2</v>
      </c>
      <c r="AT34" s="76" t="str">
        <f>IF(OR(F34="",AI34=""),"",IF(AND((F34&lt;=85),(AI34&gt;=15)),"O","X"))</f>
        <v>O</v>
      </c>
      <c r="AU34" s="76" t="str">
        <f>IF(C34="","",IF(C34&gt;=$AU$1,"O","X"))</f>
        <v>O</v>
      </c>
      <c r="AV34" s="76" t="str">
        <f>IF(AO34="","",IF(AND(AO34="O",AP34="O",AR34="O",AT34="O",AU34="O"),"후보","X"))</f>
        <v/>
      </c>
    </row>
    <row r="35" spans="1:48" x14ac:dyDescent="0.3">
      <c r="A35" s="9"/>
      <c r="B35" s="76"/>
      <c r="C35" s="6"/>
      <c r="D35" s="9"/>
      <c r="E35" s="14"/>
      <c r="F35" s="85"/>
      <c r="G35" s="9"/>
      <c r="H35" s="9"/>
      <c r="I35" s="9"/>
      <c r="J35" s="9"/>
      <c r="K35" s="9"/>
      <c r="L35" s="9"/>
      <c r="M35" s="9"/>
      <c r="N35" s="9"/>
      <c r="O35" s="90"/>
      <c r="P35" s="90"/>
      <c r="Q35" s="86"/>
      <c r="R35" s="86"/>
      <c r="S35" s="9"/>
      <c r="T35" s="47"/>
      <c r="U35" s="9"/>
      <c r="W35" s="67" t="str">
        <f>$A$4&amp;" "&amp;A36&amp;"("&amp;B36&amp;","&amp;C36&amp;"^)"</f>
        <v>평화동1가 효성양지('03.07.,206^)</v>
      </c>
      <c r="X35" s="68"/>
      <c r="Y35" s="68"/>
      <c r="Z35" s="68"/>
      <c r="AA35" s="68"/>
      <c r="AB35" s="68"/>
      <c r="AC35" s="68"/>
      <c r="AD35" s="68"/>
      <c r="AE35" s="68"/>
      <c r="AF35" s="69"/>
      <c r="AH35" s="20" t="str">
        <f t="shared" si="1"/>
        <v/>
      </c>
      <c r="AI35" s="108" t="str">
        <f t="shared" si="0"/>
        <v/>
      </c>
      <c r="AJ35" s="76"/>
      <c r="AK35" s="76"/>
      <c r="AL35" s="76"/>
      <c r="AM35" s="76"/>
      <c r="AN35" s="76"/>
      <c r="AO35" s="76"/>
      <c r="AP35" s="76"/>
      <c r="AQ35" s="76"/>
      <c r="AR35" s="76"/>
      <c r="AS35" s="76"/>
      <c r="AT35" s="76"/>
      <c r="AU35" s="76"/>
      <c r="AV35" s="76"/>
    </row>
    <row r="36" spans="1:48" x14ac:dyDescent="0.3">
      <c r="A36" s="9" t="s">
        <v>1311</v>
      </c>
      <c r="B36" s="10" t="s">
        <v>1884</v>
      </c>
      <c r="C36" s="87">
        <v>206</v>
      </c>
      <c r="D36" s="85">
        <v>50.2</v>
      </c>
      <c r="E36" s="86">
        <v>15</v>
      </c>
      <c r="F36" s="85">
        <v>30.8</v>
      </c>
      <c r="G36" s="17">
        <v>9</v>
      </c>
      <c r="H36" s="87">
        <v>28</v>
      </c>
      <c r="I36" s="88"/>
      <c r="J36" s="88"/>
      <c r="K36" s="88"/>
      <c r="L36" s="88"/>
      <c r="M36" s="89">
        <f t="shared" ref="M36:M43" si="32">I36-K36</f>
        <v>0</v>
      </c>
      <c r="N36" s="4" t="str">
        <f t="shared" ref="N36:N43" si="33">IF(ISERROR(K36/I36),"",K36/I36)</f>
        <v/>
      </c>
      <c r="O36" s="90">
        <f t="shared" ref="O36:O43" si="34">I36/E36</f>
        <v>0</v>
      </c>
      <c r="P36" s="90">
        <f t="shared" ref="P36:P43" si="35">K36/E36</f>
        <v>0</v>
      </c>
      <c r="Q36" s="76">
        <v>2</v>
      </c>
      <c r="R36" s="76">
        <v>1</v>
      </c>
      <c r="S36" s="76" t="s">
        <v>61</v>
      </c>
      <c r="T36" s="5" t="s">
        <v>302</v>
      </c>
      <c r="U36" s="9"/>
      <c r="W36" s="85">
        <f t="shared" ref="W36:X43" si="36">D36</f>
        <v>50.2</v>
      </c>
      <c r="X36" s="86">
        <f t="shared" si="36"/>
        <v>15</v>
      </c>
      <c r="Y36" s="91">
        <f t="shared" ref="Y36:Z43" si="37">H36</f>
        <v>28</v>
      </c>
      <c r="Z36" s="89">
        <f t="shared" si="37"/>
        <v>0</v>
      </c>
      <c r="AA36" s="89">
        <f t="shared" ref="AA36:AA43" si="38">K36</f>
        <v>0</v>
      </c>
      <c r="AB36" s="89">
        <f t="shared" ref="AB36:AD43" si="39">M36</f>
        <v>0</v>
      </c>
      <c r="AC36" s="4" t="str">
        <f t="shared" si="39"/>
        <v/>
      </c>
      <c r="AD36" s="90">
        <f t="shared" si="39"/>
        <v>0</v>
      </c>
      <c r="AE36" s="76" t="str">
        <f t="shared" ref="AE36:AE43" si="40">S36</f>
        <v>계</v>
      </c>
      <c r="AF36" s="76" t="str">
        <f t="shared" ref="AF36:AF43" si="41">Q36&amp;"/"&amp;R36</f>
        <v>2/1</v>
      </c>
      <c r="AH36" s="20" t="str">
        <f t="shared" si="1"/>
        <v>효성양지</v>
      </c>
      <c r="AI36" s="86">
        <f t="shared" si="0"/>
        <v>15</v>
      </c>
      <c r="AJ36" s="76" t="str">
        <f t="shared" ref="AJ36:AJ43" si="42">IF(AI36="","",$AJ$2)</f>
        <v>A-</v>
      </c>
      <c r="AK36" s="76" t="s">
        <v>13</v>
      </c>
      <c r="AL36" s="76" t="s">
        <v>62</v>
      </c>
      <c r="AM36" s="76" t="s">
        <v>63</v>
      </c>
      <c r="AN36" s="76" t="str">
        <f t="shared" ref="AN36:AN43" si="43">IF(AI36="","",$AN$2)</f>
        <v>C</v>
      </c>
      <c r="AO36" s="76" t="str">
        <f t="shared" ref="AO36:AO43" si="44">IF(N36="","",IF(N36&gt;=$AO$1/100,"O","X"))</f>
        <v/>
      </c>
      <c r="AP36" s="76" t="str">
        <f t="shared" ref="AP36:AP43" si="45">IF(I36="","",IF(I36&lt;=$AP$1,"O","X"))</f>
        <v/>
      </c>
      <c r="AQ36" s="76" t="str">
        <f t="shared" ref="AQ36:AQ43" si="46">IF(O36="","",IF(O36&lt;=$AQ$1,"O","X"))</f>
        <v>O</v>
      </c>
      <c r="AR36" s="76" t="str">
        <f t="shared" ref="AR36:AR43" si="47">IF(M36="","",IF(M36&lt;=$AR$1,"O","X"))</f>
        <v>O</v>
      </c>
      <c r="AS36" s="76" t="s">
        <v>2</v>
      </c>
      <c r="AT36" s="76" t="str">
        <f t="shared" ref="AT36:AT43" si="48">IF(OR(F36="",AI36=""),"",IF(AND((F36&lt;=85),(AI36&gt;=15)),"O","X"))</f>
        <v>O</v>
      </c>
      <c r="AU36" s="76" t="str">
        <f t="shared" ref="AU36:AU43" si="49">IF(C36="","",IF(C36&gt;=$AU$1,"O","X"))</f>
        <v>X</v>
      </c>
      <c r="AV36" s="76" t="str">
        <f t="shared" ref="AV36:AV43" si="50">IF(AO36="","",IF(AND(AO36="O",AP36="O",AR36="O",AT36="O",AU36="O"),"후보","X"))</f>
        <v/>
      </c>
    </row>
    <row r="37" spans="1:48" x14ac:dyDescent="0.3">
      <c r="A37" s="9" t="s">
        <v>1311</v>
      </c>
      <c r="B37" s="10" t="s">
        <v>1884</v>
      </c>
      <c r="C37" s="87">
        <v>206</v>
      </c>
      <c r="D37" s="85">
        <v>50.2</v>
      </c>
      <c r="E37" s="86">
        <v>15</v>
      </c>
      <c r="F37" s="85">
        <v>30.8</v>
      </c>
      <c r="G37" s="17">
        <v>9</v>
      </c>
      <c r="H37" s="87">
        <v>4</v>
      </c>
      <c r="I37" s="88"/>
      <c r="J37" s="88"/>
      <c r="K37" s="88"/>
      <c r="L37" s="88"/>
      <c r="M37" s="89">
        <f t="shared" si="32"/>
        <v>0</v>
      </c>
      <c r="N37" s="4" t="str">
        <f t="shared" si="33"/>
        <v/>
      </c>
      <c r="O37" s="90">
        <f t="shared" si="34"/>
        <v>0</v>
      </c>
      <c r="P37" s="90">
        <f t="shared" si="35"/>
        <v>0</v>
      </c>
      <c r="Q37" s="76">
        <v>2</v>
      </c>
      <c r="R37" s="76">
        <v>1</v>
      </c>
      <c r="S37" s="76" t="s">
        <v>61</v>
      </c>
      <c r="T37" s="5" t="s">
        <v>303</v>
      </c>
      <c r="U37" s="9"/>
      <c r="W37" s="85">
        <f t="shared" si="36"/>
        <v>50.2</v>
      </c>
      <c r="X37" s="86">
        <f t="shared" si="36"/>
        <v>15</v>
      </c>
      <c r="Y37" s="91">
        <f t="shared" si="37"/>
        <v>4</v>
      </c>
      <c r="Z37" s="89">
        <f t="shared" si="37"/>
        <v>0</v>
      </c>
      <c r="AA37" s="89">
        <f t="shared" si="38"/>
        <v>0</v>
      </c>
      <c r="AB37" s="89">
        <f t="shared" si="39"/>
        <v>0</v>
      </c>
      <c r="AC37" s="4" t="str">
        <f t="shared" si="39"/>
        <v/>
      </c>
      <c r="AD37" s="90">
        <f t="shared" si="39"/>
        <v>0</v>
      </c>
      <c r="AE37" s="76" t="str">
        <f t="shared" si="40"/>
        <v>계</v>
      </c>
      <c r="AF37" s="76" t="str">
        <f t="shared" si="41"/>
        <v>2/1</v>
      </c>
      <c r="AH37" s="20" t="str">
        <f t="shared" si="1"/>
        <v>효성양지</v>
      </c>
      <c r="AI37" s="86">
        <f t="shared" si="0"/>
        <v>15</v>
      </c>
      <c r="AJ37" s="76" t="str">
        <f t="shared" si="42"/>
        <v>A-</v>
      </c>
      <c r="AK37" s="76" t="s">
        <v>13</v>
      </c>
      <c r="AL37" s="76" t="s">
        <v>62</v>
      </c>
      <c r="AM37" s="76" t="s">
        <v>63</v>
      </c>
      <c r="AN37" s="76" t="str">
        <f t="shared" si="43"/>
        <v>C</v>
      </c>
      <c r="AO37" s="76" t="str">
        <f t="shared" si="44"/>
        <v/>
      </c>
      <c r="AP37" s="76" t="str">
        <f t="shared" si="45"/>
        <v/>
      </c>
      <c r="AQ37" s="76" t="str">
        <f t="shared" si="46"/>
        <v>O</v>
      </c>
      <c r="AR37" s="76" t="str">
        <f t="shared" si="47"/>
        <v>O</v>
      </c>
      <c r="AS37" s="76" t="s">
        <v>2</v>
      </c>
      <c r="AT37" s="76" t="str">
        <f t="shared" si="48"/>
        <v>O</v>
      </c>
      <c r="AU37" s="76" t="str">
        <f t="shared" si="49"/>
        <v>X</v>
      </c>
      <c r="AV37" s="76" t="str">
        <f t="shared" si="50"/>
        <v/>
      </c>
    </row>
    <row r="38" spans="1:48" x14ac:dyDescent="0.3">
      <c r="A38" s="9" t="s">
        <v>1311</v>
      </c>
      <c r="B38" s="10" t="s">
        <v>1884</v>
      </c>
      <c r="C38" s="87">
        <v>206</v>
      </c>
      <c r="D38" s="85">
        <v>61.3</v>
      </c>
      <c r="E38" s="86">
        <v>19</v>
      </c>
      <c r="F38" s="85">
        <v>37.700000000000003</v>
      </c>
      <c r="G38" s="17">
        <v>11</v>
      </c>
      <c r="H38" s="87">
        <v>7</v>
      </c>
      <c r="I38" s="88"/>
      <c r="J38" s="88"/>
      <c r="K38" s="88"/>
      <c r="L38" s="88"/>
      <c r="M38" s="89">
        <f t="shared" si="32"/>
        <v>0</v>
      </c>
      <c r="N38" s="4" t="str">
        <f t="shared" si="33"/>
        <v/>
      </c>
      <c r="O38" s="90">
        <f t="shared" si="34"/>
        <v>0</v>
      </c>
      <c r="P38" s="90">
        <f t="shared" si="35"/>
        <v>0</v>
      </c>
      <c r="Q38" s="76">
        <v>2</v>
      </c>
      <c r="R38" s="76">
        <v>1</v>
      </c>
      <c r="S38" s="76" t="s">
        <v>61</v>
      </c>
      <c r="T38" s="5">
        <v>61</v>
      </c>
      <c r="U38" s="9"/>
      <c r="W38" s="85">
        <f t="shared" si="36"/>
        <v>61.3</v>
      </c>
      <c r="X38" s="86">
        <f t="shared" si="36"/>
        <v>19</v>
      </c>
      <c r="Y38" s="91">
        <f t="shared" si="37"/>
        <v>7</v>
      </c>
      <c r="Z38" s="89">
        <f t="shared" si="37"/>
        <v>0</v>
      </c>
      <c r="AA38" s="89">
        <f t="shared" si="38"/>
        <v>0</v>
      </c>
      <c r="AB38" s="89">
        <f t="shared" si="39"/>
        <v>0</v>
      </c>
      <c r="AC38" s="4" t="str">
        <f t="shared" si="39"/>
        <v/>
      </c>
      <c r="AD38" s="90">
        <f t="shared" si="39"/>
        <v>0</v>
      </c>
      <c r="AE38" s="76" t="str">
        <f t="shared" si="40"/>
        <v>계</v>
      </c>
      <c r="AF38" s="76" t="str">
        <f t="shared" si="41"/>
        <v>2/1</v>
      </c>
      <c r="AH38" s="20" t="str">
        <f t="shared" si="1"/>
        <v>효성양지</v>
      </c>
      <c r="AI38" s="86">
        <f t="shared" si="0"/>
        <v>19</v>
      </c>
      <c r="AJ38" s="76" t="str">
        <f t="shared" si="42"/>
        <v>A-</v>
      </c>
      <c r="AK38" s="76" t="s">
        <v>13</v>
      </c>
      <c r="AL38" s="76" t="s">
        <v>62</v>
      </c>
      <c r="AM38" s="76" t="s">
        <v>63</v>
      </c>
      <c r="AN38" s="76" t="str">
        <f t="shared" si="43"/>
        <v>C</v>
      </c>
      <c r="AO38" s="76" t="str">
        <f t="shared" si="44"/>
        <v/>
      </c>
      <c r="AP38" s="76" t="str">
        <f t="shared" si="45"/>
        <v/>
      </c>
      <c r="AQ38" s="76" t="str">
        <f t="shared" si="46"/>
        <v>O</v>
      </c>
      <c r="AR38" s="76" t="str">
        <f t="shared" si="47"/>
        <v>O</v>
      </c>
      <c r="AS38" s="76" t="s">
        <v>2</v>
      </c>
      <c r="AT38" s="76" t="str">
        <f t="shared" si="48"/>
        <v>O</v>
      </c>
      <c r="AU38" s="76" t="str">
        <f t="shared" si="49"/>
        <v>X</v>
      </c>
      <c r="AV38" s="76" t="str">
        <f t="shared" si="50"/>
        <v/>
      </c>
    </row>
    <row r="39" spans="1:48" x14ac:dyDescent="0.3">
      <c r="A39" s="9" t="s">
        <v>1311</v>
      </c>
      <c r="B39" s="10" t="s">
        <v>1884</v>
      </c>
      <c r="C39" s="87">
        <v>206</v>
      </c>
      <c r="D39" s="85">
        <v>73.5</v>
      </c>
      <c r="E39" s="86">
        <v>22</v>
      </c>
      <c r="F39" s="85">
        <v>45.5</v>
      </c>
      <c r="G39" s="17">
        <v>14</v>
      </c>
      <c r="H39" s="87">
        <v>109</v>
      </c>
      <c r="I39" s="88"/>
      <c r="J39" s="88"/>
      <c r="K39" s="88"/>
      <c r="L39" s="88"/>
      <c r="M39" s="89">
        <f t="shared" si="32"/>
        <v>0</v>
      </c>
      <c r="N39" s="4" t="str">
        <f t="shared" si="33"/>
        <v/>
      </c>
      <c r="O39" s="90">
        <f t="shared" si="34"/>
        <v>0</v>
      </c>
      <c r="P39" s="90">
        <f t="shared" si="35"/>
        <v>0</v>
      </c>
      <c r="Q39" s="76">
        <v>2</v>
      </c>
      <c r="R39" s="76">
        <v>1</v>
      </c>
      <c r="S39" s="76" t="s">
        <v>61</v>
      </c>
      <c r="T39" s="5" t="s">
        <v>304</v>
      </c>
      <c r="U39" s="9"/>
      <c r="W39" s="85">
        <f t="shared" si="36"/>
        <v>73.5</v>
      </c>
      <c r="X39" s="86">
        <f t="shared" si="36"/>
        <v>22</v>
      </c>
      <c r="Y39" s="91">
        <f t="shared" si="37"/>
        <v>109</v>
      </c>
      <c r="Z39" s="89">
        <f t="shared" si="37"/>
        <v>0</v>
      </c>
      <c r="AA39" s="89">
        <f t="shared" si="38"/>
        <v>0</v>
      </c>
      <c r="AB39" s="89">
        <f t="shared" si="39"/>
        <v>0</v>
      </c>
      <c r="AC39" s="4" t="str">
        <f t="shared" si="39"/>
        <v/>
      </c>
      <c r="AD39" s="90">
        <f t="shared" si="39"/>
        <v>0</v>
      </c>
      <c r="AE39" s="76" t="str">
        <f t="shared" si="40"/>
        <v>계</v>
      </c>
      <c r="AF39" s="76" t="str">
        <f t="shared" si="41"/>
        <v>2/1</v>
      </c>
      <c r="AH39" s="20" t="str">
        <f t="shared" si="1"/>
        <v>효성양지</v>
      </c>
      <c r="AI39" s="86">
        <f t="shared" si="0"/>
        <v>22</v>
      </c>
      <c r="AJ39" s="76" t="str">
        <f t="shared" si="42"/>
        <v>A-</v>
      </c>
      <c r="AK39" s="76" t="s">
        <v>13</v>
      </c>
      <c r="AL39" s="76" t="s">
        <v>62</v>
      </c>
      <c r="AM39" s="76" t="s">
        <v>63</v>
      </c>
      <c r="AN39" s="76" t="str">
        <f t="shared" si="43"/>
        <v>C</v>
      </c>
      <c r="AO39" s="76" t="str">
        <f t="shared" si="44"/>
        <v/>
      </c>
      <c r="AP39" s="76" t="str">
        <f t="shared" si="45"/>
        <v/>
      </c>
      <c r="AQ39" s="76" t="str">
        <f t="shared" si="46"/>
        <v>O</v>
      </c>
      <c r="AR39" s="76" t="str">
        <f t="shared" si="47"/>
        <v>O</v>
      </c>
      <c r="AS39" s="76" t="s">
        <v>2</v>
      </c>
      <c r="AT39" s="76" t="str">
        <f t="shared" si="48"/>
        <v>O</v>
      </c>
      <c r="AU39" s="76" t="str">
        <f t="shared" si="49"/>
        <v>X</v>
      </c>
      <c r="AV39" s="76" t="str">
        <f t="shared" si="50"/>
        <v/>
      </c>
    </row>
    <row r="40" spans="1:48" x14ac:dyDescent="0.3">
      <c r="A40" s="9" t="s">
        <v>1311</v>
      </c>
      <c r="B40" s="10" t="s">
        <v>1884</v>
      </c>
      <c r="C40" s="87">
        <v>206</v>
      </c>
      <c r="D40" s="85">
        <v>73.599999999999994</v>
      </c>
      <c r="E40" s="86">
        <v>22</v>
      </c>
      <c r="F40" s="85">
        <v>45.7</v>
      </c>
      <c r="G40" s="17">
        <v>14</v>
      </c>
      <c r="H40" s="87">
        <v>33</v>
      </c>
      <c r="I40" s="88"/>
      <c r="J40" s="88"/>
      <c r="K40" s="88"/>
      <c r="L40" s="88"/>
      <c r="M40" s="89">
        <f t="shared" si="32"/>
        <v>0</v>
      </c>
      <c r="N40" s="4" t="str">
        <f t="shared" si="33"/>
        <v/>
      </c>
      <c r="O40" s="90">
        <f t="shared" si="34"/>
        <v>0</v>
      </c>
      <c r="P40" s="90">
        <f t="shared" si="35"/>
        <v>0</v>
      </c>
      <c r="Q40" s="76">
        <v>2</v>
      </c>
      <c r="R40" s="76">
        <v>1</v>
      </c>
      <c r="S40" s="76" t="s">
        <v>61</v>
      </c>
      <c r="T40" s="5" t="s">
        <v>305</v>
      </c>
      <c r="U40" s="9"/>
      <c r="W40" s="85">
        <f t="shared" si="36"/>
        <v>73.599999999999994</v>
      </c>
      <c r="X40" s="86">
        <f t="shared" si="36"/>
        <v>22</v>
      </c>
      <c r="Y40" s="91">
        <f t="shared" si="37"/>
        <v>33</v>
      </c>
      <c r="Z40" s="89">
        <f t="shared" si="37"/>
        <v>0</v>
      </c>
      <c r="AA40" s="89">
        <f t="shared" si="38"/>
        <v>0</v>
      </c>
      <c r="AB40" s="89">
        <f t="shared" si="39"/>
        <v>0</v>
      </c>
      <c r="AC40" s="4" t="str">
        <f t="shared" si="39"/>
        <v/>
      </c>
      <c r="AD40" s="90">
        <f t="shared" si="39"/>
        <v>0</v>
      </c>
      <c r="AE40" s="76" t="str">
        <f t="shared" si="40"/>
        <v>계</v>
      </c>
      <c r="AF40" s="76" t="str">
        <f t="shared" si="41"/>
        <v>2/1</v>
      </c>
      <c r="AH40" s="20" t="str">
        <f t="shared" si="1"/>
        <v>효성양지</v>
      </c>
      <c r="AI40" s="86">
        <f t="shared" si="0"/>
        <v>22</v>
      </c>
      <c r="AJ40" s="76" t="str">
        <f t="shared" si="42"/>
        <v>A-</v>
      </c>
      <c r="AK40" s="76" t="s">
        <v>13</v>
      </c>
      <c r="AL40" s="76" t="s">
        <v>62</v>
      </c>
      <c r="AM40" s="76" t="s">
        <v>63</v>
      </c>
      <c r="AN40" s="76" t="str">
        <f t="shared" si="43"/>
        <v>C</v>
      </c>
      <c r="AO40" s="76" t="str">
        <f t="shared" si="44"/>
        <v/>
      </c>
      <c r="AP40" s="76" t="str">
        <f t="shared" si="45"/>
        <v/>
      </c>
      <c r="AQ40" s="76" t="str">
        <f t="shared" si="46"/>
        <v>O</v>
      </c>
      <c r="AR40" s="76" t="str">
        <f t="shared" si="47"/>
        <v>O</v>
      </c>
      <c r="AS40" s="76" t="s">
        <v>2</v>
      </c>
      <c r="AT40" s="76" t="str">
        <f t="shared" si="48"/>
        <v>O</v>
      </c>
      <c r="AU40" s="76" t="str">
        <f t="shared" si="49"/>
        <v>X</v>
      </c>
      <c r="AV40" s="76" t="str">
        <f t="shared" si="50"/>
        <v/>
      </c>
    </row>
    <row r="41" spans="1:48" x14ac:dyDescent="0.3">
      <c r="A41" s="9" t="s">
        <v>1311</v>
      </c>
      <c r="B41" s="10" t="s">
        <v>1884</v>
      </c>
      <c r="C41" s="87">
        <v>206</v>
      </c>
      <c r="D41" s="85">
        <v>73.400000000000006</v>
      </c>
      <c r="E41" s="86">
        <v>22</v>
      </c>
      <c r="F41" s="85">
        <v>45.5</v>
      </c>
      <c r="G41" s="17">
        <v>14</v>
      </c>
      <c r="H41" s="87">
        <v>13</v>
      </c>
      <c r="I41" s="88"/>
      <c r="J41" s="88"/>
      <c r="K41" s="88"/>
      <c r="L41" s="88"/>
      <c r="M41" s="89">
        <f t="shared" si="32"/>
        <v>0</v>
      </c>
      <c r="N41" s="4" t="str">
        <f t="shared" si="33"/>
        <v/>
      </c>
      <c r="O41" s="90">
        <f t="shared" si="34"/>
        <v>0</v>
      </c>
      <c r="P41" s="90">
        <f t="shared" si="35"/>
        <v>0</v>
      </c>
      <c r="Q41" s="76">
        <v>2</v>
      </c>
      <c r="R41" s="76">
        <v>1</v>
      </c>
      <c r="S41" s="76" t="s">
        <v>61</v>
      </c>
      <c r="T41" s="5" t="s">
        <v>306</v>
      </c>
      <c r="U41" s="9"/>
      <c r="W41" s="85">
        <f t="shared" si="36"/>
        <v>73.400000000000006</v>
      </c>
      <c r="X41" s="86">
        <f t="shared" si="36"/>
        <v>22</v>
      </c>
      <c r="Y41" s="91">
        <f t="shared" si="37"/>
        <v>13</v>
      </c>
      <c r="Z41" s="89">
        <f t="shared" si="37"/>
        <v>0</v>
      </c>
      <c r="AA41" s="89">
        <f t="shared" si="38"/>
        <v>0</v>
      </c>
      <c r="AB41" s="89">
        <f t="shared" si="39"/>
        <v>0</v>
      </c>
      <c r="AC41" s="4" t="str">
        <f t="shared" si="39"/>
        <v/>
      </c>
      <c r="AD41" s="90">
        <f t="shared" si="39"/>
        <v>0</v>
      </c>
      <c r="AE41" s="76" t="str">
        <f t="shared" si="40"/>
        <v>계</v>
      </c>
      <c r="AF41" s="76" t="str">
        <f t="shared" si="41"/>
        <v>2/1</v>
      </c>
      <c r="AH41" s="20" t="str">
        <f t="shared" si="1"/>
        <v>효성양지</v>
      </c>
      <c r="AI41" s="86">
        <f t="shared" si="0"/>
        <v>22</v>
      </c>
      <c r="AJ41" s="76" t="str">
        <f t="shared" si="42"/>
        <v>A-</v>
      </c>
      <c r="AK41" s="76" t="s">
        <v>13</v>
      </c>
      <c r="AL41" s="76" t="s">
        <v>62</v>
      </c>
      <c r="AM41" s="76" t="s">
        <v>63</v>
      </c>
      <c r="AN41" s="76" t="str">
        <f t="shared" si="43"/>
        <v>C</v>
      </c>
      <c r="AO41" s="76" t="str">
        <f t="shared" si="44"/>
        <v/>
      </c>
      <c r="AP41" s="76" t="str">
        <f t="shared" si="45"/>
        <v/>
      </c>
      <c r="AQ41" s="76" t="str">
        <f t="shared" si="46"/>
        <v>O</v>
      </c>
      <c r="AR41" s="76" t="str">
        <f t="shared" si="47"/>
        <v>O</v>
      </c>
      <c r="AS41" s="76" t="s">
        <v>2</v>
      </c>
      <c r="AT41" s="76" t="str">
        <f t="shared" si="48"/>
        <v>O</v>
      </c>
      <c r="AU41" s="76" t="str">
        <f t="shared" si="49"/>
        <v>X</v>
      </c>
      <c r="AV41" s="76" t="str">
        <f t="shared" si="50"/>
        <v/>
      </c>
    </row>
    <row r="42" spans="1:48" x14ac:dyDescent="0.3">
      <c r="A42" s="9" t="s">
        <v>1311</v>
      </c>
      <c r="B42" s="10" t="s">
        <v>1884</v>
      </c>
      <c r="C42" s="87">
        <v>206</v>
      </c>
      <c r="D42" s="85">
        <v>79</v>
      </c>
      <c r="E42" s="86">
        <v>24</v>
      </c>
      <c r="F42" s="85">
        <v>49.1</v>
      </c>
      <c r="G42" s="17">
        <v>15</v>
      </c>
      <c r="H42" s="87">
        <v>6</v>
      </c>
      <c r="I42" s="88"/>
      <c r="J42" s="88"/>
      <c r="K42" s="88"/>
      <c r="L42" s="88"/>
      <c r="M42" s="89">
        <f t="shared" si="32"/>
        <v>0</v>
      </c>
      <c r="N42" s="4" t="str">
        <f t="shared" si="33"/>
        <v/>
      </c>
      <c r="O42" s="90">
        <f t="shared" si="34"/>
        <v>0</v>
      </c>
      <c r="P42" s="90">
        <f t="shared" si="35"/>
        <v>0</v>
      </c>
      <c r="Q42" s="76">
        <v>3</v>
      </c>
      <c r="R42" s="76">
        <v>1</v>
      </c>
      <c r="S42" s="76" t="s">
        <v>61</v>
      </c>
      <c r="T42" s="5">
        <v>78</v>
      </c>
      <c r="U42" s="9"/>
      <c r="W42" s="85">
        <f t="shared" si="36"/>
        <v>79</v>
      </c>
      <c r="X42" s="86">
        <f t="shared" si="36"/>
        <v>24</v>
      </c>
      <c r="Y42" s="91">
        <f t="shared" si="37"/>
        <v>6</v>
      </c>
      <c r="Z42" s="89">
        <f t="shared" si="37"/>
        <v>0</v>
      </c>
      <c r="AA42" s="89">
        <f t="shared" si="38"/>
        <v>0</v>
      </c>
      <c r="AB42" s="89">
        <f t="shared" si="39"/>
        <v>0</v>
      </c>
      <c r="AC42" s="4" t="str">
        <f t="shared" si="39"/>
        <v/>
      </c>
      <c r="AD42" s="90">
        <f t="shared" si="39"/>
        <v>0</v>
      </c>
      <c r="AE42" s="76" t="str">
        <f t="shared" si="40"/>
        <v>계</v>
      </c>
      <c r="AF42" s="76" t="str">
        <f t="shared" si="41"/>
        <v>3/1</v>
      </c>
      <c r="AH42" s="20" t="str">
        <f t="shared" si="1"/>
        <v>효성양지</v>
      </c>
      <c r="AI42" s="86">
        <f t="shared" si="0"/>
        <v>24</v>
      </c>
      <c r="AJ42" s="76" t="str">
        <f t="shared" si="42"/>
        <v>A-</v>
      </c>
      <c r="AK42" s="76" t="s">
        <v>13</v>
      </c>
      <c r="AL42" s="76" t="s">
        <v>62</v>
      </c>
      <c r="AM42" s="76" t="s">
        <v>63</v>
      </c>
      <c r="AN42" s="76" t="str">
        <f t="shared" si="43"/>
        <v>C</v>
      </c>
      <c r="AO42" s="76" t="str">
        <f t="shared" si="44"/>
        <v/>
      </c>
      <c r="AP42" s="76" t="str">
        <f t="shared" si="45"/>
        <v/>
      </c>
      <c r="AQ42" s="76" t="str">
        <f t="shared" si="46"/>
        <v>O</v>
      </c>
      <c r="AR42" s="76" t="str">
        <f t="shared" si="47"/>
        <v>O</v>
      </c>
      <c r="AS42" s="76" t="s">
        <v>2</v>
      </c>
      <c r="AT42" s="76" t="str">
        <f t="shared" si="48"/>
        <v>O</v>
      </c>
      <c r="AU42" s="76" t="str">
        <f t="shared" si="49"/>
        <v>X</v>
      </c>
      <c r="AV42" s="76" t="str">
        <f t="shared" si="50"/>
        <v/>
      </c>
    </row>
    <row r="43" spans="1:48" x14ac:dyDescent="0.3">
      <c r="A43" s="9" t="s">
        <v>1311</v>
      </c>
      <c r="B43" s="10" t="s">
        <v>1884</v>
      </c>
      <c r="C43" s="87">
        <v>206</v>
      </c>
      <c r="D43" s="85">
        <v>93.7</v>
      </c>
      <c r="E43" s="86">
        <v>28</v>
      </c>
      <c r="F43" s="85">
        <v>58</v>
      </c>
      <c r="G43" s="17">
        <v>18</v>
      </c>
      <c r="H43" s="87">
        <v>6</v>
      </c>
      <c r="I43" s="88"/>
      <c r="J43" s="88"/>
      <c r="K43" s="88"/>
      <c r="L43" s="88"/>
      <c r="M43" s="89">
        <f t="shared" si="32"/>
        <v>0</v>
      </c>
      <c r="N43" s="4" t="str">
        <f t="shared" si="33"/>
        <v/>
      </c>
      <c r="O43" s="90">
        <f t="shared" si="34"/>
        <v>0</v>
      </c>
      <c r="P43" s="90">
        <f t="shared" si="35"/>
        <v>0</v>
      </c>
      <c r="Q43" s="76">
        <v>3</v>
      </c>
      <c r="R43" s="76">
        <v>2</v>
      </c>
      <c r="S43" s="76" t="s">
        <v>61</v>
      </c>
      <c r="T43" s="5">
        <v>93</v>
      </c>
      <c r="U43" s="9"/>
      <c r="W43" s="85">
        <f t="shared" si="36"/>
        <v>93.7</v>
      </c>
      <c r="X43" s="86">
        <f t="shared" si="36"/>
        <v>28</v>
      </c>
      <c r="Y43" s="91">
        <f t="shared" si="37"/>
        <v>6</v>
      </c>
      <c r="Z43" s="89">
        <f t="shared" si="37"/>
        <v>0</v>
      </c>
      <c r="AA43" s="89">
        <f t="shared" si="38"/>
        <v>0</v>
      </c>
      <c r="AB43" s="89">
        <f t="shared" si="39"/>
        <v>0</v>
      </c>
      <c r="AC43" s="4" t="str">
        <f t="shared" si="39"/>
        <v/>
      </c>
      <c r="AD43" s="90">
        <f t="shared" si="39"/>
        <v>0</v>
      </c>
      <c r="AE43" s="76" t="str">
        <f t="shared" si="40"/>
        <v>계</v>
      </c>
      <c r="AF43" s="76" t="str">
        <f t="shared" si="41"/>
        <v>3/2</v>
      </c>
      <c r="AH43" s="20" t="str">
        <f t="shared" si="1"/>
        <v>효성양지</v>
      </c>
      <c r="AI43" s="86">
        <f t="shared" si="0"/>
        <v>28</v>
      </c>
      <c r="AJ43" s="76" t="str">
        <f t="shared" si="42"/>
        <v>A-</v>
      </c>
      <c r="AK43" s="76" t="s">
        <v>13</v>
      </c>
      <c r="AL43" s="76" t="s">
        <v>62</v>
      </c>
      <c r="AM43" s="76" t="s">
        <v>63</v>
      </c>
      <c r="AN43" s="76" t="str">
        <f t="shared" si="43"/>
        <v>C</v>
      </c>
      <c r="AO43" s="76" t="str">
        <f t="shared" si="44"/>
        <v/>
      </c>
      <c r="AP43" s="76" t="str">
        <f t="shared" si="45"/>
        <v/>
      </c>
      <c r="AQ43" s="76" t="str">
        <f t="shared" si="46"/>
        <v>O</v>
      </c>
      <c r="AR43" s="76" t="str">
        <f t="shared" si="47"/>
        <v>O</v>
      </c>
      <c r="AS43" s="76" t="s">
        <v>2</v>
      </c>
      <c r="AT43" s="76" t="str">
        <f t="shared" si="48"/>
        <v>O</v>
      </c>
      <c r="AU43" s="76" t="str">
        <f t="shared" si="49"/>
        <v>X</v>
      </c>
      <c r="AV43" s="76" t="str">
        <f t="shared" si="50"/>
        <v/>
      </c>
    </row>
  </sheetData>
  <mergeCells count="1">
    <mergeCell ref="AJ1:AN1"/>
  </mergeCells>
  <phoneticPr fontId="2" type="noConversion"/>
  <conditionalFormatting sqref="AV4:AV6">
    <cfRule type="expression" dxfId="15933" priority="639">
      <formula>AV4="X"</formula>
    </cfRule>
    <cfRule type="expression" dxfId="15932" priority="640">
      <formula>AV4="후보"</formula>
    </cfRule>
  </conditionalFormatting>
  <conditionalFormatting sqref="AC1:AC2 AC4:AC6 N4:N5">
    <cfRule type="cellIs" dxfId="15931" priority="636" operator="greaterThan">
      <formula>0.9</formula>
    </cfRule>
    <cfRule type="cellIs" dxfId="15930" priority="637" operator="greaterThan">
      <formula>0.85</formula>
    </cfRule>
  </conditionalFormatting>
  <conditionalFormatting sqref="N1:N2">
    <cfRule type="cellIs" dxfId="15929" priority="634" operator="greaterThan">
      <formula>0.9</formula>
    </cfRule>
    <cfRule type="cellIs" dxfId="15928" priority="635" operator="greaterThan">
      <formula>0.85</formula>
    </cfRule>
  </conditionalFormatting>
  <conditionalFormatting sqref="N6">
    <cfRule type="cellIs" dxfId="15927" priority="632" operator="greaterThan">
      <formula>0.9</formula>
    </cfRule>
    <cfRule type="cellIs" dxfId="15926" priority="633" operator="greaterThan">
      <formula>0.85</formula>
    </cfRule>
  </conditionalFormatting>
  <conditionalFormatting sqref="E6">
    <cfRule type="expression" dxfId="15925" priority="628">
      <formula>AND(IF(OR($Q6=1,$Q6=2),1,0),IF($X6&lt;=20,1,0))</formula>
    </cfRule>
    <cfRule type="expression" dxfId="15924" priority="629">
      <formula>AND(IF($Q6=2,1,0),IF($X6&lt;30,1,0))</formula>
    </cfRule>
    <cfRule type="expression" dxfId="15923" priority="630">
      <formula>AND(IF($Q6=3,1,0),IF($X6&lt;30,1,0))</formula>
    </cfRule>
    <cfRule type="expression" dxfId="15922" priority="631">
      <formula>AND(IF($Q6=3,1,IF($Q6=4,1,0)),IF($F6&lt;=85,1,0))</formula>
    </cfRule>
  </conditionalFormatting>
  <conditionalFormatting sqref="X6">
    <cfRule type="expression" dxfId="15921" priority="624">
      <formula>AND(IF(OR($Q6=1,$Q6=2),1,0),IF($X6&lt;=20,1,0))</formula>
    </cfRule>
    <cfRule type="expression" dxfId="15920" priority="625">
      <formula>AND(IF($Q6=2,1,0),IF($X6&lt;30,1,0))</formula>
    </cfRule>
    <cfRule type="expression" dxfId="15919" priority="626">
      <formula>AND(IF($Q6=3,1,0),IF($X6&lt;30,1,0))</formula>
    </cfRule>
    <cfRule type="expression" dxfId="15918" priority="627">
      <formula>AND(IF($Q6=3,1,IF($Q6=4,1,0)),IF($F6&lt;=85,1,0))</formula>
    </cfRule>
  </conditionalFormatting>
  <conditionalFormatting sqref="AI6">
    <cfRule type="expression" dxfId="15917" priority="620">
      <formula>AND(IF(OR($Q6=1,$Q6=2),1,0),IF($X6&lt;=20,1,0))</formula>
    </cfRule>
    <cfRule type="expression" dxfId="15916" priority="621">
      <formula>AND(IF($Q6=2,1,0),IF($X6&lt;30,1,0))</formula>
    </cfRule>
    <cfRule type="expression" dxfId="15915" priority="622">
      <formula>AND(IF($Q6=3,1,0),IF($X6&lt;30,1,0))</formula>
    </cfRule>
    <cfRule type="expression" dxfId="15914" priority="623">
      <formula>AND(IF($Q6=3,1,IF($Q6=4,1,0)),IF($F6&lt;=85,1,0))</formula>
    </cfRule>
  </conditionalFormatting>
  <conditionalFormatting sqref="AV7">
    <cfRule type="expression" dxfId="15913" priority="618">
      <formula>AV7="X"</formula>
    </cfRule>
    <cfRule type="expression" dxfId="15912" priority="619">
      <formula>AV7="후보"</formula>
    </cfRule>
  </conditionalFormatting>
  <conditionalFormatting sqref="AC7">
    <cfRule type="cellIs" dxfId="15911" priority="615" operator="greaterThan">
      <formula>0.9</formula>
    </cfRule>
    <cfRule type="cellIs" dxfId="15910" priority="616" operator="greaterThan">
      <formula>0.85</formula>
    </cfRule>
  </conditionalFormatting>
  <conditionalFormatting sqref="N7">
    <cfRule type="cellIs" dxfId="15909" priority="613" operator="greaterThan">
      <formula>0.9</formula>
    </cfRule>
    <cfRule type="cellIs" dxfId="15908" priority="614" operator="greaterThan">
      <formula>0.85</formula>
    </cfRule>
  </conditionalFormatting>
  <conditionalFormatting sqref="E7">
    <cfRule type="expression" dxfId="15907" priority="609">
      <formula>AND(IF(OR($Q7=1,$Q7=2),1,0),IF($X7&lt;=20,1,0))</formula>
    </cfRule>
    <cfRule type="expression" dxfId="15906" priority="610">
      <formula>AND(IF($Q7=2,1,0),IF($X7&lt;30,1,0))</formula>
    </cfRule>
    <cfRule type="expression" dxfId="15905" priority="611">
      <formula>AND(IF($Q7=3,1,0),IF($X7&lt;30,1,0))</formula>
    </cfRule>
    <cfRule type="expression" dxfId="15904" priority="612">
      <formula>AND(IF($Q7=3,1,IF($Q7=4,1,0)),IF($F7&lt;=85,1,0))</formula>
    </cfRule>
  </conditionalFormatting>
  <conditionalFormatting sqref="X7">
    <cfRule type="expression" dxfId="15903" priority="605">
      <formula>AND(IF(OR($Q7=1,$Q7=2),1,0),IF($X7&lt;=20,1,0))</formula>
    </cfRule>
    <cfRule type="expression" dxfId="15902" priority="606">
      <formula>AND(IF($Q7=2,1,0),IF($X7&lt;30,1,0))</formula>
    </cfRule>
    <cfRule type="expression" dxfId="15901" priority="607">
      <formula>AND(IF($Q7=3,1,0),IF($X7&lt;30,1,0))</formula>
    </cfRule>
    <cfRule type="expression" dxfId="15900" priority="608">
      <formula>AND(IF($Q7=3,1,IF($Q7=4,1,0)),IF($F7&lt;=85,1,0))</formula>
    </cfRule>
  </conditionalFormatting>
  <conditionalFormatting sqref="AI7">
    <cfRule type="expression" dxfId="15899" priority="601">
      <formula>AND(IF(OR($Q7=1,$Q7=2),1,0),IF($X7&lt;=20,1,0))</formula>
    </cfRule>
    <cfRule type="expression" dxfId="15898" priority="602">
      <formula>AND(IF($Q7=2,1,0),IF($X7&lt;30,1,0))</formula>
    </cfRule>
    <cfRule type="expression" dxfId="15897" priority="603">
      <formula>AND(IF($Q7=3,1,0),IF($X7&lt;30,1,0))</formula>
    </cfRule>
    <cfRule type="expression" dxfId="15896" priority="604">
      <formula>AND(IF($Q7=3,1,IF($Q7=4,1,0)),IF($F7&lt;=85,1,0))</formula>
    </cfRule>
  </conditionalFormatting>
  <conditionalFormatting sqref="AV8">
    <cfRule type="expression" dxfId="15895" priority="599">
      <formula>AV8="X"</formula>
    </cfRule>
    <cfRule type="expression" dxfId="15894" priority="600">
      <formula>AV8="후보"</formula>
    </cfRule>
  </conditionalFormatting>
  <conditionalFormatting sqref="AC8">
    <cfRule type="cellIs" dxfId="15893" priority="596" operator="greaterThan">
      <formula>0.9</formula>
    </cfRule>
    <cfRule type="cellIs" dxfId="15892" priority="597" operator="greaterThan">
      <formula>0.85</formula>
    </cfRule>
  </conditionalFormatting>
  <conditionalFormatting sqref="N8">
    <cfRule type="cellIs" dxfId="15891" priority="594" operator="greaterThan">
      <formula>0.9</formula>
    </cfRule>
    <cfRule type="cellIs" dxfId="15890" priority="595" operator="greaterThan">
      <formula>0.85</formula>
    </cfRule>
  </conditionalFormatting>
  <conditionalFormatting sqref="E8">
    <cfRule type="expression" dxfId="15889" priority="590">
      <formula>AND(IF(OR($Q8=1,$Q8=2),1,0),IF($X8&lt;=20,1,0))</formula>
    </cfRule>
    <cfRule type="expression" dxfId="15888" priority="591">
      <formula>AND(IF($Q8=2,1,0),IF($X8&lt;30,1,0))</formula>
    </cfRule>
    <cfRule type="expression" dxfId="15887" priority="592">
      <formula>AND(IF($Q8=3,1,0),IF($X8&lt;30,1,0))</formula>
    </cfRule>
    <cfRule type="expression" dxfId="15886" priority="593">
      <formula>AND(IF($Q8=3,1,IF($Q8=4,1,0)),IF($F8&lt;=85,1,0))</formula>
    </cfRule>
  </conditionalFormatting>
  <conditionalFormatting sqref="X8">
    <cfRule type="expression" dxfId="15885" priority="586">
      <formula>AND(IF(OR($Q8=1,$Q8=2),1,0),IF($X8&lt;=20,1,0))</formula>
    </cfRule>
    <cfRule type="expression" dxfId="15884" priority="587">
      <formula>AND(IF($Q8=2,1,0),IF($X8&lt;30,1,0))</formula>
    </cfRule>
    <cfRule type="expression" dxfId="15883" priority="588">
      <formula>AND(IF($Q8=3,1,0),IF($X8&lt;30,1,0))</formula>
    </cfRule>
    <cfRule type="expression" dxfId="15882" priority="589">
      <formula>AND(IF($Q8=3,1,IF($Q8=4,1,0)),IF($F8&lt;=85,1,0))</formula>
    </cfRule>
  </conditionalFormatting>
  <conditionalFormatting sqref="AI8">
    <cfRule type="expression" dxfId="15881" priority="582">
      <formula>AND(IF(OR($Q8=1,$Q8=2),1,0),IF($X8&lt;=20,1,0))</formula>
    </cfRule>
    <cfRule type="expression" dxfId="15880" priority="583">
      <formula>AND(IF($Q8=2,1,0),IF($X8&lt;30,1,0))</formula>
    </cfRule>
    <cfRule type="expression" dxfId="15879" priority="584">
      <formula>AND(IF($Q8=3,1,0),IF($X8&lt;30,1,0))</formula>
    </cfRule>
    <cfRule type="expression" dxfId="15878" priority="585">
      <formula>AND(IF($Q8=3,1,IF($Q8=4,1,0)),IF($F8&lt;=85,1,0))</formula>
    </cfRule>
  </conditionalFormatting>
  <conditionalFormatting sqref="AV9">
    <cfRule type="expression" dxfId="15877" priority="580">
      <formula>AV9="X"</formula>
    </cfRule>
    <cfRule type="expression" dxfId="15876" priority="581">
      <formula>AV9="후보"</formula>
    </cfRule>
  </conditionalFormatting>
  <conditionalFormatting sqref="AC9 N9">
    <cfRule type="cellIs" dxfId="15875" priority="577" operator="greaterThan">
      <formula>0.9</formula>
    </cfRule>
    <cfRule type="cellIs" dxfId="15874" priority="578" operator="greaterThan">
      <formula>0.85</formula>
    </cfRule>
  </conditionalFormatting>
  <conditionalFormatting sqref="AV10">
    <cfRule type="expression" dxfId="15873" priority="575">
      <formula>AV10="X"</formula>
    </cfRule>
    <cfRule type="expression" dxfId="15872" priority="576">
      <formula>AV10="후보"</formula>
    </cfRule>
  </conditionalFormatting>
  <conditionalFormatting sqref="AC10">
    <cfRule type="cellIs" dxfId="15871" priority="572" operator="greaterThan">
      <formula>0.9</formula>
    </cfRule>
    <cfRule type="cellIs" dxfId="15870" priority="573" operator="greaterThan">
      <formula>0.85</formula>
    </cfRule>
  </conditionalFormatting>
  <conditionalFormatting sqref="N10">
    <cfRule type="cellIs" dxfId="15869" priority="570" operator="greaterThan">
      <formula>0.9</formula>
    </cfRule>
    <cfRule type="cellIs" dxfId="15868" priority="571" operator="greaterThan">
      <formula>0.85</formula>
    </cfRule>
  </conditionalFormatting>
  <conditionalFormatting sqref="E10">
    <cfRule type="expression" dxfId="15867" priority="566">
      <formula>AND(IF(OR($Q10=1,$Q10=2),1,0),IF($X10&lt;=20,1,0))</formula>
    </cfRule>
    <cfRule type="expression" dxfId="15866" priority="567">
      <formula>AND(IF($Q10=2,1,0),IF($X10&lt;30,1,0))</formula>
    </cfRule>
    <cfRule type="expression" dxfId="15865" priority="568">
      <formula>AND(IF($Q10=3,1,0),IF($X10&lt;30,1,0))</formula>
    </cfRule>
    <cfRule type="expression" dxfId="15864" priority="569">
      <formula>AND(IF($Q10=3,1,IF($Q10=4,1,0)),IF($F10&lt;=85,1,0))</formula>
    </cfRule>
  </conditionalFormatting>
  <conditionalFormatting sqref="X10">
    <cfRule type="expression" dxfId="15863" priority="562">
      <formula>AND(IF(OR($Q10=1,$Q10=2),1,0),IF($X10&lt;=20,1,0))</formula>
    </cfRule>
    <cfRule type="expression" dxfId="15862" priority="563">
      <formula>AND(IF($Q10=2,1,0),IF($X10&lt;30,1,0))</formula>
    </cfRule>
    <cfRule type="expression" dxfId="15861" priority="564">
      <formula>AND(IF($Q10=3,1,0),IF($X10&lt;30,1,0))</formula>
    </cfRule>
    <cfRule type="expression" dxfId="15860" priority="565">
      <formula>AND(IF($Q10=3,1,IF($Q10=4,1,0)),IF($F10&lt;=85,1,0))</formula>
    </cfRule>
  </conditionalFormatting>
  <conditionalFormatting sqref="AI10">
    <cfRule type="expression" dxfId="15859" priority="558">
      <formula>AND(IF(OR($Q10=1,$Q10=2),1,0),IF($X10&lt;=20,1,0))</formula>
    </cfRule>
    <cfRule type="expression" dxfId="15858" priority="559">
      <formula>AND(IF($Q10=2,1,0),IF($X10&lt;30,1,0))</formula>
    </cfRule>
    <cfRule type="expression" dxfId="15857" priority="560">
      <formula>AND(IF($Q10=3,1,0),IF($X10&lt;30,1,0))</formula>
    </cfRule>
    <cfRule type="expression" dxfId="15856" priority="561">
      <formula>AND(IF($Q10=3,1,IF($Q10=4,1,0)),IF($F10&lt;=85,1,0))</formula>
    </cfRule>
  </conditionalFormatting>
  <conditionalFormatting sqref="AV11">
    <cfRule type="expression" dxfId="15855" priority="556">
      <formula>AV11="X"</formula>
    </cfRule>
    <cfRule type="expression" dxfId="15854" priority="557">
      <formula>AV11="후보"</formula>
    </cfRule>
  </conditionalFormatting>
  <conditionalFormatting sqref="AC11">
    <cfRule type="cellIs" dxfId="15853" priority="553" operator="greaterThan">
      <formula>0.9</formula>
    </cfRule>
    <cfRule type="cellIs" dxfId="15852" priority="554" operator="greaterThan">
      <formula>0.85</formula>
    </cfRule>
  </conditionalFormatting>
  <conditionalFormatting sqref="N11">
    <cfRule type="cellIs" dxfId="15851" priority="551" operator="greaterThan">
      <formula>0.9</formula>
    </cfRule>
    <cfRule type="cellIs" dxfId="15850" priority="552" operator="greaterThan">
      <formula>0.85</formula>
    </cfRule>
  </conditionalFormatting>
  <conditionalFormatting sqref="E11">
    <cfRule type="expression" dxfId="15849" priority="547">
      <formula>AND(IF(OR($Q11=1,$Q11=2),1,0),IF($X11&lt;=20,1,0))</formula>
    </cfRule>
    <cfRule type="expression" dxfId="15848" priority="548">
      <formula>AND(IF($Q11=2,1,0),IF($X11&lt;30,1,0))</formula>
    </cfRule>
    <cfRule type="expression" dxfId="15847" priority="549">
      <formula>AND(IF($Q11=3,1,0),IF($X11&lt;30,1,0))</formula>
    </cfRule>
    <cfRule type="expression" dxfId="15846" priority="550">
      <formula>AND(IF($Q11=3,1,IF($Q11=4,1,0)),IF($F11&lt;=85,1,0))</formula>
    </cfRule>
  </conditionalFormatting>
  <conditionalFormatting sqref="X11">
    <cfRule type="expression" dxfId="15845" priority="543">
      <formula>AND(IF(OR($Q11=1,$Q11=2),1,0),IF($X11&lt;=20,1,0))</formula>
    </cfRule>
    <cfRule type="expression" dxfId="15844" priority="544">
      <formula>AND(IF($Q11=2,1,0),IF($X11&lt;30,1,0))</formula>
    </cfRule>
    <cfRule type="expression" dxfId="15843" priority="545">
      <formula>AND(IF($Q11=3,1,0),IF($X11&lt;30,1,0))</formula>
    </cfRule>
    <cfRule type="expression" dxfId="15842" priority="546">
      <formula>AND(IF($Q11=3,1,IF($Q11=4,1,0)),IF($F11&lt;=85,1,0))</formula>
    </cfRule>
  </conditionalFormatting>
  <conditionalFormatting sqref="AI11">
    <cfRule type="expression" dxfId="15841" priority="539">
      <formula>AND(IF(OR($Q11=1,$Q11=2),1,0),IF($X11&lt;=20,1,0))</formula>
    </cfRule>
    <cfRule type="expression" dxfId="15840" priority="540">
      <formula>AND(IF($Q11=2,1,0),IF($X11&lt;30,1,0))</formula>
    </cfRule>
    <cfRule type="expression" dxfId="15839" priority="541">
      <formula>AND(IF($Q11=3,1,0),IF($X11&lt;30,1,0))</formula>
    </cfRule>
    <cfRule type="expression" dxfId="15838" priority="542">
      <formula>AND(IF($Q11=3,1,IF($Q11=4,1,0)),IF($F11&lt;=85,1,0))</formula>
    </cfRule>
  </conditionalFormatting>
  <conditionalFormatting sqref="AV12">
    <cfRule type="expression" dxfId="15837" priority="537">
      <formula>AV12="X"</formula>
    </cfRule>
    <cfRule type="expression" dxfId="15836" priority="538">
      <formula>AV12="후보"</formula>
    </cfRule>
  </conditionalFormatting>
  <conditionalFormatting sqref="AC12 N12">
    <cfRule type="cellIs" dxfId="15835" priority="534" operator="greaterThan">
      <formula>0.9</formula>
    </cfRule>
    <cfRule type="cellIs" dxfId="15834" priority="535" operator="greaterThan">
      <formula>0.85</formula>
    </cfRule>
  </conditionalFormatting>
  <conditionalFormatting sqref="AV13">
    <cfRule type="expression" dxfId="15833" priority="532">
      <formula>AV13="X"</formula>
    </cfRule>
    <cfRule type="expression" dxfId="15832" priority="533">
      <formula>AV13="후보"</formula>
    </cfRule>
  </conditionalFormatting>
  <conditionalFormatting sqref="AC13">
    <cfRule type="cellIs" dxfId="15831" priority="529" operator="greaterThan">
      <formula>0.9</formula>
    </cfRule>
    <cfRule type="cellIs" dxfId="15830" priority="530" operator="greaterThan">
      <formula>0.85</formula>
    </cfRule>
  </conditionalFormatting>
  <conditionalFormatting sqref="N13">
    <cfRule type="cellIs" dxfId="15829" priority="527" operator="greaterThan">
      <formula>0.9</formula>
    </cfRule>
    <cfRule type="cellIs" dxfId="15828" priority="528" operator="greaterThan">
      <formula>0.85</formula>
    </cfRule>
  </conditionalFormatting>
  <conditionalFormatting sqref="E13">
    <cfRule type="expression" dxfId="15827" priority="523">
      <formula>AND(IF(OR($Q13=1,$Q13=2),1,0),IF($X13&lt;=20,1,0))</formula>
    </cfRule>
    <cfRule type="expression" dxfId="15826" priority="524">
      <formula>AND(IF($Q13=2,1,0),IF($X13&lt;30,1,0))</formula>
    </cfRule>
    <cfRule type="expression" dxfId="15825" priority="525">
      <formula>AND(IF($Q13=3,1,0),IF($X13&lt;30,1,0))</formula>
    </cfRule>
    <cfRule type="expression" dxfId="15824" priority="526">
      <formula>AND(IF($Q13=3,1,IF($Q13=4,1,0)),IF($F13&lt;=85,1,0))</formula>
    </cfRule>
  </conditionalFormatting>
  <conditionalFormatting sqref="X13">
    <cfRule type="expression" dxfId="15823" priority="519">
      <formula>AND(IF(OR($Q13=1,$Q13=2),1,0),IF($X13&lt;=20,1,0))</formula>
    </cfRule>
    <cfRule type="expression" dxfId="15822" priority="520">
      <formula>AND(IF($Q13=2,1,0),IF($X13&lt;30,1,0))</formula>
    </cfRule>
    <cfRule type="expression" dxfId="15821" priority="521">
      <formula>AND(IF($Q13=3,1,0),IF($X13&lt;30,1,0))</formula>
    </cfRule>
    <cfRule type="expression" dxfId="15820" priority="522">
      <formula>AND(IF($Q13=3,1,IF($Q13=4,1,0)),IF($F13&lt;=85,1,0))</formula>
    </cfRule>
  </conditionalFormatting>
  <conditionalFormatting sqref="AI13">
    <cfRule type="expression" dxfId="15819" priority="515">
      <formula>AND(IF(OR($Q13=1,$Q13=2),1,0),IF($X13&lt;=20,1,0))</formula>
    </cfRule>
    <cfRule type="expression" dxfId="15818" priority="516">
      <formula>AND(IF($Q13=2,1,0),IF($X13&lt;30,1,0))</formula>
    </cfRule>
    <cfRule type="expression" dxfId="15817" priority="517">
      <formula>AND(IF($Q13=3,1,0),IF($X13&lt;30,1,0))</formula>
    </cfRule>
    <cfRule type="expression" dxfId="15816" priority="518">
      <formula>AND(IF($Q13=3,1,IF($Q13=4,1,0)),IF($F13&lt;=85,1,0))</formula>
    </cfRule>
  </conditionalFormatting>
  <conditionalFormatting sqref="AV14">
    <cfRule type="expression" dxfId="15815" priority="513">
      <formula>AV14="X"</formula>
    </cfRule>
    <cfRule type="expression" dxfId="15814" priority="514">
      <formula>AV14="후보"</formula>
    </cfRule>
  </conditionalFormatting>
  <conditionalFormatting sqref="AC14">
    <cfRule type="cellIs" dxfId="15813" priority="510" operator="greaterThan">
      <formula>0.9</formula>
    </cfRule>
    <cfRule type="cellIs" dxfId="15812" priority="511" operator="greaterThan">
      <formula>0.85</formula>
    </cfRule>
  </conditionalFormatting>
  <conditionalFormatting sqref="N14">
    <cfRule type="cellIs" dxfId="15811" priority="508" operator="greaterThan">
      <formula>0.9</formula>
    </cfRule>
    <cfRule type="cellIs" dxfId="15810" priority="509" operator="greaterThan">
      <formula>0.85</formula>
    </cfRule>
  </conditionalFormatting>
  <conditionalFormatting sqref="E14">
    <cfRule type="expression" dxfId="15809" priority="504">
      <formula>AND(IF(OR($Q14=1,$Q14=2),1,0),IF($X14&lt;=20,1,0))</formula>
    </cfRule>
    <cfRule type="expression" dxfId="15808" priority="505">
      <formula>AND(IF($Q14=2,1,0),IF($X14&lt;30,1,0))</formula>
    </cfRule>
    <cfRule type="expression" dxfId="15807" priority="506">
      <formula>AND(IF($Q14=3,1,0),IF($X14&lt;30,1,0))</formula>
    </cfRule>
    <cfRule type="expression" dxfId="15806" priority="507">
      <formula>AND(IF($Q14=3,1,IF($Q14=4,1,0)),IF($F14&lt;=85,1,0))</formula>
    </cfRule>
  </conditionalFormatting>
  <conditionalFormatting sqref="X14">
    <cfRule type="expression" dxfId="15805" priority="500">
      <formula>AND(IF(OR($Q14=1,$Q14=2),1,0),IF($X14&lt;=20,1,0))</formula>
    </cfRule>
    <cfRule type="expression" dxfId="15804" priority="501">
      <formula>AND(IF($Q14=2,1,0),IF($X14&lt;30,1,0))</formula>
    </cfRule>
    <cfRule type="expression" dxfId="15803" priority="502">
      <formula>AND(IF($Q14=3,1,0),IF($X14&lt;30,1,0))</formula>
    </cfRule>
    <cfRule type="expression" dxfId="15802" priority="503">
      <formula>AND(IF($Q14=3,1,IF($Q14=4,1,0)),IF($F14&lt;=85,1,0))</formula>
    </cfRule>
  </conditionalFormatting>
  <conditionalFormatting sqref="AI14">
    <cfRule type="expression" dxfId="15801" priority="496">
      <formula>AND(IF(OR($Q14=1,$Q14=2),1,0),IF($X14&lt;=20,1,0))</formula>
    </cfRule>
    <cfRule type="expression" dxfId="15800" priority="497">
      <formula>AND(IF($Q14=2,1,0),IF($X14&lt;30,1,0))</formula>
    </cfRule>
    <cfRule type="expression" dxfId="15799" priority="498">
      <formula>AND(IF($Q14=3,1,0),IF($X14&lt;30,1,0))</formula>
    </cfRule>
    <cfRule type="expression" dxfId="15798" priority="499">
      <formula>AND(IF($Q14=3,1,IF($Q14=4,1,0)),IF($F14&lt;=85,1,0))</formula>
    </cfRule>
  </conditionalFormatting>
  <conditionalFormatting sqref="AV15">
    <cfRule type="expression" dxfId="15797" priority="494">
      <formula>AV15="X"</formula>
    </cfRule>
    <cfRule type="expression" dxfId="15796" priority="495">
      <formula>AV15="후보"</formula>
    </cfRule>
  </conditionalFormatting>
  <conditionalFormatting sqref="AC15 N15">
    <cfRule type="cellIs" dxfId="15795" priority="491" operator="greaterThan">
      <formula>0.9</formula>
    </cfRule>
    <cfRule type="cellIs" dxfId="15794" priority="492" operator="greaterThan">
      <formula>0.85</formula>
    </cfRule>
  </conditionalFormatting>
  <conditionalFormatting sqref="AV16">
    <cfRule type="expression" dxfId="15793" priority="489">
      <formula>AV16="X"</formula>
    </cfRule>
    <cfRule type="expression" dxfId="15792" priority="490">
      <formula>AV16="후보"</formula>
    </cfRule>
  </conditionalFormatting>
  <conditionalFormatting sqref="AC16">
    <cfRule type="cellIs" dxfId="15791" priority="486" operator="greaterThan">
      <formula>0.9</formula>
    </cfRule>
    <cfRule type="cellIs" dxfId="15790" priority="487" operator="greaterThan">
      <formula>0.85</formula>
    </cfRule>
  </conditionalFormatting>
  <conditionalFormatting sqref="N16">
    <cfRule type="cellIs" dxfId="15789" priority="484" operator="greaterThan">
      <formula>0.9</formula>
    </cfRule>
    <cfRule type="cellIs" dxfId="15788" priority="485" operator="greaterThan">
      <formula>0.85</formula>
    </cfRule>
  </conditionalFormatting>
  <conditionalFormatting sqref="E16">
    <cfRule type="expression" dxfId="15787" priority="480">
      <formula>AND(IF(OR($Q16=1,$Q16=2),1,0),IF($X16&lt;=20,1,0))</formula>
    </cfRule>
    <cfRule type="expression" dxfId="15786" priority="481">
      <formula>AND(IF($Q16=2,1,0),IF($X16&lt;30,1,0))</formula>
    </cfRule>
    <cfRule type="expression" dxfId="15785" priority="482">
      <formula>AND(IF($Q16=3,1,0),IF($X16&lt;30,1,0))</formula>
    </cfRule>
    <cfRule type="expression" dxfId="15784" priority="483">
      <formula>AND(IF($Q16=3,1,IF($Q16=4,1,0)),IF($F16&lt;=85,1,0))</formula>
    </cfRule>
  </conditionalFormatting>
  <conditionalFormatting sqref="X16">
    <cfRule type="expression" dxfId="15783" priority="476">
      <formula>AND(IF(OR($Q16=1,$Q16=2),1,0),IF($X16&lt;=20,1,0))</formula>
    </cfRule>
    <cfRule type="expression" dxfId="15782" priority="477">
      <formula>AND(IF($Q16=2,1,0),IF($X16&lt;30,1,0))</formula>
    </cfRule>
    <cfRule type="expression" dxfId="15781" priority="478">
      <formula>AND(IF($Q16=3,1,0),IF($X16&lt;30,1,0))</formula>
    </cfRule>
    <cfRule type="expression" dxfId="15780" priority="479">
      <formula>AND(IF($Q16=3,1,IF($Q16=4,1,0)),IF($F16&lt;=85,1,0))</formula>
    </cfRule>
  </conditionalFormatting>
  <conditionalFormatting sqref="AI16">
    <cfRule type="expression" dxfId="15779" priority="472">
      <formula>AND(IF(OR($Q16=1,$Q16=2),1,0),IF($X16&lt;=20,1,0))</formula>
    </cfRule>
    <cfRule type="expression" dxfId="15778" priority="473">
      <formula>AND(IF($Q16=2,1,0),IF($X16&lt;30,1,0))</formula>
    </cfRule>
    <cfRule type="expression" dxfId="15777" priority="474">
      <formula>AND(IF($Q16=3,1,0),IF($X16&lt;30,1,0))</formula>
    </cfRule>
    <cfRule type="expression" dxfId="15776" priority="475">
      <formula>AND(IF($Q16=3,1,IF($Q16=4,1,0)),IF($F16&lt;=85,1,0))</formula>
    </cfRule>
  </conditionalFormatting>
  <conditionalFormatting sqref="AV17">
    <cfRule type="expression" dxfId="15775" priority="470">
      <formula>AV17="X"</formula>
    </cfRule>
    <cfRule type="expression" dxfId="15774" priority="471">
      <formula>AV17="후보"</formula>
    </cfRule>
  </conditionalFormatting>
  <conditionalFormatting sqref="AC17">
    <cfRule type="cellIs" dxfId="15773" priority="467" operator="greaterThan">
      <formula>0.9</formula>
    </cfRule>
    <cfRule type="cellIs" dxfId="15772" priority="468" operator="greaterThan">
      <formula>0.85</formula>
    </cfRule>
  </conditionalFormatting>
  <conditionalFormatting sqref="N17">
    <cfRule type="cellIs" dxfId="15771" priority="465" operator="greaterThan">
      <formula>0.9</formula>
    </cfRule>
    <cfRule type="cellIs" dxfId="15770" priority="466" operator="greaterThan">
      <formula>0.85</formula>
    </cfRule>
  </conditionalFormatting>
  <conditionalFormatting sqref="E17">
    <cfRule type="expression" dxfId="15769" priority="461">
      <formula>AND(IF(OR($Q17=1,$Q17=2),1,0),IF($X17&lt;=20,1,0))</formula>
    </cfRule>
    <cfRule type="expression" dxfId="15768" priority="462">
      <formula>AND(IF($Q17=2,1,0),IF($X17&lt;30,1,0))</formula>
    </cfRule>
    <cfRule type="expression" dxfId="15767" priority="463">
      <formula>AND(IF($Q17=3,1,0),IF($X17&lt;30,1,0))</formula>
    </cfRule>
    <cfRule type="expression" dxfId="15766" priority="464">
      <formula>AND(IF($Q17=3,1,IF($Q17=4,1,0)),IF($F17&lt;=85,1,0))</formula>
    </cfRule>
  </conditionalFormatting>
  <conditionalFormatting sqref="X17">
    <cfRule type="expression" dxfId="15765" priority="457">
      <formula>AND(IF(OR($Q17=1,$Q17=2),1,0),IF($X17&lt;=20,1,0))</formula>
    </cfRule>
    <cfRule type="expression" dxfId="15764" priority="458">
      <formula>AND(IF($Q17=2,1,0),IF($X17&lt;30,1,0))</formula>
    </cfRule>
    <cfRule type="expression" dxfId="15763" priority="459">
      <formula>AND(IF($Q17=3,1,0),IF($X17&lt;30,1,0))</formula>
    </cfRule>
    <cfRule type="expression" dxfId="15762" priority="460">
      <formula>AND(IF($Q17=3,1,IF($Q17=4,1,0)),IF($F17&lt;=85,1,0))</formula>
    </cfRule>
  </conditionalFormatting>
  <conditionalFormatting sqref="AI17">
    <cfRule type="expression" dxfId="15761" priority="453">
      <formula>AND(IF(OR($Q17=1,$Q17=2),1,0),IF($X17&lt;=20,1,0))</formula>
    </cfRule>
    <cfRule type="expression" dxfId="15760" priority="454">
      <formula>AND(IF($Q17=2,1,0),IF($X17&lt;30,1,0))</formula>
    </cfRule>
    <cfRule type="expression" dxfId="15759" priority="455">
      <formula>AND(IF($Q17=3,1,0),IF($X17&lt;30,1,0))</formula>
    </cfRule>
    <cfRule type="expression" dxfId="15758" priority="456">
      <formula>AND(IF($Q17=3,1,IF($Q17=4,1,0)),IF($F17&lt;=85,1,0))</formula>
    </cfRule>
  </conditionalFormatting>
  <conditionalFormatting sqref="AV18">
    <cfRule type="expression" dxfId="15757" priority="451">
      <formula>AV18="X"</formula>
    </cfRule>
    <cfRule type="expression" dxfId="15756" priority="452">
      <formula>AV18="후보"</formula>
    </cfRule>
  </conditionalFormatting>
  <conditionalFormatting sqref="AC18">
    <cfRule type="cellIs" dxfId="15755" priority="448" operator="greaterThan">
      <formula>0.9</formula>
    </cfRule>
    <cfRule type="cellIs" dxfId="15754" priority="449" operator="greaterThan">
      <formula>0.85</formula>
    </cfRule>
  </conditionalFormatting>
  <conditionalFormatting sqref="N18">
    <cfRule type="cellIs" dxfId="15753" priority="446" operator="greaterThan">
      <formula>0.9</formula>
    </cfRule>
    <cfRule type="cellIs" dxfId="15752" priority="447" operator="greaterThan">
      <formula>0.85</formula>
    </cfRule>
  </conditionalFormatting>
  <conditionalFormatting sqref="E18">
    <cfRule type="expression" dxfId="15751" priority="442">
      <formula>AND(IF(OR($Q18=1,$Q18=2),1,0),IF($X18&lt;=20,1,0))</formula>
    </cfRule>
    <cfRule type="expression" dxfId="15750" priority="443">
      <formula>AND(IF($Q18=2,1,0),IF($X18&lt;30,1,0))</formula>
    </cfRule>
    <cfRule type="expression" dxfId="15749" priority="444">
      <formula>AND(IF($Q18=3,1,0),IF($X18&lt;30,1,0))</formula>
    </cfRule>
    <cfRule type="expression" dxfId="15748" priority="445">
      <formula>AND(IF($Q18=3,1,IF($Q18=4,1,0)),IF($F18&lt;=85,1,0))</formula>
    </cfRule>
  </conditionalFormatting>
  <conditionalFormatting sqref="X18">
    <cfRule type="expression" dxfId="15747" priority="438">
      <formula>AND(IF(OR($Q18=1,$Q18=2),1,0),IF($X18&lt;=20,1,0))</formula>
    </cfRule>
    <cfRule type="expression" dxfId="15746" priority="439">
      <formula>AND(IF($Q18=2,1,0),IF($X18&lt;30,1,0))</formula>
    </cfRule>
    <cfRule type="expression" dxfId="15745" priority="440">
      <formula>AND(IF($Q18=3,1,0),IF($X18&lt;30,1,0))</formula>
    </cfRule>
    <cfRule type="expression" dxfId="15744" priority="441">
      <formula>AND(IF($Q18=3,1,IF($Q18=4,1,0)),IF($F18&lt;=85,1,0))</formula>
    </cfRule>
  </conditionalFormatting>
  <conditionalFormatting sqref="AI18">
    <cfRule type="expression" dxfId="15743" priority="434">
      <formula>AND(IF(OR($Q18=1,$Q18=2),1,0),IF($X18&lt;=20,1,0))</formula>
    </cfRule>
    <cfRule type="expression" dxfId="15742" priority="435">
      <formula>AND(IF($Q18=2,1,0),IF($X18&lt;30,1,0))</formula>
    </cfRule>
    <cfRule type="expression" dxfId="15741" priority="436">
      <formula>AND(IF($Q18=3,1,0),IF($X18&lt;30,1,0))</formula>
    </cfRule>
    <cfRule type="expression" dxfId="15740" priority="437">
      <formula>AND(IF($Q18=3,1,IF($Q18=4,1,0)),IF($F18&lt;=85,1,0))</formula>
    </cfRule>
  </conditionalFormatting>
  <conditionalFormatting sqref="AV19">
    <cfRule type="expression" dxfId="15739" priority="432">
      <formula>AV19="X"</formula>
    </cfRule>
    <cfRule type="expression" dxfId="15738" priority="433">
      <formula>AV19="후보"</formula>
    </cfRule>
  </conditionalFormatting>
  <conditionalFormatting sqref="AC19">
    <cfRule type="cellIs" dxfId="15737" priority="429" operator="greaterThan">
      <formula>0.9</formula>
    </cfRule>
    <cfRule type="cellIs" dxfId="15736" priority="430" operator="greaterThan">
      <formula>0.85</formula>
    </cfRule>
  </conditionalFormatting>
  <conditionalFormatting sqref="N19">
    <cfRule type="cellIs" dxfId="15735" priority="427" operator="greaterThan">
      <formula>0.9</formula>
    </cfRule>
    <cfRule type="cellIs" dxfId="15734" priority="428" operator="greaterThan">
      <formula>0.85</formula>
    </cfRule>
  </conditionalFormatting>
  <conditionalFormatting sqref="E19">
    <cfRule type="expression" dxfId="15733" priority="423">
      <formula>AND(IF(OR($Q19=1,$Q19=2),1,0),IF($X19&lt;=20,1,0))</formula>
    </cfRule>
    <cfRule type="expression" dxfId="15732" priority="424">
      <formula>AND(IF($Q19=2,1,0),IF($X19&lt;30,1,0))</formula>
    </cfRule>
    <cfRule type="expression" dxfId="15731" priority="425">
      <formula>AND(IF($Q19=3,1,0),IF($X19&lt;30,1,0))</formula>
    </cfRule>
    <cfRule type="expression" dxfId="15730" priority="426">
      <formula>AND(IF($Q19=3,1,IF($Q19=4,1,0)),IF($F19&lt;=85,1,0))</formula>
    </cfRule>
  </conditionalFormatting>
  <conditionalFormatting sqref="X19">
    <cfRule type="expression" dxfId="15729" priority="419">
      <formula>AND(IF(OR($Q19=1,$Q19=2),1,0),IF($X19&lt;=20,1,0))</formula>
    </cfRule>
    <cfRule type="expression" dxfId="15728" priority="420">
      <formula>AND(IF($Q19=2,1,0),IF($X19&lt;30,1,0))</formula>
    </cfRule>
    <cfRule type="expression" dxfId="15727" priority="421">
      <formula>AND(IF($Q19=3,1,0),IF($X19&lt;30,1,0))</formula>
    </cfRule>
    <cfRule type="expression" dxfId="15726" priority="422">
      <formula>AND(IF($Q19=3,1,IF($Q19=4,1,0)),IF($F19&lt;=85,1,0))</formula>
    </cfRule>
  </conditionalFormatting>
  <conditionalFormatting sqref="AI19">
    <cfRule type="expression" dxfId="15725" priority="415">
      <formula>AND(IF(OR($Q19=1,$Q19=2),1,0),IF($X19&lt;=20,1,0))</formula>
    </cfRule>
    <cfRule type="expression" dxfId="15724" priority="416">
      <formula>AND(IF($Q19=2,1,0),IF($X19&lt;30,1,0))</formula>
    </cfRule>
    <cfRule type="expression" dxfId="15723" priority="417">
      <formula>AND(IF($Q19=3,1,0),IF($X19&lt;30,1,0))</formula>
    </cfRule>
    <cfRule type="expression" dxfId="15722" priority="418">
      <formula>AND(IF($Q19=3,1,IF($Q19=4,1,0)),IF($F19&lt;=85,1,0))</formula>
    </cfRule>
  </conditionalFormatting>
  <conditionalFormatting sqref="AV20">
    <cfRule type="expression" dxfId="15721" priority="413">
      <formula>AV20="X"</formula>
    </cfRule>
    <cfRule type="expression" dxfId="15720" priority="414">
      <formula>AV20="후보"</formula>
    </cfRule>
  </conditionalFormatting>
  <conditionalFormatting sqref="AC20">
    <cfRule type="cellIs" dxfId="15719" priority="410" operator="greaterThan">
      <formula>0.9</formula>
    </cfRule>
    <cfRule type="cellIs" dxfId="15718" priority="411" operator="greaterThan">
      <formula>0.85</formula>
    </cfRule>
  </conditionalFormatting>
  <conditionalFormatting sqref="N20">
    <cfRule type="cellIs" dxfId="15717" priority="408" operator="greaterThan">
      <formula>0.9</formula>
    </cfRule>
    <cfRule type="cellIs" dxfId="15716" priority="409" operator="greaterThan">
      <formula>0.85</formula>
    </cfRule>
  </conditionalFormatting>
  <conditionalFormatting sqref="E20">
    <cfRule type="expression" dxfId="15715" priority="404">
      <formula>AND(IF(OR($Q20=1,$Q20=2),1,0),IF($X20&lt;=20,1,0))</formula>
    </cfRule>
    <cfRule type="expression" dxfId="15714" priority="405">
      <formula>AND(IF($Q20=2,1,0),IF($X20&lt;30,1,0))</formula>
    </cfRule>
    <cfRule type="expression" dxfId="15713" priority="406">
      <formula>AND(IF($Q20=3,1,0),IF($X20&lt;30,1,0))</formula>
    </cfRule>
    <cfRule type="expression" dxfId="15712" priority="407">
      <formula>AND(IF($Q20=3,1,IF($Q20=4,1,0)),IF($F20&lt;=85,1,0))</formula>
    </cfRule>
  </conditionalFormatting>
  <conditionalFormatting sqref="X20">
    <cfRule type="expression" dxfId="15711" priority="400">
      <formula>AND(IF(OR($Q20=1,$Q20=2),1,0),IF($X20&lt;=20,1,0))</formula>
    </cfRule>
    <cfRule type="expression" dxfId="15710" priority="401">
      <formula>AND(IF($Q20=2,1,0),IF($X20&lt;30,1,0))</formula>
    </cfRule>
    <cfRule type="expression" dxfId="15709" priority="402">
      <formula>AND(IF($Q20=3,1,0),IF($X20&lt;30,1,0))</formula>
    </cfRule>
    <cfRule type="expression" dxfId="15708" priority="403">
      <formula>AND(IF($Q20=3,1,IF($Q20=4,1,0)),IF($F20&lt;=85,1,0))</formula>
    </cfRule>
  </conditionalFormatting>
  <conditionalFormatting sqref="AI20">
    <cfRule type="expression" dxfId="15707" priority="396">
      <formula>AND(IF(OR($Q20=1,$Q20=2),1,0),IF($X20&lt;=20,1,0))</formula>
    </cfRule>
    <cfRule type="expression" dxfId="15706" priority="397">
      <formula>AND(IF($Q20=2,1,0),IF($X20&lt;30,1,0))</formula>
    </cfRule>
    <cfRule type="expression" dxfId="15705" priority="398">
      <formula>AND(IF($Q20=3,1,0),IF($X20&lt;30,1,0))</formula>
    </cfRule>
    <cfRule type="expression" dxfId="15704" priority="399">
      <formula>AND(IF($Q20=3,1,IF($Q20=4,1,0)),IF($F20&lt;=85,1,0))</formula>
    </cfRule>
  </conditionalFormatting>
  <conditionalFormatting sqref="AV21">
    <cfRule type="expression" dxfId="15703" priority="394">
      <formula>AV21="X"</formula>
    </cfRule>
    <cfRule type="expression" dxfId="15702" priority="395">
      <formula>AV21="후보"</formula>
    </cfRule>
  </conditionalFormatting>
  <conditionalFormatting sqref="AC21">
    <cfRule type="cellIs" dxfId="15701" priority="391" operator="greaterThan">
      <formula>0.9</formula>
    </cfRule>
    <cfRule type="cellIs" dxfId="15700" priority="392" operator="greaterThan">
      <formula>0.85</formula>
    </cfRule>
  </conditionalFormatting>
  <conditionalFormatting sqref="N21">
    <cfRule type="cellIs" dxfId="15699" priority="389" operator="greaterThan">
      <formula>0.9</formula>
    </cfRule>
    <cfRule type="cellIs" dxfId="15698" priority="390" operator="greaterThan">
      <formula>0.85</formula>
    </cfRule>
  </conditionalFormatting>
  <conditionalFormatting sqref="E21">
    <cfRule type="expression" dxfId="15697" priority="385">
      <formula>AND(IF(OR($Q21=1,$Q21=2),1,0),IF($X21&lt;=20,1,0))</formula>
    </cfRule>
    <cfRule type="expression" dxfId="15696" priority="386">
      <formula>AND(IF($Q21=2,1,0),IF($X21&lt;30,1,0))</formula>
    </cfRule>
    <cfRule type="expression" dxfId="15695" priority="387">
      <formula>AND(IF($Q21=3,1,0),IF($X21&lt;30,1,0))</formula>
    </cfRule>
    <cfRule type="expression" dxfId="15694" priority="388">
      <formula>AND(IF($Q21=3,1,IF($Q21=4,1,0)),IF($F21&lt;=85,1,0))</formula>
    </cfRule>
  </conditionalFormatting>
  <conditionalFormatting sqref="X21">
    <cfRule type="expression" dxfId="15693" priority="381">
      <formula>AND(IF(OR($Q21=1,$Q21=2),1,0),IF($X21&lt;=20,1,0))</formula>
    </cfRule>
    <cfRule type="expression" dxfId="15692" priority="382">
      <formula>AND(IF($Q21=2,1,0),IF($X21&lt;30,1,0))</formula>
    </cfRule>
    <cfRule type="expression" dxfId="15691" priority="383">
      <formula>AND(IF($Q21=3,1,0),IF($X21&lt;30,1,0))</formula>
    </cfRule>
    <cfRule type="expression" dxfId="15690" priority="384">
      <formula>AND(IF($Q21=3,1,IF($Q21=4,1,0)),IF($F21&lt;=85,1,0))</formula>
    </cfRule>
  </conditionalFormatting>
  <conditionalFormatting sqref="AI21">
    <cfRule type="expression" dxfId="15689" priority="377">
      <formula>AND(IF(OR($Q21=1,$Q21=2),1,0),IF($X21&lt;=20,1,0))</formula>
    </cfRule>
    <cfRule type="expression" dxfId="15688" priority="378">
      <formula>AND(IF($Q21=2,1,0),IF($X21&lt;30,1,0))</formula>
    </cfRule>
    <cfRule type="expression" dxfId="15687" priority="379">
      <formula>AND(IF($Q21=3,1,0),IF($X21&lt;30,1,0))</formula>
    </cfRule>
    <cfRule type="expression" dxfId="15686" priority="380">
      <formula>AND(IF($Q21=3,1,IF($Q21=4,1,0)),IF($F21&lt;=85,1,0))</formula>
    </cfRule>
  </conditionalFormatting>
  <conditionalFormatting sqref="AV22">
    <cfRule type="expression" dxfId="15685" priority="375">
      <formula>AV22="X"</formula>
    </cfRule>
    <cfRule type="expression" dxfId="15684" priority="376">
      <formula>AV22="후보"</formula>
    </cfRule>
  </conditionalFormatting>
  <conditionalFormatting sqref="AC22">
    <cfRule type="cellIs" dxfId="15683" priority="372" operator="greaterThan">
      <formula>0.9</formula>
    </cfRule>
    <cfRule type="cellIs" dxfId="15682" priority="373" operator="greaterThan">
      <formula>0.85</formula>
    </cfRule>
  </conditionalFormatting>
  <conditionalFormatting sqref="N22">
    <cfRule type="cellIs" dxfId="15681" priority="370" operator="greaterThan">
      <formula>0.9</formula>
    </cfRule>
    <cfRule type="cellIs" dxfId="15680" priority="371" operator="greaterThan">
      <formula>0.85</formula>
    </cfRule>
  </conditionalFormatting>
  <conditionalFormatting sqref="E22">
    <cfRule type="expression" dxfId="15679" priority="366">
      <formula>AND(IF(OR($Q22=1,$Q22=2),1,0),IF($X22&lt;=20,1,0))</formula>
    </cfRule>
    <cfRule type="expression" dxfId="15678" priority="367">
      <formula>AND(IF($Q22=2,1,0),IF($X22&lt;30,1,0))</formula>
    </cfRule>
    <cfRule type="expression" dxfId="15677" priority="368">
      <formula>AND(IF($Q22=3,1,0),IF($X22&lt;30,1,0))</formula>
    </cfRule>
    <cfRule type="expression" dxfId="15676" priority="369">
      <formula>AND(IF($Q22=3,1,IF($Q22=4,1,0)),IF($F22&lt;=85,1,0))</formula>
    </cfRule>
  </conditionalFormatting>
  <conditionalFormatting sqref="X22">
    <cfRule type="expression" dxfId="15675" priority="362">
      <formula>AND(IF(OR($Q22=1,$Q22=2),1,0),IF($X22&lt;=20,1,0))</formula>
    </cfRule>
    <cfRule type="expression" dxfId="15674" priority="363">
      <formula>AND(IF($Q22=2,1,0),IF($X22&lt;30,1,0))</formula>
    </cfRule>
    <cfRule type="expression" dxfId="15673" priority="364">
      <formula>AND(IF($Q22=3,1,0),IF($X22&lt;30,1,0))</formula>
    </cfRule>
    <cfRule type="expression" dxfId="15672" priority="365">
      <formula>AND(IF($Q22=3,1,IF($Q22=4,1,0)),IF($F22&lt;=85,1,0))</formula>
    </cfRule>
  </conditionalFormatting>
  <conditionalFormatting sqref="AI22">
    <cfRule type="expression" dxfId="15671" priority="358">
      <formula>AND(IF(OR($Q22=1,$Q22=2),1,0),IF($X22&lt;=20,1,0))</formula>
    </cfRule>
    <cfRule type="expression" dxfId="15670" priority="359">
      <formula>AND(IF($Q22=2,1,0),IF($X22&lt;30,1,0))</formula>
    </cfRule>
    <cfRule type="expression" dxfId="15669" priority="360">
      <formula>AND(IF($Q22=3,1,0),IF($X22&lt;30,1,0))</formula>
    </cfRule>
    <cfRule type="expression" dxfId="15668" priority="361">
      <formula>AND(IF($Q22=3,1,IF($Q22=4,1,0)),IF($F22&lt;=85,1,0))</formula>
    </cfRule>
  </conditionalFormatting>
  <conditionalFormatting sqref="AV23">
    <cfRule type="expression" dxfId="15667" priority="356">
      <formula>AV23="X"</formula>
    </cfRule>
    <cfRule type="expression" dxfId="15666" priority="357">
      <formula>AV23="후보"</formula>
    </cfRule>
  </conditionalFormatting>
  <conditionalFormatting sqref="AC23">
    <cfRule type="cellIs" dxfId="15665" priority="353" operator="greaterThan">
      <formula>0.9</formula>
    </cfRule>
    <cfRule type="cellIs" dxfId="15664" priority="354" operator="greaterThan">
      <formula>0.85</formula>
    </cfRule>
  </conditionalFormatting>
  <conditionalFormatting sqref="N23">
    <cfRule type="cellIs" dxfId="15663" priority="351" operator="greaterThan">
      <formula>0.9</formula>
    </cfRule>
    <cfRule type="cellIs" dxfId="15662" priority="352" operator="greaterThan">
      <formula>0.85</formula>
    </cfRule>
  </conditionalFormatting>
  <conditionalFormatting sqref="E23">
    <cfRule type="expression" dxfId="15661" priority="347">
      <formula>AND(IF(OR($Q23=1,$Q23=2),1,0),IF($X23&lt;=20,1,0))</formula>
    </cfRule>
    <cfRule type="expression" dxfId="15660" priority="348">
      <formula>AND(IF($Q23=2,1,0),IF($X23&lt;30,1,0))</formula>
    </cfRule>
    <cfRule type="expression" dxfId="15659" priority="349">
      <formula>AND(IF($Q23=3,1,0),IF($X23&lt;30,1,0))</formula>
    </cfRule>
    <cfRule type="expression" dxfId="15658" priority="350">
      <formula>AND(IF($Q23=3,1,IF($Q23=4,1,0)),IF($F23&lt;=85,1,0))</formula>
    </cfRule>
  </conditionalFormatting>
  <conditionalFormatting sqref="X23">
    <cfRule type="expression" dxfId="15657" priority="343">
      <formula>AND(IF(OR($Q23=1,$Q23=2),1,0),IF($X23&lt;=20,1,0))</formula>
    </cfRule>
    <cfRule type="expression" dxfId="15656" priority="344">
      <formula>AND(IF($Q23=2,1,0),IF($X23&lt;30,1,0))</formula>
    </cfRule>
    <cfRule type="expression" dxfId="15655" priority="345">
      <formula>AND(IF($Q23=3,1,0),IF($X23&lt;30,1,0))</formula>
    </cfRule>
    <cfRule type="expression" dxfId="15654" priority="346">
      <formula>AND(IF($Q23=3,1,IF($Q23=4,1,0)),IF($F23&lt;=85,1,0))</formula>
    </cfRule>
  </conditionalFormatting>
  <conditionalFormatting sqref="AI23">
    <cfRule type="expression" dxfId="15653" priority="339">
      <formula>AND(IF(OR($Q23=1,$Q23=2),1,0),IF($X23&lt;=20,1,0))</formula>
    </cfRule>
    <cfRule type="expression" dxfId="15652" priority="340">
      <formula>AND(IF($Q23=2,1,0),IF($X23&lt;30,1,0))</formula>
    </cfRule>
    <cfRule type="expression" dxfId="15651" priority="341">
      <formula>AND(IF($Q23=3,1,0),IF($X23&lt;30,1,0))</formula>
    </cfRule>
    <cfRule type="expression" dxfId="15650" priority="342">
      <formula>AND(IF($Q23=3,1,IF($Q23=4,1,0)),IF($F23&lt;=85,1,0))</formula>
    </cfRule>
  </conditionalFormatting>
  <conditionalFormatting sqref="AV24">
    <cfRule type="expression" dxfId="15649" priority="337">
      <formula>AV24="X"</formula>
    </cfRule>
    <cfRule type="expression" dxfId="15648" priority="338">
      <formula>AV24="후보"</formula>
    </cfRule>
  </conditionalFormatting>
  <conditionalFormatting sqref="AC24 N24">
    <cfRule type="cellIs" dxfId="15647" priority="334" operator="greaterThan">
      <formula>0.9</formula>
    </cfRule>
    <cfRule type="cellIs" dxfId="15646" priority="335" operator="greaterThan">
      <formula>0.85</formula>
    </cfRule>
  </conditionalFormatting>
  <conditionalFormatting sqref="AV25">
    <cfRule type="expression" dxfId="15645" priority="332">
      <formula>AV25="X"</formula>
    </cfRule>
    <cfRule type="expression" dxfId="15644" priority="333">
      <formula>AV25="후보"</formula>
    </cfRule>
  </conditionalFormatting>
  <conditionalFormatting sqref="AC25">
    <cfRule type="cellIs" dxfId="15643" priority="329" operator="greaterThan">
      <formula>0.9</formula>
    </cfRule>
    <cfRule type="cellIs" dxfId="15642" priority="330" operator="greaterThan">
      <formula>0.85</formula>
    </cfRule>
  </conditionalFormatting>
  <conditionalFormatting sqref="N25">
    <cfRule type="cellIs" dxfId="15641" priority="327" operator="greaterThan">
      <formula>0.9</formula>
    </cfRule>
    <cfRule type="cellIs" dxfId="15640" priority="328" operator="greaterThan">
      <formula>0.85</formula>
    </cfRule>
  </conditionalFormatting>
  <conditionalFormatting sqref="E25">
    <cfRule type="expression" dxfId="15639" priority="323">
      <formula>AND(IF(OR($Q25=1,$Q25=2),1,0),IF($X25&lt;=20,1,0))</formula>
    </cfRule>
    <cfRule type="expression" dxfId="15638" priority="324">
      <formula>AND(IF($Q25=2,1,0),IF($X25&lt;30,1,0))</formula>
    </cfRule>
    <cfRule type="expression" dxfId="15637" priority="325">
      <formula>AND(IF($Q25=3,1,0),IF($X25&lt;30,1,0))</formula>
    </cfRule>
    <cfRule type="expression" dxfId="15636" priority="326">
      <formula>AND(IF($Q25=3,1,IF($Q25=4,1,0)),IF($F25&lt;=85,1,0))</formula>
    </cfRule>
  </conditionalFormatting>
  <conditionalFormatting sqref="X25">
    <cfRule type="expression" dxfId="15635" priority="319">
      <formula>AND(IF(OR($Q25=1,$Q25=2),1,0),IF($X25&lt;=20,1,0))</formula>
    </cfRule>
    <cfRule type="expression" dxfId="15634" priority="320">
      <formula>AND(IF($Q25=2,1,0),IF($X25&lt;30,1,0))</formula>
    </cfRule>
    <cfRule type="expression" dxfId="15633" priority="321">
      <formula>AND(IF($Q25=3,1,0),IF($X25&lt;30,1,0))</formula>
    </cfRule>
    <cfRule type="expression" dxfId="15632" priority="322">
      <formula>AND(IF($Q25=3,1,IF($Q25=4,1,0)),IF($F25&lt;=85,1,0))</formula>
    </cfRule>
  </conditionalFormatting>
  <conditionalFormatting sqref="AI25">
    <cfRule type="expression" dxfId="15631" priority="315">
      <formula>AND(IF(OR($Q25=1,$Q25=2),1,0),IF($X25&lt;=20,1,0))</formula>
    </cfRule>
    <cfRule type="expression" dxfId="15630" priority="316">
      <formula>AND(IF($Q25=2,1,0),IF($X25&lt;30,1,0))</formula>
    </cfRule>
    <cfRule type="expression" dxfId="15629" priority="317">
      <formula>AND(IF($Q25=3,1,0),IF($X25&lt;30,1,0))</formula>
    </cfRule>
    <cfRule type="expression" dxfId="15628" priority="318">
      <formula>AND(IF($Q25=3,1,IF($Q25=4,1,0)),IF($F25&lt;=85,1,0))</formula>
    </cfRule>
  </conditionalFormatting>
  <conditionalFormatting sqref="AV26">
    <cfRule type="expression" dxfId="15627" priority="313">
      <formula>AV26="X"</formula>
    </cfRule>
    <cfRule type="expression" dxfId="15626" priority="314">
      <formula>AV26="후보"</formula>
    </cfRule>
  </conditionalFormatting>
  <conditionalFormatting sqref="AC26">
    <cfRule type="cellIs" dxfId="15625" priority="310" operator="greaterThan">
      <formula>0.9</formula>
    </cfRule>
    <cfRule type="cellIs" dxfId="15624" priority="311" operator="greaterThan">
      <formula>0.85</formula>
    </cfRule>
  </conditionalFormatting>
  <conditionalFormatting sqref="N26">
    <cfRule type="cellIs" dxfId="15623" priority="308" operator="greaterThan">
      <formula>0.9</formula>
    </cfRule>
    <cfRule type="cellIs" dxfId="15622" priority="309" operator="greaterThan">
      <formula>0.85</formula>
    </cfRule>
  </conditionalFormatting>
  <conditionalFormatting sqref="E26">
    <cfRule type="expression" dxfId="15621" priority="304">
      <formula>AND(IF(OR($Q26=1,$Q26=2),1,0),IF($X26&lt;=20,1,0))</formula>
    </cfRule>
    <cfRule type="expression" dxfId="15620" priority="305">
      <formula>AND(IF($Q26=2,1,0),IF($X26&lt;30,1,0))</formula>
    </cfRule>
    <cfRule type="expression" dxfId="15619" priority="306">
      <formula>AND(IF($Q26=3,1,0),IF($X26&lt;30,1,0))</formula>
    </cfRule>
    <cfRule type="expression" dxfId="15618" priority="307">
      <formula>AND(IF($Q26=3,1,IF($Q26=4,1,0)),IF($F26&lt;=85,1,0))</formula>
    </cfRule>
  </conditionalFormatting>
  <conditionalFormatting sqref="X26">
    <cfRule type="expression" dxfId="15617" priority="300">
      <formula>AND(IF(OR($Q26=1,$Q26=2),1,0),IF($X26&lt;=20,1,0))</formula>
    </cfRule>
    <cfRule type="expression" dxfId="15616" priority="301">
      <formula>AND(IF($Q26=2,1,0),IF($X26&lt;30,1,0))</formula>
    </cfRule>
    <cfRule type="expression" dxfId="15615" priority="302">
      <formula>AND(IF($Q26=3,1,0),IF($X26&lt;30,1,0))</formula>
    </cfRule>
    <cfRule type="expression" dxfId="15614" priority="303">
      <formula>AND(IF($Q26=3,1,IF($Q26=4,1,0)),IF($F26&lt;=85,1,0))</formula>
    </cfRule>
  </conditionalFormatting>
  <conditionalFormatting sqref="AI26">
    <cfRule type="expression" dxfId="15613" priority="296">
      <formula>AND(IF(OR($Q26=1,$Q26=2),1,0),IF($X26&lt;=20,1,0))</formula>
    </cfRule>
    <cfRule type="expression" dxfId="15612" priority="297">
      <formula>AND(IF($Q26=2,1,0),IF($X26&lt;30,1,0))</formula>
    </cfRule>
    <cfRule type="expression" dxfId="15611" priority="298">
      <formula>AND(IF($Q26=3,1,0),IF($X26&lt;30,1,0))</formula>
    </cfRule>
    <cfRule type="expression" dxfId="15610" priority="299">
      <formula>AND(IF($Q26=3,1,IF($Q26=4,1,0)),IF($F26&lt;=85,1,0))</formula>
    </cfRule>
  </conditionalFormatting>
  <conditionalFormatting sqref="AV27">
    <cfRule type="expression" dxfId="15609" priority="294">
      <formula>AV27="X"</formula>
    </cfRule>
    <cfRule type="expression" dxfId="15608" priority="295">
      <formula>AV27="후보"</formula>
    </cfRule>
  </conditionalFormatting>
  <conditionalFormatting sqref="AC27">
    <cfRule type="cellIs" dxfId="15607" priority="291" operator="greaterThan">
      <formula>0.9</formula>
    </cfRule>
    <cfRule type="cellIs" dxfId="15606" priority="292" operator="greaterThan">
      <formula>0.85</formula>
    </cfRule>
  </conditionalFormatting>
  <conditionalFormatting sqref="N27">
    <cfRule type="cellIs" dxfId="15605" priority="289" operator="greaterThan">
      <formula>0.9</formula>
    </cfRule>
    <cfRule type="cellIs" dxfId="15604" priority="290" operator="greaterThan">
      <formula>0.85</formula>
    </cfRule>
  </conditionalFormatting>
  <conditionalFormatting sqref="E27">
    <cfRule type="expression" dxfId="15603" priority="285">
      <formula>AND(IF(OR($Q27=1,$Q27=2),1,0),IF($X27&lt;=20,1,0))</formula>
    </cfRule>
    <cfRule type="expression" dxfId="15602" priority="286">
      <formula>AND(IF($Q27=2,1,0),IF($X27&lt;30,1,0))</formula>
    </cfRule>
    <cfRule type="expression" dxfId="15601" priority="287">
      <formula>AND(IF($Q27=3,1,0),IF($X27&lt;30,1,0))</formula>
    </cfRule>
    <cfRule type="expression" dxfId="15600" priority="288">
      <formula>AND(IF($Q27=3,1,IF($Q27=4,1,0)),IF($F27&lt;=85,1,0))</formula>
    </cfRule>
  </conditionalFormatting>
  <conditionalFormatting sqref="X27">
    <cfRule type="expression" dxfId="15599" priority="281">
      <formula>AND(IF(OR($Q27=1,$Q27=2),1,0),IF($X27&lt;=20,1,0))</formula>
    </cfRule>
    <cfRule type="expression" dxfId="15598" priority="282">
      <formula>AND(IF($Q27=2,1,0),IF($X27&lt;30,1,0))</formula>
    </cfRule>
    <cfRule type="expression" dxfId="15597" priority="283">
      <formula>AND(IF($Q27=3,1,0),IF($X27&lt;30,1,0))</formula>
    </cfRule>
    <cfRule type="expression" dxfId="15596" priority="284">
      <formula>AND(IF($Q27=3,1,IF($Q27=4,1,0)),IF($F27&lt;=85,1,0))</formula>
    </cfRule>
  </conditionalFormatting>
  <conditionalFormatting sqref="AI27">
    <cfRule type="expression" dxfId="15595" priority="277">
      <formula>AND(IF(OR($Q27=1,$Q27=2),1,0),IF($X27&lt;=20,1,0))</formula>
    </cfRule>
    <cfRule type="expression" dxfId="15594" priority="278">
      <formula>AND(IF($Q27=2,1,0),IF($X27&lt;30,1,0))</formula>
    </cfRule>
    <cfRule type="expression" dxfId="15593" priority="279">
      <formula>AND(IF($Q27=3,1,0),IF($X27&lt;30,1,0))</formula>
    </cfRule>
    <cfRule type="expression" dxfId="15592" priority="280">
      <formula>AND(IF($Q27=3,1,IF($Q27=4,1,0)),IF($F27&lt;=85,1,0))</formula>
    </cfRule>
  </conditionalFormatting>
  <conditionalFormatting sqref="AV28">
    <cfRule type="expression" dxfId="15591" priority="275">
      <formula>AV28="X"</formula>
    </cfRule>
    <cfRule type="expression" dxfId="15590" priority="276">
      <formula>AV28="후보"</formula>
    </cfRule>
  </conditionalFormatting>
  <conditionalFormatting sqref="AC28">
    <cfRule type="cellIs" dxfId="15589" priority="272" operator="greaterThan">
      <formula>0.9</formula>
    </cfRule>
    <cfRule type="cellIs" dxfId="15588" priority="273" operator="greaterThan">
      <formula>0.85</formula>
    </cfRule>
  </conditionalFormatting>
  <conditionalFormatting sqref="N28">
    <cfRule type="cellIs" dxfId="15587" priority="270" operator="greaterThan">
      <formula>0.9</formula>
    </cfRule>
    <cfRule type="cellIs" dxfId="15586" priority="271" operator="greaterThan">
      <formula>0.85</formula>
    </cfRule>
  </conditionalFormatting>
  <conditionalFormatting sqref="E28">
    <cfRule type="expression" dxfId="15585" priority="266">
      <formula>AND(IF(OR($Q28=1,$Q28=2),1,0),IF($X28&lt;=20,1,0))</formula>
    </cfRule>
    <cfRule type="expression" dxfId="15584" priority="267">
      <formula>AND(IF($Q28=2,1,0),IF($X28&lt;30,1,0))</formula>
    </cfRule>
    <cfRule type="expression" dxfId="15583" priority="268">
      <formula>AND(IF($Q28=3,1,0),IF($X28&lt;30,1,0))</formula>
    </cfRule>
    <cfRule type="expression" dxfId="15582" priority="269">
      <formula>AND(IF($Q28=3,1,IF($Q28=4,1,0)),IF($F28&lt;=85,1,0))</formula>
    </cfRule>
  </conditionalFormatting>
  <conditionalFormatting sqref="X28">
    <cfRule type="expression" dxfId="15581" priority="262">
      <formula>AND(IF(OR($Q28=1,$Q28=2),1,0),IF($X28&lt;=20,1,0))</formula>
    </cfRule>
    <cfRule type="expression" dxfId="15580" priority="263">
      <formula>AND(IF($Q28=2,1,0),IF($X28&lt;30,1,0))</formula>
    </cfRule>
    <cfRule type="expression" dxfId="15579" priority="264">
      <formula>AND(IF($Q28=3,1,0),IF($X28&lt;30,1,0))</formula>
    </cfRule>
    <cfRule type="expression" dxfId="15578" priority="265">
      <formula>AND(IF($Q28=3,1,IF($Q28=4,1,0)),IF($F28&lt;=85,1,0))</formula>
    </cfRule>
  </conditionalFormatting>
  <conditionalFormatting sqref="AI28">
    <cfRule type="expression" dxfId="15577" priority="258">
      <formula>AND(IF(OR($Q28=1,$Q28=2),1,0),IF($X28&lt;=20,1,0))</formula>
    </cfRule>
    <cfRule type="expression" dxfId="15576" priority="259">
      <formula>AND(IF($Q28=2,1,0),IF($X28&lt;30,1,0))</formula>
    </cfRule>
    <cfRule type="expression" dxfId="15575" priority="260">
      <formula>AND(IF($Q28=3,1,0),IF($X28&lt;30,1,0))</formula>
    </cfRule>
    <cfRule type="expression" dxfId="15574" priority="261">
      <formula>AND(IF($Q28=3,1,IF($Q28=4,1,0)),IF($F28&lt;=85,1,0))</formula>
    </cfRule>
  </conditionalFormatting>
  <conditionalFormatting sqref="AV29">
    <cfRule type="expression" dxfId="15573" priority="256">
      <formula>AV29="X"</formula>
    </cfRule>
    <cfRule type="expression" dxfId="15572" priority="257">
      <formula>AV29="후보"</formula>
    </cfRule>
  </conditionalFormatting>
  <conditionalFormatting sqref="AC29">
    <cfRule type="cellIs" dxfId="15571" priority="253" operator="greaterThan">
      <formula>0.9</formula>
    </cfRule>
    <cfRule type="cellIs" dxfId="15570" priority="254" operator="greaterThan">
      <formula>0.85</formula>
    </cfRule>
  </conditionalFormatting>
  <conditionalFormatting sqref="N29">
    <cfRule type="cellIs" dxfId="15569" priority="251" operator="greaterThan">
      <formula>0.9</formula>
    </cfRule>
    <cfRule type="cellIs" dxfId="15568" priority="252" operator="greaterThan">
      <formula>0.85</formula>
    </cfRule>
  </conditionalFormatting>
  <conditionalFormatting sqref="E29">
    <cfRule type="expression" dxfId="15567" priority="247">
      <formula>AND(IF(OR($Q29=1,$Q29=2),1,0),IF($X29&lt;=20,1,0))</formula>
    </cfRule>
    <cfRule type="expression" dxfId="15566" priority="248">
      <formula>AND(IF($Q29=2,1,0),IF($X29&lt;30,1,0))</formula>
    </cfRule>
    <cfRule type="expression" dxfId="15565" priority="249">
      <formula>AND(IF($Q29=3,1,0),IF($X29&lt;30,1,0))</formula>
    </cfRule>
    <cfRule type="expression" dxfId="15564" priority="250">
      <formula>AND(IF($Q29=3,1,IF($Q29=4,1,0)),IF($F29&lt;=85,1,0))</formula>
    </cfRule>
  </conditionalFormatting>
  <conditionalFormatting sqref="X29">
    <cfRule type="expression" dxfId="15563" priority="243">
      <formula>AND(IF(OR($Q29=1,$Q29=2),1,0),IF($X29&lt;=20,1,0))</formula>
    </cfRule>
    <cfRule type="expression" dxfId="15562" priority="244">
      <formula>AND(IF($Q29=2,1,0),IF($X29&lt;30,1,0))</formula>
    </cfRule>
    <cfRule type="expression" dxfId="15561" priority="245">
      <formula>AND(IF($Q29=3,1,0),IF($X29&lt;30,1,0))</formula>
    </cfRule>
    <cfRule type="expression" dxfId="15560" priority="246">
      <formula>AND(IF($Q29=3,1,IF($Q29=4,1,0)),IF($F29&lt;=85,1,0))</formula>
    </cfRule>
  </conditionalFormatting>
  <conditionalFormatting sqref="AI29">
    <cfRule type="expression" dxfId="15559" priority="239">
      <formula>AND(IF(OR($Q29=1,$Q29=2),1,0),IF($X29&lt;=20,1,0))</formula>
    </cfRule>
    <cfRule type="expression" dxfId="15558" priority="240">
      <formula>AND(IF($Q29=2,1,0),IF($X29&lt;30,1,0))</formula>
    </cfRule>
    <cfRule type="expression" dxfId="15557" priority="241">
      <formula>AND(IF($Q29=3,1,0),IF($X29&lt;30,1,0))</formula>
    </cfRule>
    <cfRule type="expression" dxfId="15556" priority="242">
      <formula>AND(IF($Q29=3,1,IF($Q29=4,1,0)),IF($F29&lt;=85,1,0))</formula>
    </cfRule>
  </conditionalFormatting>
  <conditionalFormatting sqref="AV30">
    <cfRule type="expression" dxfId="15555" priority="237">
      <formula>AV30="X"</formula>
    </cfRule>
    <cfRule type="expression" dxfId="15554" priority="238">
      <formula>AV30="후보"</formula>
    </cfRule>
  </conditionalFormatting>
  <conditionalFormatting sqref="AC30 N30">
    <cfRule type="cellIs" dxfId="15553" priority="234" operator="greaterThan">
      <formula>0.9</formula>
    </cfRule>
    <cfRule type="cellIs" dxfId="15552" priority="235" operator="greaterThan">
      <formula>0.85</formula>
    </cfRule>
  </conditionalFormatting>
  <conditionalFormatting sqref="AV31">
    <cfRule type="expression" dxfId="15551" priority="232">
      <formula>AV31="X"</formula>
    </cfRule>
    <cfRule type="expression" dxfId="15550" priority="233">
      <formula>AV31="후보"</formula>
    </cfRule>
  </conditionalFormatting>
  <conditionalFormatting sqref="AC31">
    <cfRule type="cellIs" dxfId="15549" priority="229" operator="greaterThan">
      <formula>0.9</formula>
    </cfRule>
    <cfRule type="cellIs" dxfId="15548" priority="230" operator="greaterThan">
      <formula>0.85</formula>
    </cfRule>
  </conditionalFormatting>
  <conditionalFormatting sqref="N31">
    <cfRule type="cellIs" dxfId="15547" priority="227" operator="greaterThan">
      <formula>0.9</formula>
    </cfRule>
    <cfRule type="cellIs" dxfId="15546" priority="228" operator="greaterThan">
      <formula>0.85</formula>
    </cfRule>
  </conditionalFormatting>
  <conditionalFormatting sqref="E31">
    <cfRule type="expression" dxfId="15545" priority="223">
      <formula>AND(IF(OR($Q31=1,$Q31=2),1,0),IF($X31&lt;=20,1,0))</formula>
    </cfRule>
    <cfRule type="expression" dxfId="15544" priority="224">
      <formula>AND(IF($Q31=2,1,0),IF($X31&lt;30,1,0))</formula>
    </cfRule>
    <cfRule type="expression" dxfId="15543" priority="225">
      <formula>AND(IF($Q31=3,1,0),IF($X31&lt;30,1,0))</formula>
    </cfRule>
    <cfRule type="expression" dxfId="15542" priority="226">
      <formula>AND(IF($Q31=3,1,IF($Q31=4,1,0)),IF($F31&lt;=85,1,0))</formula>
    </cfRule>
  </conditionalFormatting>
  <conditionalFormatting sqref="X31">
    <cfRule type="expression" dxfId="15541" priority="219">
      <formula>AND(IF(OR($Q31=1,$Q31=2),1,0),IF($X31&lt;=20,1,0))</formula>
    </cfRule>
    <cfRule type="expression" dxfId="15540" priority="220">
      <formula>AND(IF($Q31=2,1,0),IF($X31&lt;30,1,0))</formula>
    </cfRule>
    <cfRule type="expression" dxfId="15539" priority="221">
      <formula>AND(IF($Q31=3,1,0),IF($X31&lt;30,1,0))</formula>
    </cfRule>
    <cfRule type="expression" dxfId="15538" priority="222">
      <formula>AND(IF($Q31=3,1,IF($Q31=4,1,0)),IF($F31&lt;=85,1,0))</formula>
    </cfRule>
  </conditionalFormatting>
  <conditionalFormatting sqref="AI31">
    <cfRule type="expression" dxfId="15537" priority="215">
      <formula>AND(IF(OR($Q31=1,$Q31=2),1,0),IF($X31&lt;=20,1,0))</formula>
    </cfRule>
    <cfRule type="expression" dxfId="15536" priority="216">
      <formula>AND(IF($Q31=2,1,0),IF($X31&lt;30,1,0))</formula>
    </cfRule>
    <cfRule type="expression" dxfId="15535" priority="217">
      <formula>AND(IF($Q31=3,1,0),IF($X31&lt;30,1,0))</formula>
    </cfRule>
    <cfRule type="expression" dxfId="15534" priority="218">
      <formula>AND(IF($Q31=3,1,IF($Q31=4,1,0)),IF($F31&lt;=85,1,0))</formula>
    </cfRule>
  </conditionalFormatting>
  <conditionalFormatting sqref="AV32">
    <cfRule type="expression" dxfId="15533" priority="213">
      <formula>AV32="X"</formula>
    </cfRule>
    <cfRule type="expression" dxfId="15532" priority="214">
      <formula>AV32="후보"</formula>
    </cfRule>
  </conditionalFormatting>
  <conditionalFormatting sqref="AC32">
    <cfRule type="cellIs" dxfId="15531" priority="210" operator="greaterThan">
      <formula>0.9</formula>
    </cfRule>
    <cfRule type="cellIs" dxfId="15530" priority="211" operator="greaterThan">
      <formula>0.85</formula>
    </cfRule>
  </conditionalFormatting>
  <conditionalFormatting sqref="N32">
    <cfRule type="cellIs" dxfId="15529" priority="208" operator="greaterThan">
      <formula>0.9</formula>
    </cfRule>
    <cfRule type="cellIs" dxfId="15528" priority="209" operator="greaterThan">
      <formula>0.85</formula>
    </cfRule>
  </conditionalFormatting>
  <conditionalFormatting sqref="E32">
    <cfRule type="expression" dxfId="15527" priority="204">
      <formula>AND(IF(OR($Q32=1,$Q32=2),1,0),IF($X32&lt;=20,1,0))</formula>
    </cfRule>
    <cfRule type="expression" dxfId="15526" priority="205">
      <formula>AND(IF($Q32=2,1,0),IF($X32&lt;30,1,0))</formula>
    </cfRule>
    <cfRule type="expression" dxfId="15525" priority="206">
      <formula>AND(IF($Q32=3,1,0),IF($X32&lt;30,1,0))</formula>
    </cfRule>
    <cfRule type="expression" dxfId="15524" priority="207">
      <formula>AND(IF($Q32=3,1,IF($Q32=4,1,0)),IF($F32&lt;=85,1,0))</formula>
    </cfRule>
  </conditionalFormatting>
  <conditionalFormatting sqref="X32">
    <cfRule type="expression" dxfId="15523" priority="200">
      <formula>AND(IF(OR($Q32=1,$Q32=2),1,0),IF($X32&lt;=20,1,0))</formula>
    </cfRule>
    <cfRule type="expression" dxfId="15522" priority="201">
      <formula>AND(IF($Q32=2,1,0),IF($X32&lt;30,1,0))</formula>
    </cfRule>
    <cfRule type="expression" dxfId="15521" priority="202">
      <formula>AND(IF($Q32=3,1,0),IF($X32&lt;30,1,0))</formula>
    </cfRule>
    <cfRule type="expression" dxfId="15520" priority="203">
      <formula>AND(IF($Q32=3,1,IF($Q32=4,1,0)),IF($F32&lt;=85,1,0))</formula>
    </cfRule>
  </conditionalFormatting>
  <conditionalFormatting sqref="AI32">
    <cfRule type="expression" dxfId="15519" priority="196">
      <formula>AND(IF(OR($Q32=1,$Q32=2),1,0),IF($X32&lt;=20,1,0))</formula>
    </cfRule>
    <cfRule type="expression" dxfId="15518" priority="197">
      <formula>AND(IF($Q32=2,1,0),IF($X32&lt;30,1,0))</formula>
    </cfRule>
    <cfRule type="expression" dxfId="15517" priority="198">
      <formula>AND(IF($Q32=3,1,0),IF($X32&lt;30,1,0))</formula>
    </cfRule>
    <cfRule type="expression" dxfId="15516" priority="199">
      <formula>AND(IF($Q32=3,1,IF($Q32=4,1,0)),IF($F32&lt;=85,1,0))</formula>
    </cfRule>
  </conditionalFormatting>
  <conditionalFormatting sqref="AV33">
    <cfRule type="expression" dxfId="15515" priority="194">
      <formula>AV33="X"</formula>
    </cfRule>
    <cfRule type="expression" dxfId="15514" priority="195">
      <formula>AV33="후보"</formula>
    </cfRule>
  </conditionalFormatting>
  <conditionalFormatting sqref="AC33">
    <cfRule type="cellIs" dxfId="15513" priority="191" operator="greaterThan">
      <formula>0.9</formula>
    </cfRule>
    <cfRule type="cellIs" dxfId="15512" priority="192" operator="greaterThan">
      <formula>0.85</formula>
    </cfRule>
  </conditionalFormatting>
  <conditionalFormatting sqref="N33">
    <cfRule type="cellIs" dxfId="15511" priority="189" operator="greaterThan">
      <formula>0.9</formula>
    </cfRule>
    <cfRule type="cellIs" dxfId="15510" priority="190" operator="greaterThan">
      <formula>0.85</formula>
    </cfRule>
  </conditionalFormatting>
  <conditionalFormatting sqref="E33">
    <cfRule type="expression" dxfId="15509" priority="185">
      <formula>AND(IF(OR($Q33=1,$Q33=2),1,0),IF($X33&lt;=20,1,0))</formula>
    </cfRule>
    <cfRule type="expression" dxfId="15508" priority="186">
      <formula>AND(IF($Q33=2,1,0),IF($X33&lt;30,1,0))</formula>
    </cfRule>
    <cfRule type="expression" dxfId="15507" priority="187">
      <formula>AND(IF($Q33=3,1,0),IF($X33&lt;30,1,0))</formula>
    </cfRule>
    <cfRule type="expression" dxfId="15506" priority="188">
      <formula>AND(IF($Q33=3,1,IF($Q33=4,1,0)),IF($F33&lt;=85,1,0))</formula>
    </cfRule>
  </conditionalFormatting>
  <conditionalFormatting sqref="X33">
    <cfRule type="expression" dxfId="15505" priority="181">
      <formula>AND(IF(OR($Q33=1,$Q33=2),1,0),IF($X33&lt;=20,1,0))</formula>
    </cfRule>
    <cfRule type="expression" dxfId="15504" priority="182">
      <formula>AND(IF($Q33=2,1,0),IF($X33&lt;30,1,0))</formula>
    </cfRule>
    <cfRule type="expression" dxfId="15503" priority="183">
      <formula>AND(IF($Q33=3,1,0),IF($X33&lt;30,1,0))</formula>
    </cfRule>
    <cfRule type="expression" dxfId="15502" priority="184">
      <formula>AND(IF($Q33=3,1,IF($Q33=4,1,0)),IF($F33&lt;=85,1,0))</formula>
    </cfRule>
  </conditionalFormatting>
  <conditionalFormatting sqref="AI33">
    <cfRule type="expression" dxfId="15501" priority="177">
      <formula>AND(IF(OR($Q33=1,$Q33=2),1,0),IF($X33&lt;=20,1,0))</formula>
    </cfRule>
    <cfRule type="expression" dxfId="15500" priority="178">
      <formula>AND(IF($Q33=2,1,0),IF($X33&lt;30,1,0))</formula>
    </cfRule>
    <cfRule type="expression" dxfId="15499" priority="179">
      <formula>AND(IF($Q33=3,1,0),IF($X33&lt;30,1,0))</formula>
    </cfRule>
    <cfRule type="expression" dxfId="15498" priority="180">
      <formula>AND(IF($Q33=3,1,IF($Q33=4,1,0)),IF($F33&lt;=85,1,0))</formula>
    </cfRule>
  </conditionalFormatting>
  <conditionalFormatting sqref="AV34">
    <cfRule type="expression" dxfId="15497" priority="175">
      <formula>AV34="X"</formula>
    </cfRule>
    <cfRule type="expression" dxfId="15496" priority="176">
      <formula>AV34="후보"</formula>
    </cfRule>
  </conditionalFormatting>
  <conditionalFormatting sqref="AC34">
    <cfRule type="cellIs" dxfId="15495" priority="172" operator="greaterThan">
      <formula>0.9</formula>
    </cfRule>
    <cfRule type="cellIs" dxfId="15494" priority="173" operator="greaterThan">
      <formula>0.85</formula>
    </cfRule>
  </conditionalFormatting>
  <conditionalFormatting sqref="N34">
    <cfRule type="cellIs" dxfId="15493" priority="170" operator="greaterThan">
      <formula>0.9</formula>
    </cfRule>
    <cfRule type="cellIs" dxfId="15492" priority="171" operator="greaterThan">
      <formula>0.85</formula>
    </cfRule>
  </conditionalFormatting>
  <conditionalFormatting sqref="E34">
    <cfRule type="expression" dxfId="15491" priority="166">
      <formula>AND(IF(OR($Q34=1,$Q34=2),1,0),IF($X34&lt;=20,1,0))</formula>
    </cfRule>
    <cfRule type="expression" dxfId="15490" priority="167">
      <formula>AND(IF($Q34=2,1,0),IF($X34&lt;30,1,0))</formula>
    </cfRule>
    <cfRule type="expression" dxfId="15489" priority="168">
      <formula>AND(IF($Q34=3,1,0),IF($X34&lt;30,1,0))</formula>
    </cfRule>
    <cfRule type="expression" dxfId="15488" priority="169">
      <formula>AND(IF($Q34=3,1,IF($Q34=4,1,0)),IF($F34&lt;=85,1,0))</formula>
    </cfRule>
  </conditionalFormatting>
  <conditionalFormatting sqref="X34">
    <cfRule type="expression" dxfId="15487" priority="162">
      <formula>AND(IF(OR($Q34=1,$Q34=2),1,0),IF($X34&lt;=20,1,0))</formula>
    </cfRule>
    <cfRule type="expression" dxfId="15486" priority="163">
      <formula>AND(IF($Q34=2,1,0),IF($X34&lt;30,1,0))</formula>
    </cfRule>
    <cfRule type="expression" dxfId="15485" priority="164">
      <formula>AND(IF($Q34=3,1,0),IF($X34&lt;30,1,0))</formula>
    </cfRule>
    <cfRule type="expression" dxfId="15484" priority="165">
      <formula>AND(IF($Q34=3,1,IF($Q34=4,1,0)),IF($F34&lt;=85,1,0))</formula>
    </cfRule>
  </conditionalFormatting>
  <conditionalFormatting sqref="AI34">
    <cfRule type="expression" dxfId="15483" priority="158">
      <formula>AND(IF(OR($Q34=1,$Q34=2),1,0),IF($X34&lt;=20,1,0))</formula>
    </cfRule>
    <cfRule type="expression" dxfId="15482" priority="159">
      <formula>AND(IF($Q34=2,1,0),IF($X34&lt;30,1,0))</formula>
    </cfRule>
    <cfRule type="expression" dxfId="15481" priority="160">
      <formula>AND(IF($Q34=3,1,0),IF($X34&lt;30,1,0))</formula>
    </cfRule>
    <cfRule type="expression" dxfId="15480" priority="161">
      <formula>AND(IF($Q34=3,1,IF($Q34=4,1,0)),IF($F34&lt;=85,1,0))</formula>
    </cfRule>
  </conditionalFormatting>
  <conditionalFormatting sqref="AV35">
    <cfRule type="expression" dxfId="15479" priority="156">
      <formula>AV35="X"</formula>
    </cfRule>
    <cfRule type="expression" dxfId="15478" priority="157">
      <formula>AV35="후보"</formula>
    </cfRule>
  </conditionalFormatting>
  <conditionalFormatting sqref="AC35 N35">
    <cfRule type="cellIs" dxfId="15477" priority="153" operator="greaterThan">
      <formula>0.9</formula>
    </cfRule>
    <cfRule type="cellIs" dxfId="15476" priority="154" operator="greaterThan">
      <formula>0.85</formula>
    </cfRule>
  </conditionalFormatting>
  <conditionalFormatting sqref="AV36">
    <cfRule type="expression" dxfId="15475" priority="151">
      <formula>AV36="X"</formula>
    </cfRule>
    <cfRule type="expression" dxfId="15474" priority="152">
      <formula>AV36="후보"</formula>
    </cfRule>
  </conditionalFormatting>
  <conditionalFormatting sqref="AC36">
    <cfRule type="cellIs" dxfId="15473" priority="148" operator="greaterThan">
      <formula>0.9</formula>
    </cfRule>
    <cfRule type="cellIs" dxfId="15472" priority="149" operator="greaterThan">
      <formula>0.85</formula>
    </cfRule>
  </conditionalFormatting>
  <conditionalFormatting sqref="N36">
    <cfRule type="cellIs" dxfId="15471" priority="146" operator="greaterThan">
      <formula>0.9</formula>
    </cfRule>
    <cfRule type="cellIs" dxfId="15470" priority="147" operator="greaterThan">
      <formula>0.85</formula>
    </cfRule>
  </conditionalFormatting>
  <conditionalFormatting sqref="E36">
    <cfRule type="expression" dxfId="15469" priority="142">
      <formula>AND(IF(OR($Q36=1,$Q36=2),1,0),IF($X36&lt;=20,1,0))</formula>
    </cfRule>
    <cfRule type="expression" dxfId="15468" priority="143">
      <formula>AND(IF($Q36=2,1,0),IF($X36&lt;30,1,0))</formula>
    </cfRule>
    <cfRule type="expression" dxfId="15467" priority="144">
      <formula>AND(IF($Q36=3,1,0),IF($X36&lt;30,1,0))</formula>
    </cfRule>
    <cfRule type="expression" dxfId="15466" priority="145">
      <formula>AND(IF($Q36=3,1,IF($Q36=4,1,0)),IF($F36&lt;=85,1,0))</formula>
    </cfRule>
  </conditionalFormatting>
  <conditionalFormatting sqref="X36">
    <cfRule type="expression" dxfId="15465" priority="138">
      <formula>AND(IF(OR($Q36=1,$Q36=2),1,0),IF($X36&lt;=20,1,0))</formula>
    </cfRule>
    <cfRule type="expression" dxfId="15464" priority="139">
      <formula>AND(IF($Q36=2,1,0),IF($X36&lt;30,1,0))</formula>
    </cfRule>
    <cfRule type="expression" dxfId="15463" priority="140">
      <formula>AND(IF($Q36=3,1,0),IF($X36&lt;30,1,0))</formula>
    </cfRule>
    <cfRule type="expression" dxfId="15462" priority="141">
      <formula>AND(IF($Q36=3,1,IF($Q36=4,1,0)),IF($F36&lt;=85,1,0))</formula>
    </cfRule>
  </conditionalFormatting>
  <conditionalFormatting sqref="AI36">
    <cfRule type="expression" dxfId="15461" priority="134">
      <formula>AND(IF(OR($Q36=1,$Q36=2),1,0),IF($X36&lt;=20,1,0))</formula>
    </cfRule>
    <cfRule type="expression" dxfId="15460" priority="135">
      <formula>AND(IF($Q36=2,1,0),IF($X36&lt;30,1,0))</formula>
    </cfRule>
    <cfRule type="expression" dxfId="15459" priority="136">
      <formula>AND(IF($Q36=3,1,0),IF($X36&lt;30,1,0))</formula>
    </cfRule>
    <cfRule type="expression" dxfId="15458" priority="137">
      <formula>AND(IF($Q36=3,1,IF($Q36=4,1,0)),IF($F36&lt;=85,1,0))</formula>
    </cfRule>
  </conditionalFormatting>
  <conditionalFormatting sqref="AV37">
    <cfRule type="expression" dxfId="15457" priority="132">
      <formula>AV37="X"</formula>
    </cfRule>
    <cfRule type="expression" dxfId="15456" priority="133">
      <formula>AV37="후보"</formula>
    </cfRule>
  </conditionalFormatting>
  <conditionalFormatting sqref="AC37">
    <cfRule type="cellIs" dxfId="15455" priority="129" operator="greaterThan">
      <formula>0.9</formula>
    </cfRule>
    <cfRule type="cellIs" dxfId="15454" priority="130" operator="greaterThan">
      <formula>0.85</formula>
    </cfRule>
  </conditionalFormatting>
  <conditionalFormatting sqref="N37">
    <cfRule type="cellIs" dxfId="15453" priority="127" operator="greaterThan">
      <formula>0.9</formula>
    </cfRule>
    <cfRule type="cellIs" dxfId="15452" priority="128" operator="greaterThan">
      <formula>0.85</formula>
    </cfRule>
  </conditionalFormatting>
  <conditionalFormatting sqref="E37">
    <cfRule type="expression" dxfId="15451" priority="123">
      <formula>AND(IF(OR($Q37=1,$Q37=2),1,0),IF($X37&lt;=20,1,0))</formula>
    </cfRule>
    <cfRule type="expression" dxfId="15450" priority="124">
      <formula>AND(IF($Q37=2,1,0),IF($X37&lt;30,1,0))</formula>
    </cfRule>
    <cfRule type="expression" dxfId="15449" priority="125">
      <formula>AND(IF($Q37=3,1,0),IF($X37&lt;30,1,0))</formula>
    </cfRule>
    <cfRule type="expression" dxfId="15448" priority="126">
      <formula>AND(IF($Q37=3,1,IF($Q37=4,1,0)),IF($F37&lt;=85,1,0))</formula>
    </cfRule>
  </conditionalFormatting>
  <conditionalFormatting sqref="X37">
    <cfRule type="expression" dxfId="15447" priority="119">
      <formula>AND(IF(OR($Q37=1,$Q37=2),1,0),IF($X37&lt;=20,1,0))</formula>
    </cfRule>
    <cfRule type="expression" dxfId="15446" priority="120">
      <formula>AND(IF($Q37=2,1,0),IF($X37&lt;30,1,0))</formula>
    </cfRule>
    <cfRule type="expression" dxfId="15445" priority="121">
      <formula>AND(IF($Q37=3,1,0),IF($X37&lt;30,1,0))</formula>
    </cfRule>
    <cfRule type="expression" dxfId="15444" priority="122">
      <formula>AND(IF($Q37=3,1,IF($Q37=4,1,0)),IF($F37&lt;=85,1,0))</formula>
    </cfRule>
  </conditionalFormatting>
  <conditionalFormatting sqref="AI37">
    <cfRule type="expression" dxfId="15443" priority="115">
      <formula>AND(IF(OR($Q37=1,$Q37=2),1,0),IF($X37&lt;=20,1,0))</formula>
    </cfRule>
    <cfRule type="expression" dxfId="15442" priority="116">
      <formula>AND(IF($Q37=2,1,0),IF($X37&lt;30,1,0))</formula>
    </cfRule>
    <cfRule type="expression" dxfId="15441" priority="117">
      <formula>AND(IF($Q37=3,1,0),IF($X37&lt;30,1,0))</formula>
    </cfRule>
    <cfRule type="expression" dxfId="15440" priority="118">
      <formula>AND(IF($Q37=3,1,IF($Q37=4,1,0)),IF($F37&lt;=85,1,0))</formula>
    </cfRule>
  </conditionalFormatting>
  <conditionalFormatting sqref="AV38">
    <cfRule type="expression" dxfId="15439" priority="113">
      <formula>AV38="X"</formula>
    </cfRule>
    <cfRule type="expression" dxfId="15438" priority="114">
      <formula>AV38="후보"</formula>
    </cfRule>
  </conditionalFormatting>
  <conditionalFormatting sqref="AC38">
    <cfRule type="cellIs" dxfId="15437" priority="110" operator="greaterThan">
      <formula>0.9</formula>
    </cfRule>
    <cfRule type="cellIs" dxfId="15436" priority="111" operator="greaterThan">
      <formula>0.85</formula>
    </cfRule>
  </conditionalFormatting>
  <conditionalFormatting sqref="N38">
    <cfRule type="cellIs" dxfId="15435" priority="108" operator="greaterThan">
      <formula>0.9</formula>
    </cfRule>
    <cfRule type="cellIs" dxfId="15434" priority="109" operator="greaterThan">
      <formula>0.85</formula>
    </cfRule>
  </conditionalFormatting>
  <conditionalFormatting sqref="E38">
    <cfRule type="expression" dxfId="15433" priority="104">
      <formula>AND(IF(OR($Q38=1,$Q38=2),1,0),IF($X38&lt;=20,1,0))</formula>
    </cfRule>
    <cfRule type="expression" dxfId="15432" priority="105">
      <formula>AND(IF($Q38=2,1,0),IF($X38&lt;30,1,0))</formula>
    </cfRule>
    <cfRule type="expression" dxfId="15431" priority="106">
      <formula>AND(IF($Q38=3,1,0),IF($X38&lt;30,1,0))</formula>
    </cfRule>
    <cfRule type="expression" dxfId="15430" priority="107">
      <formula>AND(IF($Q38=3,1,IF($Q38=4,1,0)),IF($F38&lt;=85,1,0))</formula>
    </cfRule>
  </conditionalFormatting>
  <conditionalFormatting sqref="X38">
    <cfRule type="expression" dxfId="15429" priority="100">
      <formula>AND(IF(OR($Q38=1,$Q38=2),1,0),IF($X38&lt;=20,1,0))</formula>
    </cfRule>
    <cfRule type="expression" dxfId="15428" priority="101">
      <formula>AND(IF($Q38=2,1,0),IF($X38&lt;30,1,0))</formula>
    </cfRule>
    <cfRule type="expression" dxfId="15427" priority="102">
      <formula>AND(IF($Q38=3,1,0),IF($X38&lt;30,1,0))</formula>
    </cfRule>
    <cfRule type="expression" dxfId="15426" priority="103">
      <formula>AND(IF($Q38=3,1,IF($Q38=4,1,0)),IF($F38&lt;=85,1,0))</formula>
    </cfRule>
  </conditionalFormatting>
  <conditionalFormatting sqref="AI38">
    <cfRule type="expression" dxfId="15425" priority="96">
      <formula>AND(IF(OR($Q38=1,$Q38=2),1,0),IF($X38&lt;=20,1,0))</formula>
    </cfRule>
    <cfRule type="expression" dxfId="15424" priority="97">
      <formula>AND(IF($Q38=2,1,0),IF($X38&lt;30,1,0))</formula>
    </cfRule>
    <cfRule type="expression" dxfId="15423" priority="98">
      <formula>AND(IF($Q38=3,1,0),IF($X38&lt;30,1,0))</formula>
    </cfRule>
    <cfRule type="expression" dxfId="15422" priority="99">
      <formula>AND(IF($Q38=3,1,IF($Q38=4,1,0)),IF($F38&lt;=85,1,0))</formula>
    </cfRule>
  </conditionalFormatting>
  <conditionalFormatting sqref="AV39">
    <cfRule type="expression" dxfId="15421" priority="94">
      <formula>AV39="X"</formula>
    </cfRule>
    <cfRule type="expression" dxfId="15420" priority="95">
      <formula>AV39="후보"</formula>
    </cfRule>
  </conditionalFormatting>
  <conditionalFormatting sqref="AC39">
    <cfRule type="cellIs" dxfId="15419" priority="91" operator="greaterThan">
      <formula>0.9</formula>
    </cfRule>
    <cfRule type="cellIs" dxfId="15418" priority="92" operator="greaterThan">
      <formula>0.85</formula>
    </cfRule>
  </conditionalFormatting>
  <conditionalFormatting sqref="N39">
    <cfRule type="cellIs" dxfId="15417" priority="89" operator="greaterThan">
      <formula>0.9</formula>
    </cfRule>
    <cfRule type="cellIs" dxfId="15416" priority="90" operator="greaterThan">
      <formula>0.85</formula>
    </cfRule>
  </conditionalFormatting>
  <conditionalFormatting sqref="E39">
    <cfRule type="expression" dxfId="15415" priority="85">
      <formula>AND(IF(OR($Q39=1,$Q39=2),1,0),IF($X39&lt;=20,1,0))</formula>
    </cfRule>
    <cfRule type="expression" dxfId="15414" priority="86">
      <formula>AND(IF($Q39=2,1,0),IF($X39&lt;30,1,0))</formula>
    </cfRule>
    <cfRule type="expression" dxfId="15413" priority="87">
      <formula>AND(IF($Q39=3,1,0),IF($X39&lt;30,1,0))</formula>
    </cfRule>
    <cfRule type="expression" dxfId="15412" priority="88">
      <formula>AND(IF($Q39=3,1,IF($Q39=4,1,0)),IF($F39&lt;=85,1,0))</formula>
    </cfRule>
  </conditionalFormatting>
  <conditionalFormatting sqref="X39">
    <cfRule type="expression" dxfId="15411" priority="81">
      <formula>AND(IF(OR($Q39=1,$Q39=2),1,0),IF($X39&lt;=20,1,0))</formula>
    </cfRule>
    <cfRule type="expression" dxfId="15410" priority="82">
      <formula>AND(IF($Q39=2,1,0),IF($X39&lt;30,1,0))</formula>
    </cfRule>
    <cfRule type="expression" dxfId="15409" priority="83">
      <formula>AND(IF($Q39=3,1,0),IF($X39&lt;30,1,0))</formula>
    </cfRule>
    <cfRule type="expression" dxfId="15408" priority="84">
      <formula>AND(IF($Q39=3,1,IF($Q39=4,1,0)),IF($F39&lt;=85,1,0))</formula>
    </cfRule>
  </conditionalFormatting>
  <conditionalFormatting sqref="AI39">
    <cfRule type="expression" dxfId="15407" priority="77">
      <formula>AND(IF(OR($Q39=1,$Q39=2),1,0),IF($X39&lt;=20,1,0))</formula>
    </cfRule>
    <cfRule type="expression" dxfId="15406" priority="78">
      <formula>AND(IF($Q39=2,1,0),IF($X39&lt;30,1,0))</formula>
    </cfRule>
    <cfRule type="expression" dxfId="15405" priority="79">
      <formula>AND(IF($Q39=3,1,0),IF($X39&lt;30,1,0))</formula>
    </cfRule>
    <cfRule type="expression" dxfId="15404" priority="80">
      <formula>AND(IF($Q39=3,1,IF($Q39=4,1,0)),IF($F39&lt;=85,1,0))</formula>
    </cfRule>
  </conditionalFormatting>
  <conditionalFormatting sqref="AV40">
    <cfRule type="expression" dxfId="15403" priority="75">
      <formula>AV40="X"</formula>
    </cfRule>
    <cfRule type="expression" dxfId="15402" priority="76">
      <formula>AV40="후보"</formula>
    </cfRule>
  </conditionalFormatting>
  <conditionalFormatting sqref="AC40">
    <cfRule type="cellIs" dxfId="15401" priority="72" operator="greaterThan">
      <formula>0.9</formula>
    </cfRule>
    <cfRule type="cellIs" dxfId="15400" priority="73" operator="greaterThan">
      <formula>0.85</formula>
    </cfRule>
  </conditionalFormatting>
  <conditionalFormatting sqref="N40">
    <cfRule type="cellIs" dxfId="15399" priority="70" operator="greaterThan">
      <formula>0.9</formula>
    </cfRule>
    <cfRule type="cellIs" dxfId="15398" priority="71" operator="greaterThan">
      <formula>0.85</formula>
    </cfRule>
  </conditionalFormatting>
  <conditionalFormatting sqref="E40">
    <cfRule type="expression" dxfId="15397" priority="66">
      <formula>AND(IF(OR($Q40=1,$Q40=2),1,0),IF($X40&lt;=20,1,0))</formula>
    </cfRule>
    <cfRule type="expression" dxfId="15396" priority="67">
      <formula>AND(IF($Q40=2,1,0),IF($X40&lt;30,1,0))</formula>
    </cfRule>
    <cfRule type="expression" dxfId="15395" priority="68">
      <formula>AND(IF($Q40=3,1,0),IF($X40&lt;30,1,0))</formula>
    </cfRule>
    <cfRule type="expression" dxfId="15394" priority="69">
      <formula>AND(IF($Q40=3,1,IF($Q40=4,1,0)),IF($F40&lt;=85,1,0))</formula>
    </cfRule>
  </conditionalFormatting>
  <conditionalFormatting sqref="X40">
    <cfRule type="expression" dxfId="15393" priority="62">
      <formula>AND(IF(OR($Q40=1,$Q40=2),1,0),IF($X40&lt;=20,1,0))</formula>
    </cfRule>
    <cfRule type="expression" dxfId="15392" priority="63">
      <formula>AND(IF($Q40=2,1,0),IF($X40&lt;30,1,0))</formula>
    </cfRule>
    <cfRule type="expression" dxfId="15391" priority="64">
      <formula>AND(IF($Q40=3,1,0),IF($X40&lt;30,1,0))</formula>
    </cfRule>
    <cfRule type="expression" dxfId="15390" priority="65">
      <formula>AND(IF($Q40=3,1,IF($Q40=4,1,0)),IF($F40&lt;=85,1,0))</formula>
    </cfRule>
  </conditionalFormatting>
  <conditionalFormatting sqref="AI40">
    <cfRule type="expression" dxfId="15389" priority="58">
      <formula>AND(IF(OR($Q40=1,$Q40=2),1,0),IF($X40&lt;=20,1,0))</formula>
    </cfRule>
    <cfRule type="expression" dxfId="15388" priority="59">
      <formula>AND(IF($Q40=2,1,0),IF($X40&lt;30,1,0))</formula>
    </cfRule>
    <cfRule type="expression" dxfId="15387" priority="60">
      <formula>AND(IF($Q40=3,1,0),IF($X40&lt;30,1,0))</formula>
    </cfRule>
    <cfRule type="expression" dxfId="15386" priority="61">
      <formula>AND(IF($Q40=3,1,IF($Q40=4,1,0)),IF($F40&lt;=85,1,0))</formula>
    </cfRule>
  </conditionalFormatting>
  <conditionalFormatting sqref="AV41">
    <cfRule type="expression" dxfId="15385" priority="56">
      <formula>AV41="X"</formula>
    </cfRule>
    <cfRule type="expression" dxfId="15384" priority="57">
      <formula>AV41="후보"</formula>
    </cfRule>
  </conditionalFormatting>
  <conditionalFormatting sqref="AC41">
    <cfRule type="cellIs" dxfId="15383" priority="53" operator="greaterThan">
      <formula>0.9</formula>
    </cfRule>
    <cfRule type="cellIs" dxfId="15382" priority="54" operator="greaterThan">
      <formula>0.85</formula>
    </cfRule>
  </conditionalFormatting>
  <conditionalFormatting sqref="N41">
    <cfRule type="cellIs" dxfId="15381" priority="51" operator="greaterThan">
      <formula>0.9</formula>
    </cfRule>
    <cfRule type="cellIs" dxfId="15380" priority="52" operator="greaterThan">
      <formula>0.85</formula>
    </cfRule>
  </conditionalFormatting>
  <conditionalFormatting sqref="E41">
    <cfRule type="expression" dxfId="15379" priority="47">
      <formula>AND(IF(OR($Q41=1,$Q41=2),1,0),IF($X41&lt;=20,1,0))</formula>
    </cfRule>
    <cfRule type="expression" dxfId="15378" priority="48">
      <formula>AND(IF($Q41=2,1,0),IF($X41&lt;30,1,0))</formula>
    </cfRule>
    <cfRule type="expression" dxfId="15377" priority="49">
      <formula>AND(IF($Q41=3,1,0),IF($X41&lt;30,1,0))</formula>
    </cfRule>
    <cfRule type="expression" dxfId="15376" priority="50">
      <formula>AND(IF($Q41=3,1,IF($Q41=4,1,0)),IF($F41&lt;=85,1,0))</formula>
    </cfRule>
  </conditionalFormatting>
  <conditionalFormatting sqref="X41">
    <cfRule type="expression" dxfId="15375" priority="43">
      <formula>AND(IF(OR($Q41=1,$Q41=2),1,0),IF($X41&lt;=20,1,0))</formula>
    </cfRule>
    <cfRule type="expression" dxfId="15374" priority="44">
      <formula>AND(IF($Q41=2,1,0),IF($X41&lt;30,1,0))</formula>
    </cfRule>
    <cfRule type="expression" dxfId="15373" priority="45">
      <formula>AND(IF($Q41=3,1,0),IF($X41&lt;30,1,0))</formula>
    </cfRule>
    <cfRule type="expression" dxfId="15372" priority="46">
      <formula>AND(IF($Q41=3,1,IF($Q41=4,1,0)),IF($F41&lt;=85,1,0))</formula>
    </cfRule>
  </conditionalFormatting>
  <conditionalFormatting sqref="AI41">
    <cfRule type="expression" dxfId="15371" priority="39">
      <formula>AND(IF(OR($Q41=1,$Q41=2),1,0),IF($X41&lt;=20,1,0))</formula>
    </cfRule>
    <cfRule type="expression" dxfId="15370" priority="40">
      <formula>AND(IF($Q41=2,1,0),IF($X41&lt;30,1,0))</formula>
    </cfRule>
    <cfRule type="expression" dxfId="15369" priority="41">
      <formula>AND(IF($Q41=3,1,0),IF($X41&lt;30,1,0))</formula>
    </cfRule>
    <cfRule type="expression" dxfId="15368" priority="42">
      <formula>AND(IF($Q41=3,1,IF($Q41=4,1,0)),IF($F41&lt;=85,1,0))</formula>
    </cfRule>
  </conditionalFormatting>
  <conditionalFormatting sqref="AV42">
    <cfRule type="expression" dxfId="15367" priority="37">
      <formula>AV42="X"</formula>
    </cfRule>
    <cfRule type="expression" dxfId="15366" priority="38">
      <formula>AV42="후보"</formula>
    </cfRule>
  </conditionalFormatting>
  <conditionalFormatting sqref="AC42">
    <cfRule type="cellIs" dxfId="15365" priority="34" operator="greaterThan">
      <formula>0.9</formula>
    </cfRule>
    <cfRule type="cellIs" dxfId="15364" priority="35" operator="greaterThan">
      <formula>0.85</formula>
    </cfRule>
  </conditionalFormatting>
  <conditionalFormatting sqref="N42">
    <cfRule type="cellIs" dxfId="15363" priority="32" operator="greaterThan">
      <formula>0.9</formula>
    </cfRule>
    <cfRule type="cellIs" dxfId="15362" priority="33" operator="greaterThan">
      <formula>0.85</formula>
    </cfRule>
  </conditionalFormatting>
  <conditionalFormatting sqref="E42">
    <cfRule type="expression" dxfId="15361" priority="28">
      <formula>AND(IF(OR($Q42=1,$Q42=2),1,0),IF($X42&lt;=20,1,0))</formula>
    </cfRule>
    <cfRule type="expression" dxfId="15360" priority="29">
      <formula>AND(IF($Q42=2,1,0),IF($X42&lt;30,1,0))</formula>
    </cfRule>
    <cfRule type="expression" dxfId="15359" priority="30">
      <formula>AND(IF($Q42=3,1,0),IF($X42&lt;30,1,0))</formula>
    </cfRule>
    <cfRule type="expression" dxfId="15358" priority="31">
      <formula>AND(IF($Q42=3,1,IF($Q42=4,1,0)),IF($F42&lt;=85,1,0))</formula>
    </cfRule>
  </conditionalFormatting>
  <conditionalFormatting sqref="X42">
    <cfRule type="expression" dxfId="15357" priority="24">
      <formula>AND(IF(OR($Q42=1,$Q42=2),1,0),IF($X42&lt;=20,1,0))</formula>
    </cfRule>
    <cfRule type="expression" dxfId="15356" priority="25">
      <formula>AND(IF($Q42=2,1,0),IF($X42&lt;30,1,0))</formula>
    </cfRule>
    <cfRule type="expression" dxfId="15355" priority="26">
      <formula>AND(IF($Q42=3,1,0),IF($X42&lt;30,1,0))</formula>
    </cfRule>
    <cfRule type="expression" dxfId="15354" priority="27">
      <formula>AND(IF($Q42=3,1,IF($Q42=4,1,0)),IF($F42&lt;=85,1,0))</formula>
    </cfRule>
  </conditionalFormatting>
  <conditionalFormatting sqref="AI42">
    <cfRule type="expression" dxfId="15353" priority="20">
      <formula>AND(IF(OR($Q42=1,$Q42=2),1,0),IF($X42&lt;=20,1,0))</formula>
    </cfRule>
    <cfRule type="expression" dxfId="15352" priority="21">
      <formula>AND(IF($Q42=2,1,0),IF($X42&lt;30,1,0))</formula>
    </cfRule>
    <cfRule type="expression" dxfId="15351" priority="22">
      <formula>AND(IF($Q42=3,1,0),IF($X42&lt;30,1,0))</formula>
    </cfRule>
    <cfRule type="expression" dxfId="15350" priority="23">
      <formula>AND(IF($Q42=3,1,IF($Q42=4,1,0)),IF($F42&lt;=85,1,0))</formula>
    </cfRule>
  </conditionalFormatting>
  <conditionalFormatting sqref="AV43">
    <cfRule type="expression" dxfId="15349" priority="18">
      <formula>AV43="X"</formula>
    </cfRule>
    <cfRule type="expression" dxfId="15348" priority="19">
      <formula>AV43="후보"</formula>
    </cfRule>
  </conditionalFormatting>
  <conditionalFormatting sqref="AC43">
    <cfRule type="cellIs" dxfId="15347" priority="15" operator="greaterThan">
      <formula>0.9</formula>
    </cfRule>
    <cfRule type="cellIs" dxfId="15346" priority="16" operator="greaterThan">
      <formula>0.85</formula>
    </cfRule>
  </conditionalFormatting>
  <conditionalFormatting sqref="N43">
    <cfRule type="cellIs" dxfId="15345" priority="13" operator="greaterThan">
      <formula>0.9</formula>
    </cfRule>
    <cfRule type="cellIs" dxfId="15344" priority="14" operator="greaterThan">
      <formula>0.85</formula>
    </cfRule>
  </conditionalFormatting>
  <conditionalFormatting sqref="E43">
    <cfRule type="expression" dxfId="15343" priority="9">
      <formula>AND(IF(OR($Q43=1,$Q43=2),1,0),IF($X43&lt;=20,1,0))</formula>
    </cfRule>
    <cfRule type="expression" dxfId="15342" priority="10">
      <formula>AND(IF($Q43=2,1,0),IF($X43&lt;30,1,0))</formula>
    </cfRule>
    <cfRule type="expression" dxfId="15341" priority="11">
      <formula>AND(IF($Q43=3,1,0),IF($X43&lt;30,1,0))</formula>
    </cfRule>
    <cfRule type="expression" dxfId="15340" priority="12">
      <formula>AND(IF($Q43=3,1,IF($Q43=4,1,0)),IF($F43&lt;=85,1,0))</formula>
    </cfRule>
  </conditionalFormatting>
  <conditionalFormatting sqref="X43">
    <cfRule type="expression" dxfId="15339" priority="5">
      <formula>AND(IF(OR($Q43=1,$Q43=2),1,0),IF($X43&lt;=20,1,0))</formula>
    </cfRule>
    <cfRule type="expression" dxfId="15338" priority="6">
      <formula>AND(IF($Q43=2,1,0),IF($X43&lt;30,1,0))</formula>
    </cfRule>
    <cfRule type="expression" dxfId="15337" priority="7">
      <formula>AND(IF($Q43=3,1,0),IF($X43&lt;30,1,0))</formula>
    </cfRule>
    <cfRule type="expression" dxfId="15336" priority="8">
      <formula>AND(IF($Q43=3,1,IF($Q43=4,1,0)),IF($F43&lt;=85,1,0))</formula>
    </cfRule>
  </conditionalFormatting>
  <conditionalFormatting sqref="AI43">
    <cfRule type="expression" dxfId="15335" priority="1">
      <formula>AND(IF(OR($Q43=1,$Q43=2),1,0),IF($X43&lt;=20,1,0))</formula>
    </cfRule>
    <cfRule type="expression" dxfId="15334" priority="2">
      <formula>AND(IF($Q43=2,1,0),IF($X43&lt;30,1,0))</formula>
    </cfRule>
    <cfRule type="expression" dxfId="15333" priority="3">
      <formula>AND(IF($Q43=3,1,0),IF($X43&lt;30,1,0))</formula>
    </cfRule>
    <cfRule type="expression" dxfId="15332" priority="4">
      <formula>AND(IF($Q43=3,1,IF($Q43=4,1,0)),IF($F43&lt;=85,1,0))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8">
    <pageSetUpPr fitToPage="1"/>
  </sheetPr>
  <dimension ref="A1:AV8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85" sqref="A85:XFD85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5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0" width="9" style="37" customWidth="1"/>
    <col min="51" max="16384" width="9" style="37"/>
  </cols>
  <sheetData>
    <row r="1" spans="1:48" ht="17.25" customHeight="1" x14ac:dyDescent="0.3">
      <c r="A1" s="7" t="str">
        <f>단지추출!A1</f>
        <v>인천광역시 연수구</v>
      </c>
      <c r="I1" s="42" t="s">
        <v>1827</v>
      </c>
      <c r="X1" s="37" t="s">
        <v>5</v>
      </c>
      <c r="Y1" s="37"/>
      <c r="AA1" s="39">
        <f>단지추출!AA1</f>
        <v>70000</v>
      </c>
      <c r="AH1" s="7" t="str">
        <f>A1</f>
        <v>인천광역시 연수구</v>
      </c>
      <c r="AJ1" s="117" t="str">
        <f>A1&amp;" 전체 등급"</f>
        <v>인천광역시 연수구 전체 등급</v>
      </c>
      <c r="AK1" s="118"/>
      <c r="AL1" s="118"/>
      <c r="AM1" s="118"/>
      <c r="AN1" s="119"/>
      <c r="AO1" s="22">
        <f>단지추출!AO1</f>
        <v>80</v>
      </c>
      <c r="AP1" s="22">
        <f>단지추출!AP1</f>
        <v>50000</v>
      </c>
      <c r="AQ1" s="22">
        <f>단지추출!AQ1</f>
        <v>15000</v>
      </c>
      <c r="AR1" s="22">
        <f>단지추출!AR1</f>
        <v>5000</v>
      </c>
      <c r="AS1" s="2"/>
      <c r="AT1" s="2"/>
      <c r="AU1" s="22">
        <f>단지추출!AU1</f>
        <v>300</v>
      </c>
    </row>
    <row r="2" spans="1:48" x14ac:dyDescent="0.3">
      <c r="A2" s="80">
        <f>단지추출!A2</f>
        <v>44197</v>
      </c>
      <c r="W2" s="38"/>
      <c r="X2" s="38" t="s">
        <v>10</v>
      </c>
      <c r="Y2" s="38"/>
      <c r="AA2" s="39">
        <f>단지추출!AA2</f>
        <v>10000</v>
      </c>
      <c r="AH2" s="18" t="str">
        <f>AH1 &amp;" " &amp;A4</f>
        <v>인천광역시 연수구 평화동2가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4" t="s">
        <v>15</v>
      </c>
      <c r="AP2" s="65"/>
      <c r="AQ2" s="66"/>
      <c r="AR2" s="64" t="s">
        <v>16</v>
      </c>
      <c r="AS2" s="66"/>
      <c r="AT2" s="64" t="s">
        <v>17</v>
      </c>
      <c r="AU2" s="66"/>
      <c r="AV2" s="40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1828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106" t="s">
        <v>27</v>
      </c>
      <c r="Z3" s="12" t="s">
        <v>41</v>
      </c>
      <c r="AA3" s="12" t="s">
        <v>42</v>
      </c>
      <c r="AB3" s="12" t="s">
        <v>1828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34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(5억↓)</v>
      </c>
      <c r="AQ3" s="11" t="str">
        <f>"지역평단가
("&amp;AQ1&amp;"↓)"</f>
        <v>지역평단가
(15000↓)</v>
      </c>
      <c r="AR3" s="11" t="str">
        <f>"투자규모★
(갭"&amp;AR1/1000&amp;"천↓)"</f>
        <v>투자규모★
(갭5천↓)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1" t="s">
        <v>18</v>
      </c>
    </row>
    <row r="4" spans="1:48" x14ac:dyDescent="0.3">
      <c r="A4" s="8" t="s">
        <v>1320</v>
      </c>
      <c r="B4" s="76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07"/>
      <c r="R4" s="107"/>
      <c r="S4" s="76"/>
      <c r="T4" s="5"/>
      <c r="U4" s="9"/>
      <c r="W4" s="9"/>
      <c r="X4" s="9"/>
      <c r="Y4" s="91"/>
      <c r="Z4" s="9"/>
      <c r="AA4" s="9"/>
      <c r="AB4" s="9"/>
      <c r="AC4" s="9"/>
      <c r="AD4" s="9"/>
      <c r="AE4" s="76"/>
      <c r="AF4" s="5"/>
      <c r="AH4" s="20"/>
      <c r="AI4" s="108" t="str">
        <f t="shared" si="0"/>
        <v/>
      </c>
      <c r="AJ4" s="76"/>
      <c r="AK4" s="76"/>
      <c r="AL4" s="76"/>
      <c r="AM4" s="76"/>
      <c r="AN4" s="76"/>
      <c r="AO4" s="76"/>
      <c r="AP4" s="76"/>
      <c r="AQ4" s="76"/>
      <c r="AR4" s="76"/>
      <c r="AS4" s="76"/>
      <c r="AT4" s="76"/>
      <c r="AU4" s="76"/>
      <c r="AV4" s="76"/>
    </row>
    <row r="5" spans="1:48" x14ac:dyDescent="0.3">
      <c r="A5" s="9"/>
      <c r="B5" s="76"/>
      <c r="C5" s="6"/>
      <c r="D5" s="9"/>
      <c r="E5" s="14"/>
      <c r="F5" s="85"/>
      <c r="G5" s="9"/>
      <c r="H5" s="9"/>
      <c r="I5" s="9"/>
      <c r="J5" s="9"/>
      <c r="K5" s="9"/>
      <c r="L5" s="9"/>
      <c r="M5" s="9"/>
      <c r="N5" s="9"/>
      <c r="O5" s="90"/>
      <c r="P5" s="90"/>
      <c r="Q5" s="86"/>
      <c r="R5" s="86"/>
      <c r="S5" s="9"/>
      <c r="T5" s="47"/>
      <c r="U5" s="9"/>
      <c r="W5" s="67" t="str">
        <f>$A$4&amp;" "&amp;A6&amp;"("&amp;B6&amp;","&amp;C6&amp;"^)"</f>
        <v>평화동2가 현대('96.05.,539^)</v>
      </c>
      <c r="X5" s="68"/>
      <c r="Y5" s="68"/>
      <c r="Z5" s="68"/>
      <c r="AA5" s="68"/>
      <c r="AB5" s="68"/>
      <c r="AC5" s="68"/>
      <c r="AD5" s="68"/>
      <c r="AE5" s="68"/>
      <c r="AF5" s="69"/>
      <c r="AH5" s="20" t="str">
        <f t="shared" ref="AH5:AH36" si="1">IF(A5="","",A5)</f>
        <v/>
      </c>
      <c r="AI5" s="108" t="str">
        <f t="shared" si="0"/>
        <v/>
      </c>
      <c r="AJ5" s="76"/>
      <c r="AK5" s="76"/>
      <c r="AL5" s="76"/>
      <c r="AM5" s="76"/>
      <c r="AN5" s="76"/>
      <c r="AO5" s="76"/>
      <c r="AP5" s="76"/>
      <c r="AQ5" s="76"/>
      <c r="AR5" s="76"/>
      <c r="AS5" s="76"/>
      <c r="AT5" s="76"/>
      <c r="AU5" s="76"/>
      <c r="AV5" s="76"/>
    </row>
    <row r="6" spans="1:48" x14ac:dyDescent="0.3">
      <c r="A6" s="9" t="s">
        <v>900</v>
      </c>
      <c r="B6" s="10" t="s">
        <v>1900</v>
      </c>
      <c r="C6" s="87">
        <v>539</v>
      </c>
      <c r="D6" s="85">
        <v>79.099999999999994</v>
      </c>
      <c r="E6" s="86">
        <v>24</v>
      </c>
      <c r="F6" s="85">
        <v>60</v>
      </c>
      <c r="G6" s="17">
        <v>18</v>
      </c>
      <c r="H6" s="87">
        <v>232</v>
      </c>
      <c r="I6" s="88">
        <v>14700</v>
      </c>
      <c r="J6" s="88" t="s">
        <v>111</v>
      </c>
      <c r="K6" s="88"/>
      <c r="L6" s="88"/>
      <c r="M6" s="89">
        <f>I6-K6</f>
        <v>14700</v>
      </c>
      <c r="N6" s="4">
        <f>IF(ISERROR(K6/I6),"",K6/I6)</f>
        <v>0</v>
      </c>
      <c r="O6" s="90">
        <f>I6/E6</f>
        <v>612.5</v>
      </c>
      <c r="P6" s="90">
        <f>K6/E6</f>
        <v>0</v>
      </c>
      <c r="Q6" s="76">
        <v>3</v>
      </c>
      <c r="R6" s="76">
        <v>1</v>
      </c>
      <c r="S6" s="76" t="s">
        <v>61</v>
      </c>
      <c r="T6" s="5">
        <v>79</v>
      </c>
      <c r="U6" s="9"/>
      <c r="W6" s="85">
        <f t="shared" ref="W6:X8" si="2">D6</f>
        <v>79.099999999999994</v>
      </c>
      <c r="X6" s="86">
        <f t="shared" si="2"/>
        <v>24</v>
      </c>
      <c r="Y6" s="91">
        <f t="shared" ref="Y6:Z8" si="3">H6</f>
        <v>232</v>
      </c>
      <c r="Z6" s="89">
        <f t="shared" si="3"/>
        <v>14700</v>
      </c>
      <c r="AA6" s="89">
        <f>K6</f>
        <v>0</v>
      </c>
      <c r="AB6" s="89">
        <f t="shared" ref="AB6:AD8" si="4">M6</f>
        <v>14700</v>
      </c>
      <c r="AC6" s="4">
        <f t="shared" si="4"/>
        <v>0</v>
      </c>
      <c r="AD6" s="90">
        <f t="shared" si="4"/>
        <v>612.5</v>
      </c>
      <c r="AE6" s="76" t="str">
        <f>S6</f>
        <v>계</v>
      </c>
      <c r="AF6" s="76" t="str">
        <f>Q6&amp;"/"&amp;R6</f>
        <v>3/1</v>
      </c>
      <c r="AH6" s="20" t="str">
        <f t="shared" si="1"/>
        <v>현대</v>
      </c>
      <c r="AI6" s="86">
        <f t="shared" si="0"/>
        <v>24</v>
      </c>
      <c r="AJ6" s="76" t="str">
        <f>IF(AI6="","",$AJ$2)</f>
        <v>A-</v>
      </c>
      <c r="AK6" s="76" t="s">
        <v>13</v>
      </c>
      <c r="AL6" s="76" t="s">
        <v>62</v>
      </c>
      <c r="AM6" s="76" t="s">
        <v>63</v>
      </c>
      <c r="AN6" s="76" t="str">
        <f>IF(AI6="","",$AN$2)</f>
        <v>C</v>
      </c>
      <c r="AO6" s="76" t="str">
        <f>IF(N6="","",IF(N6&gt;=$AO$1/100,"O","X"))</f>
        <v>X</v>
      </c>
      <c r="AP6" s="76" t="str">
        <f>IF(I6="","",IF(I6&lt;=$AP$1,"O","X"))</f>
        <v>O</v>
      </c>
      <c r="AQ6" s="76" t="str">
        <f>IF(O6="","",IF(O6&lt;=$AQ$1,"O","X"))</f>
        <v>O</v>
      </c>
      <c r="AR6" s="76" t="str">
        <f>IF(M6="","",IF(M6&lt;=$AR$1,"O","X"))</f>
        <v>X</v>
      </c>
      <c r="AS6" s="76" t="s">
        <v>2</v>
      </c>
      <c r="AT6" s="76" t="str">
        <f>IF(OR(F6="",AI6=""),"",IF(AND((F6&lt;=85),(AI6&gt;=15)),"O","X"))</f>
        <v>O</v>
      </c>
      <c r="AU6" s="76" t="str">
        <f>IF(C6="","",IF(C6&gt;=$AU$1,"O","X"))</f>
        <v>O</v>
      </c>
      <c r="AV6" s="76" t="str">
        <f>IF(AO6="","",IF(AND(AO6="O",AP6="O",AR6="O",AT6="O",AU6="O"),"후보","X"))</f>
        <v>X</v>
      </c>
    </row>
    <row r="7" spans="1:48" x14ac:dyDescent="0.3">
      <c r="A7" s="9" t="s">
        <v>900</v>
      </c>
      <c r="B7" s="10" t="s">
        <v>1900</v>
      </c>
      <c r="C7" s="87">
        <v>539</v>
      </c>
      <c r="D7" s="85">
        <v>95.6</v>
      </c>
      <c r="E7" s="86">
        <v>29</v>
      </c>
      <c r="F7" s="85">
        <v>75.099999999999994</v>
      </c>
      <c r="G7" s="17">
        <v>23</v>
      </c>
      <c r="H7" s="87">
        <v>116</v>
      </c>
      <c r="I7" s="88"/>
      <c r="J7" s="88"/>
      <c r="K7" s="88"/>
      <c r="L7" s="88"/>
      <c r="M7" s="89">
        <f>I7-K7</f>
        <v>0</v>
      </c>
      <c r="N7" s="4" t="str">
        <f>IF(ISERROR(K7/I7),"",K7/I7)</f>
        <v/>
      </c>
      <c r="O7" s="90">
        <f>I7/E7</f>
        <v>0</v>
      </c>
      <c r="P7" s="90">
        <f>K7/E7</f>
        <v>0</v>
      </c>
      <c r="Q7" s="76">
        <v>3</v>
      </c>
      <c r="R7" s="76">
        <v>1</v>
      </c>
      <c r="S7" s="76" t="s">
        <v>61</v>
      </c>
      <c r="T7" s="5">
        <v>95</v>
      </c>
      <c r="U7" s="9"/>
      <c r="W7" s="85">
        <f t="shared" si="2"/>
        <v>95.6</v>
      </c>
      <c r="X7" s="86">
        <f t="shared" si="2"/>
        <v>29</v>
      </c>
      <c r="Y7" s="91">
        <f t="shared" si="3"/>
        <v>116</v>
      </c>
      <c r="Z7" s="89">
        <f t="shared" si="3"/>
        <v>0</v>
      </c>
      <c r="AA7" s="89">
        <f>K7</f>
        <v>0</v>
      </c>
      <c r="AB7" s="89">
        <f t="shared" si="4"/>
        <v>0</v>
      </c>
      <c r="AC7" s="4" t="str">
        <f t="shared" si="4"/>
        <v/>
      </c>
      <c r="AD7" s="90">
        <f t="shared" si="4"/>
        <v>0</v>
      </c>
      <c r="AE7" s="76" t="str">
        <f>S7</f>
        <v>계</v>
      </c>
      <c r="AF7" s="76" t="str">
        <f>Q7&amp;"/"&amp;R7</f>
        <v>3/1</v>
      </c>
      <c r="AH7" s="20" t="str">
        <f t="shared" si="1"/>
        <v>현대</v>
      </c>
      <c r="AI7" s="86">
        <f t="shared" si="0"/>
        <v>29</v>
      </c>
      <c r="AJ7" s="76" t="str">
        <f>IF(AI7="","",$AJ$2)</f>
        <v>A-</v>
      </c>
      <c r="AK7" s="76" t="s">
        <v>13</v>
      </c>
      <c r="AL7" s="76" t="s">
        <v>62</v>
      </c>
      <c r="AM7" s="76" t="s">
        <v>63</v>
      </c>
      <c r="AN7" s="76" t="str">
        <f>IF(AI7="","",$AN$2)</f>
        <v>C</v>
      </c>
      <c r="AO7" s="76" t="str">
        <f>IF(N7="","",IF(N7&gt;=$AO$1/100,"O","X"))</f>
        <v/>
      </c>
      <c r="AP7" s="76" t="str">
        <f>IF(I7="","",IF(I7&lt;=$AP$1,"O","X"))</f>
        <v/>
      </c>
      <c r="AQ7" s="76" t="str">
        <f>IF(O7="","",IF(O7&lt;=$AQ$1,"O","X"))</f>
        <v>O</v>
      </c>
      <c r="AR7" s="76" t="str">
        <f>IF(M7="","",IF(M7&lt;=$AR$1,"O","X"))</f>
        <v>O</v>
      </c>
      <c r="AS7" s="76" t="s">
        <v>2</v>
      </c>
      <c r="AT7" s="76" t="str">
        <f>IF(OR(F7="",AI7=""),"",IF(AND((F7&lt;=85),(AI7&gt;=15)),"O","X"))</f>
        <v>O</v>
      </c>
      <c r="AU7" s="76" t="str">
        <f>IF(C7="","",IF(C7&gt;=$AU$1,"O","X"))</f>
        <v>O</v>
      </c>
      <c r="AV7" s="76" t="str">
        <f>IF(AO7="","",IF(AND(AO7="O",AP7="O",AR7="O",AT7="O",AU7="O"),"후보","X"))</f>
        <v/>
      </c>
    </row>
    <row r="8" spans="1:48" x14ac:dyDescent="0.3">
      <c r="A8" s="9" t="s">
        <v>900</v>
      </c>
      <c r="B8" s="10" t="s">
        <v>1900</v>
      </c>
      <c r="C8" s="87">
        <v>539</v>
      </c>
      <c r="D8" s="85">
        <v>106.1</v>
      </c>
      <c r="E8" s="86">
        <v>32</v>
      </c>
      <c r="F8" s="85">
        <v>85</v>
      </c>
      <c r="G8" s="17">
        <v>26</v>
      </c>
      <c r="H8" s="87">
        <v>191</v>
      </c>
      <c r="I8" s="88">
        <v>19000</v>
      </c>
      <c r="J8" s="88" t="s">
        <v>131</v>
      </c>
      <c r="K8" s="88"/>
      <c r="L8" s="88"/>
      <c r="M8" s="89">
        <f>I8-K8</f>
        <v>19000</v>
      </c>
      <c r="N8" s="4">
        <f>IF(ISERROR(K8/I8),"",K8/I8)</f>
        <v>0</v>
      </c>
      <c r="O8" s="90">
        <f>I8/E8</f>
        <v>593.75</v>
      </c>
      <c r="P8" s="90">
        <f>K8/E8</f>
        <v>0</v>
      </c>
      <c r="Q8" s="76">
        <v>3</v>
      </c>
      <c r="R8" s="76">
        <v>2</v>
      </c>
      <c r="S8" s="76" t="s">
        <v>61</v>
      </c>
      <c r="T8" s="5">
        <v>106</v>
      </c>
      <c r="U8" s="9"/>
      <c r="W8" s="85">
        <f t="shared" si="2"/>
        <v>106.1</v>
      </c>
      <c r="X8" s="86">
        <f t="shared" si="2"/>
        <v>32</v>
      </c>
      <c r="Y8" s="91">
        <f t="shared" si="3"/>
        <v>191</v>
      </c>
      <c r="Z8" s="89">
        <f t="shared" si="3"/>
        <v>19000</v>
      </c>
      <c r="AA8" s="89">
        <f>K8</f>
        <v>0</v>
      </c>
      <c r="AB8" s="89">
        <f t="shared" si="4"/>
        <v>19000</v>
      </c>
      <c r="AC8" s="4">
        <f t="shared" si="4"/>
        <v>0</v>
      </c>
      <c r="AD8" s="90">
        <f t="shared" si="4"/>
        <v>593.75</v>
      </c>
      <c r="AE8" s="76" t="str">
        <f>S8</f>
        <v>계</v>
      </c>
      <c r="AF8" s="76" t="str">
        <f>Q8&amp;"/"&amp;R8</f>
        <v>3/2</v>
      </c>
      <c r="AH8" s="20" t="str">
        <f t="shared" si="1"/>
        <v>현대</v>
      </c>
      <c r="AI8" s="86">
        <f t="shared" si="0"/>
        <v>32</v>
      </c>
      <c r="AJ8" s="76" t="str">
        <f>IF(AI8="","",$AJ$2)</f>
        <v>A-</v>
      </c>
      <c r="AK8" s="76" t="s">
        <v>13</v>
      </c>
      <c r="AL8" s="76" t="s">
        <v>62</v>
      </c>
      <c r="AM8" s="76" t="s">
        <v>63</v>
      </c>
      <c r="AN8" s="76" t="str">
        <f>IF(AI8="","",$AN$2)</f>
        <v>C</v>
      </c>
      <c r="AO8" s="76" t="str">
        <f>IF(N8="","",IF(N8&gt;=$AO$1/100,"O","X"))</f>
        <v>X</v>
      </c>
      <c r="AP8" s="76" t="str">
        <f>IF(I8="","",IF(I8&lt;=$AP$1,"O","X"))</f>
        <v>O</v>
      </c>
      <c r="AQ8" s="76" t="str">
        <f>IF(O8="","",IF(O8&lt;=$AQ$1,"O","X"))</f>
        <v>O</v>
      </c>
      <c r="AR8" s="76" t="str">
        <f>IF(M8="","",IF(M8&lt;=$AR$1,"O","X"))</f>
        <v>X</v>
      </c>
      <c r="AS8" s="76" t="s">
        <v>2</v>
      </c>
      <c r="AT8" s="76" t="str">
        <f>IF(OR(F8="",AI8=""),"",IF(AND((F8&lt;=85),(AI8&gt;=15)),"O","X"))</f>
        <v>O</v>
      </c>
      <c r="AU8" s="76" t="str">
        <f>IF(C8="","",IF(C8&gt;=$AU$1,"O","X"))</f>
        <v>O</v>
      </c>
      <c r="AV8" s="76" t="str">
        <f>IF(AO8="","",IF(AND(AO8="O",AP8="O",AR8="O",AT8="O",AU8="O"),"후보","X"))</f>
        <v>X</v>
      </c>
    </row>
    <row r="9" spans="1:48" x14ac:dyDescent="0.3">
      <c r="A9" s="9"/>
      <c r="B9" s="76"/>
      <c r="C9" s="6"/>
      <c r="D9" s="9"/>
      <c r="E9" s="14"/>
      <c r="F9" s="85"/>
      <c r="G9" s="9"/>
      <c r="H9" s="9"/>
      <c r="I9" s="9"/>
      <c r="J9" s="9"/>
      <c r="K9" s="9"/>
      <c r="L9" s="9"/>
      <c r="M9" s="9"/>
      <c r="N9" s="9"/>
      <c r="O9" s="90"/>
      <c r="P9" s="90"/>
      <c r="Q9" s="86"/>
      <c r="R9" s="86"/>
      <c r="S9" s="9"/>
      <c r="T9" s="47"/>
      <c r="U9" s="9"/>
      <c r="W9" s="67" t="str">
        <f>$A$4&amp;" "&amp;A10&amp;"("&amp;B10&amp;","&amp;C10&amp;"^)"</f>
        <v>평화동2가 평화동신('98.06.,1558^)</v>
      </c>
      <c r="X9" s="68"/>
      <c r="Y9" s="68"/>
      <c r="Z9" s="68"/>
      <c r="AA9" s="68"/>
      <c r="AB9" s="68"/>
      <c r="AC9" s="68"/>
      <c r="AD9" s="68"/>
      <c r="AE9" s="68"/>
      <c r="AF9" s="69"/>
      <c r="AH9" s="20" t="str">
        <f t="shared" si="1"/>
        <v/>
      </c>
      <c r="AI9" s="108" t="str">
        <f t="shared" si="0"/>
        <v/>
      </c>
      <c r="AJ9" s="76"/>
      <c r="AK9" s="76"/>
      <c r="AL9" s="76"/>
      <c r="AM9" s="76"/>
      <c r="AN9" s="76"/>
      <c r="AO9" s="76"/>
      <c r="AP9" s="76"/>
      <c r="AQ9" s="76"/>
      <c r="AR9" s="76"/>
      <c r="AS9" s="76"/>
      <c r="AT9" s="76"/>
      <c r="AU9" s="76"/>
      <c r="AV9" s="76"/>
    </row>
    <row r="10" spans="1:48" x14ac:dyDescent="0.3">
      <c r="A10" s="9" t="s">
        <v>1331</v>
      </c>
      <c r="B10" s="10" t="s">
        <v>1865</v>
      </c>
      <c r="C10" s="87">
        <v>1558</v>
      </c>
      <c r="D10" s="85">
        <v>78.599999999999994</v>
      </c>
      <c r="E10" s="86">
        <v>24</v>
      </c>
      <c r="F10" s="85">
        <v>59.6</v>
      </c>
      <c r="G10" s="17">
        <v>18</v>
      </c>
      <c r="H10" s="87">
        <v>840</v>
      </c>
      <c r="I10" s="88">
        <v>13000</v>
      </c>
      <c r="J10" s="88" t="s">
        <v>89</v>
      </c>
      <c r="K10" s="88">
        <v>15000</v>
      </c>
      <c r="L10" s="88" t="s">
        <v>189</v>
      </c>
      <c r="M10" s="89">
        <f>I10-K10</f>
        <v>-2000</v>
      </c>
      <c r="N10" s="4">
        <f>IF(ISERROR(K10/I10),"",K10/I10)</f>
        <v>1.1538461538461537</v>
      </c>
      <c r="O10" s="90">
        <f>I10/E10</f>
        <v>541.66666666666663</v>
      </c>
      <c r="P10" s="90">
        <f>K10/E10</f>
        <v>625</v>
      </c>
      <c r="Q10" s="76">
        <v>3</v>
      </c>
      <c r="R10" s="76">
        <v>1</v>
      </c>
      <c r="S10" s="76" t="s">
        <v>61</v>
      </c>
      <c r="T10" s="5">
        <v>78</v>
      </c>
      <c r="U10" s="9"/>
      <c r="W10" s="85">
        <f t="shared" ref="W10:X13" si="5">D10</f>
        <v>78.599999999999994</v>
      </c>
      <c r="X10" s="86">
        <f t="shared" si="5"/>
        <v>24</v>
      </c>
      <c r="Y10" s="91">
        <f t="shared" ref="Y10:Z13" si="6">H10</f>
        <v>840</v>
      </c>
      <c r="Z10" s="89">
        <f t="shared" si="6"/>
        <v>13000</v>
      </c>
      <c r="AA10" s="89">
        <f>K10</f>
        <v>15000</v>
      </c>
      <c r="AB10" s="89">
        <f t="shared" ref="AB10:AD13" si="7">M10</f>
        <v>-2000</v>
      </c>
      <c r="AC10" s="4">
        <f t="shared" si="7"/>
        <v>1.1538461538461537</v>
      </c>
      <c r="AD10" s="90">
        <f t="shared" si="7"/>
        <v>541.66666666666663</v>
      </c>
      <c r="AE10" s="76" t="str">
        <f>S10</f>
        <v>계</v>
      </c>
      <c r="AF10" s="76" t="str">
        <f>Q10&amp;"/"&amp;R10</f>
        <v>3/1</v>
      </c>
      <c r="AH10" s="20" t="str">
        <f t="shared" si="1"/>
        <v>평화동신</v>
      </c>
      <c r="AI10" s="86">
        <f t="shared" si="0"/>
        <v>24</v>
      </c>
      <c r="AJ10" s="76" t="str">
        <f>IF(AI10="","",$AJ$2)</f>
        <v>A-</v>
      </c>
      <c r="AK10" s="76" t="s">
        <v>13</v>
      </c>
      <c r="AL10" s="76" t="s">
        <v>62</v>
      </c>
      <c r="AM10" s="76" t="s">
        <v>63</v>
      </c>
      <c r="AN10" s="76" t="str">
        <f>IF(AI10="","",$AN$2)</f>
        <v>C</v>
      </c>
      <c r="AO10" s="76" t="str">
        <f>IF(N10="","",IF(N10&gt;=$AO$1/100,"O","X"))</f>
        <v>O</v>
      </c>
      <c r="AP10" s="76" t="str">
        <f>IF(I10="","",IF(I10&lt;=$AP$1,"O","X"))</f>
        <v>O</v>
      </c>
      <c r="AQ10" s="76" t="str">
        <f>IF(O10="","",IF(O10&lt;=$AQ$1,"O","X"))</f>
        <v>O</v>
      </c>
      <c r="AR10" s="76" t="str">
        <f>IF(M10="","",IF(M10&lt;=$AR$1,"O","X"))</f>
        <v>O</v>
      </c>
      <c r="AS10" s="76" t="s">
        <v>2</v>
      </c>
      <c r="AT10" s="76" t="str">
        <f>IF(OR(F10="",AI10=""),"",IF(AND((F10&lt;=85),(AI10&gt;=15)),"O","X"))</f>
        <v>O</v>
      </c>
      <c r="AU10" s="76" t="str">
        <f>IF(C10="","",IF(C10&gt;=$AU$1,"O","X"))</f>
        <v>O</v>
      </c>
      <c r="AV10" s="76" t="str">
        <f>IF(AO10="","",IF(AND(AO10="O",AP10="O",AR10="O",AT10="O",AU10="O"),"후보","X"))</f>
        <v>후보</v>
      </c>
    </row>
    <row r="11" spans="1:48" x14ac:dyDescent="0.3">
      <c r="A11" s="9" t="s">
        <v>1331</v>
      </c>
      <c r="B11" s="10" t="s">
        <v>1865</v>
      </c>
      <c r="C11" s="87">
        <v>1558</v>
      </c>
      <c r="D11" s="85">
        <v>95.9</v>
      </c>
      <c r="E11" s="86">
        <v>29</v>
      </c>
      <c r="F11" s="85">
        <v>75.599999999999994</v>
      </c>
      <c r="G11" s="17">
        <v>23</v>
      </c>
      <c r="H11" s="87">
        <v>200</v>
      </c>
      <c r="I11" s="88">
        <v>15200</v>
      </c>
      <c r="J11" s="88" t="s">
        <v>83</v>
      </c>
      <c r="K11" s="88">
        <v>16500</v>
      </c>
      <c r="L11" s="88" t="s">
        <v>248</v>
      </c>
      <c r="M11" s="89">
        <f>I11-K11</f>
        <v>-1300</v>
      </c>
      <c r="N11" s="4">
        <f>IF(ISERROR(K11/I11),"",K11/I11)</f>
        <v>1.0855263157894737</v>
      </c>
      <c r="O11" s="90">
        <f>I11/E11</f>
        <v>524.13793103448279</v>
      </c>
      <c r="P11" s="90">
        <f>K11/E11</f>
        <v>568.9655172413793</v>
      </c>
      <c r="Q11" s="76">
        <v>3</v>
      </c>
      <c r="R11" s="76">
        <v>2</v>
      </c>
      <c r="S11" s="76" t="s">
        <v>61</v>
      </c>
      <c r="T11" s="5">
        <v>95</v>
      </c>
      <c r="U11" s="9"/>
      <c r="W11" s="85">
        <f t="shared" si="5"/>
        <v>95.9</v>
      </c>
      <c r="X11" s="86">
        <f t="shared" si="5"/>
        <v>29</v>
      </c>
      <c r="Y11" s="91">
        <f t="shared" si="6"/>
        <v>200</v>
      </c>
      <c r="Z11" s="89">
        <f t="shared" si="6"/>
        <v>15200</v>
      </c>
      <c r="AA11" s="89">
        <f>K11</f>
        <v>16500</v>
      </c>
      <c r="AB11" s="89">
        <f t="shared" si="7"/>
        <v>-1300</v>
      </c>
      <c r="AC11" s="4">
        <f t="shared" si="7"/>
        <v>1.0855263157894737</v>
      </c>
      <c r="AD11" s="90">
        <f t="shared" si="7"/>
        <v>524.13793103448279</v>
      </c>
      <c r="AE11" s="76" t="str">
        <f>S11</f>
        <v>계</v>
      </c>
      <c r="AF11" s="76" t="str">
        <f>Q11&amp;"/"&amp;R11</f>
        <v>3/2</v>
      </c>
      <c r="AH11" s="20" t="str">
        <f t="shared" si="1"/>
        <v>평화동신</v>
      </c>
      <c r="AI11" s="86">
        <f t="shared" si="0"/>
        <v>29</v>
      </c>
      <c r="AJ11" s="76" t="str">
        <f>IF(AI11="","",$AJ$2)</f>
        <v>A-</v>
      </c>
      <c r="AK11" s="76" t="s">
        <v>13</v>
      </c>
      <c r="AL11" s="76" t="s">
        <v>62</v>
      </c>
      <c r="AM11" s="76" t="s">
        <v>63</v>
      </c>
      <c r="AN11" s="76" t="str">
        <f>IF(AI11="","",$AN$2)</f>
        <v>C</v>
      </c>
      <c r="AO11" s="76" t="str">
        <f>IF(N11="","",IF(N11&gt;=$AO$1/100,"O","X"))</f>
        <v>O</v>
      </c>
      <c r="AP11" s="76" t="str">
        <f>IF(I11="","",IF(I11&lt;=$AP$1,"O","X"))</f>
        <v>O</v>
      </c>
      <c r="AQ11" s="76" t="str">
        <f>IF(O11="","",IF(O11&lt;=$AQ$1,"O","X"))</f>
        <v>O</v>
      </c>
      <c r="AR11" s="76" t="str">
        <f>IF(M11="","",IF(M11&lt;=$AR$1,"O","X"))</f>
        <v>O</v>
      </c>
      <c r="AS11" s="76" t="s">
        <v>2</v>
      </c>
      <c r="AT11" s="76" t="str">
        <f>IF(OR(F11="",AI11=""),"",IF(AND((F11&lt;=85),(AI11&gt;=15)),"O","X"))</f>
        <v>O</v>
      </c>
      <c r="AU11" s="76" t="str">
        <f>IF(C11="","",IF(C11&gt;=$AU$1,"O","X"))</f>
        <v>O</v>
      </c>
      <c r="AV11" s="76" t="str">
        <f>IF(AO11="","",IF(AND(AO11="O",AP11="O",AR11="O",AT11="O",AU11="O"),"후보","X"))</f>
        <v>후보</v>
      </c>
    </row>
    <row r="12" spans="1:48" x14ac:dyDescent="0.3">
      <c r="A12" s="9" t="s">
        <v>1331</v>
      </c>
      <c r="B12" s="10" t="s">
        <v>1865</v>
      </c>
      <c r="C12" s="87">
        <v>1558</v>
      </c>
      <c r="D12" s="85">
        <v>106.5</v>
      </c>
      <c r="E12" s="86">
        <v>32</v>
      </c>
      <c r="F12" s="85">
        <v>84.8</v>
      </c>
      <c r="G12" s="17">
        <v>26</v>
      </c>
      <c r="H12" s="87">
        <v>440</v>
      </c>
      <c r="I12" s="88">
        <v>18500</v>
      </c>
      <c r="J12" s="88" t="s">
        <v>248</v>
      </c>
      <c r="K12" s="88">
        <v>15000</v>
      </c>
      <c r="L12" s="88" t="s">
        <v>310</v>
      </c>
      <c r="M12" s="89">
        <f>I12-K12</f>
        <v>3500</v>
      </c>
      <c r="N12" s="4">
        <f>IF(ISERROR(K12/I12),"",K12/I12)</f>
        <v>0.81081081081081086</v>
      </c>
      <c r="O12" s="90">
        <f>I12/E12</f>
        <v>578.125</v>
      </c>
      <c r="P12" s="90">
        <f>K12/E12</f>
        <v>468.75</v>
      </c>
      <c r="Q12" s="76">
        <v>3</v>
      </c>
      <c r="R12" s="76">
        <v>2</v>
      </c>
      <c r="S12" s="76" t="s">
        <v>61</v>
      </c>
      <c r="T12" s="5">
        <v>106</v>
      </c>
      <c r="U12" s="9"/>
      <c r="W12" s="85">
        <f t="shared" si="5"/>
        <v>106.5</v>
      </c>
      <c r="X12" s="86">
        <f t="shared" si="5"/>
        <v>32</v>
      </c>
      <c r="Y12" s="91">
        <f t="shared" si="6"/>
        <v>440</v>
      </c>
      <c r="Z12" s="89">
        <f t="shared" si="6"/>
        <v>18500</v>
      </c>
      <c r="AA12" s="89">
        <f>K12</f>
        <v>15000</v>
      </c>
      <c r="AB12" s="89">
        <f t="shared" si="7"/>
        <v>3500</v>
      </c>
      <c r="AC12" s="4">
        <f t="shared" si="7"/>
        <v>0.81081081081081086</v>
      </c>
      <c r="AD12" s="90">
        <f t="shared" si="7"/>
        <v>578.125</v>
      </c>
      <c r="AE12" s="76" t="str">
        <f>S12</f>
        <v>계</v>
      </c>
      <c r="AF12" s="76" t="str">
        <f>Q12&amp;"/"&amp;R12</f>
        <v>3/2</v>
      </c>
      <c r="AH12" s="20" t="str">
        <f t="shared" si="1"/>
        <v>평화동신</v>
      </c>
      <c r="AI12" s="86">
        <f t="shared" si="0"/>
        <v>32</v>
      </c>
      <c r="AJ12" s="76" t="str">
        <f>IF(AI12="","",$AJ$2)</f>
        <v>A-</v>
      </c>
      <c r="AK12" s="76" t="s">
        <v>13</v>
      </c>
      <c r="AL12" s="76" t="s">
        <v>62</v>
      </c>
      <c r="AM12" s="76" t="s">
        <v>63</v>
      </c>
      <c r="AN12" s="76" t="str">
        <f>IF(AI12="","",$AN$2)</f>
        <v>C</v>
      </c>
      <c r="AO12" s="76" t="str">
        <f>IF(N12="","",IF(N12&gt;=$AO$1/100,"O","X"))</f>
        <v>O</v>
      </c>
      <c r="AP12" s="76" t="str">
        <f>IF(I12="","",IF(I12&lt;=$AP$1,"O","X"))</f>
        <v>O</v>
      </c>
      <c r="AQ12" s="76" t="str">
        <f>IF(O12="","",IF(O12&lt;=$AQ$1,"O","X"))</f>
        <v>O</v>
      </c>
      <c r="AR12" s="76" t="str">
        <f>IF(M12="","",IF(M12&lt;=$AR$1,"O","X"))</f>
        <v>O</v>
      </c>
      <c r="AS12" s="76" t="s">
        <v>2</v>
      </c>
      <c r="AT12" s="76" t="str">
        <f>IF(OR(F12="",AI12=""),"",IF(AND((F12&lt;=85),(AI12&gt;=15)),"O","X"))</f>
        <v>O</v>
      </c>
      <c r="AU12" s="76" t="str">
        <f>IF(C12="","",IF(C12&gt;=$AU$1,"O","X"))</f>
        <v>O</v>
      </c>
      <c r="AV12" s="76" t="str">
        <f>IF(AO12="","",IF(AND(AO12="O",AP12="O",AR12="O",AT12="O",AU12="O"),"후보","X"))</f>
        <v>후보</v>
      </c>
    </row>
    <row r="13" spans="1:48" x14ac:dyDescent="0.3">
      <c r="A13" s="9" t="s">
        <v>1331</v>
      </c>
      <c r="B13" s="10" t="s">
        <v>1865</v>
      </c>
      <c r="C13" s="87">
        <v>1558</v>
      </c>
      <c r="D13" s="85">
        <v>145.19999999999999</v>
      </c>
      <c r="E13" s="86">
        <v>44</v>
      </c>
      <c r="F13" s="85">
        <v>119.1</v>
      </c>
      <c r="G13" s="17">
        <v>36</v>
      </c>
      <c r="H13" s="87">
        <v>78</v>
      </c>
      <c r="I13" s="88"/>
      <c r="J13" s="88"/>
      <c r="K13" s="88"/>
      <c r="L13" s="88"/>
      <c r="M13" s="89">
        <f>I13-K13</f>
        <v>0</v>
      </c>
      <c r="N13" s="4" t="str">
        <f>IF(ISERROR(K13/I13),"",K13/I13)</f>
        <v/>
      </c>
      <c r="O13" s="90">
        <f>I13/E13</f>
        <v>0</v>
      </c>
      <c r="P13" s="90">
        <f>K13/E13</f>
        <v>0</v>
      </c>
      <c r="Q13" s="76">
        <v>4</v>
      </c>
      <c r="R13" s="76">
        <v>2</v>
      </c>
      <c r="S13" s="76" t="s">
        <v>61</v>
      </c>
      <c r="T13" s="5">
        <v>145</v>
      </c>
      <c r="U13" s="9"/>
      <c r="W13" s="85">
        <f t="shared" si="5"/>
        <v>145.19999999999999</v>
      </c>
      <c r="X13" s="86">
        <f t="shared" si="5"/>
        <v>44</v>
      </c>
      <c r="Y13" s="91">
        <f t="shared" si="6"/>
        <v>78</v>
      </c>
      <c r="Z13" s="89">
        <f t="shared" si="6"/>
        <v>0</v>
      </c>
      <c r="AA13" s="89">
        <f>K13</f>
        <v>0</v>
      </c>
      <c r="AB13" s="89">
        <f t="shared" si="7"/>
        <v>0</v>
      </c>
      <c r="AC13" s="4" t="str">
        <f t="shared" si="7"/>
        <v/>
      </c>
      <c r="AD13" s="90">
        <f t="shared" si="7"/>
        <v>0</v>
      </c>
      <c r="AE13" s="76" t="str">
        <f>S13</f>
        <v>계</v>
      </c>
      <c r="AF13" s="76" t="str">
        <f>Q13&amp;"/"&amp;R13</f>
        <v>4/2</v>
      </c>
      <c r="AH13" s="20" t="str">
        <f t="shared" si="1"/>
        <v>평화동신</v>
      </c>
      <c r="AI13" s="86">
        <f t="shared" si="0"/>
        <v>44</v>
      </c>
      <c r="AJ13" s="76" t="str">
        <f>IF(AI13="","",$AJ$2)</f>
        <v>A-</v>
      </c>
      <c r="AK13" s="76" t="s">
        <v>13</v>
      </c>
      <c r="AL13" s="76" t="s">
        <v>62</v>
      </c>
      <c r="AM13" s="76" t="s">
        <v>63</v>
      </c>
      <c r="AN13" s="76" t="str">
        <f>IF(AI13="","",$AN$2)</f>
        <v>C</v>
      </c>
      <c r="AO13" s="76" t="str">
        <f>IF(N13="","",IF(N13&gt;=$AO$1/100,"O","X"))</f>
        <v/>
      </c>
      <c r="AP13" s="76" t="str">
        <f>IF(I13="","",IF(I13&lt;=$AP$1,"O","X"))</f>
        <v/>
      </c>
      <c r="AQ13" s="76" t="str">
        <f>IF(O13="","",IF(O13&lt;=$AQ$1,"O","X"))</f>
        <v>O</v>
      </c>
      <c r="AR13" s="76" t="str">
        <f>IF(M13="","",IF(M13&lt;=$AR$1,"O","X"))</f>
        <v>O</v>
      </c>
      <c r="AS13" s="76" t="s">
        <v>2</v>
      </c>
      <c r="AT13" s="76" t="str">
        <f>IF(OR(F13="",AI13=""),"",IF(AND((F13&lt;=85),(AI13&gt;=15)),"O","X"))</f>
        <v>X</v>
      </c>
      <c r="AU13" s="76" t="str">
        <f>IF(C13="","",IF(C13&gt;=$AU$1,"O","X"))</f>
        <v>O</v>
      </c>
      <c r="AV13" s="76" t="str">
        <f>IF(AO13="","",IF(AND(AO13="O",AP13="O",AR13="O",AT13="O",AU13="O"),"후보","X"))</f>
        <v/>
      </c>
    </row>
    <row r="14" spans="1:48" x14ac:dyDescent="0.3">
      <c r="A14" s="9"/>
      <c r="B14" s="76"/>
      <c r="C14" s="6"/>
      <c r="D14" s="9"/>
      <c r="E14" s="14"/>
      <c r="F14" s="85"/>
      <c r="G14" s="9"/>
      <c r="H14" s="9"/>
      <c r="I14" s="9"/>
      <c r="J14" s="9"/>
      <c r="K14" s="9"/>
      <c r="L14" s="9"/>
      <c r="M14" s="9"/>
      <c r="N14" s="9"/>
      <c r="O14" s="90"/>
      <c r="P14" s="90"/>
      <c r="Q14" s="86"/>
      <c r="R14" s="86"/>
      <c r="S14" s="9"/>
      <c r="T14" s="47"/>
      <c r="U14" s="9"/>
      <c r="W14" s="67" t="str">
        <f>$A$4&amp;" "&amp;A15&amp;"("&amp;B15&amp;","&amp;C15&amp;"^)"</f>
        <v>평화동2가 평화두산경복궁('05.04.,477^)</v>
      </c>
      <c r="X14" s="68"/>
      <c r="Y14" s="68"/>
      <c r="Z14" s="68"/>
      <c r="AA14" s="68"/>
      <c r="AB14" s="68"/>
      <c r="AC14" s="68"/>
      <c r="AD14" s="68"/>
      <c r="AE14" s="68"/>
      <c r="AF14" s="69"/>
      <c r="AH14" s="20" t="str">
        <f t="shared" si="1"/>
        <v/>
      </c>
      <c r="AI14" s="108" t="str">
        <f t="shared" si="0"/>
        <v/>
      </c>
      <c r="AJ14" s="76"/>
      <c r="AK14" s="76"/>
      <c r="AL14" s="76"/>
      <c r="AM14" s="76"/>
      <c r="AN14" s="76"/>
      <c r="AO14" s="76"/>
      <c r="AP14" s="76"/>
      <c r="AQ14" s="76"/>
      <c r="AR14" s="76"/>
      <c r="AS14" s="76"/>
      <c r="AT14" s="76"/>
      <c r="AU14" s="76"/>
      <c r="AV14" s="76"/>
    </row>
    <row r="15" spans="1:48" x14ac:dyDescent="0.3">
      <c r="A15" s="9" t="s">
        <v>1335</v>
      </c>
      <c r="B15" s="10" t="s">
        <v>1901</v>
      </c>
      <c r="C15" s="87">
        <v>477</v>
      </c>
      <c r="D15" s="85">
        <v>80</v>
      </c>
      <c r="E15" s="86">
        <v>24</v>
      </c>
      <c r="F15" s="85">
        <v>59.9</v>
      </c>
      <c r="G15" s="17">
        <v>18</v>
      </c>
      <c r="H15" s="87">
        <v>129</v>
      </c>
      <c r="I15" s="88">
        <v>15700</v>
      </c>
      <c r="J15" s="88" t="s">
        <v>84</v>
      </c>
      <c r="K15" s="88"/>
      <c r="L15" s="88"/>
      <c r="M15" s="89">
        <f>I15-K15</f>
        <v>15700</v>
      </c>
      <c r="N15" s="4">
        <f>IF(ISERROR(K15/I15),"",K15/I15)</f>
        <v>0</v>
      </c>
      <c r="O15" s="90">
        <f>I15/E15</f>
        <v>654.16666666666663</v>
      </c>
      <c r="P15" s="90">
        <f>K15/E15</f>
        <v>0</v>
      </c>
      <c r="Q15" s="76">
        <v>3</v>
      </c>
      <c r="R15" s="76">
        <v>1</v>
      </c>
      <c r="S15" s="76" t="s">
        <v>61</v>
      </c>
      <c r="T15" s="5">
        <v>80</v>
      </c>
      <c r="U15" s="9"/>
      <c r="W15" s="85">
        <f>D15</f>
        <v>80</v>
      </c>
      <c r="X15" s="86">
        <f>E15</f>
        <v>24</v>
      </c>
      <c r="Y15" s="91">
        <f>H15</f>
        <v>129</v>
      </c>
      <c r="Z15" s="89">
        <f>I15</f>
        <v>15700</v>
      </c>
      <c r="AA15" s="89">
        <f>K15</f>
        <v>0</v>
      </c>
      <c r="AB15" s="89">
        <f t="shared" ref="AB15:AD16" si="8">M15</f>
        <v>15700</v>
      </c>
      <c r="AC15" s="4">
        <f t="shared" si="8"/>
        <v>0</v>
      </c>
      <c r="AD15" s="90">
        <f t="shared" si="8"/>
        <v>654.16666666666663</v>
      </c>
      <c r="AE15" s="76" t="str">
        <f>S15</f>
        <v>계</v>
      </c>
      <c r="AF15" s="76" t="str">
        <f>Q15&amp;"/"&amp;R15</f>
        <v>3/1</v>
      </c>
      <c r="AH15" s="20" t="str">
        <f t="shared" si="1"/>
        <v>평화두산경복궁</v>
      </c>
      <c r="AI15" s="86">
        <f t="shared" si="0"/>
        <v>24</v>
      </c>
      <c r="AJ15" s="76" t="str">
        <f>IF(AI15="","",$AJ$2)</f>
        <v>A-</v>
      </c>
      <c r="AK15" s="76" t="s">
        <v>13</v>
      </c>
      <c r="AL15" s="76" t="s">
        <v>62</v>
      </c>
      <c r="AM15" s="76" t="s">
        <v>63</v>
      </c>
      <c r="AN15" s="76" t="str">
        <f>IF(AI15="","",$AN$2)</f>
        <v>C</v>
      </c>
      <c r="AO15" s="76" t="str">
        <f>IF(N15="","",IF(N15&gt;=$AO$1/100,"O","X"))</f>
        <v>X</v>
      </c>
      <c r="AP15" s="76" t="str">
        <f>IF(I15="","",IF(I15&lt;=$AP$1,"O","X"))</f>
        <v>O</v>
      </c>
      <c r="AQ15" s="76" t="str">
        <f>IF(O15="","",IF(O15&lt;=$AQ$1,"O","X"))</f>
        <v>O</v>
      </c>
      <c r="AR15" s="76" t="str">
        <f>IF(M15="","",IF(M15&lt;=$AR$1,"O","X"))</f>
        <v>X</v>
      </c>
      <c r="AS15" s="76" t="s">
        <v>2</v>
      </c>
      <c r="AT15" s="76" t="str">
        <f>IF(OR(F15="",AI15=""),"",IF(AND((F15&lt;=85),(AI15&gt;=15)),"O","X"))</f>
        <v>O</v>
      </c>
      <c r="AU15" s="76" t="str">
        <f>IF(C15="","",IF(C15&gt;=$AU$1,"O","X"))</f>
        <v>O</v>
      </c>
      <c r="AV15" s="76" t="str">
        <f>IF(AO15="","",IF(AND(AO15="O",AP15="O",AR15="O",AT15="O",AU15="O"),"후보","X"))</f>
        <v>X</v>
      </c>
    </row>
    <row r="16" spans="1:48" x14ac:dyDescent="0.3">
      <c r="A16" s="9" t="s">
        <v>1335</v>
      </c>
      <c r="B16" s="10" t="s">
        <v>1901</v>
      </c>
      <c r="C16" s="87">
        <v>477</v>
      </c>
      <c r="D16" s="85">
        <v>112.7</v>
      </c>
      <c r="E16" s="86">
        <v>34</v>
      </c>
      <c r="F16" s="85">
        <v>84.6</v>
      </c>
      <c r="G16" s="17">
        <v>26</v>
      </c>
      <c r="H16" s="87">
        <v>348</v>
      </c>
      <c r="I16" s="88">
        <v>21000</v>
      </c>
      <c r="J16" s="88" t="s">
        <v>310</v>
      </c>
      <c r="K16" s="88"/>
      <c r="L16" s="88"/>
      <c r="M16" s="89">
        <f>I16-K16</f>
        <v>21000</v>
      </c>
      <c r="N16" s="4">
        <f>IF(ISERROR(K16/I16),"",K16/I16)</f>
        <v>0</v>
      </c>
      <c r="O16" s="90">
        <f>I16/E16</f>
        <v>617.64705882352939</v>
      </c>
      <c r="P16" s="90">
        <f>K16/E16</f>
        <v>0</v>
      </c>
      <c r="Q16" s="76">
        <v>3</v>
      </c>
      <c r="R16" s="76">
        <v>2</v>
      </c>
      <c r="S16" s="76" t="s">
        <v>61</v>
      </c>
      <c r="T16" s="5">
        <v>112</v>
      </c>
      <c r="U16" s="9"/>
      <c r="W16" s="85">
        <f>D16</f>
        <v>112.7</v>
      </c>
      <c r="X16" s="86">
        <f>E16</f>
        <v>34</v>
      </c>
      <c r="Y16" s="91">
        <f>H16</f>
        <v>348</v>
      </c>
      <c r="Z16" s="89">
        <f>I16</f>
        <v>21000</v>
      </c>
      <c r="AA16" s="89">
        <f>K16</f>
        <v>0</v>
      </c>
      <c r="AB16" s="89">
        <f t="shared" si="8"/>
        <v>21000</v>
      </c>
      <c r="AC16" s="4">
        <f t="shared" si="8"/>
        <v>0</v>
      </c>
      <c r="AD16" s="90">
        <f t="shared" si="8"/>
        <v>617.64705882352939</v>
      </c>
      <c r="AE16" s="76" t="str">
        <f>S16</f>
        <v>계</v>
      </c>
      <c r="AF16" s="76" t="str">
        <f>Q16&amp;"/"&amp;R16</f>
        <v>3/2</v>
      </c>
      <c r="AH16" s="20" t="str">
        <f t="shared" si="1"/>
        <v>평화두산경복궁</v>
      </c>
      <c r="AI16" s="86">
        <f t="shared" si="0"/>
        <v>34</v>
      </c>
      <c r="AJ16" s="76" t="str">
        <f>IF(AI16="","",$AJ$2)</f>
        <v>A-</v>
      </c>
      <c r="AK16" s="76" t="s">
        <v>13</v>
      </c>
      <c r="AL16" s="76" t="s">
        <v>62</v>
      </c>
      <c r="AM16" s="76" t="s">
        <v>63</v>
      </c>
      <c r="AN16" s="76" t="str">
        <f>IF(AI16="","",$AN$2)</f>
        <v>C</v>
      </c>
      <c r="AO16" s="76" t="str">
        <f>IF(N16="","",IF(N16&gt;=$AO$1/100,"O","X"))</f>
        <v>X</v>
      </c>
      <c r="AP16" s="76" t="str">
        <f>IF(I16="","",IF(I16&lt;=$AP$1,"O","X"))</f>
        <v>O</v>
      </c>
      <c r="AQ16" s="76" t="str">
        <f>IF(O16="","",IF(O16&lt;=$AQ$1,"O","X"))</f>
        <v>O</v>
      </c>
      <c r="AR16" s="76" t="str">
        <f>IF(M16="","",IF(M16&lt;=$AR$1,"O","X"))</f>
        <v>X</v>
      </c>
      <c r="AS16" s="76" t="s">
        <v>2</v>
      </c>
      <c r="AT16" s="76" t="str">
        <f>IF(OR(F16="",AI16=""),"",IF(AND((F16&lt;=85),(AI16&gt;=15)),"O","X"))</f>
        <v>O</v>
      </c>
      <c r="AU16" s="76" t="str">
        <f>IF(C16="","",IF(C16&gt;=$AU$1,"O","X"))</f>
        <v>O</v>
      </c>
      <c r="AV16" s="76" t="str">
        <f>IF(AO16="","",IF(AND(AO16="O",AP16="O",AR16="O",AT16="O",AU16="O"),"후보","X"))</f>
        <v>X</v>
      </c>
    </row>
    <row r="17" spans="1:48" x14ac:dyDescent="0.3">
      <c r="A17" s="9"/>
      <c r="B17" s="76"/>
      <c r="C17" s="6"/>
      <c r="D17" s="9"/>
      <c r="E17" s="14"/>
      <c r="F17" s="85"/>
      <c r="G17" s="9"/>
      <c r="H17" s="9"/>
      <c r="I17" s="9"/>
      <c r="J17" s="9"/>
      <c r="K17" s="9"/>
      <c r="L17" s="9"/>
      <c r="M17" s="9"/>
      <c r="N17" s="9"/>
      <c r="O17" s="90"/>
      <c r="P17" s="90"/>
      <c r="Q17" s="86"/>
      <c r="R17" s="86"/>
      <c r="S17" s="9"/>
      <c r="T17" s="47"/>
      <c r="U17" s="9"/>
      <c r="W17" s="67" t="str">
        <f>$A$4&amp;" "&amp;A18&amp;"("&amp;B18&amp;","&amp;C18&amp;"^)"</f>
        <v>평화동2가 동도미소드림('04.10.,541^)</v>
      </c>
      <c r="X17" s="68"/>
      <c r="Y17" s="68"/>
      <c r="Z17" s="68"/>
      <c r="AA17" s="68"/>
      <c r="AB17" s="68"/>
      <c r="AC17" s="68"/>
      <c r="AD17" s="68"/>
      <c r="AE17" s="68"/>
      <c r="AF17" s="69"/>
      <c r="AH17" s="20" t="str">
        <f t="shared" si="1"/>
        <v/>
      </c>
      <c r="AI17" s="108" t="str">
        <f t="shared" si="0"/>
        <v/>
      </c>
      <c r="AJ17" s="76"/>
      <c r="AK17" s="76"/>
      <c r="AL17" s="76"/>
      <c r="AM17" s="76"/>
      <c r="AN17" s="76"/>
      <c r="AO17" s="76"/>
      <c r="AP17" s="76"/>
      <c r="AQ17" s="76"/>
      <c r="AR17" s="76"/>
      <c r="AS17" s="76"/>
      <c r="AT17" s="76"/>
      <c r="AU17" s="76"/>
      <c r="AV17" s="76"/>
    </row>
    <row r="18" spans="1:48" x14ac:dyDescent="0.3">
      <c r="A18" s="9" t="s">
        <v>1340</v>
      </c>
      <c r="B18" s="10" t="s">
        <v>1902</v>
      </c>
      <c r="C18" s="87">
        <v>541</v>
      </c>
      <c r="D18" s="85">
        <v>113.1</v>
      </c>
      <c r="E18" s="86">
        <v>34</v>
      </c>
      <c r="F18" s="85">
        <v>85</v>
      </c>
      <c r="G18" s="17">
        <v>26</v>
      </c>
      <c r="H18" s="87">
        <v>450</v>
      </c>
      <c r="I18" s="88">
        <v>23500</v>
      </c>
      <c r="J18" s="88" t="s">
        <v>84</v>
      </c>
      <c r="K18" s="88"/>
      <c r="L18" s="88"/>
      <c r="M18" s="89">
        <f>I18-K18</f>
        <v>23500</v>
      </c>
      <c r="N18" s="4">
        <f>IF(ISERROR(K18/I18),"",K18/I18)</f>
        <v>0</v>
      </c>
      <c r="O18" s="90">
        <f>I18/E18</f>
        <v>691.17647058823525</v>
      </c>
      <c r="P18" s="90">
        <f>K18/E18</f>
        <v>0</v>
      </c>
      <c r="Q18" s="76">
        <v>3</v>
      </c>
      <c r="R18" s="76">
        <v>2</v>
      </c>
      <c r="S18" s="76" t="s">
        <v>61</v>
      </c>
      <c r="T18" s="5">
        <v>113</v>
      </c>
      <c r="U18" s="9"/>
      <c r="W18" s="85">
        <f t="shared" ref="W18:X20" si="9">D18</f>
        <v>113.1</v>
      </c>
      <c r="X18" s="86">
        <f t="shared" si="9"/>
        <v>34</v>
      </c>
      <c r="Y18" s="91">
        <f t="shared" ref="Y18:Z20" si="10">H18</f>
        <v>450</v>
      </c>
      <c r="Z18" s="89">
        <f t="shared" si="10"/>
        <v>23500</v>
      </c>
      <c r="AA18" s="89">
        <f>K18</f>
        <v>0</v>
      </c>
      <c r="AB18" s="89">
        <f t="shared" ref="AB18:AD20" si="11">M18</f>
        <v>23500</v>
      </c>
      <c r="AC18" s="4">
        <f t="shared" si="11"/>
        <v>0</v>
      </c>
      <c r="AD18" s="90">
        <f t="shared" si="11"/>
        <v>691.17647058823525</v>
      </c>
      <c r="AE18" s="76" t="str">
        <f>S18</f>
        <v>계</v>
      </c>
      <c r="AF18" s="76" t="str">
        <f>Q18&amp;"/"&amp;R18</f>
        <v>3/2</v>
      </c>
      <c r="AH18" s="20" t="str">
        <f t="shared" si="1"/>
        <v>동도미소드림</v>
      </c>
      <c r="AI18" s="86">
        <f t="shared" si="0"/>
        <v>34</v>
      </c>
      <c r="AJ18" s="76" t="str">
        <f>IF(AI18="","",$AJ$2)</f>
        <v>A-</v>
      </c>
      <c r="AK18" s="76" t="s">
        <v>13</v>
      </c>
      <c r="AL18" s="76" t="s">
        <v>62</v>
      </c>
      <c r="AM18" s="76" t="s">
        <v>63</v>
      </c>
      <c r="AN18" s="76" t="str">
        <f>IF(AI18="","",$AN$2)</f>
        <v>C</v>
      </c>
      <c r="AO18" s="76" t="str">
        <f>IF(N18="","",IF(N18&gt;=$AO$1/100,"O","X"))</f>
        <v>X</v>
      </c>
      <c r="AP18" s="76" t="str">
        <f>IF(I18="","",IF(I18&lt;=$AP$1,"O","X"))</f>
        <v>O</v>
      </c>
      <c r="AQ18" s="76" t="str">
        <f>IF(O18="","",IF(O18&lt;=$AQ$1,"O","X"))</f>
        <v>O</v>
      </c>
      <c r="AR18" s="76" t="str">
        <f>IF(M18="","",IF(M18&lt;=$AR$1,"O","X"))</f>
        <v>X</v>
      </c>
      <c r="AS18" s="76" t="s">
        <v>2</v>
      </c>
      <c r="AT18" s="76" t="str">
        <f>IF(OR(F18="",AI18=""),"",IF(AND((F18&lt;=85),(AI18&gt;=15)),"O","X"))</f>
        <v>O</v>
      </c>
      <c r="AU18" s="76" t="str">
        <f>IF(C18="","",IF(C18&gt;=$AU$1,"O","X"))</f>
        <v>O</v>
      </c>
      <c r="AV18" s="76" t="str">
        <f>IF(AO18="","",IF(AND(AO18="O",AP18="O",AR18="O",AT18="O",AU18="O"),"후보","X"))</f>
        <v>X</v>
      </c>
    </row>
    <row r="19" spans="1:48" x14ac:dyDescent="0.3">
      <c r="A19" s="9" t="s">
        <v>1340</v>
      </c>
      <c r="B19" s="10" t="s">
        <v>1902</v>
      </c>
      <c r="C19" s="87">
        <v>541</v>
      </c>
      <c r="D19" s="85">
        <v>136.80000000000001</v>
      </c>
      <c r="E19" s="86">
        <v>41</v>
      </c>
      <c r="F19" s="85">
        <v>110.3</v>
      </c>
      <c r="G19" s="17">
        <v>33</v>
      </c>
      <c r="H19" s="87">
        <v>71</v>
      </c>
      <c r="I19" s="88">
        <v>29500</v>
      </c>
      <c r="J19" s="88" t="s">
        <v>75</v>
      </c>
      <c r="K19" s="88"/>
      <c r="L19" s="88"/>
      <c r="M19" s="89">
        <f>I19-K19</f>
        <v>29500</v>
      </c>
      <c r="N19" s="4">
        <f>IF(ISERROR(K19/I19),"",K19/I19)</f>
        <v>0</v>
      </c>
      <c r="O19" s="90">
        <f>I19/E19</f>
        <v>719.51219512195121</v>
      </c>
      <c r="P19" s="90">
        <f>K19/E19</f>
        <v>0</v>
      </c>
      <c r="Q19" s="76">
        <v>3</v>
      </c>
      <c r="R19" s="76">
        <v>2</v>
      </c>
      <c r="S19" s="76" t="s">
        <v>61</v>
      </c>
      <c r="T19" s="5">
        <v>136</v>
      </c>
      <c r="U19" s="9"/>
      <c r="W19" s="85">
        <f t="shared" si="9"/>
        <v>136.80000000000001</v>
      </c>
      <c r="X19" s="86">
        <f t="shared" si="9"/>
        <v>41</v>
      </c>
      <c r="Y19" s="91">
        <f t="shared" si="10"/>
        <v>71</v>
      </c>
      <c r="Z19" s="89">
        <f t="shared" si="10"/>
        <v>29500</v>
      </c>
      <c r="AA19" s="89">
        <f>K19</f>
        <v>0</v>
      </c>
      <c r="AB19" s="89">
        <f t="shared" si="11"/>
        <v>29500</v>
      </c>
      <c r="AC19" s="4">
        <f t="shared" si="11"/>
        <v>0</v>
      </c>
      <c r="AD19" s="90">
        <f t="shared" si="11"/>
        <v>719.51219512195121</v>
      </c>
      <c r="AE19" s="76" t="str">
        <f>S19</f>
        <v>계</v>
      </c>
      <c r="AF19" s="76" t="str">
        <f>Q19&amp;"/"&amp;R19</f>
        <v>3/2</v>
      </c>
      <c r="AH19" s="20" t="str">
        <f t="shared" si="1"/>
        <v>동도미소드림</v>
      </c>
      <c r="AI19" s="86">
        <f t="shared" si="0"/>
        <v>41</v>
      </c>
      <c r="AJ19" s="76" t="str">
        <f>IF(AI19="","",$AJ$2)</f>
        <v>A-</v>
      </c>
      <c r="AK19" s="76" t="s">
        <v>13</v>
      </c>
      <c r="AL19" s="76" t="s">
        <v>62</v>
      </c>
      <c r="AM19" s="76" t="s">
        <v>63</v>
      </c>
      <c r="AN19" s="76" t="str">
        <f>IF(AI19="","",$AN$2)</f>
        <v>C</v>
      </c>
      <c r="AO19" s="76" t="str">
        <f>IF(N19="","",IF(N19&gt;=$AO$1/100,"O","X"))</f>
        <v>X</v>
      </c>
      <c r="AP19" s="76" t="str">
        <f>IF(I19="","",IF(I19&lt;=$AP$1,"O","X"))</f>
        <v>O</v>
      </c>
      <c r="AQ19" s="76" t="str">
        <f>IF(O19="","",IF(O19&lt;=$AQ$1,"O","X"))</f>
        <v>O</v>
      </c>
      <c r="AR19" s="76" t="str">
        <f>IF(M19="","",IF(M19&lt;=$AR$1,"O","X"))</f>
        <v>X</v>
      </c>
      <c r="AS19" s="76" t="s">
        <v>2</v>
      </c>
      <c r="AT19" s="76" t="str">
        <f>IF(OR(F19="",AI19=""),"",IF(AND((F19&lt;=85),(AI19&gt;=15)),"O","X"))</f>
        <v>X</v>
      </c>
      <c r="AU19" s="76" t="str">
        <f>IF(C19="","",IF(C19&gt;=$AU$1,"O","X"))</f>
        <v>O</v>
      </c>
      <c r="AV19" s="76" t="str">
        <f>IF(AO19="","",IF(AND(AO19="O",AP19="O",AR19="O",AT19="O",AU19="O"),"후보","X"))</f>
        <v>X</v>
      </c>
    </row>
    <row r="20" spans="1:48" x14ac:dyDescent="0.3">
      <c r="A20" s="9" t="s">
        <v>1340</v>
      </c>
      <c r="B20" s="10" t="s">
        <v>1902</v>
      </c>
      <c r="C20" s="87">
        <v>541</v>
      </c>
      <c r="D20" s="85">
        <v>155.30000000000001</v>
      </c>
      <c r="E20" s="86">
        <v>47</v>
      </c>
      <c r="F20" s="85">
        <v>123.8</v>
      </c>
      <c r="G20" s="17">
        <v>37</v>
      </c>
      <c r="H20" s="87">
        <v>20</v>
      </c>
      <c r="I20" s="88"/>
      <c r="J20" s="88"/>
      <c r="K20" s="88"/>
      <c r="L20" s="88"/>
      <c r="M20" s="89">
        <f>I20-K20</f>
        <v>0</v>
      </c>
      <c r="N20" s="4" t="str">
        <f>IF(ISERROR(K20/I20),"",K20/I20)</f>
        <v/>
      </c>
      <c r="O20" s="90">
        <f>I20/E20</f>
        <v>0</v>
      </c>
      <c r="P20" s="90">
        <f>K20/E20</f>
        <v>0</v>
      </c>
      <c r="Q20" s="76">
        <v>4</v>
      </c>
      <c r="R20" s="76">
        <v>2</v>
      </c>
      <c r="S20" s="76" t="s">
        <v>61</v>
      </c>
      <c r="T20" s="5">
        <v>155</v>
      </c>
      <c r="U20" s="9"/>
      <c r="W20" s="85">
        <f t="shared" si="9"/>
        <v>155.30000000000001</v>
      </c>
      <c r="X20" s="86">
        <f t="shared" si="9"/>
        <v>47</v>
      </c>
      <c r="Y20" s="91">
        <f t="shared" si="10"/>
        <v>20</v>
      </c>
      <c r="Z20" s="89">
        <f t="shared" si="10"/>
        <v>0</v>
      </c>
      <c r="AA20" s="89">
        <f>K20</f>
        <v>0</v>
      </c>
      <c r="AB20" s="89">
        <f t="shared" si="11"/>
        <v>0</v>
      </c>
      <c r="AC20" s="4" t="str">
        <f t="shared" si="11"/>
        <v/>
      </c>
      <c r="AD20" s="90">
        <f t="shared" si="11"/>
        <v>0</v>
      </c>
      <c r="AE20" s="76" t="str">
        <f>S20</f>
        <v>계</v>
      </c>
      <c r="AF20" s="76" t="str">
        <f>Q20&amp;"/"&amp;R20</f>
        <v>4/2</v>
      </c>
      <c r="AH20" s="20" t="str">
        <f t="shared" si="1"/>
        <v>동도미소드림</v>
      </c>
      <c r="AI20" s="86">
        <f t="shared" si="0"/>
        <v>47</v>
      </c>
      <c r="AJ20" s="76" t="str">
        <f>IF(AI20="","",$AJ$2)</f>
        <v>A-</v>
      </c>
      <c r="AK20" s="76" t="s">
        <v>13</v>
      </c>
      <c r="AL20" s="76" t="s">
        <v>62</v>
      </c>
      <c r="AM20" s="76" t="s">
        <v>63</v>
      </c>
      <c r="AN20" s="76" t="str">
        <f>IF(AI20="","",$AN$2)</f>
        <v>C</v>
      </c>
      <c r="AO20" s="76" t="str">
        <f>IF(N20="","",IF(N20&gt;=$AO$1/100,"O","X"))</f>
        <v/>
      </c>
      <c r="AP20" s="76" t="str">
        <f>IF(I20="","",IF(I20&lt;=$AP$1,"O","X"))</f>
        <v/>
      </c>
      <c r="AQ20" s="76" t="str">
        <f>IF(O20="","",IF(O20&lt;=$AQ$1,"O","X"))</f>
        <v>O</v>
      </c>
      <c r="AR20" s="76" t="str">
        <f>IF(M20="","",IF(M20&lt;=$AR$1,"O","X"))</f>
        <v>O</v>
      </c>
      <c r="AS20" s="76" t="s">
        <v>2</v>
      </c>
      <c r="AT20" s="76" t="str">
        <f>IF(OR(F20="",AI20=""),"",IF(AND((F20&lt;=85),(AI20&gt;=15)),"O","X"))</f>
        <v>X</v>
      </c>
      <c r="AU20" s="76" t="str">
        <f>IF(C20="","",IF(C20&gt;=$AU$1,"O","X"))</f>
        <v>O</v>
      </c>
      <c r="AV20" s="76" t="str">
        <f>IF(AO20="","",IF(AND(AO20="O",AP20="O",AR20="O",AT20="O",AU20="O"),"후보","X"))</f>
        <v/>
      </c>
    </row>
    <row r="21" spans="1:48" x14ac:dyDescent="0.3">
      <c r="A21" s="9"/>
      <c r="B21" s="76"/>
      <c r="C21" s="6"/>
      <c r="D21" s="9"/>
      <c r="E21" s="14"/>
      <c r="F21" s="85"/>
      <c r="G21" s="9"/>
      <c r="H21" s="9"/>
      <c r="I21" s="9"/>
      <c r="J21" s="9"/>
      <c r="K21" s="9"/>
      <c r="L21" s="9"/>
      <c r="M21" s="9"/>
      <c r="N21" s="9"/>
      <c r="O21" s="90"/>
      <c r="P21" s="90"/>
      <c r="Q21" s="86"/>
      <c r="R21" s="86"/>
      <c r="S21" s="9"/>
      <c r="T21" s="47"/>
      <c r="U21" s="9"/>
      <c r="W21" s="67" t="str">
        <f>$A$4&amp;" "&amp;A22&amp;"("&amp;B22&amp;","&amp;C22&amp;"^)"</f>
        <v>평화동2가 전주평화주공5단지('95.06.,838^)</v>
      </c>
      <c r="X21" s="68"/>
      <c r="Y21" s="68"/>
      <c r="Z21" s="68"/>
      <c r="AA21" s="68"/>
      <c r="AB21" s="68"/>
      <c r="AC21" s="68"/>
      <c r="AD21" s="68"/>
      <c r="AE21" s="68"/>
      <c r="AF21" s="69"/>
      <c r="AH21" s="20" t="str">
        <f t="shared" si="1"/>
        <v/>
      </c>
      <c r="AI21" s="108" t="str">
        <f t="shared" si="0"/>
        <v/>
      </c>
      <c r="AJ21" s="76"/>
      <c r="AK21" s="76"/>
      <c r="AL21" s="76"/>
      <c r="AM21" s="76"/>
      <c r="AN21" s="76"/>
      <c r="AO21" s="76"/>
      <c r="AP21" s="76"/>
      <c r="AQ21" s="76"/>
      <c r="AR21" s="76"/>
      <c r="AS21" s="76"/>
      <c r="AT21" s="76"/>
      <c r="AU21" s="76"/>
      <c r="AV21" s="76"/>
    </row>
    <row r="22" spans="1:48" x14ac:dyDescent="0.3">
      <c r="A22" s="9" t="s">
        <v>1345</v>
      </c>
      <c r="B22" s="10" t="s">
        <v>1903</v>
      </c>
      <c r="C22" s="87">
        <v>838</v>
      </c>
      <c r="D22" s="85">
        <v>53.2</v>
      </c>
      <c r="E22" s="86">
        <v>16</v>
      </c>
      <c r="F22" s="85">
        <v>37.700000000000003</v>
      </c>
      <c r="G22" s="17">
        <v>11</v>
      </c>
      <c r="H22" s="87">
        <v>89</v>
      </c>
      <c r="I22" s="88"/>
      <c r="J22" s="88"/>
      <c r="K22" s="88"/>
      <c r="L22" s="88"/>
      <c r="M22" s="89">
        <f>I22-K22</f>
        <v>0</v>
      </c>
      <c r="N22" s="4" t="str">
        <f>IF(ISERROR(K22/I22),"",K22/I22)</f>
        <v/>
      </c>
      <c r="O22" s="90">
        <f>I22/E22</f>
        <v>0</v>
      </c>
      <c r="P22" s="90">
        <f>K22/E22</f>
        <v>0</v>
      </c>
      <c r="Q22" s="76">
        <v>2</v>
      </c>
      <c r="R22" s="76">
        <v>1</v>
      </c>
      <c r="S22" s="76" t="s">
        <v>68</v>
      </c>
      <c r="T22" s="5">
        <v>53</v>
      </c>
      <c r="U22" s="9"/>
      <c r="W22" s="85">
        <f>D22</f>
        <v>53.2</v>
      </c>
      <c r="X22" s="86">
        <f>E22</f>
        <v>16</v>
      </c>
      <c r="Y22" s="91">
        <f>H22</f>
        <v>89</v>
      </c>
      <c r="Z22" s="89">
        <f>I22</f>
        <v>0</v>
      </c>
      <c r="AA22" s="89">
        <f>K22</f>
        <v>0</v>
      </c>
      <c r="AB22" s="89">
        <f t="shared" ref="AB22:AD23" si="12">M22</f>
        <v>0</v>
      </c>
      <c r="AC22" s="4" t="str">
        <f t="shared" si="12"/>
        <v/>
      </c>
      <c r="AD22" s="90">
        <f t="shared" si="12"/>
        <v>0</v>
      </c>
      <c r="AE22" s="76" t="str">
        <f>S22</f>
        <v>복</v>
      </c>
      <c r="AF22" s="76" t="str">
        <f>Q22&amp;"/"&amp;R22</f>
        <v>2/1</v>
      </c>
      <c r="AH22" s="20" t="str">
        <f t="shared" si="1"/>
        <v>전주평화주공5단지</v>
      </c>
      <c r="AI22" s="86">
        <f t="shared" si="0"/>
        <v>16</v>
      </c>
      <c r="AJ22" s="76" t="str">
        <f>IF(AI22="","",$AJ$2)</f>
        <v>A-</v>
      </c>
      <c r="AK22" s="76" t="s">
        <v>13</v>
      </c>
      <c r="AL22" s="76" t="s">
        <v>62</v>
      </c>
      <c r="AM22" s="76" t="s">
        <v>63</v>
      </c>
      <c r="AN22" s="76" t="str">
        <f>IF(AI22="","",$AN$2)</f>
        <v>C</v>
      </c>
      <c r="AO22" s="76" t="str">
        <f>IF(N22="","",IF(N22&gt;=$AO$1/100,"O","X"))</f>
        <v/>
      </c>
      <c r="AP22" s="76" t="str">
        <f>IF(I22="","",IF(I22&lt;=$AP$1,"O","X"))</f>
        <v/>
      </c>
      <c r="AQ22" s="76" t="str">
        <f>IF(O22="","",IF(O22&lt;=$AQ$1,"O","X"))</f>
        <v>O</v>
      </c>
      <c r="AR22" s="76" t="str">
        <f>IF(M22="","",IF(M22&lt;=$AR$1,"O","X"))</f>
        <v>O</v>
      </c>
      <c r="AS22" s="76" t="s">
        <v>2</v>
      </c>
      <c r="AT22" s="76" t="str">
        <f>IF(OR(F22="",AI22=""),"",IF(AND((F22&lt;=85),(AI22&gt;=15)),"O","X"))</f>
        <v>O</v>
      </c>
      <c r="AU22" s="76" t="str">
        <f>IF(C22="","",IF(C22&gt;=$AU$1,"O","X"))</f>
        <v>O</v>
      </c>
      <c r="AV22" s="76" t="str">
        <f>IF(AO22="","",IF(AND(AO22="O",AP22="O",AR22="O",AT22="O",AU22="O"),"후보","X"))</f>
        <v/>
      </c>
    </row>
    <row r="23" spans="1:48" x14ac:dyDescent="0.3">
      <c r="A23" s="9" t="s">
        <v>1345</v>
      </c>
      <c r="B23" s="10" t="s">
        <v>1903</v>
      </c>
      <c r="C23" s="87">
        <v>838</v>
      </c>
      <c r="D23" s="85">
        <v>79.2</v>
      </c>
      <c r="E23" s="86">
        <v>24</v>
      </c>
      <c r="F23" s="85">
        <v>58.1</v>
      </c>
      <c r="G23" s="17">
        <v>18</v>
      </c>
      <c r="H23" s="87">
        <v>749</v>
      </c>
      <c r="I23" s="88">
        <v>10500</v>
      </c>
      <c r="J23" s="88" t="s">
        <v>85</v>
      </c>
      <c r="K23" s="88">
        <v>11000</v>
      </c>
      <c r="L23" s="88" t="s">
        <v>80</v>
      </c>
      <c r="M23" s="89">
        <f>I23-K23</f>
        <v>-500</v>
      </c>
      <c r="N23" s="4">
        <f>IF(ISERROR(K23/I23),"",K23/I23)</f>
        <v>1.0476190476190477</v>
      </c>
      <c r="O23" s="90">
        <f>I23/E23</f>
        <v>437.5</v>
      </c>
      <c r="P23" s="90">
        <f>K23/E23</f>
        <v>458.33333333333331</v>
      </c>
      <c r="Q23" s="76">
        <v>3</v>
      </c>
      <c r="R23" s="76">
        <v>1</v>
      </c>
      <c r="S23" s="76" t="s">
        <v>68</v>
      </c>
      <c r="T23" s="5">
        <v>79</v>
      </c>
      <c r="U23" s="9"/>
      <c r="W23" s="85">
        <f>D23</f>
        <v>79.2</v>
      </c>
      <c r="X23" s="86">
        <f>E23</f>
        <v>24</v>
      </c>
      <c r="Y23" s="91">
        <f>H23</f>
        <v>749</v>
      </c>
      <c r="Z23" s="89">
        <f>I23</f>
        <v>10500</v>
      </c>
      <c r="AA23" s="89">
        <f>K23</f>
        <v>11000</v>
      </c>
      <c r="AB23" s="89">
        <f t="shared" si="12"/>
        <v>-500</v>
      </c>
      <c r="AC23" s="4">
        <f t="shared" si="12"/>
        <v>1.0476190476190477</v>
      </c>
      <c r="AD23" s="90">
        <f t="shared" si="12"/>
        <v>437.5</v>
      </c>
      <c r="AE23" s="76" t="str">
        <f>S23</f>
        <v>복</v>
      </c>
      <c r="AF23" s="76" t="str">
        <f>Q23&amp;"/"&amp;R23</f>
        <v>3/1</v>
      </c>
      <c r="AH23" s="20" t="str">
        <f t="shared" si="1"/>
        <v>전주평화주공5단지</v>
      </c>
      <c r="AI23" s="86">
        <f t="shared" si="0"/>
        <v>24</v>
      </c>
      <c r="AJ23" s="76" t="str">
        <f>IF(AI23="","",$AJ$2)</f>
        <v>A-</v>
      </c>
      <c r="AK23" s="76" t="s">
        <v>13</v>
      </c>
      <c r="AL23" s="76" t="s">
        <v>62</v>
      </c>
      <c r="AM23" s="76" t="s">
        <v>63</v>
      </c>
      <c r="AN23" s="76" t="str">
        <f>IF(AI23="","",$AN$2)</f>
        <v>C</v>
      </c>
      <c r="AO23" s="76" t="str">
        <f>IF(N23="","",IF(N23&gt;=$AO$1/100,"O","X"))</f>
        <v>O</v>
      </c>
      <c r="AP23" s="76" t="str">
        <f>IF(I23="","",IF(I23&lt;=$AP$1,"O","X"))</f>
        <v>O</v>
      </c>
      <c r="AQ23" s="76" t="str">
        <f>IF(O23="","",IF(O23&lt;=$AQ$1,"O","X"))</f>
        <v>O</v>
      </c>
      <c r="AR23" s="76" t="str">
        <f>IF(M23="","",IF(M23&lt;=$AR$1,"O","X"))</f>
        <v>O</v>
      </c>
      <c r="AS23" s="76" t="s">
        <v>2</v>
      </c>
      <c r="AT23" s="76" t="str">
        <f>IF(OR(F23="",AI23=""),"",IF(AND((F23&lt;=85),(AI23&gt;=15)),"O","X"))</f>
        <v>O</v>
      </c>
      <c r="AU23" s="76" t="str">
        <f>IF(C23="","",IF(C23&gt;=$AU$1,"O","X"))</f>
        <v>O</v>
      </c>
      <c r="AV23" s="76" t="str">
        <f>IF(AO23="","",IF(AND(AO23="O",AP23="O",AR23="O",AT23="O",AU23="O"),"후보","X"))</f>
        <v>후보</v>
      </c>
    </row>
    <row r="24" spans="1:48" x14ac:dyDescent="0.3">
      <c r="A24" s="9"/>
      <c r="B24" s="76"/>
      <c r="C24" s="6"/>
      <c r="D24" s="9"/>
      <c r="E24" s="14"/>
      <c r="F24" s="85"/>
      <c r="G24" s="9"/>
      <c r="H24" s="9"/>
      <c r="I24" s="9"/>
      <c r="J24" s="9"/>
      <c r="K24" s="9"/>
      <c r="L24" s="9"/>
      <c r="M24" s="9"/>
      <c r="N24" s="9"/>
      <c r="O24" s="90"/>
      <c r="P24" s="90"/>
      <c r="Q24" s="86"/>
      <c r="R24" s="86"/>
      <c r="S24" s="9"/>
      <c r="T24" s="47"/>
      <c r="U24" s="9"/>
      <c r="W24" s="67" t="str">
        <f>$A$4&amp;" "&amp;A25&amp;"("&amp;B25&amp;","&amp;C25&amp;"^)"</f>
        <v>평화동2가 평화3차골드클래스('20.08.,225^)</v>
      </c>
      <c r="X24" s="68"/>
      <c r="Y24" s="68"/>
      <c r="Z24" s="68"/>
      <c r="AA24" s="68"/>
      <c r="AB24" s="68"/>
      <c r="AC24" s="68"/>
      <c r="AD24" s="68"/>
      <c r="AE24" s="68"/>
      <c r="AF24" s="69"/>
      <c r="AH24" s="20" t="str">
        <f t="shared" si="1"/>
        <v/>
      </c>
      <c r="AI24" s="108" t="str">
        <f t="shared" si="0"/>
        <v/>
      </c>
      <c r="AJ24" s="76"/>
      <c r="AK24" s="76"/>
      <c r="AL24" s="76"/>
      <c r="AM24" s="76"/>
      <c r="AN24" s="76"/>
      <c r="AO24" s="76"/>
      <c r="AP24" s="76"/>
      <c r="AQ24" s="76"/>
      <c r="AR24" s="76"/>
      <c r="AS24" s="76"/>
      <c r="AT24" s="76"/>
      <c r="AU24" s="76"/>
      <c r="AV24" s="76"/>
    </row>
    <row r="25" spans="1:48" x14ac:dyDescent="0.3">
      <c r="A25" s="9" t="s">
        <v>1350</v>
      </c>
      <c r="B25" s="10" t="s">
        <v>1904</v>
      </c>
      <c r="C25" s="87">
        <v>225</v>
      </c>
      <c r="D25" s="85">
        <v>112.6</v>
      </c>
      <c r="E25" s="86">
        <v>34</v>
      </c>
      <c r="F25" s="85">
        <v>85</v>
      </c>
      <c r="G25" s="17">
        <v>26</v>
      </c>
      <c r="H25" s="87">
        <v>95</v>
      </c>
      <c r="I25" s="88"/>
      <c r="J25" s="88"/>
      <c r="K25" s="88"/>
      <c r="L25" s="88"/>
      <c r="M25" s="89">
        <f>I25-K25</f>
        <v>0</v>
      </c>
      <c r="N25" s="4" t="str">
        <f>IF(ISERROR(K25/I25),"",K25/I25)</f>
        <v/>
      </c>
      <c r="O25" s="90">
        <f>I25/E25</f>
        <v>0</v>
      </c>
      <c r="P25" s="90">
        <f>K25/E25</f>
        <v>0</v>
      </c>
      <c r="Q25" s="76">
        <v>4</v>
      </c>
      <c r="R25" s="76">
        <v>2</v>
      </c>
      <c r="S25" s="76" t="s">
        <v>61</v>
      </c>
      <c r="T25" s="5" t="s">
        <v>247</v>
      </c>
      <c r="U25" s="9"/>
      <c r="W25" s="85">
        <f t="shared" ref="W25:X27" si="13">D25</f>
        <v>112.6</v>
      </c>
      <c r="X25" s="86">
        <f t="shared" si="13"/>
        <v>34</v>
      </c>
      <c r="Y25" s="91">
        <f t="shared" ref="Y25:Z27" si="14">H25</f>
        <v>95</v>
      </c>
      <c r="Z25" s="89">
        <f t="shared" si="14"/>
        <v>0</v>
      </c>
      <c r="AA25" s="89">
        <f>K25</f>
        <v>0</v>
      </c>
      <c r="AB25" s="89">
        <f t="shared" ref="AB25:AD27" si="15">M25</f>
        <v>0</v>
      </c>
      <c r="AC25" s="4" t="str">
        <f t="shared" si="15"/>
        <v/>
      </c>
      <c r="AD25" s="90">
        <f t="shared" si="15"/>
        <v>0</v>
      </c>
      <c r="AE25" s="76" t="str">
        <f>S25</f>
        <v>계</v>
      </c>
      <c r="AF25" s="76" t="str">
        <f>Q25&amp;"/"&amp;R25</f>
        <v>4/2</v>
      </c>
      <c r="AH25" s="20" t="str">
        <f t="shared" si="1"/>
        <v>평화3차골드클래스</v>
      </c>
      <c r="AI25" s="86">
        <f t="shared" si="0"/>
        <v>34</v>
      </c>
      <c r="AJ25" s="76" t="str">
        <f>IF(AI25="","",$AJ$2)</f>
        <v>A-</v>
      </c>
      <c r="AK25" s="76" t="s">
        <v>13</v>
      </c>
      <c r="AL25" s="76" t="s">
        <v>62</v>
      </c>
      <c r="AM25" s="76" t="s">
        <v>63</v>
      </c>
      <c r="AN25" s="76" t="str">
        <f>IF(AI25="","",$AN$2)</f>
        <v>C</v>
      </c>
      <c r="AO25" s="76" t="str">
        <f>IF(N25="","",IF(N25&gt;=$AO$1/100,"O","X"))</f>
        <v/>
      </c>
      <c r="AP25" s="76" t="str">
        <f>IF(I25="","",IF(I25&lt;=$AP$1,"O","X"))</f>
        <v/>
      </c>
      <c r="AQ25" s="76" t="str">
        <f>IF(O25="","",IF(O25&lt;=$AQ$1,"O","X"))</f>
        <v>O</v>
      </c>
      <c r="AR25" s="76" t="str">
        <f>IF(M25="","",IF(M25&lt;=$AR$1,"O","X"))</f>
        <v>O</v>
      </c>
      <c r="AS25" s="76" t="s">
        <v>2</v>
      </c>
      <c r="AT25" s="76" t="str">
        <f>IF(OR(F25="",AI25=""),"",IF(AND((F25&lt;=85),(AI25&gt;=15)),"O","X"))</f>
        <v>O</v>
      </c>
      <c r="AU25" s="76" t="str">
        <f>IF(C25="","",IF(C25&gt;=$AU$1,"O","X"))</f>
        <v>X</v>
      </c>
      <c r="AV25" s="76" t="str">
        <f>IF(AO25="","",IF(AND(AO25="O",AP25="O",AR25="O",AT25="O",AU25="O"),"후보","X"))</f>
        <v/>
      </c>
    </row>
    <row r="26" spans="1:48" x14ac:dyDescent="0.3">
      <c r="A26" s="9" t="s">
        <v>1350</v>
      </c>
      <c r="B26" s="10" t="s">
        <v>1904</v>
      </c>
      <c r="C26" s="87">
        <v>225</v>
      </c>
      <c r="D26" s="85">
        <v>112.6</v>
      </c>
      <c r="E26" s="86">
        <v>34</v>
      </c>
      <c r="F26" s="85">
        <v>85</v>
      </c>
      <c r="G26" s="17">
        <v>26</v>
      </c>
      <c r="H26" s="87">
        <v>89</v>
      </c>
      <c r="I26" s="88"/>
      <c r="J26" s="88"/>
      <c r="K26" s="88"/>
      <c r="L26" s="88"/>
      <c r="M26" s="89">
        <f>I26-K26</f>
        <v>0</v>
      </c>
      <c r="N26" s="4" t="str">
        <f>IF(ISERROR(K26/I26),"",K26/I26)</f>
        <v/>
      </c>
      <c r="O26" s="90">
        <f>I26/E26</f>
        <v>0</v>
      </c>
      <c r="P26" s="90">
        <f>K26/E26</f>
        <v>0</v>
      </c>
      <c r="Q26" s="76">
        <v>3</v>
      </c>
      <c r="R26" s="76">
        <v>2</v>
      </c>
      <c r="S26" s="76" t="s">
        <v>61</v>
      </c>
      <c r="T26" s="5" t="s">
        <v>319</v>
      </c>
      <c r="U26" s="9"/>
      <c r="W26" s="85">
        <f t="shared" si="13"/>
        <v>112.6</v>
      </c>
      <c r="X26" s="86">
        <f t="shared" si="13"/>
        <v>34</v>
      </c>
      <c r="Y26" s="91">
        <f t="shared" si="14"/>
        <v>89</v>
      </c>
      <c r="Z26" s="89">
        <f t="shared" si="14"/>
        <v>0</v>
      </c>
      <c r="AA26" s="89">
        <f>K26</f>
        <v>0</v>
      </c>
      <c r="AB26" s="89">
        <f t="shared" si="15"/>
        <v>0</v>
      </c>
      <c r="AC26" s="4" t="str">
        <f t="shared" si="15"/>
        <v/>
      </c>
      <c r="AD26" s="90">
        <f t="shared" si="15"/>
        <v>0</v>
      </c>
      <c r="AE26" s="76" t="str">
        <f>S26</f>
        <v>계</v>
      </c>
      <c r="AF26" s="76" t="str">
        <f>Q26&amp;"/"&amp;R26</f>
        <v>3/2</v>
      </c>
      <c r="AH26" s="20" t="str">
        <f t="shared" si="1"/>
        <v>평화3차골드클래스</v>
      </c>
      <c r="AI26" s="86">
        <f t="shared" si="0"/>
        <v>34</v>
      </c>
      <c r="AJ26" s="76" t="str">
        <f>IF(AI26="","",$AJ$2)</f>
        <v>A-</v>
      </c>
      <c r="AK26" s="76" t="s">
        <v>13</v>
      </c>
      <c r="AL26" s="76" t="s">
        <v>62</v>
      </c>
      <c r="AM26" s="76" t="s">
        <v>63</v>
      </c>
      <c r="AN26" s="76" t="str">
        <f>IF(AI26="","",$AN$2)</f>
        <v>C</v>
      </c>
      <c r="AO26" s="76" t="str">
        <f>IF(N26="","",IF(N26&gt;=$AO$1/100,"O","X"))</f>
        <v/>
      </c>
      <c r="AP26" s="76" t="str">
        <f>IF(I26="","",IF(I26&lt;=$AP$1,"O","X"))</f>
        <v/>
      </c>
      <c r="AQ26" s="76" t="str">
        <f>IF(O26="","",IF(O26&lt;=$AQ$1,"O","X"))</f>
        <v>O</v>
      </c>
      <c r="AR26" s="76" t="str">
        <f>IF(M26="","",IF(M26&lt;=$AR$1,"O","X"))</f>
        <v>O</v>
      </c>
      <c r="AS26" s="76" t="s">
        <v>2</v>
      </c>
      <c r="AT26" s="76" t="str">
        <f>IF(OR(F26="",AI26=""),"",IF(AND((F26&lt;=85),(AI26&gt;=15)),"O","X"))</f>
        <v>O</v>
      </c>
      <c r="AU26" s="76" t="str">
        <f>IF(C26="","",IF(C26&gt;=$AU$1,"O","X"))</f>
        <v>X</v>
      </c>
      <c r="AV26" s="76" t="str">
        <f>IF(AO26="","",IF(AND(AO26="O",AP26="O",AR26="O",AT26="O",AU26="O"),"후보","X"))</f>
        <v/>
      </c>
    </row>
    <row r="27" spans="1:48" x14ac:dyDescent="0.3">
      <c r="A27" s="9" t="s">
        <v>1350</v>
      </c>
      <c r="B27" s="10" t="s">
        <v>1904</v>
      </c>
      <c r="C27" s="87">
        <v>225</v>
      </c>
      <c r="D27" s="85">
        <v>112.6</v>
      </c>
      <c r="E27" s="86">
        <v>34</v>
      </c>
      <c r="F27" s="85">
        <v>85</v>
      </c>
      <c r="G27" s="17">
        <v>26</v>
      </c>
      <c r="H27" s="87">
        <v>41</v>
      </c>
      <c r="I27" s="88"/>
      <c r="J27" s="88"/>
      <c r="K27" s="88"/>
      <c r="L27" s="88"/>
      <c r="M27" s="89">
        <f>I27-K27</f>
        <v>0</v>
      </c>
      <c r="N27" s="4" t="str">
        <f>IF(ISERROR(K27/I27),"",K27/I27)</f>
        <v/>
      </c>
      <c r="O27" s="90">
        <f>I27/E27</f>
        <v>0</v>
      </c>
      <c r="P27" s="90">
        <f>K27/E27</f>
        <v>0</v>
      </c>
      <c r="Q27" s="76">
        <v>4</v>
      </c>
      <c r="R27" s="76">
        <v>2</v>
      </c>
      <c r="S27" s="76" t="s">
        <v>61</v>
      </c>
      <c r="T27" s="5" t="s">
        <v>320</v>
      </c>
      <c r="U27" s="9"/>
      <c r="W27" s="85">
        <f t="shared" si="13"/>
        <v>112.6</v>
      </c>
      <c r="X27" s="86">
        <f t="shared" si="13"/>
        <v>34</v>
      </c>
      <c r="Y27" s="91">
        <f t="shared" si="14"/>
        <v>41</v>
      </c>
      <c r="Z27" s="89">
        <f t="shared" si="14"/>
        <v>0</v>
      </c>
      <c r="AA27" s="89">
        <f>K27</f>
        <v>0</v>
      </c>
      <c r="AB27" s="89">
        <f t="shared" si="15"/>
        <v>0</v>
      </c>
      <c r="AC27" s="4" t="str">
        <f t="shared" si="15"/>
        <v/>
      </c>
      <c r="AD27" s="90">
        <f t="shared" si="15"/>
        <v>0</v>
      </c>
      <c r="AE27" s="76" t="str">
        <f>S27</f>
        <v>계</v>
      </c>
      <c r="AF27" s="76" t="str">
        <f>Q27&amp;"/"&amp;R27</f>
        <v>4/2</v>
      </c>
      <c r="AH27" s="20" t="str">
        <f t="shared" si="1"/>
        <v>평화3차골드클래스</v>
      </c>
      <c r="AI27" s="86">
        <f t="shared" si="0"/>
        <v>34</v>
      </c>
      <c r="AJ27" s="76" t="str">
        <f>IF(AI27="","",$AJ$2)</f>
        <v>A-</v>
      </c>
      <c r="AK27" s="76" t="s">
        <v>13</v>
      </c>
      <c r="AL27" s="76" t="s">
        <v>62</v>
      </c>
      <c r="AM27" s="76" t="s">
        <v>63</v>
      </c>
      <c r="AN27" s="76" t="str">
        <f>IF(AI27="","",$AN$2)</f>
        <v>C</v>
      </c>
      <c r="AO27" s="76" t="str">
        <f>IF(N27="","",IF(N27&gt;=$AO$1/100,"O","X"))</f>
        <v/>
      </c>
      <c r="AP27" s="76" t="str">
        <f>IF(I27="","",IF(I27&lt;=$AP$1,"O","X"))</f>
        <v/>
      </c>
      <c r="AQ27" s="76" t="str">
        <f>IF(O27="","",IF(O27&lt;=$AQ$1,"O","X"))</f>
        <v>O</v>
      </c>
      <c r="AR27" s="76" t="str">
        <f>IF(M27="","",IF(M27&lt;=$AR$1,"O","X"))</f>
        <v>O</v>
      </c>
      <c r="AS27" s="76" t="s">
        <v>2</v>
      </c>
      <c r="AT27" s="76" t="str">
        <f>IF(OR(F27="",AI27=""),"",IF(AND((F27&lt;=85),(AI27&gt;=15)),"O","X"))</f>
        <v>O</v>
      </c>
      <c r="AU27" s="76" t="str">
        <f>IF(C27="","",IF(C27&gt;=$AU$1,"O","X"))</f>
        <v>X</v>
      </c>
      <c r="AV27" s="76" t="str">
        <f>IF(AO27="","",IF(AND(AO27="O",AP27="O",AR27="O",AT27="O",AU27="O"),"후보","X"))</f>
        <v/>
      </c>
    </row>
    <row r="28" spans="1:48" x14ac:dyDescent="0.3">
      <c r="A28" s="9"/>
      <c r="B28" s="76"/>
      <c r="C28" s="6"/>
      <c r="D28" s="9"/>
      <c r="E28" s="14"/>
      <c r="F28" s="85"/>
      <c r="G28" s="9"/>
      <c r="H28" s="9"/>
      <c r="I28" s="9"/>
      <c r="J28" s="9"/>
      <c r="K28" s="9"/>
      <c r="L28" s="9"/>
      <c r="M28" s="9"/>
      <c r="N28" s="9"/>
      <c r="O28" s="90"/>
      <c r="P28" s="90"/>
      <c r="Q28" s="86"/>
      <c r="R28" s="86"/>
      <c r="S28" s="9"/>
      <c r="T28" s="47"/>
      <c r="U28" s="9"/>
      <c r="W28" s="67" t="str">
        <f>$A$4&amp;" "&amp;A29&amp;"("&amp;B29&amp;","&amp;C29&amp;"^)"</f>
        <v>평화동2가 동아,현대('99.12.,473^)</v>
      </c>
      <c r="X28" s="68"/>
      <c r="Y28" s="68"/>
      <c r="Z28" s="68"/>
      <c r="AA28" s="68"/>
      <c r="AB28" s="68"/>
      <c r="AC28" s="68"/>
      <c r="AD28" s="68"/>
      <c r="AE28" s="68"/>
      <c r="AF28" s="69"/>
      <c r="AH28" s="20" t="str">
        <f t="shared" si="1"/>
        <v/>
      </c>
      <c r="AI28" s="108" t="str">
        <f t="shared" si="0"/>
        <v/>
      </c>
      <c r="AJ28" s="76"/>
      <c r="AK28" s="76"/>
      <c r="AL28" s="76"/>
      <c r="AM28" s="76"/>
      <c r="AN28" s="76"/>
      <c r="AO28" s="76"/>
      <c r="AP28" s="76"/>
      <c r="AQ28" s="76"/>
      <c r="AR28" s="76"/>
      <c r="AS28" s="76"/>
      <c r="AT28" s="76"/>
      <c r="AU28" s="76"/>
      <c r="AV28" s="76"/>
    </row>
    <row r="29" spans="1:48" x14ac:dyDescent="0.3">
      <c r="A29" s="9" t="s">
        <v>1355</v>
      </c>
      <c r="B29" s="10" t="s">
        <v>1854</v>
      </c>
      <c r="C29" s="87">
        <v>473</v>
      </c>
      <c r="D29" s="85">
        <v>101.7</v>
      </c>
      <c r="E29" s="86">
        <v>31</v>
      </c>
      <c r="F29" s="85">
        <v>84.8</v>
      </c>
      <c r="G29" s="17">
        <v>26</v>
      </c>
      <c r="H29" s="87">
        <v>155</v>
      </c>
      <c r="I29" s="88"/>
      <c r="J29" s="88"/>
      <c r="K29" s="88"/>
      <c r="L29" s="88"/>
      <c r="M29" s="89">
        <f>I29-K29</f>
        <v>0</v>
      </c>
      <c r="N29" s="4" t="str">
        <f>IF(ISERROR(K29/I29),"",K29/I29)</f>
        <v/>
      </c>
      <c r="O29" s="90">
        <f>I29/E29</f>
        <v>0</v>
      </c>
      <c r="P29" s="90">
        <f>K29/E29</f>
        <v>0</v>
      </c>
      <c r="Q29" s="76">
        <v>3</v>
      </c>
      <c r="R29" s="76">
        <v>2</v>
      </c>
      <c r="S29" s="76" t="s">
        <v>61</v>
      </c>
      <c r="T29" s="5">
        <v>101</v>
      </c>
      <c r="U29" s="9"/>
      <c r="W29" s="85">
        <f t="shared" ref="W29:X32" si="16">D29</f>
        <v>101.7</v>
      </c>
      <c r="X29" s="86">
        <f t="shared" si="16"/>
        <v>31</v>
      </c>
      <c r="Y29" s="91">
        <f t="shared" ref="Y29:Z32" si="17">H29</f>
        <v>155</v>
      </c>
      <c r="Z29" s="89">
        <f t="shared" si="17"/>
        <v>0</v>
      </c>
      <c r="AA29" s="89">
        <f>K29</f>
        <v>0</v>
      </c>
      <c r="AB29" s="89">
        <f t="shared" ref="AB29:AD32" si="18">M29</f>
        <v>0</v>
      </c>
      <c r="AC29" s="4" t="str">
        <f t="shared" si="18"/>
        <v/>
      </c>
      <c r="AD29" s="90">
        <f t="shared" si="18"/>
        <v>0</v>
      </c>
      <c r="AE29" s="76" t="str">
        <f>S29</f>
        <v>계</v>
      </c>
      <c r="AF29" s="76" t="str">
        <f>Q29&amp;"/"&amp;R29</f>
        <v>3/2</v>
      </c>
      <c r="AH29" s="20" t="str">
        <f t="shared" si="1"/>
        <v>동아,현대</v>
      </c>
      <c r="AI29" s="86">
        <f t="shared" si="0"/>
        <v>31</v>
      </c>
      <c r="AJ29" s="76" t="str">
        <f>IF(AI29="","",$AJ$2)</f>
        <v>A-</v>
      </c>
      <c r="AK29" s="76" t="s">
        <v>13</v>
      </c>
      <c r="AL29" s="76" t="s">
        <v>62</v>
      </c>
      <c r="AM29" s="76" t="s">
        <v>63</v>
      </c>
      <c r="AN29" s="76" t="str">
        <f>IF(AI29="","",$AN$2)</f>
        <v>C</v>
      </c>
      <c r="AO29" s="76" t="str">
        <f>IF(N29="","",IF(N29&gt;=$AO$1/100,"O","X"))</f>
        <v/>
      </c>
      <c r="AP29" s="76" t="str">
        <f>IF(I29="","",IF(I29&lt;=$AP$1,"O","X"))</f>
        <v/>
      </c>
      <c r="AQ29" s="76" t="str">
        <f>IF(O29="","",IF(O29&lt;=$AQ$1,"O","X"))</f>
        <v>O</v>
      </c>
      <c r="AR29" s="76" t="str">
        <f>IF(M29="","",IF(M29&lt;=$AR$1,"O","X"))</f>
        <v>O</v>
      </c>
      <c r="AS29" s="76" t="s">
        <v>2</v>
      </c>
      <c r="AT29" s="76" t="str">
        <f>IF(OR(F29="",AI29=""),"",IF(AND((F29&lt;=85),(AI29&gt;=15)),"O","X"))</f>
        <v>O</v>
      </c>
      <c r="AU29" s="76" t="str">
        <f>IF(C29="","",IF(C29&gt;=$AU$1,"O","X"))</f>
        <v>O</v>
      </c>
      <c r="AV29" s="76" t="str">
        <f>IF(AO29="","",IF(AND(AO29="O",AP29="O",AR29="O",AT29="O",AU29="O"),"후보","X"))</f>
        <v/>
      </c>
    </row>
    <row r="30" spans="1:48" x14ac:dyDescent="0.3">
      <c r="A30" s="9" t="s">
        <v>1355</v>
      </c>
      <c r="B30" s="10" t="s">
        <v>1854</v>
      </c>
      <c r="C30" s="87">
        <v>473</v>
      </c>
      <c r="D30" s="85">
        <v>120</v>
      </c>
      <c r="E30" s="86">
        <v>36</v>
      </c>
      <c r="F30" s="85">
        <v>100</v>
      </c>
      <c r="G30" s="17">
        <v>30</v>
      </c>
      <c r="H30" s="87">
        <v>153</v>
      </c>
      <c r="I30" s="88">
        <v>28000</v>
      </c>
      <c r="J30" s="88" t="s">
        <v>84</v>
      </c>
      <c r="K30" s="88"/>
      <c r="L30" s="88"/>
      <c r="M30" s="89">
        <f>I30-K30</f>
        <v>28000</v>
      </c>
      <c r="N30" s="4">
        <f>IF(ISERROR(K30/I30),"",K30/I30)</f>
        <v>0</v>
      </c>
      <c r="O30" s="90">
        <f>I30/E30</f>
        <v>777.77777777777783</v>
      </c>
      <c r="P30" s="90">
        <f>K30/E30</f>
        <v>0</v>
      </c>
      <c r="Q30" s="76">
        <v>3</v>
      </c>
      <c r="R30" s="76">
        <v>2</v>
      </c>
      <c r="S30" s="76" t="s">
        <v>61</v>
      </c>
      <c r="T30" s="5">
        <v>119</v>
      </c>
      <c r="U30" s="9"/>
      <c r="W30" s="85">
        <f t="shared" si="16"/>
        <v>120</v>
      </c>
      <c r="X30" s="86">
        <f t="shared" si="16"/>
        <v>36</v>
      </c>
      <c r="Y30" s="91">
        <f t="shared" si="17"/>
        <v>153</v>
      </c>
      <c r="Z30" s="89">
        <f t="shared" si="17"/>
        <v>28000</v>
      </c>
      <c r="AA30" s="89">
        <f>K30</f>
        <v>0</v>
      </c>
      <c r="AB30" s="89">
        <f t="shared" si="18"/>
        <v>28000</v>
      </c>
      <c r="AC30" s="4">
        <f t="shared" si="18"/>
        <v>0</v>
      </c>
      <c r="AD30" s="90">
        <f t="shared" si="18"/>
        <v>777.77777777777783</v>
      </c>
      <c r="AE30" s="76" t="str">
        <f>S30</f>
        <v>계</v>
      </c>
      <c r="AF30" s="76" t="str">
        <f>Q30&amp;"/"&amp;R30</f>
        <v>3/2</v>
      </c>
      <c r="AH30" s="20" t="str">
        <f t="shared" si="1"/>
        <v>동아,현대</v>
      </c>
      <c r="AI30" s="86">
        <f t="shared" si="0"/>
        <v>36</v>
      </c>
      <c r="AJ30" s="76" t="str">
        <f>IF(AI30="","",$AJ$2)</f>
        <v>A-</v>
      </c>
      <c r="AK30" s="76" t="s">
        <v>13</v>
      </c>
      <c r="AL30" s="76" t="s">
        <v>62</v>
      </c>
      <c r="AM30" s="76" t="s">
        <v>63</v>
      </c>
      <c r="AN30" s="76" t="str">
        <f>IF(AI30="","",$AN$2)</f>
        <v>C</v>
      </c>
      <c r="AO30" s="76" t="str">
        <f>IF(N30="","",IF(N30&gt;=$AO$1/100,"O","X"))</f>
        <v>X</v>
      </c>
      <c r="AP30" s="76" t="str">
        <f>IF(I30="","",IF(I30&lt;=$AP$1,"O","X"))</f>
        <v>O</v>
      </c>
      <c r="AQ30" s="76" t="str">
        <f>IF(O30="","",IF(O30&lt;=$AQ$1,"O","X"))</f>
        <v>O</v>
      </c>
      <c r="AR30" s="76" t="str">
        <f>IF(M30="","",IF(M30&lt;=$AR$1,"O","X"))</f>
        <v>X</v>
      </c>
      <c r="AS30" s="76" t="s">
        <v>2</v>
      </c>
      <c r="AT30" s="76" t="str">
        <f>IF(OR(F30="",AI30=""),"",IF(AND((F30&lt;=85),(AI30&gt;=15)),"O","X"))</f>
        <v>X</v>
      </c>
      <c r="AU30" s="76" t="str">
        <f>IF(C30="","",IF(C30&gt;=$AU$1,"O","X"))</f>
        <v>O</v>
      </c>
      <c r="AV30" s="76" t="str">
        <f>IF(AO30="","",IF(AND(AO30="O",AP30="O",AR30="O",AT30="O",AU30="O"),"후보","X"))</f>
        <v>X</v>
      </c>
    </row>
    <row r="31" spans="1:48" x14ac:dyDescent="0.3">
      <c r="A31" s="9" t="s">
        <v>1355</v>
      </c>
      <c r="B31" s="10" t="s">
        <v>1854</v>
      </c>
      <c r="C31" s="87">
        <v>473</v>
      </c>
      <c r="D31" s="85">
        <v>161.69999999999999</v>
      </c>
      <c r="E31" s="86">
        <v>49</v>
      </c>
      <c r="F31" s="85">
        <v>134.80000000000001</v>
      </c>
      <c r="G31" s="17">
        <v>41</v>
      </c>
      <c r="H31" s="87">
        <v>86</v>
      </c>
      <c r="I31" s="88"/>
      <c r="J31" s="88"/>
      <c r="K31" s="88"/>
      <c r="L31" s="88"/>
      <c r="M31" s="89">
        <f>I31-K31</f>
        <v>0</v>
      </c>
      <c r="N31" s="4" t="str">
        <f>IF(ISERROR(K31/I31),"",K31/I31)</f>
        <v/>
      </c>
      <c r="O31" s="90">
        <f>I31/E31</f>
        <v>0</v>
      </c>
      <c r="P31" s="90">
        <f>K31/E31</f>
        <v>0</v>
      </c>
      <c r="Q31" s="76">
        <v>4</v>
      </c>
      <c r="R31" s="76">
        <v>2</v>
      </c>
      <c r="S31" s="76" t="s">
        <v>61</v>
      </c>
      <c r="T31" s="5">
        <v>161</v>
      </c>
      <c r="U31" s="9"/>
      <c r="W31" s="85">
        <f t="shared" si="16"/>
        <v>161.69999999999999</v>
      </c>
      <c r="X31" s="86">
        <f t="shared" si="16"/>
        <v>49</v>
      </c>
      <c r="Y31" s="91">
        <f t="shared" si="17"/>
        <v>86</v>
      </c>
      <c r="Z31" s="89">
        <f t="shared" si="17"/>
        <v>0</v>
      </c>
      <c r="AA31" s="89">
        <f>K31</f>
        <v>0</v>
      </c>
      <c r="AB31" s="89">
        <f t="shared" si="18"/>
        <v>0</v>
      </c>
      <c r="AC31" s="4" t="str">
        <f t="shared" si="18"/>
        <v/>
      </c>
      <c r="AD31" s="90">
        <f t="shared" si="18"/>
        <v>0</v>
      </c>
      <c r="AE31" s="76" t="str">
        <f>S31</f>
        <v>계</v>
      </c>
      <c r="AF31" s="76" t="str">
        <f>Q31&amp;"/"&amp;R31</f>
        <v>4/2</v>
      </c>
      <c r="AH31" s="20" t="str">
        <f t="shared" si="1"/>
        <v>동아,현대</v>
      </c>
      <c r="AI31" s="86">
        <f t="shared" si="0"/>
        <v>49</v>
      </c>
      <c r="AJ31" s="76" t="str">
        <f>IF(AI31="","",$AJ$2)</f>
        <v>A-</v>
      </c>
      <c r="AK31" s="76" t="s">
        <v>13</v>
      </c>
      <c r="AL31" s="76" t="s">
        <v>62</v>
      </c>
      <c r="AM31" s="76" t="s">
        <v>63</v>
      </c>
      <c r="AN31" s="76" t="str">
        <f>IF(AI31="","",$AN$2)</f>
        <v>C</v>
      </c>
      <c r="AO31" s="76" t="str">
        <f>IF(N31="","",IF(N31&gt;=$AO$1/100,"O","X"))</f>
        <v/>
      </c>
      <c r="AP31" s="76" t="str">
        <f>IF(I31="","",IF(I31&lt;=$AP$1,"O","X"))</f>
        <v/>
      </c>
      <c r="AQ31" s="76" t="str">
        <f>IF(O31="","",IF(O31&lt;=$AQ$1,"O","X"))</f>
        <v>O</v>
      </c>
      <c r="AR31" s="76" t="str">
        <f>IF(M31="","",IF(M31&lt;=$AR$1,"O","X"))</f>
        <v>O</v>
      </c>
      <c r="AS31" s="76" t="s">
        <v>2</v>
      </c>
      <c r="AT31" s="76" t="str">
        <f>IF(OR(F31="",AI31=""),"",IF(AND((F31&lt;=85),(AI31&gt;=15)),"O","X"))</f>
        <v>X</v>
      </c>
      <c r="AU31" s="76" t="str">
        <f>IF(C31="","",IF(C31&gt;=$AU$1,"O","X"))</f>
        <v>O</v>
      </c>
      <c r="AV31" s="76" t="str">
        <f>IF(AO31="","",IF(AND(AO31="O",AP31="O",AR31="O",AT31="O",AU31="O"),"후보","X"))</f>
        <v/>
      </c>
    </row>
    <row r="32" spans="1:48" x14ac:dyDescent="0.3">
      <c r="A32" s="9" t="s">
        <v>1355</v>
      </c>
      <c r="B32" s="10" t="s">
        <v>1854</v>
      </c>
      <c r="C32" s="87">
        <v>473</v>
      </c>
      <c r="D32" s="85">
        <v>214.4</v>
      </c>
      <c r="E32" s="86">
        <v>65</v>
      </c>
      <c r="F32" s="85">
        <v>178.7</v>
      </c>
      <c r="G32" s="17">
        <v>54</v>
      </c>
      <c r="H32" s="87">
        <v>79</v>
      </c>
      <c r="I32" s="88"/>
      <c r="J32" s="88"/>
      <c r="K32" s="88"/>
      <c r="L32" s="88"/>
      <c r="M32" s="89">
        <f>I32-K32</f>
        <v>0</v>
      </c>
      <c r="N32" s="4" t="str">
        <f>IF(ISERROR(K32/I32),"",K32/I32)</f>
        <v/>
      </c>
      <c r="O32" s="90">
        <f>I32/E32</f>
        <v>0</v>
      </c>
      <c r="P32" s="90">
        <f>K32/E32</f>
        <v>0</v>
      </c>
      <c r="Q32" s="76">
        <v>5</v>
      </c>
      <c r="R32" s="76">
        <v>2</v>
      </c>
      <c r="S32" s="76" t="s">
        <v>61</v>
      </c>
      <c r="T32" s="5">
        <v>214</v>
      </c>
      <c r="U32" s="9"/>
      <c r="W32" s="85">
        <f t="shared" si="16"/>
        <v>214.4</v>
      </c>
      <c r="X32" s="86">
        <f t="shared" si="16"/>
        <v>65</v>
      </c>
      <c r="Y32" s="91">
        <f t="shared" si="17"/>
        <v>79</v>
      </c>
      <c r="Z32" s="89">
        <f t="shared" si="17"/>
        <v>0</v>
      </c>
      <c r="AA32" s="89">
        <f>K32</f>
        <v>0</v>
      </c>
      <c r="AB32" s="89">
        <f t="shared" si="18"/>
        <v>0</v>
      </c>
      <c r="AC32" s="4" t="str">
        <f t="shared" si="18"/>
        <v/>
      </c>
      <c r="AD32" s="90">
        <f t="shared" si="18"/>
        <v>0</v>
      </c>
      <c r="AE32" s="76" t="str">
        <f>S32</f>
        <v>계</v>
      </c>
      <c r="AF32" s="76" t="str">
        <f>Q32&amp;"/"&amp;R32</f>
        <v>5/2</v>
      </c>
      <c r="AH32" s="20" t="str">
        <f t="shared" si="1"/>
        <v>동아,현대</v>
      </c>
      <c r="AI32" s="86">
        <f t="shared" si="0"/>
        <v>65</v>
      </c>
      <c r="AJ32" s="76" t="str">
        <f>IF(AI32="","",$AJ$2)</f>
        <v>A-</v>
      </c>
      <c r="AK32" s="76" t="s">
        <v>13</v>
      </c>
      <c r="AL32" s="76" t="s">
        <v>62</v>
      </c>
      <c r="AM32" s="76" t="s">
        <v>63</v>
      </c>
      <c r="AN32" s="76" t="str">
        <f>IF(AI32="","",$AN$2)</f>
        <v>C</v>
      </c>
      <c r="AO32" s="76" t="str">
        <f>IF(N32="","",IF(N32&gt;=$AO$1/100,"O","X"))</f>
        <v/>
      </c>
      <c r="AP32" s="76" t="str">
        <f>IF(I32="","",IF(I32&lt;=$AP$1,"O","X"))</f>
        <v/>
      </c>
      <c r="AQ32" s="76" t="str">
        <f>IF(O32="","",IF(O32&lt;=$AQ$1,"O","X"))</f>
        <v>O</v>
      </c>
      <c r="AR32" s="76" t="str">
        <f>IF(M32="","",IF(M32&lt;=$AR$1,"O","X"))</f>
        <v>O</v>
      </c>
      <c r="AS32" s="76" t="s">
        <v>2</v>
      </c>
      <c r="AT32" s="76" t="str">
        <f>IF(OR(F32="",AI32=""),"",IF(AND((F32&lt;=85),(AI32&gt;=15)),"O","X"))</f>
        <v>X</v>
      </c>
      <c r="AU32" s="76" t="str">
        <f>IF(C32="","",IF(C32&gt;=$AU$1,"O","X"))</f>
        <v>O</v>
      </c>
      <c r="AV32" s="76" t="str">
        <f>IF(AO32="","",IF(AND(AO32="O",AP32="O",AR32="O",AT32="O",AU32="O"),"후보","X"))</f>
        <v/>
      </c>
    </row>
    <row r="33" spans="1:48" x14ac:dyDescent="0.3">
      <c r="A33" s="9"/>
      <c r="B33" s="76"/>
      <c r="C33" s="6"/>
      <c r="D33" s="9"/>
      <c r="E33" s="14"/>
      <c r="F33" s="85"/>
      <c r="G33" s="9"/>
      <c r="H33" s="9"/>
      <c r="I33" s="9"/>
      <c r="J33" s="9"/>
      <c r="K33" s="9"/>
      <c r="L33" s="9"/>
      <c r="M33" s="9"/>
      <c r="N33" s="9"/>
      <c r="O33" s="90"/>
      <c r="P33" s="90"/>
      <c r="Q33" s="86"/>
      <c r="R33" s="86"/>
      <c r="S33" s="9"/>
      <c r="T33" s="47"/>
      <c r="U33" s="9"/>
      <c r="W33" s="67" t="str">
        <f>$A$4&amp;" "&amp;A34&amp;"("&amp;B34&amp;","&amp;C34&amp;"^)"</f>
        <v>평화동2가 우미('96.06.,603^)</v>
      </c>
      <c r="X33" s="68"/>
      <c r="Y33" s="68"/>
      <c r="Z33" s="68"/>
      <c r="AA33" s="68"/>
      <c r="AB33" s="68"/>
      <c r="AC33" s="68"/>
      <c r="AD33" s="68"/>
      <c r="AE33" s="68"/>
      <c r="AF33" s="69"/>
      <c r="AH33" s="20" t="str">
        <f t="shared" si="1"/>
        <v/>
      </c>
      <c r="AI33" s="108" t="str">
        <f t="shared" si="0"/>
        <v/>
      </c>
      <c r="AJ33" s="76"/>
      <c r="AK33" s="76"/>
      <c r="AL33" s="76"/>
      <c r="AM33" s="76"/>
      <c r="AN33" s="76"/>
      <c r="AO33" s="76"/>
      <c r="AP33" s="76"/>
      <c r="AQ33" s="76"/>
      <c r="AR33" s="76"/>
      <c r="AS33" s="76"/>
      <c r="AT33" s="76"/>
      <c r="AU33" s="76"/>
      <c r="AV33" s="76"/>
    </row>
    <row r="34" spans="1:48" x14ac:dyDescent="0.3">
      <c r="A34" s="9" t="s">
        <v>1359</v>
      </c>
      <c r="B34" s="10" t="s">
        <v>1905</v>
      </c>
      <c r="C34" s="87">
        <v>603</v>
      </c>
      <c r="D34" s="85">
        <v>80.3</v>
      </c>
      <c r="E34" s="86">
        <v>24</v>
      </c>
      <c r="F34" s="85">
        <v>60</v>
      </c>
      <c r="G34" s="17">
        <v>18</v>
      </c>
      <c r="H34" s="87">
        <v>450</v>
      </c>
      <c r="I34" s="88">
        <v>10500</v>
      </c>
      <c r="J34" s="88" t="s">
        <v>248</v>
      </c>
      <c r="K34" s="88">
        <v>11000</v>
      </c>
      <c r="L34" s="88" t="s">
        <v>310</v>
      </c>
      <c r="M34" s="89">
        <f>I34-K34</f>
        <v>-500</v>
      </c>
      <c r="N34" s="4">
        <f>IF(ISERROR(K34/I34),"",K34/I34)</f>
        <v>1.0476190476190477</v>
      </c>
      <c r="O34" s="90">
        <f>I34/E34</f>
        <v>437.5</v>
      </c>
      <c r="P34" s="90">
        <f>K34/E34</f>
        <v>458.33333333333331</v>
      </c>
      <c r="Q34" s="76">
        <v>3</v>
      </c>
      <c r="R34" s="76">
        <v>1</v>
      </c>
      <c r="S34" s="76" t="s">
        <v>68</v>
      </c>
      <c r="T34" s="5" t="s">
        <v>132</v>
      </c>
      <c r="U34" s="9"/>
      <c r="W34" s="85">
        <f>D34</f>
        <v>80.3</v>
      </c>
      <c r="X34" s="86">
        <f>E34</f>
        <v>24</v>
      </c>
      <c r="Y34" s="91">
        <f>H34</f>
        <v>450</v>
      </c>
      <c r="Z34" s="89">
        <f>I34</f>
        <v>10500</v>
      </c>
      <c r="AA34" s="89">
        <f>K34</f>
        <v>11000</v>
      </c>
      <c r="AB34" s="89">
        <f t="shared" ref="AB34:AD35" si="19">M34</f>
        <v>-500</v>
      </c>
      <c r="AC34" s="4">
        <f t="shared" si="19"/>
        <v>1.0476190476190477</v>
      </c>
      <c r="AD34" s="90">
        <f t="shared" si="19"/>
        <v>437.5</v>
      </c>
      <c r="AE34" s="76" t="str">
        <f>S34</f>
        <v>복</v>
      </c>
      <c r="AF34" s="76" t="str">
        <f>Q34&amp;"/"&amp;R34</f>
        <v>3/1</v>
      </c>
      <c r="AH34" s="20" t="str">
        <f t="shared" si="1"/>
        <v>우미</v>
      </c>
      <c r="AI34" s="86">
        <f t="shared" si="0"/>
        <v>24</v>
      </c>
      <c r="AJ34" s="76" t="str">
        <f>IF(AI34="","",$AJ$2)</f>
        <v>A-</v>
      </c>
      <c r="AK34" s="76" t="s">
        <v>13</v>
      </c>
      <c r="AL34" s="76" t="s">
        <v>62</v>
      </c>
      <c r="AM34" s="76" t="s">
        <v>63</v>
      </c>
      <c r="AN34" s="76" t="str">
        <f>IF(AI34="","",$AN$2)</f>
        <v>C</v>
      </c>
      <c r="AO34" s="76" t="str">
        <f>IF(N34="","",IF(N34&gt;=$AO$1/100,"O","X"))</f>
        <v>O</v>
      </c>
      <c r="AP34" s="76" t="str">
        <f>IF(I34="","",IF(I34&lt;=$AP$1,"O","X"))</f>
        <v>O</v>
      </c>
      <c r="AQ34" s="76" t="str">
        <f>IF(O34="","",IF(O34&lt;=$AQ$1,"O","X"))</f>
        <v>O</v>
      </c>
      <c r="AR34" s="76" t="str">
        <f>IF(M34="","",IF(M34&lt;=$AR$1,"O","X"))</f>
        <v>O</v>
      </c>
      <c r="AS34" s="76" t="s">
        <v>2</v>
      </c>
      <c r="AT34" s="76" t="str">
        <f>IF(OR(F34="",AI34=""),"",IF(AND((F34&lt;=85),(AI34&gt;=15)),"O","X"))</f>
        <v>O</v>
      </c>
      <c r="AU34" s="76" t="str">
        <f>IF(C34="","",IF(C34&gt;=$AU$1,"O","X"))</f>
        <v>O</v>
      </c>
      <c r="AV34" s="76" t="str">
        <f>IF(AO34="","",IF(AND(AO34="O",AP34="O",AR34="O",AT34="O",AU34="O"),"후보","X"))</f>
        <v>후보</v>
      </c>
    </row>
    <row r="35" spans="1:48" x14ac:dyDescent="0.3">
      <c r="A35" s="9" t="s">
        <v>1359</v>
      </c>
      <c r="B35" s="10" t="s">
        <v>1905</v>
      </c>
      <c r="C35" s="87">
        <v>603</v>
      </c>
      <c r="D35" s="85">
        <v>80.599999999999994</v>
      </c>
      <c r="E35" s="86">
        <v>24</v>
      </c>
      <c r="F35" s="85">
        <v>60</v>
      </c>
      <c r="G35" s="17">
        <v>18</v>
      </c>
      <c r="H35" s="87">
        <v>153</v>
      </c>
      <c r="I35" s="88">
        <v>11800</v>
      </c>
      <c r="J35" s="88" t="s">
        <v>85</v>
      </c>
      <c r="K35" s="88"/>
      <c r="L35" s="88"/>
      <c r="M35" s="89">
        <f>I35-K35</f>
        <v>11800</v>
      </c>
      <c r="N35" s="4">
        <f>IF(ISERROR(K35/I35),"",K35/I35)</f>
        <v>0</v>
      </c>
      <c r="O35" s="90">
        <f>I35/E35</f>
        <v>491.66666666666669</v>
      </c>
      <c r="P35" s="90">
        <f>K35/E35</f>
        <v>0</v>
      </c>
      <c r="Q35" s="76">
        <v>3</v>
      </c>
      <c r="R35" s="76">
        <v>1</v>
      </c>
      <c r="S35" s="76" t="s">
        <v>68</v>
      </c>
      <c r="T35" s="5" t="s">
        <v>133</v>
      </c>
      <c r="U35" s="9"/>
      <c r="W35" s="85">
        <f>D35</f>
        <v>80.599999999999994</v>
      </c>
      <c r="X35" s="86">
        <f>E35</f>
        <v>24</v>
      </c>
      <c r="Y35" s="91">
        <f>H35</f>
        <v>153</v>
      </c>
      <c r="Z35" s="89">
        <f>I35</f>
        <v>11800</v>
      </c>
      <c r="AA35" s="89">
        <f>K35</f>
        <v>0</v>
      </c>
      <c r="AB35" s="89">
        <f t="shared" si="19"/>
        <v>11800</v>
      </c>
      <c r="AC35" s="4">
        <f t="shared" si="19"/>
        <v>0</v>
      </c>
      <c r="AD35" s="90">
        <f t="shared" si="19"/>
        <v>491.66666666666669</v>
      </c>
      <c r="AE35" s="76" t="str">
        <f>S35</f>
        <v>복</v>
      </c>
      <c r="AF35" s="76" t="str">
        <f>Q35&amp;"/"&amp;R35</f>
        <v>3/1</v>
      </c>
      <c r="AH35" s="20" t="str">
        <f t="shared" si="1"/>
        <v>우미</v>
      </c>
      <c r="AI35" s="86">
        <f t="shared" ref="AI35:AI66" si="20">IF(E35="","",E35)</f>
        <v>24</v>
      </c>
      <c r="AJ35" s="76" t="str">
        <f>IF(AI35="","",$AJ$2)</f>
        <v>A-</v>
      </c>
      <c r="AK35" s="76" t="s">
        <v>13</v>
      </c>
      <c r="AL35" s="76" t="s">
        <v>62</v>
      </c>
      <c r="AM35" s="76" t="s">
        <v>63</v>
      </c>
      <c r="AN35" s="76" t="str">
        <f>IF(AI35="","",$AN$2)</f>
        <v>C</v>
      </c>
      <c r="AO35" s="76" t="str">
        <f>IF(N35="","",IF(N35&gt;=$AO$1/100,"O","X"))</f>
        <v>X</v>
      </c>
      <c r="AP35" s="76" t="str">
        <f>IF(I35="","",IF(I35&lt;=$AP$1,"O","X"))</f>
        <v>O</v>
      </c>
      <c r="AQ35" s="76" t="str">
        <f>IF(O35="","",IF(O35&lt;=$AQ$1,"O","X"))</f>
        <v>O</v>
      </c>
      <c r="AR35" s="76" t="str">
        <f>IF(M35="","",IF(M35&lt;=$AR$1,"O","X"))</f>
        <v>X</v>
      </c>
      <c r="AS35" s="76" t="s">
        <v>2</v>
      </c>
      <c r="AT35" s="76" t="str">
        <f>IF(OR(F35="",AI35=""),"",IF(AND((F35&lt;=85),(AI35&gt;=15)),"O","X"))</f>
        <v>O</v>
      </c>
      <c r="AU35" s="76" t="str">
        <f>IF(C35="","",IF(C35&gt;=$AU$1,"O","X"))</f>
        <v>O</v>
      </c>
      <c r="AV35" s="76" t="str">
        <f>IF(AO35="","",IF(AND(AO35="O",AP35="O",AR35="O",AT35="O",AU35="O"),"후보","X"))</f>
        <v>X</v>
      </c>
    </row>
    <row r="36" spans="1:48" x14ac:dyDescent="0.3">
      <c r="A36" s="9"/>
      <c r="B36" s="76"/>
      <c r="C36" s="6"/>
      <c r="D36" s="9"/>
      <c r="E36" s="14"/>
      <c r="F36" s="85"/>
      <c r="G36" s="9"/>
      <c r="H36" s="9"/>
      <c r="I36" s="9"/>
      <c r="J36" s="9"/>
      <c r="K36" s="9"/>
      <c r="L36" s="9"/>
      <c r="M36" s="9"/>
      <c r="N36" s="9"/>
      <c r="O36" s="90"/>
      <c r="P36" s="90"/>
      <c r="Q36" s="86"/>
      <c r="R36" s="86"/>
      <c r="S36" s="9"/>
      <c r="T36" s="47"/>
      <c r="U36" s="9"/>
      <c r="W36" s="67" t="str">
        <f>$A$4&amp;" "&amp;A37&amp;"("&amp;B37&amp;","&amp;C37&amp;"^)"</f>
        <v>평화동2가 평화2차골드클래스모악산('20.08.,398^)</v>
      </c>
      <c r="X36" s="68"/>
      <c r="Y36" s="68"/>
      <c r="Z36" s="68"/>
      <c r="AA36" s="68"/>
      <c r="AB36" s="68"/>
      <c r="AC36" s="68"/>
      <c r="AD36" s="68"/>
      <c r="AE36" s="68"/>
      <c r="AF36" s="69"/>
      <c r="AH36" s="20" t="str">
        <f t="shared" si="1"/>
        <v/>
      </c>
      <c r="AI36" s="108" t="str">
        <f t="shared" si="20"/>
        <v/>
      </c>
      <c r="AJ36" s="76"/>
      <c r="AK36" s="76"/>
      <c r="AL36" s="76"/>
      <c r="AM36" s="76"/>
      <c r="AN36" s="76"/>
      <c r="AO36" s="76"/>
      <c r="AP36" s="76"/>
      <c r="AQ36" s="76"/>
      <c r="AR36" s="76"/>
      <c r="AS36" s="76"/>
      <c r="AT36" s="76"/>
      <c r="AU36" s="76"/>
      <c r="AV36" s="76"/>
    </row>
    <row r="37" spans="1:48" x14ac:dyDescent="0.3">
      <c r="A37" s="9" t="s">
        <v>1364</v>
      </c>
      <c r="B37" s="10" t="s">
        <v>1904</v>
      </c>
      <c r="C37" s="87">
        <v>398</v>
      </c>
      <c r="D37" s="85">
        <v>111</v>
      </c>
      <c r="E37" s="86">
        <v>34</v>
      </c>
      <c r="F37" s="85">
        <v>85</v>
      </c>
      <c r="G37" s="17">
        <v>26</v>
      </c>
      <c r="H37" s="87">
        <v>191</v>
      </c>
      <c r="I37" s="88">
        <v>60000</v>
      </c>
      <c r="J37" s="88" t="s">
        <v>325</v>
      </c>
      <c r="K37" s="88"/>
      <c r="L37" s="88"/>
      <c r="M37" s="89">
        <f>I37-K37</f>
        <v>60000</v>
      </c>
      <c r="N37" s="4">
        <f>IF(ISERROR(K37/I37),"",K37/I37)</f>
        <v>0</v>
      </c>
      <c r="O37" s="90">
        <f>I37/E37</f>
        <v>1764.7058823529412</v>
      </c>
      <c r="P37" s="90">
        <f>K37/E37</f>
        <v>0</v>
      </c>
      <c r="Q37" s="76">
        <v>4</v>
      </c>
      <c r="R37" s="76">
        <v>2</v>
      </c>
      <c r="S37" s="76" t="s">
        <v>61</v>
      </c>
      <c r="T37" s="5" t="s">
        <v>292</v>
      </c>
      <c r="U37" s="9"/>
      <c r="W37" s="85">
        <f t="shared" ref="W37:X40" si="21">D37</f>
        <v>111</v>
      </c>
      <c r="X37" s="86">
        <f t="shared" si="21"/>
        <v>34</v>
      </c>
      <c r="Y37" s="91">
        <f t="shared" ref="Y37:Z40" si="22">H37</f>
        <v>191</v>
      </c>
      <c r="Z37" s="89">
        <f t="shared" si="22"/>
        <v>60000</v>
      </c>
      <c r="AA37" s="89">
        <f>K37</f>
        <v>0</v>
      </c>
      <c r="AB37" s="89">
        <f t="shared" ref="AB37:AD40" si="23">M37</f>
        <v>60000</v>
      </c>
      <c r="AC37" s="4">
        <f t="shared" si="23"/>
        <v>0</v>
      </c>
      <c r="AD37" s="90">
        <f t="shared" si="23"/>
        <v>1764.7058823529412</v>
      </c>
      <c r="AE37" s="76" t="str">
        <f>S37</f>
        <v>계</v>
      </c>
      <c r="AF37" s="76" t="str">
        <f>Q37&amp;"/"&amp;R37</f>
        <v>4/2</v>
      </c>
      <c r="AH37" s="20" t="str">
        <f t="shared" ref="AH37:AH68" si="24">IF(A37="","",A37)</f>
        <v>평화2차골드클래스모악산</v>
      </c>
      <c r="AI37" s="86">
        <f t="shared" si="20"/>
        <v>34</v>
      </c>
      <c r="AJ37" s="76" t="str">
        <f>IF(AI37="","",$AJ$2)</f>
        <v>A-</v>
      </c>
      <c r="AK37" s="76" t="s">
        <v>13</v>
      </c>
      <c r="AL37" s="76" t="s">
        <v>62</v>
      </c>
      <c r="AM37" s="76" t="s">
        <v>63</v>
      </c>
      <c r="AN37" s="76" t="str">
        <f>IF(AI37="","",$AN$2)</f>
        <v>C</v>
      </c>
      <c r="AO37" s="76" t="str">
        <f>IF(N37="","",IF(N37&gt;=$AO$1/100,"O","X"))</f>
        <v>X</v>
      </c>
      <c r="AP37" s="76" t="str">
        <f>IF(I37="","",IF(I37&lt;=$AP$1,"O","X"))</f>
        <v>X</v>
      </c>
      <c r="AQ37" s="76" t="str">
        <f>IF(O37="","",IF(O37&lt;=$AQ$1,"O","X"))</f>
        <v>O</v>
      </c>
      <c r="AR37" s="76" t="str">
        <f>IF(M37="","",IF(M37&lt;=$AR$1,"O","X"))</f>
        <v>X</v>
      </c>
      <c r="AS37" s="76" t="s">
        <v>2</v>
      </c>
      <c r="AT37" s="76" t="str">
        <f>IF(OR(F37="",AI37=""),"",IF(AND((F37&lt;=85),(AI37&gt;=15)),"O","X"))</f>
        <v>O</v>
      </c>
      <c r="AU37" s="76" t="str">
        <f>IF(C37="","",IF(C37&gt;=$AU$1,"O","X"))</f>
        <v>O</v>
      </c>
      <c r="AV37" s="76" t="str">
        <f>IF(AO37="","",IF(AND(AO37="O",AP37="O",AR37="O",AT37="O",AU37="O"),"후보","X"))</f>
        <v>X</v>
      </c>
    </row>
    <row r="38" spans="1:48" x14ac:dyDescent="0.3">
      <c r="A38" s="9" t="s">
        <v>1364</v>
      </c>
      <c r="B38" s="10" t="s">
        <v>1904</v>
      </c>
      <c r="C38" s="87">
        <v>398</v>
      </c>
      <c r="D38" s="85">
        <v>110.9</v>
      </c>
      <c r="E38" s="86">
        <v>34</v>
      </c>
      <c r="F38" s="85">
        <v>84.9</v>
      </c>
      <c r="G38" s="17">
        <v>26</v>
      </c>
      <c r="H38" s="87">
        <v>93</v>
      </c>
      <c r="I38" s="88"/>
      <c r="J38" s="88"/>
      <c r="K38" s="88"/>
      <c r="L38" s="88"/>
      <c r="M38" s="89">
        <f>I38-K38</f>
        <v>0</v>
      </c>
      <c r="N38" s="4" t="str">
        <f>IF(ISERROR(K38/I38),"",K38/I38)</f>
        <v/>
      </c>
      <c r="O38" s="90">
        <f>I38/E38</f>
        <v>0</v>
      </c>
      <c r="P38" s="90">
        <f>K38/E38</f>
        <v>0</v>
      </c>
      <c r="Q38" s="76">
        <v>4</v>
      </c>
      <c r="R38" s="76">
        <v>2</v>
      </c>
      <c r="S38" s="76" t="s">
        <v>61</v>
      </c>
      <c r="T38" s="5" t="s">
        <v>125</v>
      </c>
      <c r="U38" s="9"/>
      <c r="W38" s="85">
        <f t="shared" si="21"/>
        <v>110.9</v>
      </c>
      <c r="X38" s="86">
        <f t="shared" si="21"/>
        <v>34</v>
      </c>
      <c r="Y38" s="91">
        <f t="shared" si="22"/>
        <v>93</v>
      </c>
      <c r="Z38" s="89">
        <f t="shared" si="22"/>
        <v>0</v>
      </c>
      <c r="AA38" s="89">
        <f>K38</f>
        <v>0</v>
      </c>
      <c r="AB38" s="89">
        <f t="shared" si="23"/>
        <v>0</v>
      </c>
      <c r="AC38" s="4" t="str">
        <f t="shared" si="23"/>
        <v/>
      </c>
      <c r="AD38" s="90">
        <f t="shared" si="23"/>
        <v>0</v>
      </c>
      <c r="AE38" s="76" t="str">
        <f>S38</f>
        <v>계</v>
      </c>
      <c r="AF38" s="76" t="str">
        <f>Q38&amp;"/"&amp;R38</f>
        <v>4/2</v>
      </c>
      <c r="AH38" s="20" t="str">
        <f t="shared" si="24"/>
        <v>평화2차골드클래스모악산</v>
      </c>
      <c r="AI38" s="86">
        <f t="shared" si="20"/>
        <v>34</v>
      </c>
      <c r="AJ38" s="76" t="str">
        <f>IF(AI38="","",$AJ$2)</f>
        <v>A-</v>
      </c>
      <c r="AK38" s="76" t="s">
        <v>13</v>
      </c>
      <c r="AL38" s="76" t="s">
        <v>62</v>
      </c>
      <c r="AM38" s="76" t="s">
        <v>63</v>
      </c>
      <c r="AN38" s="76" t="str">
        <f>IF(AI38="","",$AN$2)</f>
        <v>C</v>
      </c>
      <c r="AO38" s="76" t="str">
        <f>IF(N38="","",IF(N38&gt;=$AO$1/100,"O","X"))</f>
        <v/>
      </c>
      <c r="AP38" s="76" t="str">
        <f>IF(I38="","",IF(I38&lt;=$AP$1,"O","X"))</f>
        <v/>
      </c>
      <c r="AQ38" s="76" t="str">
        <f>IF(O38="","",IF(O38&lt;=$AQ$1,"O","X"))</f>
        <v>O</v>
      </c>
      <c r="AR38" s="76" t="str">
        <f>IF(M38="","",IF(M38&lt;=$AR$1,"O","X"))</f>
        <v>O</v>
      </c>
      <c r="AS38" s="76" t="s">
        <v>2</v>
      </c>
      <c r="AT38" s="76" t="str">
        <f>IF(OR(F38="",AI38=""),"",IF(AND((F38&lt;=85),(AI38&gt;=15)),"O","X"))</f>
        <v>O</v>
      </c>
      <c r="AU38" s="76" t="str">
        <f>IF(C38="","",IF(C38&gt;=$AU$1,"O","X"))</f>
        <v>O</v>
      </c>
      <c r="AV38" s="76" t="str">
        <f>IF(AO38="","",IF(AND(AO38="O",AP38="O",AR38="O",AT38="O",AU38="O"),"후보","X"))</f>
        <v/>
      </c>
    </row>
    <row r="39" spans="1:48" x14ac:dyDescent="0.3">
      <c r="A39" s="9" t="s">
        <v>1364</v>
      </c>
      <c r="B39" s="10" t="s">
        <v>1904</v>
      </c>
      <c r="C39" s="87">
        <v>398</v>
      </c>
      <c r="D39" s="85">
        <v>110.4</v>
      </c>
      <c r="E39" s="86">
        <v>33</v>
      </c>
      <c r="F39" s="85">
        <v>84.6</v>
      </c>
      <c r="G39" s="17">
        <v>26</v>
      </c>
      <c r="H39" s="87">
        <v>56</v>
      </c>
      <c r="I39" s="88"/>
      <c r="J39" s="88"/>
      <c r="K39" s="88"/>
      <c r="L39" s="88"/>
      <c r="M39" s="89">
        <f>I39-K39</f>
        <v>0</v>
      </c>
      <c r="N39" s="4" t="str">
        <f>IF(ISERROR(K39/I39),"",K39/I39)</f>
        <v/>
      </c>
      <c r="O39" s="90">
        <f>I39/E39</f>
        <v>0</v>
      </c>
      <c r="P39" s="90">
        <f>K39/E39</f>
        <v>0</v>
      </c>
      <c r="Q39" s="76">
        <v>3</v>
      </c>
      <c r="R39" s="76">
        <v>2</v>
      </c>
      <c r="S39" s="76" t="s">
        <v>61</v>
      </c>
      <c r="T39" s="5" t="s">
        <v>294</v>
      </c>
      <c r="U39" s="9"/>
      <c r="W39" s="85">
        <f t="shared" si="21"/>
        <v>110.4</v>
      </c>
      <c r="X39" s="86">
        <f t="shared" si="21"/>
        <v>33</v>
      </c>
      <c r="Y39" s="91">
        <f t="shared" si="22"/>
        <v>56</v>
      </c>
      <c r="Z39" s="89">
        <f t="shared" si="22"/>
        <v>0</v>
      </c>
      <c r="AA39" s="89">
        <f>K39</f>
        <v>0</v>
      </c>
      <c r="AB39" s="89">
        <f t="shared" si="23"/>
        <v>0</v>
      </c>
      <c r="AC39" s="4" t="str">
        <f t="shared" si="23"/>
        <v/>
      </c>
      <c r="AD39" s="90">
        <f t="shared" si="23"/>
        <v>0</v>
      </c>
      <c r="AE39" s="76" t="str">
        <f>S39</f>
        <v>계</v>
      </c>
      <c r="AF39" s="76" t="str">
        <f>Q39&amp;"/"&amp;R39</f>
        <v>3/2</v>
      </c>
      <c r="AH39" s="20" t="str">
        <f t="shared" si="24"/>
        <v>평화2차골드클래스모악산</v>
      </c>
      <c r="AI39" s="86">
        <f t="shared" si="20"/>
        <v>33</v>
      </c>
      <c r="AJ39" s="76" t="str">
        <f>IF(AI39="","",$AJ$2)</f>
        <v>A-</v>
      </c>
      <c r="AK39" s="76" t="s">
        <v>13</v>
      </c>
      <c r="AL39" s="76" t="s">
        <v>62</v>
      </c>
      <c r="AM39" s="76" t="s">
        <v>63</v>
      </c>
      <c r="AN39" s="76" t="str">
        <f>IF(AI39="","",$AN$2)</f>
        <v>C</v>
      </c>
      <c r="AO39" s="76" t="str">
        <f>IF(N39="","",IF(N39&gt;=$AO$1/100,"O","X"))</f>
        <v/>
      </c>
      <c r="AP39" s="76" t="str">
        <f>IF(I39="","",IF(I39&lt;=$AP$1,"O","X"))</f>
        <v/>
      </c>
      <c r="AQ39" s="76" t="str">
        <f>IF(O39="","",IF(O39&lt;=$AQ$1,"O","X"))</f>
        <v>O</v>
      </c>
      <c r="AR39" s="76" t="str">
        <f>IF(M39="","",IF(M39&lt;=$AR$1,"O","X"))</f>
        <v>O</v>
      </c>
      <c r="AS39" s="76" t="s">
        <v>2</v>
      </c>
      <c r="AT39" s="76" t="str">
        <f>IF(OR(F39="",AI39=""),"",IF(AND((F39&lt;=85),(AI39&gt;=15)),"O","X"))</f>
        <v>O</v>
      </c>
      <c r="AU39" s="76" t="str">
        <f>IF(C39="","",IF(C39&gt;=$AU$1,"O","X"))</f>
        <v>O</v>
      </c>
      <c r="AV39" s="76" t="str">
        <f>IF(AO39="","",IF(AND(AO39="O",AP39="O",AR39="O",AT39="O",AU39="O"),"후보","X"))</f>
        <v/>
      </c>
    </row>
    <row r="40" spans="1:48" x14ac:dyDescent="0.3">
      <c r="A40" s="9" t="s">
        <v>1364</v>
      </c>
      <c r="B40" s="10" t="s">
        <v>1904</v>
      </c>
      <c r="C40" s="87">
        <v>398</v>
      </c>
      <c r="D40" s="85">
        <v>153.19999999999999</v>
      </c>
      <c r="E40" s="86">
        <v>46</v>
      </c>
      <c r="F40" s="85">
        <v>123.6</v>
      </c>
      <c r="G40" s="17">
        <v>37</v>
      </c>
      <c r="H40" s="87">
        <v>58</v>
      </c>
      <c r="I40" s="88"/>
      <c r="J40" s="88"/>
      <c r="K40" s="88"/>
      <c r="L40" s="88"/>
      <c r="M40" s="89">
        <f>I40-K40</f>
        <v>0</v>
      </c>
      <c r="N40" s="4" t="str">
        <f>IF(ISERROR(K40/I40),"",K40/I40)</f>
        <v/>
      </c>
      <c r="O40" s="90">
        <f>I40/E40</f>
        <v>0</v>
      </c>
      <c r="P40" s="90">
        <f>K40/E40</f>
        <v>0</v>
      </c>
      <c r="Q40" s="76">
        <v>4</v>
      </c>
      <c r="R40" s="76">
        <v>2</v>
      </c>
      <c r="S40" s="76" t="s">
        <v>61</v>
      </c>
      <c r="T40" s="5">
        <v>153</v>
      </c>
      <c r="U40" s="9"/>
      <c r="W40" s="85">
        <f t="shared" si="21"/>
        <v>153.19999999999999</v>
      </c>
      <c r="X40" s="86">
        <f t="shared" si="21"/>
        <v>46</v>
      </c>
      <c r="Y40" s="91">
        <f t="shared" si="22"/>
        <v>58</v>
      </c>
      <c r="Z40" s="89">
        <f t="shared" si="22"/>
        <v>0</v>
      </c>
      <c r="AA40" s="89">
        <f>K40</f>
        <v>0</v>
      </c>
      <c r="AB40" s="89">
        <f t="shared" si="23"/>
        <v>0</v>
      </c>
      <c r="AC40" s="4" t="str">
        <f t="shared" si="23"/>
        <v/>
      </c>
      <c r="AD40" s="90">
        <f t="shared" si="23"/>
        <v>0</v>
      </c>
      <c r="AE40" s="76" t="str">
        <f>S40</f>
        <v>계</v>
      </c>
      <c r="AF40" s="76" t="str">
        <f>Q40&amp;"/"&amp;R40</f>
        <v>4/2</v>
      </c>
      <c r="AH40" s="20" t="str">
        <f t="shared" si="24"/>
        <v>평화2차골드클래스모악산</v>
      </c>
      <c r="AI40" s="86">
        <f t="shared" si="20"/>
        <v>46</v>
      </c>
      <c r="AJ40" s="76" t="str">
        <f>IF(AI40="","",$AJ$2)</f>
        <v>A-</v>
      </c>
      <c r="AK40" s="76" t="s">
        <v>13</v>
      </c>
      <c r="AL40" s="76" t="s">
        <v>62</v>
      </c>
      <c r="AM40" s="76" t="s">
        <v>63</v>
      </c>
      <c r="AN40" s="76" t="str">
        <f>IF(AI40="","",$AN$2)</f>
        <v>C</v>
      </c>
      <c r="AO40" s="76" t="str">
        <f>IF(N40="","",IF(N40&gt;=$AO$1/100,"O","X"))</f>
        <v/>
      </c>
      <c r="AP40" s="76" t="str">
        <f>IF(I40="","",IF(I40&lt;=$AP$1,"O","X"))</f>
        <v/>
      </c>
      <c r="AQ40" s="76" t="str">
        <f>IF(O40="","",IF(O40&lt;=$AQ$1,"O","X"))</f>
        <v>O</v>
      </c>
      <c r="AR40" s="76" t="str">
        <f>IF(M40="","",IF(M40&lt;=$AR$1,"O","X"))</f>
        <v>O</v>
      </c>
      <c r="AS40" s="76" t="s">
        <v>2</v>
      </c>
      <c r="AT40" s="76" t="str">
        <f>IF(OR(F40="",AI40=""),"",IF(AND((F40&lt;=85),(AI40&gt;=15)),"O","X"))</f>
        <v>X</v>
      </c>
      <c r="AU40" s="76" t="str">
        <f>IF(C40="","",IF(C40&gt;=$AU$1,"O","X"))</f>
        <v>O</v>
      </c>
      <c r="AV40" s="76" t="str">
        <f>IF(AO40="","",IF(AND(AO40="O",AP40="O",AR40="O",AT40="O",AU40="O"),"후보","X"))</f>
        <v/>
      </c>
    </row>
    <row r="41" spans="1:48" x14ac:dyDescent="0.3">
      <c r="A41" s="9"/>
      <c r="B41" s="76"/>
      <c r="C41" s="6"/>
      <c r="D41" s="9"/>
      <c r="E41" s="14"/>
      <c r="F41" s="85"/>
      <c r="G41" s="9"/>
      <c r="H41" s="9"/>
      <c r="I41" s="9"/>
      <c r="J41" s="9"/>
      <c r="K41" s="9"/>
      <c r="L41" s="9"/>
      <c r="M41" s="9"/>
      <c r="N41" s="9"/>
      <c r="O41" s="90"/>
      <c r="P41" s="90"/>
      <c r="Q41" s="86"/>
      <c r="R41" s="86"/>
      <c r="S41" s="9"/>
      <c r="T41" s="47"/>
      <c r="U41" s="9"/>
      <c r="W41" s="67" t="str">
        <f>$A$4&amp;" "&amp;A42&amp;"("&amp;B42&amp;","&amp;C42&amp;"^)"</f>
        <v>평화동2가 평화주공그린타운2단지('02.10.,1329^)</v>
      </c>
      <c r="X41" s="68"/>
      <c r="Y41" s="68"/>
      <c r="Z41" s="68"/>
      <c r="AA41" s="68"/>
      <c r="AB41" s="68"/>
      <c r="AC41" s="68"/>
      <c r="AD41" s="68"/>
      <c r="AE41" s="68"/>
      <c r="AF41" s="69"/>
      <c r="AH41" s="20" t="str">
        <f t="shared" si="24"/>
        <v/>
      </c>
      <c r="AI41" s="108" t="str">
        <f t="shared" si="20"/>
        <v/>
      </c>
      <c r="AJ41" s="76"/>
      <c r="AK41" s="76"/>
      <c r="AL41" s="76"/>
      <c r="AM41" s="76"/>
      <c r="AN41" s="76"/>
      <c r="AO41" s="76"/>
      <c r="AP41" s="76"/>
      <c r="AQ41" s="76"/>
      <c r="AR41" s="76"/>
      <c r="AS41" s="76"/>
      <c r="AT41" s="76"/>
      <c r="AU41" s="76"/>
      <c r="AV41" s="76"/>
    </row>
    <row r="42" spans="1:48" x14ac:dyDescent="0.3">
      <c r="A42" s="9" t="s">
        <v>1373</v>
      </c>
      <c r="B42" s="10" t="s">
        <v>1906</v>
      </c>
      <c r="C42" s="87">
        <v>1329</v>
      </c>
      <c r="D42" s="85">
        <v>62.9</v>
      </c>
      <c r="E42" s="86">
        <v>19</v>
      </c>
      <c r="F42" s="85">
        <v>46.2</v>
      </c>
      <c r="G42" s="17">
        <v>14</v>
      </c>
      <c r="H42" s="87">
        <v>329</v>
      </c>
      <c r="I42" s="88">
        <v>11500</v>
      </c>
      <c r="J42" s="88" t="s">
        <v>85</v>
      </c>
      <c r="K42" s="88">
        <v>11000</v>
      </c>
      <c r="L42" s="88" t="s">
        <v>248</v>
      </c>
      <c r="M42" s="89">
        <f>I42-K42</f>
        <v>500</v>
      </c>
      <c r="N42" s="4">
        <f>IF(ISERROR(K42/I42),"",K42/I42)</f>
        <v>0.95652173913043481</v>
      </c>
      <c r="O42" s="90">
        <f>I42/E42</f>
        <v>605.26315789473688</v>
      </c>
      <c r="P42" s="90">
        <f>K42/E42</f>
        <v>578.9473684210526</v>
      </c>
      <c r="Q42" s="76">
        <v>2</v>
      </c>
      <c r="R42" s="76">
        <v>1</v>
      </c>
      <c r="S42" s="76" t="s">
        <v>68</v>
      </c>
      <c r="T42" s="5">
        <v>62</v>
      </c>
      <c r="U42" s="9"/>
      <c r="W42" s="85">
        <f t="shared" ref="W42:X45" si="25">D42</f>
        <v>62.9</v>
      </c>
      <c r="X42" s="86">
        <f t="shared" si="25"/>
        <v>19</v>
      </c>
      <c r="Y42" s="91">
        <f t="shared" ref="Y42:Z45" si="26">H42</f>
        <v>329</v>
      </c>
      <c r="Z42" s="89">
        <f t="shared" si="26"/>
        <v>11500</v>
      </c>
      <c r="AA42" s="89">
        <f>K42</f>
        <v>11000</v>
      </c>
      <c r="AB42" s="89">
        <f t="shared" ref="AB42:AD45" si="27">M42</f>
        <v>500</v>
      </c>
      <c r="AC42" s="4">
        <f t="shared" si="27"/>
        <v>0.95652173913043481</v>
      </c>
      <c r="AD42" s="90">
        <f t="shared" si="27"/>
        <v>605.26315789473688</v>
      </c>
      <c r="AE42" s="76" t="str">
        <f>S42</f>
        <v>복</v>
      </c>
      <c r="AF42" s="76" t="str">
        <f>Q42&amp;"/"&amp;R42</f>
        <v>2/1</v>
      </c>
      <c r="AH42" s="20" t="str">
        <f t="shared" si="24"/>
        <v>평화주공그린타운2단지</v>
      </c>
      <c r="AI42" s="86">
        <f t="shared" si="20"/>
        <v>19</v>
      </c>
      <c r="AJ42" s="76" t="str">
        <f>IF(AI42="","",$AJ$2)</f>
        <v>A-</v>
      </c>
      <c r="AK42" s="76" t="s">
        <v>13</v>
      </c>
      <c r="AL42" s="76" t="s">
        <v>62</v>
      </c>
      <c r="AM42" s="76" t="s">
        <v>63</v>
      </c>
      <c r="AN42" s="76" t="str">
        <f>IF(AI42="","",$AN$2)</f>
        <v>C</v>
      </c>
      <c r="AO42" s="76" t="str">
        <f>IF(N42="","",IF(N42&gt;=$AO$1/100,"O","X"))</f>
        <v>O</v>
      </c>
      <c r="AP42" s="76" t="str">
        <f>IF(I42="","",IF(I42&lt;=$AP$1,"O","X"))</f>
        <v>O</v>
      </c>
      <c r="AQ42" s="76" t="str">
        <f>IF(O42="","",IF(O42&lt;=$AQ$1,"O","X"))</f>
        <v>O</v>
      </c>
      <c r="AR42" s="76" t="str">
        <f>IF(M42="","",IF(M42&lt;=$AR$1,"O","X"))</f>
        <v>O</v>
      </c>
      <c r="AS42" s="76" t="s">
        <v>2</v>
      </c>
      <c r="AT42" s="76" t="str">
        <f>IF(OR(F42="",AI42=""),"",IF(AND((F42&lt;=85),(AI42&gt;=15)),"O","X"))</f>
        <v>O</v>
      </c>
      <c r="AU42" s="76" t="str">
        <f>IF(C42="","",IF(C42&gt;=$AU$1,"O","X"))</f>
        <v>O</v>
      </c>
      <c r="AV42" s="76" t="str">
        <f>IF(AO42="","",IF(AND(AO42="O",AP42="O",AR42="O",AT42="O",AU42="O"),"후보","X"))</f>
        <v>후보</v>
      </c>
    </row>
    <row r="43" spans="1:48" x14ac:dyDescent="0.3">
      <c r="A43" s="9" t="s">
        <v>1373</v>
      </c>
      <c r="B43" s="10" t="s">
        <v>1906</v>
      </c>
      <c r="C43" s="87">
        <v>1329</v>
      </c>
      <c r="D43" s="85">
        <v>67.8</v>
      </c>
      <c r="E43" s="86">
        <v>20</v>
      </c>
      <c r="F43" s="85">
        <v>49.8</v>
      </c>
      <c r="G43" s="17">
        <v>15</v>
      </c>
      <c r="H43" s="87">
        <v>30</v>
      </c>
      <c r="I43" s="88"/>
      <c r="J43" s="88"/>
      <c r="K43" s="88"/>
      <c r="L43" s="88"/>
      <c r="M43" s="89">
        <f>I43-K43</f>
        <v>0</v>
      </c>
      <c r="N43" s="4" t="str">
        <f>IF(ISERROR(K43/I43),"",K43/I43)</f>
        <v/>
      </c>
      <c r="O43" s="90">
        <f>I43/E43</f>
        <v>0</v>
      </c>
      <c r="P43" s="90">
        <f>K43/E43</f>
        <v>0</v>
      </c>
      <c r="Q43" s="76">
        <v>2</v>
      </c>
      <c r="R43" s="76">
        <v>1</v>
      </c>
      <c r="S43" s="76" t="s">
        <v>68</v>
      </c>
      <c r="T43" s="5">
        <v>67</v>
      </c>
      <c r="U43" s="9"/>
      <c r="W43" s="85">
        <f t="shared" si="25"/>
        <v>67.8</v>
      </c>
      <c r="X43" s="86">
        <f t="shared" si="25"/>
        <v>20</v>
      </c>
      <c r="Y43" s="91">
        <f t="shared" si="26"/>
        <v>30</v>
      </c>
      <c r="Z43" s="89">
        <f t="shared" si="26"/>
        <v>0</v>
      </c>
      <c r="AA43" s="89">
        <f>K43</f>
        <v>0</v>
      </c>
      <c r="AB43" s="89">
        <f t="shared" si="27"/>
        <v>0</v>
      </c>
      <c r="AC43" s="4" t="str">
        <f t="shared" si="27"/>
        <v/>
      </c>
      <c r="AD43" s="90">
        <f t="shared" si="27"/>
        <v>0</v>
      </c>
      <c r="AE43" s="76" t="str">
        <f>S43</f>
        <v>복</v>
      </c>
      <c r="AF43" s="76" t="str">
        <f>Q43&amp;"/"&amp;R43</f>
        <v>2/1</v>
      </c>
      <c r="AH43" s="20" t="str">
        <f t="shared" si="24"/>
        <v>평화주공그린타운2단지</v>
      </c>
      <c r="AI43" s="86">
        <f t="shared" si="20"/>
        <v>20</v>
      </c>
      <c r="AJ43" s="76" t="str">
        <f>IF(AI43="","",$AJ$2)</f>
        <v>A-</v>
      </c>
      <c r="AK43" s="76" t="s">
        <v>13</v>
      </c>
      <c r="AL43" s="76" t="s">
        <v>62</v>
      </c>
      <c r="AM43" s="76" t="s">
        <v>63</v>
      </c>
      <c r="AN43" s="76" t="str">
        <f>IF(AI43="","",$AN$2)</f>
        <v>C</v>
      </c>
      <c r="AO43" s="76" t="str">
        <f>IF(N43="","",IF(N43&gt;=$AO$1/100,"O","X"))</f>
        <v/>
      </c>
      <c r="AP43" s="76" t="str">
        <f>IF(I43="","",IF(I43&lt;=$AP$1,"O","X"))</f>
        <v/>
      </c>
      <c r="AQ43" s="76" t="str">
        <f>IF(O43="","",IF(O43&lt;=$AQ$1,"O","X"))</f>
        <v>O</v>
      </c>
      <c r="AR43" s="76" t="str">
        <f>IF(M43="","",IF(M43&lt;=$AR$1,"O","X"))</f>
        <v>O</v>
      </c>
      <c r="AS43" s="76" t="s">
        <v>2</v>
      </c>
      <c r="AT43" s="76" t="str">
        <f>IF(OR(F43="",AI43=""),"",IF(AND((F43&lt;=85),(AI43&gt;=15)),"O","X"))</f>
        <v>O</v>
      </c>
      <c r="AU43" s="76" t="str">
        <f>IF(C43="","",IF(C43&gt;=$AU$1,"O","X"))</f>
        <v>O</v>
      </c>
      <c r="AV43" s="76" t="str">
        <f>IF(AO43="","",IF(AND(AO43="O",AP43="O",AR43="O",AT43="O",AU43="O"),"후보","X"))</f>
        <v/>
      </c>
    </row>
    <row r="44" spans="1:48" x14ac:dyDescent="0.3">
      <c r="A44" s="9" t="s">
        <v>1373</v>
      </c>
      <c r="B44" s="10" t="s">
        <v>1906</v>
      </c>
      <c r="C44" s="87">
        <v>1329</v>
      </c>
      <c r="D44" s="85">
        <v>81.5</v>
      </c>
      <c r="E44" s="86">
        <v>25</v>
      </c>
      <c r="F44" s="85">
        <v>59.9</v>
      </c>
      <c r="G44" s="17">
        <v>18</v>
      </c>
      <c r="H44" s="87">
        <v>778</v>
      </c>
      <c r="I44" s="88">
        <v>16300</v>
      </c>
      <c r="J44" s="88" t="s">
        <v>189</v>
      </c>
      <c r="K44" s="88"/>
      <c r="L44" s="88"/>
      <c r="M44" s="89">
        <f>I44-K44</f>
        <v>16300</v>
      </c>
      <c r="N44" s="4">
        <f>IF(ISERROR(K44/I44),"",K44/I44)</f>
        <v>0</v>
      </c>
      <c r="O44" s="90">
        <f>I44/E44</f>
        <v>652</v>
      </c>
      <c r="P44" s="90">
        <f>K44/E44</f>
        <v>0</v>
      </c>
      <c r="Q44" s="76">
        <v>3</v>
      </c>
      <c r="R44" s="76">
        <v>2</v>
      </c>
      <c r="S44" s="76" t="s">
        <v>61</v>
      </c>
      <c r="T44" s="5">
        <v>81</v>
      </c>
      <c r="U44" s="9"/>
      <c r="W44" s="85">
        <f t="shared" si="25"/>
        <v>81.5</v>
      </c>
      <c r="X44" s="86">
        <f t="shared" si="25"/>
        <v>25</v>
      </c>
      <c r="Y44" s="91">
        <f t="shared" si="26"/>
        <v>778</v>
      </c>
      <c r="Z44" s="89">
        <f t="shared" si="26"/>
        <v>16300</v>
      </c>
      <c r="AA44" s="89">
        <f>K44</f>
        <v>0</v>
      </c>
      <c r="AB44" s="89">
        <f t="shared" si="27"/>
        <v>16300</v>
      </c>
      <c r="AC44" s="4">
        <f t="shared" si="27"/>
        <v>0</v>
      </c>
      <c r="AD44" s="90">
        <f t="shared" si="27"/>
        <v>652</v>
      </c>
      <c r="AE44" s="76" t="str">
        <f>S44</f>
        <v>계</v>
      </c>
      <c r="AF44" s="76" t="str">
        <f>Q44&amp;"/"&amp;R44</f>
        <v>3/2</v>
      </c>
      <c r="AH44" s="20" t="str">
        <f t="shared" si="24"/>
        <v>평화주공그린타운2단지</v>
      </c>
      <c r="AI44" s="86">
        <f t="shared" si="20"/>
        <v>25</v>
      </c>
      <c r="AJ44" s="76" t="str">
        <f>IF(AI44="","",$AJ$2)</f>
        <v>A-</v>
      </c>
      <c r="AK44" s="76" t="s">
        <v>13</v>
      </c>
      <c r="AL44" s="76" t="s">
        <v>62</v>
      </c>
      <c r="AM44" s="76" t="s">
        <v>63</v>
      </c>
      <c r="AN44" s="76" t="str">
        <f>IF(AI44="","",$AN$2)</f>
        <v>C</v>
      </c>
      <c r="AO44" s="76" t="str">
        <f>IF(N44="","",IF(N44&gt;=$AO$1/100,"O","X"))</f>
        <v>X</v>
      </c>
      <c r="AP44" s="76" t="str">
        <f>IF(I44="","",IF(I44&lt;=$AP$1,"O","X"))</f>
        <v>O</v>
      </c>
      <c r="AQ44" s="76" t="str">
        <f>IF(O44="","",IF(O44&lt;=$AQ$1,"O","X"))</f>
        <v>O</v>
      </c>
      <c r="AR44" s="76" t="str">
        <f>IF(M44="","",IF(M44&lt;=$AR$1,"O","X"))</f>
        <v>X</v>
      </c>
      <c r="AS44" s="76" t="s">
        <v>2</v>
      </c>
      <c r="AT44" s="76" t="str">
        <f>IF(OR(F44="",AI44=""),"",IF(AND((F44&lt;=85),(AI44&gt;=15)),"O","X"))</f>
        <v>O</v>
      </c>
      <c r="AU44" s="76" t="str">
        <f>IF(C44="","",IF(C44&gt;=$AU$1,"O","X"))</f>
        <v>O</v>
      </c>
      <c r="AV44" s="76" t="str">
        <f>IF(AO44="","",IF(AND(AO44="O",AP44="O",AR44="O",AT44="O",AU44="O"),"후보","X"))</f>
        <v>X</v>
      </c>
    </row>
    <row r="45" spans="1:48" x14ac:dyDescent="0.3">
      <c r="A45" s="9" t="s">
        <v>1373</v>
      </c>
      <c r="B45" s="10" t="s">
        <v>1906</v>
      </c>
      <c r="C45" s="87">
        <v>1329</v>
      </c>
      <c r="D45" s="85">
        <v>115</v>
      </c>
      <c r="E45" s="86">
        <v>35</v>
      </c>
      <c r="F45" s="85">
        <v>84.5</v>
      </c>
      <c r="G45" s="17">
        <v>26</v>
      </c>
      <c r="H45" s="87">
        <v>192</v>
      </c>
      <c r="I45" s="88">
        <v>25500</v>
      </c>
      <c r="J45" s="88" t="s">
        <v>84</v>
      </c>
      <c r="K45" s="88"/>
      <c r="L45" s="88"/>
      <c r="M45" s="89">
        <f>I45-K45</f>
        <v>25500</v>
      </c>
      <c r="N45" s="4">
        <f>IF(ISERROR(K45/I45),"",K45/I45)</f>
        <v>0</v>
      </c>
      <c r="O45" s="90">
        <f>I45/E45</f>
        <v>728.57142857142856</v>
      </c>
      <c r="P45" s="90">
        <f>K45/E45</f>
        <v>0</v>
      </c>
      <c r="Q45" s="76">
        <v>3</v>
      </c>
      <c r="R45" s="76">
        <v>2</v>
      </c>
      <c r="S45" s="76" t="s">
        <v>61</v>
      </c>
      <c r="T45" s="5">
        <v>114</v>
      </c>
      <c r="U45" s="9"/>
      <c r="W45" s="85">
        <f t="shared" si="25"/>
        <v>115</v>
      </c>
      <c r="X45" s="86">
        <f t="shared" si="25"/>
        <v>35</v>
      </c>
      <c r="Y45" s="91">
        <f t="shared" si="26"/>
        <v>192</v>
      </c>
      <c r="Z45" s="89">
        <f t="shared" si="26"/>
        <v>25500</v>
      </c>
      <c r="AA45" s="89">
        <f>K45</f>
        <v>0</v>
      </c>
      <c r="AB45" s="89">
        <f t="shared" si="27"/>
        <v>25500</v>
      </c>
      <c r="AC45" s="4">
        <f t="shared" si="27"/>
        <v>0</v>
      </c>
      <c r="AD45" s="90">
        <f t="shared" si="27"/>
        <v>728.57142857142856</v>
      </c>
      <c r="AE45" s="76" t="str">
        <f>S45</f>
        <v>계</v>
      </c>
      <c r="AF45" s="76" t="str">
        <f>Q45&amp;"/"&amp;R45</f>
        <v>3/2</v>
      </c>
      <c r="AH45" s="20" t="str">
        <f t="shared" si="24"/>
        <v>평화주공그린타운2단지</v>
      </c>
      <c r="AI45" s="86">
        <f t="shared" si="20"/>
        <v>35</v>
      </c>
      <c r="AJ45" s="76" t="str">
        <f>IF(AI45="","",$AJ$2)</f>
        <v>A-</v>
      </c>
      <c r="AK45" s="76" t="s">
        <v>13</v>
      </c>
      <c r="AL45" s="76" t="s">
        <v>62</v>
      </c>
      <c r="AM45" s="76" t="s">
        <v>63</v>
      </c>
      <c r="AN45" s="76" t="str">
        <f>IF(AI45="","",$AN$2)</f>
        <v>C</v>
      </c>
      <c r="AO45" s="76" t="str">
        <f>IF(N45="","",IF(N45&gt;=$AO$1/100,"O","X"))</f>
        <v>X</v>
      </c>
      <c r="AP45" s="76" t="str">
        <f>IF(I45="","",IF(I45&lt;=$AP$1,"O","X"))</f>
        <v>O</v>
      </c>
      <c r="AQ45" s="76" t="str">
        <f>IF(O45="","",IF(O45&lt;=$AQ$1,"O","X"))</f>
        <v>O</v>
      </c>
      <c r="AR45" s="76" t="str">
        <f>IF(M45="","",IF(M45&lt;=$AR$1,"O","X"))</f>
        <v>X</v>
      </c>
      <c r="AS45" s="76" t="s">
        <v>2</v>
      </c>
      <c r="AT45" s="76" t="str">
        <f>IF(OR(F45="",AI45=""),"",IF(AND((F45&lt;=85),(AI45&gt;=15)),"O","X"))</f>
        <v>O</v>
      </c>
      <c r="AU45" s="76" t="str">
        <f>IF(C45="","",IF(C45&gt;=$AU$1,"O","X"))</f>
        <v>O</v>
      </c>
      <c r="AV45" s="76" t="str">
        <f>IF(AO45="","",IF(AND(AO45="O",AP45="O",AR45="O",AT45="O",AU45="O"),"후보","X"))</f>
        <v>X</v>
      </c>
    </row>
    <row r="46" spans="1:48" x14ac:dyDescent="0.3">
      <c r="A46" s="9"/>
      <c r="B46" s="76"/>
      <c r="C46" s="6"/>
      <c r="D46" s="9"/>
      <c r="E46" s="14"/>
      <c r="F46" s="85"/>
      <c r="G46" s="9"/>
      <c r="H46" s="9"/>
      <c r="I46" s="9"/>
      <c r="J46" s="9"/>
      <c r="K46" s="9"/>
      <c r="L46" s="9"/>
      <c r="M46" s="9"/>
      <c r="N46" s="9"/>
      <c r="O46" s="90"/>
      <c r="P46" s="90"/>
      <c r="Q46" s="86"/>
      <c r="R46" s="86"/>
      <c r="S46" s="9"/>
      <c r="T46" s="47"/>
      <c r="U46" s="9"/>
      <c r="W46" s="67" t="str">
        <f>$A$4&amp;" "&amp;A47&amp;"("&amp;B47&amp;","&amp;C47&amp;"^)"</f>
        <v>평화동2가 평화골드클래스('18.01.,396^)</v>
      </c>
      <c r="X46" s="68"/>
      <c r="Y46" s="68"/>
      <c r="Z46" s="68"/>
      <c r="AA46" s="68"/>
      <c r="AB46" s="68"/>
      <c r="AC46" s="68"/>
      <c r="AD46" s="68"/>
      <c r="AE46" s="68"/>
      <c r="AF46" s="69"/>
      <c r="AH46" s="20" t="str">
        <f t="shared" si="24"/>
        <v/>
      </c>
      <c r="AI46" s="108" t="str">
        <f t="shared" si="20"/>
        <v/>
      </c>
      <c r="AJ46" s="76"/>
      <c r="AK46" s="76"/>
      <c r="AL46" s="76"/>
      <c r="AM46" s="76"/>
      <c r="AN46" s="76"/>
      <c r="AO46" s="76"/>
      <c r="AP46" s="76"/>
      <c r="AQ46" s="76"/>
      <c r="AR46" s="76"/>
      <c r="AS46" s="76"/>
      <c r="AT46" s="76"/>
      <c r="AU46" s="76"/>
      <c r="AV46" s="76"/>
    </row>
    <row r="47" spans="1:48" x14ac:dyDescent="0.3">
      <c r="A47" s="9" t="s">
        <v>1378</v>
      </c>
      <c r="B47" s="10" t="s">
        <v>1907</v>
      </c>
      <c r="C47" s="87">
        <v>396</v>
      </c>
      <c r="D47" s="85">
        <v>98</v>
      </c>
      <c r="E47" s="86">
        <v>30</v>
      </c>
      <c r="F47" s="85">
        <v>73.5</v>
      </c>
      <c r="G47" s="17">
        <v>22</v>
      </c>
      <c r="H47" s="87">
        <v>198</v>
      </c>
      <c r="I47" s="88">
        <v>34000</v>
      </c>
      <c r="J47" s="88" t="s">
        <v>104</v>
      </c>
      <c r="K47" s="88"/>
      <c r="L47" s="88"/>
      <c r="M47" s="89">
        <f>I47-K47</f>
        <v>34000</v>
      </c>
      <c r="N47" s="4">
        <f>IF(ISERROR(K47/I47),"",K47/I47)</f>
        <v>0</v>
      </c>
      <c r="O47" s="90">
        <f>I47/E47</f>
        <v>1133.3333333333333</v>
      </c>
      <c r="P47" s="90">
        <f>K47/E47</f>
        <v>0</v>
      </c>
      <c r="Q47" s="76">
        <v>3</v>
      </c>
      <c r="R47" s="76">
        <v>2</v>
      </c>
      <c r="S47" s="76" t="s">
        <v>61</v>
      </c>
      <c r="T47" s="5">
        <v>97</v>
      </c>
      <c r="U47" s="9"/>
      <c r="W47" s="85">
        <f t="shared" ref="W47:X49" si="28">D47</f>
        <v>98</v>
      </c>
      <c r="X47" s="86">
        <f t="shared" si="28"/>
        <v>30</v>
      </c>
      <c r="Y47" s="91">
        <f t="shared" ref="Y47:Z49" si="29">H47</f>
        <v>198</v>
      </c>
      <c r="Z47" s="89">
        <f t="shared" si="29"/>
        <v>34000</v>
      </c>
      <c r="AA47" s="89">
        <f>K47</f>
        <v>0</v>
      </c>
      <c r="AB47" s="89">
        <f t="shared" ref="AB47:AD49" si="30">M47</f>
        <v>34000</v>
      </c>
      <c r="AC47" s="4">
        <f t="shared" si="30"/>
        <v>0</v>
      </c>
      <c r="AD47" s="90">
        <f t="shared" si="30"/>
        <v>1133.3333333333333</v>
      </c>
      <c r="AE47" s="76" t="str">
        <f>S47</f>
        <v>계</v>
      </c>
      <c r="AF47" s="76" t="str">
        <f>Q47&amp;"/"&amp;R47</f>
        <v>3/2</v>
      </c>
      <c r="AH47" s="20" t="str">
        <f t="shared" si="24"/>
        <v>평화골드클래스</v>
      </c>
      <c r="AI47" s="86">
        <f t="shared" si="20"/>
        <v>30</v>
      </c>
      <c r="AJ47" s="76" t="str">
        <f>IF(AI47="","",$AJ$2)</f>
        <v>A-</v>
      </c>
      <c r="AK47" s="76" t="s">
        <v>13</v>
      </c>
      <c r="AL47" s="76" t="s">
        <v>62</v>
      </c>
      <c r="AM47" s="76" t="s">
        <v>63</v>
      </c>
      <c r="AN47" s="76" t="str">
        <f>IF(AI47="","",$AN$2)</f>
        <v>C</v>
      </c>
      <c r="AO47" s="76" t="str">
        <f>IF(N47="","",IF(N47&gt;=$AO$1/100,"O","X"))</f>
        <v>X</v>
      </c>
      <c r="AP47" s="76" t="str">
        <f>IF(I47="","",IF(I47&lt;=$AP$1,"O","X"))</f>
        <v>O</v>
      </c>
      <c r="AQ47" s="76" t="str">
        <f>IF(O47="","",IF(O47&lt;=$AQ$1,"O","X"))</f>
        <v>O</v>
      </c>
      <c r="AR47" s="76" t="str">
        <f>IF(M47="","",IF(M47&lt;=$AR$1,"O","X"))</f>
        <v>X</v>
      </c>
      <c r="AS47" s="76" t="s">
        <v>2</v>
      </c>
      <c r="AT47" s="76" t="str">
        <f>IF(OR(F47="",AI47=""),"",IF(AND((F47&lt;=85),(AI47&gt;=15)),"O","X"))</f>
        <v>O</v>
      </c>
      <c r="AU47" s="76" t="str">
        <f>IF(C47="","",IF(C47&gt;=$AU$1,"O","X"))</f>
        <v>O</v>
      </c>
      <c r="AV47" s="76" t="str">
        <f>IF(AO47="","",IF(AND(AO47="O",AP47="O",AR47="O",AT47="O",AU47="O"),"후보","X"))</f>
        <v>X</v>
      </c>
    </row>
    <row r="48" spans="1:48" x14ac:dyDescent="0.3">
      <c r="A48" s="9" t="s">
        <v>1378</v>
      </c>
      <c r="B48" s="10" t="s">
        <v>1907</v>
      </c>
      <c r="C48" s="87">
        <v>396</v>
      </c>
      <c r="D48" s="85">
        <v>111.9</v>
      </c>
      <c r="E48" s="86">
        <v>34</v>
      </c>
      <c r="F48" s="85">
        <v>84.3</v>
      </c>
      <c r="G48" s="17">
        <v>25</v>
      </c>
      <c r="H48" s="87">
        <v>142</v>
      </c>
      <c r="I48" s="88"/>
      <c r="J48" s="88"/>
      <c r="K48" s="88"/>
      <c r="L48" s="88"/>
      <c r="M48" s="89">
        <f>I48-K48</f>
        <v>0</v>
      </c>
      <c r="N48" s="4" t="str">
        <f>IF(ISERROR(K48/I48),"",K48/I48)</f>
        <v/>
      </c>
      <c r="O48" s="90">
        <f>I48/E48</f>
        <v>0</v>
      </c>
      <c r="P48" s="90">
        <f>K48/E48</f>
        <v>0</v>
      </c>
      <c r="Q48" s="76">
        <v>4</v>
      </c>
      <c r="R48" s="76">
        <v>2</v>
      </c>
      <c r="S48" s="76" t="s">
        <v>61</v>
      </c>
      <c r="T48" s="5" t="s">
        <v>220</v>
      </c>
      <c r="U48" s="9"/>
      <c r="W48" s="85">
        <f t="shared" si="28"/>
        <v>111.9</v>
      </c>
      <c r="X48" s="86">
        <f t="shared" si="28"/>
        <v>34</v>
      </c>
      <c r="Y48" s="91">
        <f t="shared" si="29"/>
        <v>142</v>
      </c>
      <c r="Z48" s="89">
        <f t="shared" si="29"/>
        <v>0</v>
      </c>
      <c r="AA48" s="89">
        <f>K48</f>
        <v>0</v>
      </c>
      <c r="AB48" s="89">
        <f t="shared" si="30"/>
        <v>0</v>
      </c>
      <c r="AC48" s="4" t="str">
        <f t="shared" si="30"/>
        <v/>
      </c>
      <c r="AD48" s="90">
        <f t="shared" si="30"/>
        <v>0</v>
      </c>
      <c r="AE48" s="76" t="str">
        <f>S48</f>
        <v>계</v>
      </c>
      <c r="AF48" s="76" t="str">
        <f>Q48&amp;"/"&amp;R48</f>
        <v>4/2</v>
      </c>
      <c r="AH48" s="20" t="str">
        <f t="shared" si="24"/>
        <v>평화골드클래스</v>
      </c>
      <c r="AI48" s="86">
        <f t="shared" si="20"/>
        <v>34</v>
      </c>
      <c r="AJ48" s="76" t="str">
        <f>IF(AI48="","",$AJ$2)</f>
        <v>A-</v>
      </c>
      <c r="AK48" s="76" t="s">
        <v>13</v>
      </c>
      <c r="AL48" s="76" t="s">
        <v>62</v>
      </c>
      <c r="AM48" s="76" t="s">
        <v>63</v>
      </c>
      <c r="AN48" s="76" t="str">
        <f>IF(AI48="","",$AN$2)</f>
        <v>C</v>
      </c>
      <c r="AO48" s="76" t="str">
        <f>IF(N48="","",IF(N48&gt;=$AO$1/100,"O","X"))</f>
        <v/>
      </c>
      <c r="AP48" s="76" t="str">
        <f>IF(I48="","",IF(I48&lt;=$AP$1,"O","X"))</f>
        <v/>
      </c>
      <c r="AQ48" s="76" t="str">
        <f>IF(O48="","",IF(O48&lt;=$AQ$1,"O","X"))</f>
        <v>O</v>
      </c>
      <c r="AR48" s="76" t="str">
        <f>IF(M48="","",IF(M48&lt;=$AR$1,"O","X"))</f>
        <v>O</v>
      </c>
      <c r="AS48" s="76" t="s">
        <v>2</v>
      </c>
      <c r="AT48" s="76" t="str">
        <f>IF(OR(F48="",AI48=""),"",IF(AND((F48&lt;=85),(AI48&gt;=15)),"O","X"))</f>
        <v>O</v>
      </c>
      <c r="AU48" s="76" t="str">
        <f>IF(C48="","",IF(C48&gt;=$AU$1,"O","X"))</f>
        <v>O</v>
      </c>
      <c r="AV48" s="76" t="str">
        <f>IF(AO48="","",IF(AND(AO48="O",AP48="O",AR48="O",AT48="O",AU48="O"),"후보","X"))</f>
        <v/>
      </c>
    </row>
    <row r="49" spans="1:48" x14ac:dyDescent="0.3">
      <c r="A49" s="9" t="s">
        <v>1378</v>
      </c>
      <c r="B49" s="10" t="s">
        <v>1907</v>
      </c>
      <c r="C49" s="87">
        <v>396</v>
      </c>
      <c r="D49" s="85">
        <v>112.4</v>
      </c>
      <c r="E49" s="86">
        <v>34</v>
      </c>
      <c r="F49" s="85">
        <v>84.6</v>
      </c>
      <c r="G49" s="17">
        <v>26</v>
      </c>
      <c r="H49" s="87">
        <v>56</v>
      </c>
      <c r="I49" s="88">
        <v>42000</v>
      </c>
      <c r="J49" s="88" t="s">
        <v>172</v>
      </c>
      <c r="K49" s="88"/>
      <c r="L49" s="88"/>
      <c r="M49" s="89">
        <f>I49-K49</f>
        <v>42000</v>
      </c>
      <c r="N49" s="4">
        <f>IF(ISERROR(K49/I49),"",K49/I49)</f>
        <v>0</v>
      </c>
      <c r="O49" s="90">
        <f>I49/E49</f>
        <v>1235.2941176470588</v>
      </c>
      <c r="P49" s="90">
        <f>K49/E49</f>
        <v>0</v>
      </c>
      <c r="Q49" s="76">
        <v>4</v>
      </c>
      <c r="R49" s="76">
        <v>2</v>
      </c>
      <c r="S49" s="76" t="s">
        <v>61</v>
      </c>
      <c r="T49" s="5" t="s">
        <v>249</v>
      </c>
      <c r="U49" s="9"/>
      <c r="W49" s="85">
        <f t="shared" si="28"/>
        <v>112.4</v>
      </c>
      <c r="X49" s="86">
        <f t="shared" si="28"/>
        <v>34</v>
      </c>
      <c r="Y49" s="91">
        <f t="shared" si="29"/>
        <v>56</v>
      </c>
      <c r="Z49" s="89">
        <f t="shared" si="29"/>
        <v>42000</v>
      </c>
      <c r="AA49" s="89">
        <f>K49</f>
        <v>0</v>
      </c>
      <c r="AB49" s="89">
        <f t="shared" si="30"/>
        <v>42000</v>
      </c>
      <c r="AC49" s="4">
        <f t="shared" si="30"/>
        <v>0</v>
      </c>
      <c r="AD49" s="90">
        <f t="shared" si="30"/>
        <v>1235.2941176470588</v>
      </c>
      <c r="AE49" s="76" t="str">
        <f>S49</f>
        <v>계</v>
      </c>
      <c r="AF49" s="76" t="str">
        <f>Q49&amp;"/"&amp;R49</f>
        <v>4/2</v>
      </c>
      <c r="AH49" s="20" t="str">
        <f t="shared" si="24"/>
        <v>평화골드클래스</v>
      </c>
      <c r="AI49" s="86">
        <f t="shared" si="20"/>
        <v>34</v>
      </c>
      <c r="AJ49" s="76" t="str">
        <f>IF(AI49="","",$AJ$2)</f>
        <v>A-</v>
      </c>
      <c r="AK49" s="76" t="s">
        <v>13</v>
      </c>
      <c r="AL49" s="76" t="s">
        <v>62</v>
      </c>
      <c r="AM49" s="76" t="s">
        <v>63</v>
      </c>
      <c r="AN49" s="76" t="str">
        <f>IF(AI49="","",$AN$2)</f>
        <v>C</v>
      </c>
      <c r="AO49" s="76" t="str">
        <f>IF(N49="","",IF(N49&gt;=$AO$1/100,"O","X"))</f>
        <v>X</v>
      </c>
      <c r="AP49" s="76" t="str">
        <f>IF(I49="","",IF(I49&lt;=$AP$1,"O","X"))</f>
        <v>O</v>
      </c>
      <c r="AQ49" s="76" t="str">
        <f>IF(O49="","",IF(O49&lt;=$AQ$1,"O","X"))</f>
        <v>O</v>
      </c>
      <c r="AR49" s="76" t="str">
        <f>IF(M49="","",IF(M49&lt;=$AR$1,"O","X"))</f>
        <v>X</v>
      </c>
      <c r="AS49" s="76" t="s">
        <v>2</v>
      </c>
      <c r="AT49" s="76" t="str">
        <f>IF(OR(F49="",AI49=""),"",IF(AND((F49&lt;=85),(AI49&gt;=15)),"O","X"))</f>
        <v>O</v>
      </c>
      <c r="AU49" s="76" t="str">
        <f>IF(C49="","",IF(C49&gt;=$AU$1,"O","X"))</f>
        <v>O</v>
      </c>
      <c r="AV49" s="76" t="str">
        <f>IF(AO49="","",IF(AND(AO49="O",AP49="O",AR49="O",AT49="O",AU49="O"),"후보","X"))</f>
        <v>X</v>
      </c>
    </row>
    <row r="50" spans="1:48" x14ac:dyDescent="0.3">
      <c r="A50" s="9"/>
      <c r="B50" s="76"/>
      <c r="C50" s="6"/>
      <c r="D50" s="9"/>
      <c r="E50" s="14"/>
      <c r="F50" s="85"/>
      <c r="G50" s="9"/>
      <c r="H50" s="9"/>
      <c r="I50" s="9"/>
      <c r="J50" s="9"/>
      <c r="K50" s="9"/>
      <c r="L50" s="9"/>
      <c r="M50" s="9"/>
      <c r="N50" s="9"/>
      <c r="O50" s="90"/>
      <c r="P50" s="90"/>
      <c r="Q50" s="86"/>
      <c r="R50" s="86"/>
      <c r="S50" s="9"/>
      <c r="T50" s="47"/>
      <c r="U50" s="9"/>
      <c r="W50" s="67" t="str">
        <f>$A$4&amp;" "&amp;A51&amp;"("&amp;B51&amp;","&amp;C51&amp;"^)"</f>
        <v>평화동2가 전주평화영무예다음('12.11.,407^)</v>
      </c>
      <c r="X50" s="68"/>
      <c r="Y50" s="68"/>
      <c r="Z50" s="68"/>
      <c r="AA50" s="68"/>
      <c r="AB50" s="68"/>
      <c r="AC50" s="68"/>
      <c r="AD50" s="68"/>
      <c r="AE50" s="68"/>
      <c r="AF50" s="69"/>
      <c r="AH50" s="20" t="str">
        <f t="shared" si="24"/>
        <v/>
      </c>
      <c r="AI50" s="108" t="str">
        <f t="shared" si="20"/>
        <v/>
      </c>
      <c r="AJ50" s="76"/>
      <c r="AK50" s="76"/>
      <c r="AL50" s="76"/>
      <c r="AM50" s="76"/>
      <c r="AN50" s="76"/>
      <c r="AO50" s="76"/>
      <c r="AP50" s="76"/>
      <c r="AQ50" s="76"/>
      <c r="AR50" s="76"/>
      <c r="AS50" s="76"/>
      <c r="AT50" s="76"/>
      <c r="AU50" s="76"/>
      <c r="AV50" s="76"/>
    </row>
    <row r="51" spans="1:48" x14ac:dyDescent="0.3">
      <c r="A51" s="9" t="s">
        <v>1383</v>
      </c>
      <c r="B51" s="10" t="s">
        <v>1908</v>
      </c>
      <c r="C51" s="87">
        <v>407</v>
      </c>
      <c r="D51" s="85">
        <v>110.8</v>
      </c>
      <c r="E51" s="86">
        <v>34</v>
      </c>
      <c r="F51" s="85">
        <v>85</v>
      </c>
      <c r="G51" s="17">
        <v>26</v>
      </c>
      <c r="H51" s="87">
        <v>287</v>
      </c>
      <c r="I51" s="88">
        <v>25000</v>
      </c>
      <c r="J51" s="88" t="s">
        <v>75</v>
      </c>
      <c r="K51" s="88"/>
      <c r="L51" s="88"/>
      <c r="M51" s="89">
        <f>I51-K51</f>
        <v>25000</v>
      </c>
      <c r="N51" s="4">
        <f>IF(ISERROR(K51/I51),"",K51/I51)</f>
        <v>0</v>
      </c>
      <c r="O51" s="90">
        <f>I51/E51</f>
        <v>735.29411764705878</v>
      </c>
      <c r="P51" s="90">
        <f>K51/E51</f>
        <v>0</v>
      </c>
      <c r="Q51" s="76">
        <v>3</v>
      </c>
      <c r="R51" s="76">
        <v>2</v>
      </c>
      <c r="S51" s="76" t="s">
        <v>61</v>
      </c>
      <c r="T51" s="5">
        <v>110</v>
      </c>
      <c r="U51" s="9"/>
      <c r="W51" s="85">
        <f>D51</f>
        <v>110.8</v>
      </c>
      <c r="X51" s="86">
        <f>E51</f>
        <v>34</v>
      </c>
      <c r="Y51" s="91">
        <f>H51</f>
        <v>287</v>
      </c>
      <c r="Z51" s="89">
        <f>I51</f>
        <v>25000</v>
      </c>
      <c r="AA51" s="89">
        <f>K51</f>
        <v>0</v>
      </c>
      <c r="AB51" s="89">
        <f t="shared" ref="AB51:AD52" si="31">M51</f>
        <v>25000</v>
      </c>
      <c r="AC51" s="4">
        <f t="shared" si="31"/>
        <v>0</v>
      </c>
      <c r="AD51" s="90">
        <f t="shared" si="31"/>
        <v>735.29411764705878</v>
      </c>
      <c r="AE51" s="76" t="str">
        <f>S51</f>
        <v>계</v>
      </c>
      <c r="AF51" s="76" t="str">
        <f>Q51&amp;"/"&amp;R51</f>
        <v>3/2</v>
      </c>
      <c r="AH51" s="20" t="str">
        <f t="shared" si="24"/>
        <v>전주평화영무예다음</v>
      </c>
      <c r="AI51" s="86">
        <f t="shared" si="20"/>
        <v>34</v>
      </c>
      <c r="AJ51" s="76" t="str">
        <f>IF(AI51="","",$AJ$2)</f>
        <v>A-</v>
      </c>
      <c r="AK51" s="76" t="s">
        <v>13</v>
      </c>
      <c r="AL51" s="76" t="s">
        <v>62</v>
      </c>
      <c r="AM51" s="76" t="s">
        <v>63</v>
      </c>
      <c r="AN51" s="76" t="str">
        <f>IF(AI51="","",$AN$2)</f>
        <v>C</v>
      </c>
      <c r="AO51" s="76" t="str">
        <f>IF(N51="","",IF(N51&gt;=$AO$1/100,"O","X"))</f>
        <v>X</v>
      </c>
      <c r="AP51" s="76" t="str">
        <f>IF(I51="","",IF(I51&lt;=$AP$1,"O","X"))</f>
        <v>O</v>
      </c>
      <c r="AQ51" s="76" t="str">
        <f>IF(O51="","",IF(O51&lt;=$AQ$1,"O","X"))</f>
        <v>O</v>
      </c>
      <c r="AR51" s="76" t="str">
        <f>IF(M51="","",IF(M51&lt;=$AR$1,"O","X"))</f>
        <v>X</v>
      </c>
      <c r="AS51" s="76" t="s">
        <v>2</v>
      </c>
      <c r="AT51" s="76" t="str">
        <f>IF(OR(F51="",AI51=""),"",IF(AND((F51&lt;=85),(AI51&gt;=15)),"O","X"))</f>
        <v>O</v>
      </c>
      <c r="AU51" s="76" t="str">
        <f>IF(C51="","",IF(C51&gt;=$AU$1,"O","X"))</f>
        <v>O</v>
      </c>
      <c r="AV51" s="76" t="str">
        <f>IF(AO51="","",IF(AND(AO51="O",AP51="O",AR51="O",AT51="O",AU51="O"),"후보","X"))</f>
        <v>X</v>
      </c>
    </row>
    <row r="52" spans="1:48" x14ac:dyDescent="0.3">
      <c r="A52" s="9" t="s">
        <v>1383</v>
      </c>
      <c r="B52" s="10" t="s">
        <v>1908</v>
      </c>
      <c r="C52" s="87">
        <v>407</v>
      </c>
      <c r="D52" s="85">
        <v>110.3</v>
      </c>
      <c r="E52" s="86">
        <v>33</v>
      </c>
      <c r="F52" s="85">
        <v>83.7</v>
      </c>
      <c r="G52" s="17">
        <v>25</v>
      </c>
      <c r="H52" s="87">
        <v>120</v>
      </c>
      <c r="I52" s="88">
        <v>30000</v>
      </c>
      <c r="J52" s="88" t="s">
        <v>83</v>
      </c>
      <c r="K52" s="88"/>
      <c r="L52" s="88"/>
      <c r="M52" s="89">
        <f>I52-K52</f>
        <v>30000</v>
      </c>
      <c r="N52" s="4">
        <f>IF(ISERROR(K52/I52),"",K52/I52)</f>
        <v>0</v>
      </c>
      <c r="O52" s="90">
        <f>I52/E52</f>
        <v>909.09090909090912</v>
      </c>
      <c r="P52" s="90">
        <f>K52/E52</f>
        <v>0</v>
      </c>
      <c r="Q52" s="76">
        <v>3</v>
      </c>
      <c r="R52" s="76">
        <v>2</v>
      </c>
      <c r="S52" s="76" t="s">
        <v>61</v>
      </c>
      <c r="T52" s="5">
        <v>110</v>
      </c>
      <c r="U52" s="9"/>
      <c r="W52" s="85">
        <f>D52</f>
        <v>110.3</v>
      </c>
      <c r="X52" s="86">
        <f>E52</f>
        <v>33</v>
      </c>
      <c r="Y52" s="91">
        <f>H52</f>
        <v>120</v>
      </c>
      <c r="Z52" s="89">
        <f>I52</f>
        <v>30000</v>
      </c>
      <c r="AA52" s="89">
        <f>K52</f>
        <v>0</v>
      </c>
      <c r="AB52" s="89">
        <f t="shared" si="31"/>
        <v>30000</v>
      </c>
      <c r="AC52" s="4">
        <f t="shared" si="31"/>
        <v>0</v>
      </c>
      <c r="AD52" s="90">
        <f t="shared" si="31"/>
        <v>909.09090909090912</v>
      </c>
      <c r="AE52" s="76" t="str">
        <f>S52</f>
        <v>계</v>
      </c>
      <c r="AF52" s="76" t="str">
        <f>Q52&amp;"/"&amp;R52</f>
        <v>3/2</v>
      </c>
      <c r="AH52" s="20" t="str">
        <f t="shared" si="24"/>
        <v>전주평화영무예다음</v>
      </c>
      <c r="AI52" s="86">
        <f t="shared" si="20"/>
        <v>33</v>
      </c>
      <c r="AJ52" s="76" t="str">
        <f>IF(AI52="","",$AJ$2)</f>
        <v>A-</v>
      </c>
      <c r="AK52" s="76" t="s">
        <v>13</v>
      </c>
      <c r="AL52" s="76" t="s">
        <v>62</v>
      </c>
      <c r="AM52" s="76" t="s">
        <v>63</v>
      </c>
      <c r="AN52" s="76" t="str">
        <f>IF(AI52="","",$AN$2)</f>
        <v>C</v>
      </c>
      <c r="AO52" s="76" t="str">
        <f>IF(N52="","",IF(N52&gt;=$AO$1/100,"O","X"))</f>
        <v>X</v>
      </c>
      <c r="AP52" s="76" t="str">
        <f>IF(I52="","",IF(I52&lt;=$AP$1,"O","X"))</f>
        <v>O</v>
      </c>
      <c r="AQ52" s="76" t="str">
        <f>IF(O52="","",IF(O52&lt;=$AQ$1,"O","X"))</f>
        <v>O</v>
      </c>
      <c r="AR52" s="76" t="str">
        <f>IF(M52="","",IF(M52&lt;=$AR$1,"O","X"))</f>
        <v>X</v>
      </c>
      <c r="AS52" s="76" t="s">
        <v>2</v>
      </c>
      <c r="AT52" s="76" t="str">
        <f>IF(OR(F52="",AI52=""),"",IF(AND((F52&lt;=85),(AI52&gt;=15)),"O","X"))</f>
        <v>O</v>
      </c>
      <c r="AU52" s="76" t="str">
        <f>IF(C52="","",IF(C52&gt;=$AU$1,"O","X"))</f>
        <v>O</v>
      </c>
      <c r="AV52" s="76" t="str">
        <f>IF(AO52="","",IF(AND(AO52="O",AP52="O",AR52="O",AT52="O",AU52="O"),"후보","X"))</f>
        <v>X</v>
      </c>
    </row>
    <row r="53" spans="1:48" x14ac:dyDescent="0.3">
      <c r="A53" s="9"/>
      <c r="B53" s="76"/>
      <c r="C53" s="6"/>
      <c r="D53" s="9"/>
      <c r="E53" s="14"/>
      <c r="F53" s="85"/>
      <c r="G53" s="9"/>
      <c r="H53" s="9"/>
      <c r="I53" s="9"/>
      <c r="J53" s="9"/>
      <c r="K53" s="9"/>
      <c r="L53" s="9"/>
      <c r="M53" s="9"/>
      <c r="N53" s="9"/>
      <c r="O53" s="90"/>
      <c r="P53" s="90"/>
      <c r="Q53" s="86"/>
      <c r="R53" s="86"/>
      <c r="S53" s="9"/>
      <c r="T53" s="47"/>
      <c r="U53" s="9"/>
      <c r="W53" s="67" t="str">
        <f>$A$4&amp;" "&amp;A54&amp;"("&amp;B54&amp;","&amp;C54&amp;"^)"</f>
        <v>평화동2가 두산푸른솔('01.11.,279^)</v>
      </c>
      <c r="X53" s="68"/>
      <c r="Y53" s="68"/>
      <c r="Z53" s="68"/>
      <c r="AA53" s="68"/>
      <c r="AB53" s="68"/>
      <c r="AC53" s="68"/>
      <c r="AD53" s="68"/>
      <c r="AE53" s="68"/>
      <c r="AF53" s="69"/>
      <c r="AH53" s="20" t="str">
        <f t="shared" si="24"/>
        <v/>
      </c>
      <c r="AI53" s="108" t="str">
        <f t="shared" si="20"/>
        <v/>
      </c>
      <c r="AJ53" s="76"/>
      <c r="AK53" s="76"/>
      <c r="AL53" s="76"/>
      <c r="AM53" s="76"/>
      <c r="AN53" s="76"/>
      <c r="AO53" s="76"/>
      <c r="AP53" s="76"/>
      <c r="AQ53" s="76"/>
      <c r="AR53" s="76"/>
      <c r="AS53" s="76"/>
      <c r="AT53" s="76"/>
      <c r="AU53" s="76"/>
      <c r="AV53" s="76"/>
    </row>
    <row r="54" spans="1:48" x14ac:dyDescent="0.3">
      <c r="A54" s="9" t="s">
        <v>1387</v>
      </c>
      <c r="B54" s="10" t="s">
        <v>1870</v>
      </c>
      <c r="C54" s="87">
        <v>279</v>
      </c>
      <c r="D54" s="85">
        <v>74.3</v>
      </c>
      <c r="E54" s="86">
        <v>22</v>
      </c>
      <c r="F54" s="85">
        <v>59.3</v>
      </c>
      <c r="G54" s="17">
        <v>18</v>
      </c>
      <c r="H54" s="87">
        <v>51</v>
      </c>
      <c r="I54" s="88"/>
      <c r="J54" s="88"/>
      <c r="K54" s="88"/>
      <c r="L54" s="88"/>
      <c r="M54" s="89">
        <f>I54-K54</f>
        <v>0</v>
      </c>
      <c r="N54" s="4" t="str">
        <f>IF(ISERROR(K54/I54),"",K54/I54)</f>
        <v/>
      </c>
      <c r="O54" s="90">
        <f>I54/E54</f>
        <v>0</v>
      </c>
      <c r="P54" s="90">
        <f>K54/E54</f>
        <v>0</v>
      </c>
      <c r="Q54" s="76">
        <v>2</v>
      </c>
      <c r="R54" s="76">
        <v>1</v>
      </c>
      <c r="S54" s="76" t="s">
        <v>61</v>
      </c>
      <c r="T54" s="5" t="s">
        <v>333</v>
      </c>
      <c r="U54" s="9"/>
      <c r="W54" s="85">
        <f t="shared" ref="W54:X58" si="32">D54</f>
        <v>74.3</v>
      </c>
      <c r="X54" s="86">
        <f t="shared" si="32"/>
        <v>22</v>
      </c>
      <c r="Y54" s="91">
        <f t="shared" ref="Y54:Z58" si="33">H54</f>
        <v>51</v>
      </c>
      <c r="Z54" s="89">
        <f t="shared" si="33"/>
        <v>0</v>
      </c>
      <c r="AA54" s="89">
        <f>K54</f>
        <v>0</v>
      </c>
      <c r="AB54" s="89">
        <f t="shared" ref="AB54:AD58" si="34">M54</f>
        <v>0</v>
      </c>
      <c r="AC54" s="4" t="str">
        <f t="shared" si="34"/>
        <v/>
      </c>
      <c r="AD54" s="90">
        <f t="shared" si="34"/>
        <v>0</v>
      </c>
      <c r="AE54" s="76" t="str">
        <f>S54</f>
        <v>계</v>
      </c>
      <c r="AF54" s="76" t="str">
        <f>Q54&amp;"/"&amp;R54</f>
        <v>2/1</v>
      </c>
      <c r="AH54" s="20" t="str">
        <f t="shared" si="24"/>
        <v>두산푸른솔</v>
      </c>
      <c r="AI54" s="86">
        <f t="shared" si="20"/>
        <v>22</v>
      </c>
      <c r="AJ54" s="76" t="str">
        <f>IF(AI54="","",$AJ$2)</f>
        <v>A-</v>
      </c>
      <c r="AK54" s="76" t="s">
        <v>13</v>
      </c>
      <c r="AL54" s="76" t="s">
        <v>62</v>
      </c>
      <c r="AM54" s="76" t="s">
        <v>63</v>
      </c>
      <c r="AN54" s="76" t="str">
        <f>IF(AI54="","",$AN$2)</f>
        <v>C</v>
      </c>
      <c r="AO54" s="76" t="str">
        <f>IF(N54="","",IF(N54&gt;=$AO$1/100,"O","X"))</f>
        <v/>
      </c>
      <c r="AP54" s="76" t="str">
        <f>IF(I54="","",IF(I54&lt;=$AP$1,"O","X"))</f>
        <v/>
      </c>
      <c r="AQ54" s="76" t="str">
        <f>IF(O54="","",IF(O54&lt;=$AQ$1,"O","X"))</f>
        <v>O</v>
      </c>
      <c r="AR54" s="76" t="str">
        <f>IF(M54="","",IF(M54&lt;=$AR$1,"O","X"))</f>
        <v>O</v>
      </c>
      <c r="AS54" s="76" t="s">
        <v>2</v>
      </c>
      <c r="AT54" s="76" t="str">
        <f>IF(OR(F54="",AI54=""),"",IF(AND((F54&lt;=85),(AI54&gt;=15)),"O","X"))</f>
        <v>O</v>
      </c>
      <c r="AU54" s="76" t="str">
        <f>IF(C54="","",IF(C54&gt;=$AU$1,"O","X"))</f>
        <v>X</v>
      </c>
      <c r="AV54" s="76" t="str">
        <f>IF(AO54="","",IF(AND(AO54="O",AP54="O",AR54="O",AT54="O",AU54="O"),"후보","X"))</f>
        <v/>
      </c>
    </row>
    <row r="55" spans="1:48" x14ac:dyDescent="0.3">
      <c r="A55" s="9" t="s">
        <v>1387</v>
      </c>
      <c r="B55" s="10" t="s">
        <v>1870</v>
      </c>
      <c r="C55" s="87">
        <v>279</v>
      </c>
      <c r="D55" s="85">
        <v>74.599999999999994</v>
      </c>
      <c r="E55" s="86">
        <v>23</v>
      </c>
      <c r="F55" s="85">
        <v>59.5</v>
      </c>
      <c r="G55" s="17">
        <v>18</v>
      </c>
      <c r="H55" s="87">
        <v>51</v>
      </c>
      <c r="I55" s="88"/>
      <c r="J55" s="88"/>
      <c r="K55" s="88"/>
      <c r="L55" s="88"/>
      <c r="M55" s="89">
        <f>I55-K55</f>
        <v>0</v>
      </c>
      <c r="N55" s="4" t="str">
        <f>IF(ISERROR(K55/I55),"",K55/I55)</f>
        <v/>
      </c>
      <c r="O55" s="90">
        <f>I55/E55</f>
        <v>0</v>
      </c>
      <c r="P55" s="90">
        <f>K55/E55</f>
        <v>0</v>
      </c>
      <c r="Q55" s="76">
        <v>3</v>
      </c>
      <c r="R55" s="76">
        <v>1</v>
      </c>
      <c r="S55" s="76" t="s">
        <v>61</v>
      </c>
      <c r="T55" s="5" t="s">
        <v>334</v>
      </c>
      <c r="U55" s="9"/>
      <c r="W55" s="85">
        <f t="shared" si="32"/>
        <v>74.599999999999994</v>
      </c>
      <c r="X55" s="86">
        <f t="shared" si="32"/>
        <v>23</v>
      </c>
      <c r="Y55" s="91">
        <f t="shared" si="33"/>
        <v>51</v>
      </c>
      <c r="Z55" s="89">
        <f t="shared" si="33"/>
        <v>0</v>
      </c>
      <c r="AA55" s="89">
        <f>K55</f>
        <v>0</v>
      </c>
      <c r="AB55" s="89">
        <f t="shared" si="34"/>
        <v>0</v>
      </c>
      <c r="AC55" s="4" t="str">
        <f t="shared" si="34"/>
        <v/>
      </c>
      <c r="AD55" s="90">
        <f t="shared" si="34"/>
        <v>0</v>
      </c>
      <c r="AE55" s="76" t="str">
        <f>S55</f>
        <v>계</v>
      </c>
      <c r="AF55" s="76" t="str">
        <f>Q55&amp;"/"&amp;R55</f>
        <v>3/1</v>
      </c>
      <c r="AH55" s="20" t="str">
        <f t="shared" si="24"/>
        <v>두산푸른솔</v>
      </c>
      <c r="AI55" s="86">
        <f t="shared" si="20"/>
        <v>23</v>
      </c>
      <c r="AJ55" s="76" t="str">
        <f>IF(AI55="","",$AJ$2)</f>
        <v>A-</v>
      </c>
      <c r="AK55" s="76" t="s">
        <v>13</v>
      </c>
      <c r="AL55" s="76" t="s">
        <v>62</v>
      </c>
      <c r="AM55" s="76" t="s">
        <v>63</v>
      </c>
      <c r="AN55" s="76" t="str">
        <f>IF(AI55="","",$AN$2)</f>
        <v>C</v>
      </c>
      <c r="AO55" s="76" t="str">
        <f>IF(N55="","",IF(N55&gt;=$AO$1/100,"O","X"))</f>
        <v/>
      </c>
      <c r="AP55" s="76" t="str">
        <f>IF(I55="","",IF(I55&lt;=$AP$1,"O","X"))</f>
        <v/>
      </c>
      <c r="AQ55" s="76" t="str">
        <f>IF(O55="","",IF(O55&lt;=$AQ$1,"O","X"))</f>
        <v>O</v>
      </c>
      <c r="AR55" s="76" t="str">
        <f>IF(M55="","",IF(M55&lt;=$AR$1,"O","X"))</f>
        <v>O</v>
      </c>
      <c r="AS55" s="76" t="s">
        <v>2</v>
      </c>
      <c r="AT55" s="76" t="str">
        <f>IF(OR(F55="",AI55=""),"",IF(AND((F55&lt;=85),(AI55&gt;=15)),"O","X"))</f>
        <v>O</v>
      </c>
      <c r="AU55" s="76" t="str">
        <f>IF(C55="","",IF(C55&gt;=$AU$1,"O","X"))</f>
        <v>X</v>
      </c>
      <c r="AV55" s="76" t="str">
        <f>IF(AO55="","",IF(AND(AO55="O",AP55="O",AR55="O",AT55="O",AU55="O"),"후보","X"))</f>
        <v/>
      </c>
    </row>
    <row r="56" spans="1:48" x14ac:dyDescent="0.3">
      <c r="A56" s="9" t="s">
        <v>1387</v>
      </c>
      <c r="B56" s="10" t="s">
        <v>1870</v>
      </c>
      <c r="C56" s="87">
        <v>279</v>
      </c>
      <c r="D56" s="85">
        <v>74.5</v>
      </c>
      <c r="E56" s="86">
        <v>23</v>
      </c>
      <c r="F56" s="85">
        <v>59.4</v>
      </c>
      <c r="G56" s="17">
        <v>18</v>
      </c>
      <c r="H56" s="87">
        <v>15</v>
      </c>
      <c r="I56" s="88"/>
      <c r="J56" s="88"/>
      <c r="K56" s="88"/>
      <c r="L56" s="88"/>
      <c r="M56" s="89">
        <f>I56-K56</f>
        <v>0</v>
      </c>
      <c r="N56" s="4" t="str">
        <f>IF(ISERROR(K56/I56),"",K56/I56)</f>
        <v/>
      </c>
      <c r="O56" s="90">
        <f>I56/E56</f>
        <v>0</v>
      </c>
      <c r="P56" s="90">
        <f>K56/E56</f>
        <v>0</v>
      </c>
      <c r="Q56" s="76">
        <v>3</v>
      </c>
      <c r="R56" s="76">
        <v>1</v>
      </c>
      <c r="S56" s="76" t="s">
        <v>61</v>
      </c>
      <c r="T56" s="5" t="s">
        <v>335</v>
      </c>
      <c r="U56" s="9"/>
      <c r="W56" s="85">
        <f t="shared" si="32"/>
        <v>74.5</v>
      </c>
      <c r="X56" s="86">
        <f t="shared" si="32"/>
        <v>23</v>
      </c>
      <c r="Y56" s="91">
        <f t="shared" si="33"/>
        <v>15</v>
      </c>
      <c r="Z56" s="89">
        <f t="shared" si="33"/>
        <v>0</v>
      </c>
      <c r="AA56" s="89">
        <f>K56</f>
        <v>0</v>
      </c>
      <c r="AB56" s="89">
        <f t="shared" si="34"/>
        <v>0</v>
      </c>
      <c r="AC56" s="4" t="str">
        <f t="shared" si="34"/>
        <v/>
      </c>
      <c r="AD56" s="90">
        <f t="shared" si="34"/>
        <v>0</v>
      </c>
      <c r="AE56" s="76" t="str">
        <f>S56</f>
        <v>계</v>
      </c>
      <c r="AF56" s="76" t="str">
        <f>Q56&amp;"/"&amp;R56</f>
        <v>3/1</v>
      </c>
      <c r="AH56" s="20" t="str">
        <f t="shared" si="24"/>
        <v>두산푸른솔</v>
      </c>
      <c r="AI56" s="86">
        <f t="shared" si="20"/>
        <v>23</v>
      </c>
      <c r="AJ56" s="76" t="str">
        <f>IF(AI56="","",$AJ$2)</f>
        <v>A-</v>
      </c>
      <c r="AK56" s="76" t="s">
        <v>13</v>
      </c>
      <c r="AL56" s="76" t="s">
        <v>62</v>
      </c>
      <c r="AM56" s="76" t="s">
        <v>63</v>
      </c>
      <c r="AN56" s="76" t="str">
        <f>IF(AI56="","",$AN$2)</f>
        <v>C</v>
      </c>
      <c r="AO56" s="76" t="str">
        <f>IF(N56="","",IF(N56&gt;=$AO$1/100,"O","X"))</f>
        <v/>
      </c>
      <c r="AP56" s="76" t="str">
        <f>IF(I56="","",IF(I56&lt;=$AP$1,"O","X"))</f>
        <v/>
      </c>
      <c r="AQ56" s="76" t="str">
        <f>IF(O56="","",IF(O56&lt;=$AQ$1,"O","X"))</f>
        <v>O</v>
      </c>
      <c r="AR56" s="76" t="str">
        <f>IF(M56="","",IF(M56&lt;=$AR$1,"O","X"))</f>
        <v>O</v>
      </c>
      <c r="AS56" s="76" t="s">
        <v>2</v>
      </c>
      <c r="AT56" s="76" t="str">
        <f>IF(OR(F56="",AI56=""),"",IF(AND((F56&lt;=85),(AI56&gt;=15)),"O","X"))</f>
        <v>O</v>
      </c>
      <c r="AU56" s="76" t="str">
        <f>IF(C56="","",IF(C56&gt;=$AU$1,"O","X"))</f>
        <v>X</v>
      </c>
      <c r="AV56" s="76" t="str">
        <f>IF(AO56="","",IF(AND(AO56="O",AP56="O",AR56="O",AT56="O",AU56="O"),"후보","X"))</f>
        <v/>
      </c>
    </row>
    <row r="57" spans="1:48" x14ac:dyDescent="0.3">
      <c r="A57" s="9" t="s">
        <v>1387</v>
      </c>
      <c r="B57" s="10" t="s">
        <v>1870</v>
      </c>
      <c r="C57" s="87">
        <v>279</v>
      </c>
      <c r="D57" s="85">
        <v>103.6</v>
      </c>
      <c r="E57" s="86">
        <v>31</v>
      </c>
      <c r="F57" s="85">
        <v>84.5</v>
      </c>
      <c r="G57" s="17">
        <v>26</v>
      </c>
      <c r="H57" s="87">
        <v>126</v>
      </c>
      <c r="I57" s="88"/>
      <c r="J57" s="88"/>
      <c r="K57" s="88"/>
      <c r="L57" s="88"/>
      <c r="M57" s="89">
        <f>I57-K57</f>
        <v>0</v>
      </c>
      <c r="N57" s="4" t="str">
        <f>IF(ISERROR(K57/I57),"",K57/I57)</f>
        <v/>
      </c>
      <c r="O57" s="90">
        <f>I57/E57</f>
        <v>0</v>
      </c>
      <c r="P57" s="90">
        <f>K57/E57</f>
        <v>0</v>
      </c>
      <c r="Q57" s="76">
        <v>3</v>
      </c>
      <c r="R57" s="76">
        <v>2</v>
      </c>
      <c r="S57" s="76" t="s">
        <v>61</v>
      </c>
      <c r="T57" s="5" t="s">
        <v>227</v>
      </c>
      <c r="U57" s="9"/>
      <c r="W57" s="85">
        <f t="shared" si="32"/>
        <v>103.6</v>
      </c>
      <c r="X57" s="86">
        <f t="shared" si="32"/>
        <v>31</v>
      </c>
      <c r="Y57" s="91">
        <f t="shared" si="33"/>
        <v>126</v>
      </c>
      <c r="Z57" s="89">
        <f t="shared" si="33"/>
        <v>0</v>
      </c>
      <c r="AA57" s="89">
        <f>K57</f>
        <v>0</v>
      </c>
      <c r="AB57" s="89">
        <f t="shared" si="34"/>
        <v>0</v>
      </c>
      <c r="AC57" s="4" t="str">
        <f t="shared" si="34"/>
        <v/>
      </c>
      <c r="AD57" s="90">
        <f t="shared" si="34"/>
        <v>0</v>
      </c>
      <c r="AE57" s="76" t="str">
        <f>S57</f>
        <v>계</v>
      </c>
      <c r="AF57" s="76" t="str">
        <f>Q57&amp;"/"&amp;R57</f>
        <v>3/2</v>
      </c>
      <c r="AH57" s="20" t="str">
        <f t="shared" si="24"/>
        <v>두산푸른솔</v>
      </c>
      <c r="AI57" s="86">
        <f t="shared" si="20"/>
        <v>31</v>
      </c>
      <c r="AJ57" s="76" t="str">
        <f>IF(AI57="","",$AJ$2)</f>
        <v>A-</v>
      </c>
      <c r="AK57" s="76" t="s">
        <v>13</v>
      </c>
      <c r="AL57" s="76" t="s">
        <v>62</v>
      </c>
      <c r="AM57" s="76" t="s">
        <v>63</v>
      </c>
      <c r="AN57" s="76" t="str">
        <f>IF(AI57="","",$AN$2)</f>
        <v>C</v>
      </c>
      <c r="AO57" s="76" t="str">
        <f>IF(N57="","",IF(N57&gt;=$AO$1/100,"O","X"))</f>
        <v/>
      </c>
      <c r="AP57" s="76" t="str">
        <f>IF(I57="","",IF(I57&lt;=$AP$1,"O","X"))</f>
        <v/>
      </c>
      <c r="AQ57" s="76" t="str">
        <f>IF(O57="","",IF(O57&lt;=$AQ$1,"O","X"))</f>
        <v>O</v>
      </c>
      <c r="AR57" s="76" t="str">
        <f>IF(M57="","",IF(M57&lt;=$AR$1,"O","X"))</f>
        <v>O</v>
      </c>
      <c r="AS57" s="76" t="s">
        <v>2</v>
      </c>
      <c r="AT57" s="76" t="str">
        <f>IF(OR(F57="",AI57=""),"",IF(AND((F57&lt;=85),(AI57&gt;=15)),"O","X"))</f>
        <v>O</v>
      </c>
      <c r="AU57" s="76" t="str">
        <f>IF(C57="","",IF(C57&gt;=$AU$1,"O","X"))</f>
        <v>X</v>
      </c>
      <c r="AV57" s="76" t="str">
        <f>IF(AO57="","",IF(AND(AO57="O",AP57="O",AR57="O",AT57="O",AU57="O"),"후보","X"))</f>
        <v/>
      </c>
    </row>
    <row r="58" spans="1:48" x14ac:dyDescent="0.3">
      <c r="A58" s="9" t="s">
        <v>1387</v>
      </c>
      <c r="B58" s="10" t="s">
        <v>1870</v>
      </c>
      <c r="C58" s="87">
        <v>279</v>
      </c>
      <c r="D58" s="85">
        <v>104.2</v>
      </c>
      <c r="E58" s="86">
        <v>32</v>
      </c>
      <c r="F58" s="85">
        <v>83.1</v>
      </c>
      <c r="G58" s="17">
        <v>25</v>
      </c>
      <c r="H58" s="87">
        <v>36</v>
      </c>
      <c r="I58" s="88"/>
      <c r="J58" s="88"/>
      <c r="K58" s="88"/>
      <c r="L58" s="88"/>
      <c r="M58" s="89">
        <f>I58-K58</f>
        <v>0</v>
      </c>
      <c r="N58" s="4" t="str">
        <f>IF(ISERROR(K58/I58),"",K58/I58)</f>
        <v/>
      </c>
      <c r="O58" s="90">
        <f>I58/E58</f>
        <v>0</v>
      </c>
      <c r="P58" s="90">
        <f>K58/E58</f>
        <v>0</v>
      </c>
      <c r="Q58" s="76">
        <v>3</v>
      </c>
      <c r="R58" s="76">
        <v>2</v>
      </c>
      <c r="S58" s="76" t="s">
        <v>61</v>
      </c>
      <c r="T58" s="5" t="s">
        <v>336</v>
      </c>
      <c r="U58" s="9"/>
      <c r="W58" s="85">
        <f t="shared" si="32"/>
        <v>104.2</v>
      </c>
      <c r="X58" s="86">
        <f t="shared" si="32"/>
        <v>32</v>
      </c>
      <c r="Y58" s="91">
        <f t="shared" si="33"/>
        <v>36</v>
      </c>
      <c r="Z58" s="89">
        <f t="shared" si="33"/>
        <v>0</v>
      </c>
      <c r="AA58" s="89">
        <f>K58</f>
        <v>0</v>
      </c>
      <c r="AB58" s="89">
        <f t="shared" si="34"/>
        <v>0</v>
      </c>
      <c r="AC58" s="4" t="str">
        <f t="shared" si="34"/>
        <v/>
      </c>
      <c r="AD58" s="90">
        <f t="shared" si="34"/>
        <v>0</v>
      </c>
      <c r="AE58" s="76" t="str">
        <f>S58</f>
        <v>계</v>
      </c>
      <c r="AF58" s="76" t="str">
        <f>Q58&amp;"/"&amp;R58</f>
        <v>3/2</v>
      </c>
      <c r="AH58" s="20" t="str">
        <f t="shared" si="24"/>
        <v>두산푸른솔</v>
      </c>
      <c r="AI58" s="86">
        <f t="shared" si="20"/>
        <v>32</v>
      </c>
      <c r="AJ58" s="76" t="str">
        <f>IF(AI58="","",$AJ$2)</f>
        <v>A-</v>
      </c>
      <c r="AK58" s="76" t="s">
        <v>13</v>
      </c>
      <c r="AL58" s="76" t="s">
        <v>62</v>
      </c>
      <c r="AM58" s="76" t="s">
        <v>63</v>
      </c>
      <c r="AN58" s="76" t="str">
        <f>IF(AI58="","",$AN$2)</f>
        <v>C</v>
      </c>
      <c r="AO58" s="76" t="str">
        <f>IF(N58="","",IF(N58&gt;=$AO$1/100,"O","X"))</f>
        <v/>
      </c>
      <c r="AP58" s="76" t="str">
        <f>IF(I58="","",IF(I58&lt;=$AP$1,"O","X"))</f>
        <v/>
      </c>
      <c r="AQ58" s="76" t="str">
        <f>IF(O58="","",IF(O58&lt;=$AQ$1,"O","X"))</f>
        <v>O</v>
      </c>
      <c r="AR58" s="76" t="str">
        <f>IF(M58="","",IF(M58&lt;=$AR$1,"O","X"))</f>
        <v>O</v>
      </c>
      <c r="AS58" s="76" t="s">
        <v>2</v>
      </c>
      <c r="AT58" s="76" t="str">
        <f>IF(OR(F58="",AI58=""),"",IF(AND((F58&lt;=85),(AI58&gt;=15)),"O","X"))</f>
        <v>O</v>
      </c>
      <c r="AU58" s="76" t="str">
        <f>IF(C58="","",IF(C58&gt;=$AU$1,"O","X"))</f>
        <v>X</v>
      </c>
      <c r="AV58" s="76" t="str">
        <f>IF(AO58="","",IF(AND(AO58="O",AP58="O",AR58="O",AT58="O",AU58="O"),"후보","X"))</f>
        <v/>
      </c>
    </row>
    <row r="59" spans="1:48" x14ac:dyDescent="0.3">
      <c r="A59" s="9"/>
      <c r="B59" s="76"/>
      <c r="C59" s="6"/>
      <c r="D59" s="9"/>
      <c r="E59" s="14"/>
      <c r="F59" s="85"/>
      <c r="G59" s="9"/>
      <c r="H59" s="9"/>
      <c r="I59" s="9"/>
      <c r="J59" s="9"/>
      <c r="K59" s="9"/>
      <c r="L59" s="9"/>
      <c r="M59" s="9"/>
      <c r="N59" s="9"/>
      <c r="O59" s="90"/>
      <c r="P59" s="90"/>
      <c r="Q59" s="86"/>
      <c r="R59" s="86"/>
      <c r="S59" s="9"/>
      <c r="T59" s="47"/>
      <c r="U59" s="9"/>
      <c r="W59" s="67" t="str">
        <f>$A$4&amp;" "&amp;A60&amp;"("&amp;B60&amp;","&amp;C60&amp;"^)"</f>
        <v>평화동2가 평화주공그린타운1단지('02.01.,730^)</v>
      </c>
      <c r="X59" s="68"/>
      <c r="Y59" s="68"/>
      <c r="Z59" s="68"/>
      <c r="AA59" s="68"/>
      <c r="AB59" s="68"/>
      <c r="AC59" s="68"/>
      <c r="AD59" s="68"/>
      <c r="AE59" s="68"/>
      <c r="AF59" s="69"/>
      <c r="AH59" s="20" t="str">
        <f t="shared" si="24"/>
        <v/>
      </c>
      <c r="AI59" s="108" t="str">
        <f t="shared" si="20"/>
        <v/>
      </c>
      <c r="AJ59" s="76"/>
      <c r="AK59" s="76"/>
      <c r="AL59" s="76"/>
      <c r="AM59" s="76"/>
      <c r="AN59" s="76"/>
      <c r="AO59" s="76"/>
      <c r="AP59" s="76"/>
      <c r="AQ59" s="76"/>
      <c r="AR59" s="76"/>
      <c r="AS59" s="76"/>
      <c r="AT59" s="76"/>
      <c r="AU59" s="76"/>
      <c r="AV59" s="76"/>
    </row>
    <row r="60" spans="1:48" x14ac:dyDescent="0.3">
      <c r="A60" s="9" t="s">
        <v>1398</v>
      </c>
      <c r="B60" s="10" t="s">
        <v>1909</v>
      </c>
      <c r="C60" s="87">
        <v>730</v>
      </c>
      <c r="D60" s="85">
        <v>64.8</v>
      </c>
      <c r="E60" s="86">
        <v>20</v>
      </c>
      <c r="F60" s="85">
        <v>49.6</v>
      </c>
      <c r="G60" s="17">
        <v>15</v>
      </c>
      <c r="H60" s="87">
        <v>50</v>
      </c>
      <c r="I60" s="88">
        <v>12500</v>
      </c>
      <c r="J60" s="88" t="s">
        <v>71</v>
      </c>
      <c r="K60" s="88"/>
      <c r="L60" s="88"/>
      <c r="M60" s="89">
        <f t="shared" ref="M60:M65" si="35">I60-K60</f>
        <v>12500</v>
      </c>
      <c r="N60" s="4">
        <f t="shared" ref="N60:N65" si="36">IF(ISERROR(K60/I60),"",K60/I60)</f>
        <v>0</v>
      </c>
      <c r="O60" s="90">
        <f t="shared" ref="O60:O65" si="37">I60/E60</f>
        <v>625</v>
      </c>
      <c r="P60" s="90">
        <f t="shared" ref="P60:P65" si="38">K60/E60</f>
        <v>0</v>
      </c>
      <c r="Q60" s="76">
        <v>2</v>
      </c>
      <c r="R60" s="76">
        <v>1</v>
      </c>
      <c r="S60" s="76" t="s">
        <v>61</v>
      </c>
      <c r="T60" s="5">
        <v>64</v>
      </c>
      <c r="U60" s="9"/>
      <c r="W60" s="85">
        <f t="shared" ref="W60:X65" si="39">D60</f>
        <v>64.8</v>
      </c>
      <c r="X60" s="86">
        <f t="shared" si="39"/>
        <v>20</v>
      </c>
      <c r="Y60" s="91">
        <f t="shared" ref="Y60:Z65" si="40">H60</f>
        <v>50</v>
      </c>
      <c r="Z60" s="89">
        <f t="shared" si="40"/>
        <v>12500</v>
      </c>
      <c r="AA60" s="89">
        <f t="shared" ref="AA60:AA65" si="41">K60</f>
        <v>0</v>
      </c>
      <c r="AB60" s="89">
        <f t="shared" ref="AB60:AD65" si="42">M60</f>
        <v>12500</v>
      </c>
      <c r="AC60" s="4">
        <f t="shared" si="42"/>
        <v>0</v>
      </c>
      <c r="AD60" s="90">
        <f t="shared" si="42"/>
        <v>625</v>
      </c>
      <c r="AE60" s="76" t="str">
        <f t="shared" ref="AE60:AE65" si="43">S60</f>
        <v>계</v>
      </c>
      <c r="AF60" s="76" t="str">
        <f t="shared" ref="AF60:AF65" si="44">Q60&amp;"/"&amp;R60</f>
        <v>2/1</v>
      </c>
      <c r="AH60" s="20" t="str">
        <f t="shared" si="24"/>
        <v>평화주공그린타운1단지</v>
      </c>
      <c r="AI60" s="86">
        <f t="shared" si="20"/>
        <v>20</v>
      </c>
      <c r="AJ60" s="76" t="str">
        <f t="shared" ref="AJ60:AJ65" si="45">IF(AI60="","",$AJ$2)</f>
        <v>A-</v>
      </c>
      <c r="AK60" s="76" t="s">
        <v>13</v>
      </c>
      <c r="AL60" s="76" t="s">
        <v>62</v>
      </c>
      <c r="AM60" s="76" t="s">
        <v>63</v>
      </c>
      <c r="AN60" s="76" t="str">
        <f t="shared" ref="AN60:AN65" si="46">IF(AI60="","",$AN$2)</f>
        <v>C</v>
      </c>
      <c r="AO60" s="76" t="str">
        <f t="shared" ref="AO60:AO65" si="47">IF(N60="","",IF(N60&gt;=$AO$1/100,"O","X"))</f>
        <v>X</v>
      </c>
      <c r="AP60" s="76" t="str">
        <f t="shared" ref="AP60:AP65" si="48">IF(I60="","",IF(I60&lt;=$AP$1,"O","X"))</f>
        <v>O</v>
      </c>
      <c r="AQ60" s="76" t="str">
        <f t="shared" ref="AQ60:AQ65" si="49">IF(O60="","",IF(O60&lt;=$AQ$1,"O","X"))</f>
        <v>O</v>
      </c>
      <c r="AR60" s="76" t="str">
        <f t="shared" ref="AR60:AR65" si="50">IF(M60="","",IF(M60&lt;=$AR$1,"O","X"))</f>
        <v>X</v>
      </c>
      <c r="AS60" s="76" t="s">
        <v>2</v>
      </c>
      <c r="AT60" s="76" t="str">
        <f t="shared" ref="AT60:AT65" si="51">IF(OR(F60="",AI60=""),"",IF(AND((F60&lt;=85),(AI60&gt;=15)),"O","X"))</f>
        <v>O</v>
      </c>
      <c r="AU60" s="76" t="str">
        <f t="shared" ref="AU60:AU65" si="52">IF(C60="","",IF(C60&gt;=$AU$1,"O","X"))</f>
        <v>O</v>
      </c>
      <c r="AV60" s="76" t="str">
        <f t="shared" ref="AV60:AV65" si="53">IF(AO60="","",IF(AND(AO60="O",AP60="O",AR60="O",AT60="O",AU60="O"),"후보","X"))</f>
        <v>X</v>
      </c>
    </row>
    <row r="61" spans="1:48" x14ac:dyDescent="0.3">
      <c r="A61" s="9" t="s">
        <v>1398</v>
      </c>
      <c r="B61" s="10" t="s">
        <v>1909</v>
      </c>
      <c r="C61" s="87">
        <v>730</v>
      </c>
      <c r="D61" s="85">
        <v>68.5</v>
      </c>
      <c r="E61" s="86">
        <v>21</v>
      </c>
      <c r="F61" s="85">
        <v>52.5</v>
      </c>
      <c r="G61" s="17">
        <v>16</v>
      </c>
      <c r="H61" s="87">
        <v>14</v>
      </c>
      <c r="I61" s="88"/>
      <c r="J61" s="88"/>
      <c r="K61" s="88"/>
      <c r="L61" s="88"/>
      <c r="M61" s="89">
        <f t="shared" si="35"/>
        <v>0</v>
      </c>
      <c r="N61" s="4" t="str">
        <f t="shared" si="36"/>
        <v/>
      </c>
      <c r="O61" s="90">
        <f t="shared" si="37"/>
        <v>0</v>
      </c>
      <c r="P61" s="90">
        <f t="shared" si="38"/>
        <v>0</v>
      </c>
      <c r="Q61" s="76">
        <v>2</v>
      </c>
      <c r="R61" s="76">
        <v>1</v>
      </c>
      <c r="S61" s="76" t="s">
        <v>61</v>
      </c>
      <c r="T61" s="5">
        <v>68</v>
      </c>
      <c r="U61" s="9"/>
      <c r="W61" s="85">
        <f t="shared" si="39"/>
        <v>68.5</v>
      </c>
      <c r="X61" s="86">
        <f t="shared" si="39"/>
        <v>21</v>
      </c>
      <c r="Y61" s="91">
        <f t="shared" si="40"/>
        <v>14</v>
      </c>
      <c r="Z61" s="89">
        <f t="shared" si="40"/>
        <v>0</v>
      </c>
      <c r="AA61" s="89">
        <f t="shared" si="41"/>
        <v>0</v>
      </c>
      <c r="AB61" s="89">
        <f t="shared" si="42"/>
        <v>0</v>
      </c>
      <c r="AC61" s="4" t="str">
        <f t="shared" si="42"/>
        <v/>
      </c>
      <c r="AD61" s="90">
        <f t="shared" si="42"/>
        <v>0</v>
      </c>
      <c r="AE61" s="76" t="str">
        <f t="shared" si="43"/>
        <v>계</v>
      </c>
      <c r="AF61" s="76" t="str">
        <f t="shared" si="44"/>
        <v>2/1</v>
      </c>
      <c r="AH61" s="20" t="str">
        <f t="shared" si="24"/>
        <v>평화주공그린타운1단지</v>
      </c>
      <c r="AI61" s="86">
        <f t="shared" si="20"/>
        <v>21</v>
      </c>
      <c r="AJ61" s="76" t="str">
        <f t="shared" si="45"/>
        <v>A-</v>
      </c>
      <c r="AK61" s="76" t="s">
        <v>13</v>
      </c>
      <c r="AL61" s="76" t="s">
        <v>62</v>
      </c>
      <c r="AM61" s="76" t="s">
        <v>63</v>
      </c>
      <c r="AN61" s="76" t="str">
        <f t="shared" si="46"/>
        <v>C</v>
      </c>
      <c r="AO61" s="76" t="str">
        <f t="shared" si="47"/>
        <v/>
      </c>
      <c r="AP61" s="76" t="str">
        <f t="shared" si="48"/>
        <v/>
      </c>
      <c r="AQ61" s="76" t="str">
        <f t="shared" si="49"/>
        <v>O</v>
      </c>
      <c r="AR61" s="76" t="str">
        <f t="shared" si="50"/>
        <v>O</v>
      </c>
      <c r="AS61" s="76" t="s">
        <v>2</v>
      </c>
      <c r="AT61" s="76" t="str">
        <f t="shared" si="51"/>
        <v>O</v>
      </c>
      <c r="AU61" s="76" t="str">
        <f t="shared" si="52"/>
        <v>O</v>
      </c>
      <c r="AV61" s="76" t="str">
        <f t="shared" si="53"/>
        <v/>
      </c>
    </row>
    <row r="62" spans="1:48" x14ac:dyDescent="0.3">
      <c r="A62" s="9" t="s">
        <v>1398</v>
      </c>
      <c r="B62" s="10" t="s">
        <v>1909</v>
      </c>
      <c r="C62" s="87">
        <v>730</v>
      </c>
      <c r="D62" s="85">
        <v>78</v>
      </c>
      <c r="E62" s="86">
        <v>24</v>
      </c>
      <c r="F62" s="85">
        <v>59.7</v>
      </c>
      <c r="G62" s="17">
        <v>18</v>
      </c>
      <c r="H62" s="87">
        <v>108</v>
      </c>
      <c r="I62" s="88"/>
      <c r="J62" s="88"/>
      <c r="K62" s="88">
        <v>15500</v>
      </c>
      <c r="L62" s="88" t="s">
        <v>72</v>
      </c>
      <c r="M62" s="89">
        <f t="shared" si="35"/>
        <v>-15500</v>
      </c>
      <c r="N62" s="4" t="str">
        <f t="shared" si="36"/>
        <v/>
      </c>
      <c r="O62" s="90">
        <f t="shared" si="37"/>
        <v>0</v>
      </c>
      <c r="P62" s="90">
        <f t="shared" si="38"/>
        <v>645.83333333333337</v>
      </c>
      <c r="Q62" s="76">
        <v>3</v>
      </c>
      <c r="R62" s="76">
        <v>1</v>
      </c>
      <c r="S62" s="76" t="s">
        <v>61</v>
      </c>
      <c r="T62" s="5" t="s">
        <v>339</v>
      </c>
      <c r="U62" s="9"/>
      <c r="W62" s="85">
        <f t="shared" si="39"/>
        <v>78</v>
      </c>
      <c r="X62" s="86">
        <f t="shared" si="39"/>
        <v>24</v>
      </c>
      <c r="Y62" s="91">
        <f t="shared" si="40"/>
        <v>108</v>
      </c>
      <c r="Z62" s="89">
        <f t="shared" si="40"/>
        <v>0</v>
      </c>
      <c r="AA62" s="89">
        <f t="shared" si="41"/>
        <v>15500</v>
      </c>
      <c r="AB62" s="89">
        <f t="shared" si="42"/>
        <v>-15500</v>
      </c>
      <c r="AC62" s="4" t="str">
        <f t="shared" si="42"/>
        <v/>
      </c>
      <c r="AD62" s="90">
        <f t="shared" si="42"/>
        <v>0</v>
      </c>
      <c r="AE62" s="76" t="str">
        <f t="shared" si="43"/>
        <v>계</v>
      </c>
      <c r="AF62" s="76" t="str">
        <f t="shared" si="44"/>
        <v>3/1</v>
      </c>
      <c r="AH62" s="20" t="str">
        <f t="shared" si="24"/>
        <v>평화주공그린타운1단지</v>
      </c>
      <c r="AI62" s="86">
        <f t="shared" si="20"/>
        <v>24</v>
      </c>
      <c r="AJ62" s="76" t="str">
        <f t="shared" si="45"/>
        <v>A-</v>
      </c>
      <c r="AK62" s="76" t="s">
        <v>13</v>
      </c>
      <c r="AL62" s="76" t="s">
        <v>62</v>
      </c>
      <c r="AM62" s="76" t="s">
        <v>63</v>
      </c>
      <c r="AN62" s="76" t="str">
        <f t="shared" si="46"/>
        <v>C</v>
      </c>
      <c r="AO62" s="76" t="str">
        <f t="shared" si="47"/>
        <v/>
      </c>
      <c r="AP62" s="76" t="str">
        <f t="shared" si="48"/>
        <v/>
      </c>
      <c r="AQ62" s="76" t="str">
        <f t="shared" si="49"/>
        <v>O</v>
      </c>
      <c r="AR62" s="76" t="str">
        <f t="shared" si="50"/>
        <v>O</v>
      </c>
      <c r="AS62" s="76" t="s">
        <v>2</v>
      </c>
      <c r="AT62" s="76" t="str">
        <f t="shared" si="51"/>
        <v>O</v>
      </c>
      <c r="AU62" s="76" t="str">
        <f t="shared" si="52"/>
        <v>O</v>
      </c>
      <c r="AV62" s="76" t="str">
        <f t="shared" si="53"/>
        <v/>
      </c>
    </row>
    <row r="63" spans="1:48" x14ac:dyDescent="0.3">
      <c r="A63" s="9" t="s">
        <v>1398</v>
      </c>
      <c r="B63" s="10" t="s">
        <v>1909</v>
      </c>
      <c r="C63" s="87">
        <v>730</v>
      </c>
      <c r="D63" s="85">
        <v>78.3</v>
      </c>
      <c r="E63" s="86">
        <v>24</v>
      </c>
      <c r="F63" s="85">
        <v>59.9</v>
      </c>
      <c r="G63" s="17">
        <v>18</v>
      </c>
      <c r="H63" s="87">
        <v>366</v>
      </c>
      <c r="I63" s="88">
        <v>14500</v>
      </c>
      <c r="J63" s="88" t="s">
        <v>248</v>
      </c>
      <c r="K63" s="88">
        <v>15200</v>
      </c>
      <c r="L63" s="88" t="s">
        <v>84</v>
      </c>
      <c r="M63" s="89">
        <f t="shared" si="35"/>
        <v>-700</v>
      </c>
      <c r="N63" s="4">
        <f t="shared" si="36"/>
        <v>1.0482758620689656</v>
      </c>
      <c r="O63" s="90">
        <f t="shared" si="37"/>
        <v>604.16666666666663</v>
      </c>
      <c r="P63" s="90">
        <f t="shared" si="38"/>
        <v>633.33333333333337</v>
      </c>
      <c r="Q63" s="76">
        <v>3</v>
      </c>
      <c r="R63" s="76">
        <v>1</v>
      </c>
      <c r="S63" s="76" t="s">
        <v>61</v>
      </c>
      <c r="T63" s="5" t="s">
        <v>173</v>
      </c>
      <c r="U63" s="9"/>
      <c r="W63" s="85">
        <f t="shared" si="39"/>
        <v>78.3</v>
      </c>
      <c r="X63" s="86">
        <f t="shared" si="39"/>
        <v>24</v>
      </c>
      <c r="Y63" s="91">
        <f t="shared" si="40"/>
        <v>366</v>
      </c>
      <c r="Z63" s="89">
        <f t="shared" si="40"/>
        <v>14500</v>
      </c>
      <c r="AA63" s="89">
        <f t="shared" si="41"/>
        <v>15200</v>
      </c>
      <c r="AB63" s="89">
        <f t="shared" si="42"/>
        <v>-700</v>
      </c>
      <c r="AC63" s="4">
        <f t="shared" si="42"/>
        <v>1.0482758620689656</v>
      </c>
      <c r="AD63" s="90">
        <f t="shared" si="42"/>
        <v>604.16666666666663</v>
      </c>
      <c r="AE63" s="76" t="str">
        <f t="shared" si="43"/>
        <v>계</v>
      </c>
      <c r="AF63" s="76" t="str">
        <f t="shared" si="44"/>
        <v>3/1</v>
      </c>
      <c r="AH63" s="20" t="str">
        <f t="shared" si="24"/>
        <v>평화주공그린타운1단지</v>
      </c>
      <c r="AI63" s="86">
        <f t="shared" si="20"/>
        <v>24</v>
      </c>
      <c r="AJ63" s="76" t="str">
        <f t="shared" si="45"/>
        <v>A-</v>
      </c>
      <c r="AK63" s="76" t="s">
        <v>13</v>
      </c>
      <c r="AL63" s="76" t="s">
        <v>62</v>
      </c>
      <c r="AM63" s="76" t="s">
        <v>63</v>
      </c>
      <c r="AN63" s="76" t="str">
        <f t="shared" si="46"/>
        <v>C</v>
      </c>
      <c r="AO63" s="76" t="str">
        <f t="shared" si="47"/>
        <v>O</v>
      </c>
      <c r="AP63" s="76" t="str">
        <f t="shared" si="48"/>
        <v>O</v>
      </c>
      <c r="AQ63" s="76" t="str">
        <f t="shared" si="49"/>
        <v>O</v>
      </c>
      <c r="AR63" s="76" t="str">
        <f t="shared" si="50"/>
        <v>O</v>
      </c>
      <c r="AS63" s="76" t="s">
        <v>2</v>
      </c>
      <c r="AT63" s="76" t="str">
        <f t="shared" si="51"/>
        <v>O</v>
      </c>
      <c r="AU63" s="76" t="str">
        <f t="shared" si="52"/>
        <v>O</v>
      </c>
      <c r="AV63" s="76" t="str">
        <f t="shared" si="53"/>
        <v>후보</v>
      </c>
    </row>
    <row r="64" spans="1:48" x14ac:dyDescent="0.3">
      <c r="A64" s="9" t="s">
        <v>1398</v>
      </c>
      <c r="B64" s="10" t="s">
        <v>1909</v>
      </c>
      <c r="C64" s="87">
        <v>730</v>
      </c>
      <c r="D64" s="85">
        <v>90.6</v>
      </c>
      <c r="E64" s="86">
        <v>27</v>
      </c>
      <c r="F64" s="85">
        <v>69.400000000000006</v>
      </c>
      <c r="G64" s="17">
        <v>21</v>
      </c>
      <c r="H64" s="87">
        <v>6</v>
      </c>
      <c r="I64" s="88"/>
      <c r="J64" s="88"/>
      <c r="K64" s="88"/>
      <c r="L64" s="88"/>
      <c r="M64" s="89">
        <f t="shared" si="35"/>
        <v>0</v>
      </c>
      <c r="N64" s="4" t="str">
        <f t="shared" si="36"/>
        <v/>
      </c>
      <c r="O64" s="90">
        <f t="shared" si="37"/>
        <v>0</v>
      </c>
      <c r="P64" s="90">
        <f t="shared" si="38"/>
        <v>0</v>
      </c>
      <c r="Q64" s="76">
        <v>3</v>
      </c>
      <c r="R64" s="76">
        <v>2</v>
      </c>
      <c r="S64" s="76" t="s">
        <v>61</v>
      </c>
      <c r="T64" s="5">
        <v>90</v>
      </c>
      <c r="U64" s="9"/>
      <c r="W64" s="85">
        <f t="shared" si="39"/>
        <v>90.6</v>
      </c>
      <c r="X64" s="86">
        <f t="shared" si="39"/>
        <v>27</v>
      </c>
      <c r="Y64" s="91">
        <f t="shared" si="40"/>
        <v>6</v>
      </c>
      <c r="Z64" s="89">
        <f t="shared" si="40"/>
        <v>0</v>
      </c>
      <c r="AA64" s="89">
        <f t="shared" si="41"/>
        <v>0</v>
      </c>
      <c r="AB64" s="89">
        <f t="shared" si="42"/>
        <v>0</v>
      </c>
      <c r="AC64" s="4" t="str">
        <f t="shared" si="42"/>
        <v/>
      </c>
      <c r="AD64" s="90">
        <f t="shared" si="42"/>
        <v>0</v>
      </c>
      <c r="AE64" s="76" t="str">
        <f t="shared" si="43"/>
        <v>계</v>
      </c>
      <c r="AF64" s="76" t="str">
        <f t="shared" si="44"/>
        <v>3/2</v>
      </c>
      <c r="AH64" s="20" t="str">
        <f t="shared" si="24"/>
        <v>평화주공그린타운1단지</v>
      </c>
      <c r="AI64" s="86">
        <f t="shared" si="20"/>
        <v>27</v>
      </c>
      <c r="AJ64" s="76" t="str">
        <f t="shared" si="45"/>
        <v>A-</v>
      </c>
      <c r="AK64" s="76" t="s">
        <v>13</v>
      </c>
      <c r="AL64" s="76" t="s">
        <v>62</v>
      </c>
      <c r="AM64" s="76" t="s">
        <v>63</v>
      </c>
      <c r="AN64" s="76" t="str">
        <f t="shared" si="46"/>
        <v>C</v>
      </c>
      <c r="AO64" s="76" t="str">
        <f t="shared" si="47"/>
        <v/>
      </c>
      <c r="AP64" s="76" t="str">
        <f t="shared" si="48"/>
        <v/>
      </c>
      <c r="AQ64" s="76" t="str">
        <f t="shared" si="49"/>
        <v>O</v>
      </c>
      <c r="AR64" s="76" t="str">
        <f t="shared" si="50"/>
        <v>O</v>
      </c>
      <c r="AS64" s="76" t="s">
        <v>2</v>
      </c>
      <c r="AT64" s="76" t="str">
        <f t="shared" si="51"/>
        <v>O</v>
      </c>
      <c r="AU64" s="76" t="str">
        <f t="shared" si="52"/>
        <v>O</v>
      </c>
      <c r="AV64" s="76" t="str">
        <f t="shared" si="53"/>
        <v/>
      </c>
    </row>
    <row r="65" spans="1:48" x14ac:dyDescent="0.3">
      <c r="A65" s="9" t="s">
        <v>1398</v>
      </c>
      <c r="B65" s="10" t="s">
        <v>1909</v>
      </c>
      <c r="C65" s="87">
        <v>730</v>
      </c>
      <c r="D65" s="85">
        <v>110.9</v>
      </c>
      <c r="E65" s="86">
        <v>34</v>
      </c>
      <c r="F65" s="85">
        <v>84.9</v>
      </c>
      <c r="G65" s="17">
        <v>26</v>
      </c>
      <c r="H65" s="87">
        <v>186</v>
      </c>
      <c r="I65" s="88">
        <v>23000</v>
      </c>
      <c r="J65" s="88" t="s">
        <v>80</v>
      </c>
      <c r="K65" s="88"/>
      <c r="L65" s="88"/>
      <c r="M65" s="89">
        <f t="shared" si="35"/>
        <v>23000</v>
      </c>
      <c r="N65" s="4">
        <f t="shared" si="36"/>
        <v>0</v>
      </c>
      <c r="O65" s="90">
        <f t="shared" si="37"/>
        <v>676.47058823529414</v>
      </c>
      <c r="P65" s="90">
        <f t="shared" si="38"/>
        <v>0</v>
      </c>
      <c r="Q65" s="76">
        <v>3</v>
      </c>
      <c r="R65" s="76">
        <v>2</v>
      </c>
      <c r="S65" s="76" t="s">
        <v>61</v>
      </c>
      <c r="T65" s="5">
        <v>110</v>
      </c>
      <c r="U65" s="9"/>
      <c r="W65" s="85">
        <f t="shared" si="39"/>
        <v>110.9</v>
      </c>
      <c r="X65" s="86">
        <f t="shared" si="39"/>
        <v>34</v>
      </c>
      <c r="Y65" s="91">
        <f t="shared" si="40"/>
        <v>186</v>
      </c>
      <c r="Z65" s="89">
        <f t="shared" si="40"/>
        <v>23000</v>
      </c>
      <c r="AA65" s="89">
        <f t="shared" si="41"/>
        <v>0</v>
      </c>
      <c r="AB65" s="89">
        <f t="shared" si="42"/>
        <v>23000</v>
      </c>
      <c r="AC65" s="4">
        <f t="shared" si="42"/>
        <v>0</v>
      </c>
      <c r="AD65" s="90">
        <f t="shared" si="42"/>
        <v>676.47058823529414</v>
      </c>
      <c r="AE65" s="76" t="str">
        <f t="shared" si="43"/>
        <v>계</v>
      </c>
      <c r="AF65" s="76" t="str">
        <f t="shared" si="44"/>
        <v>3/2</v>
      </c>
      <c r="AH65" s="20" t="str">
        <f t="shared" si="24"/>
        <v>평화주공그린타운1단지</v>
      </c>
      <c r="AI65" s="86">
        <f t="shared" si="20"/>
        <v>34</v>
      </c>
      <c r="AJ65" s="76" t="str">
        <f t="shared" si="45"/>
        <v>A-</v>
      </c>
      <c r="AK65" s="76" t="s">
        <v>13</v>
      </c>
      <c r="AL65" s="76" t="s">
        <v>62</v>
      </c>
      <c r="AM65" s="76" t="s">
        <v>63</v>
      </c>
      <c r="AN65" s="76" t="str">
        <f t="shared" si="46"/>
        <v>C</v>
      </c>
      <c r="AO65" s="76" t="str">
        <f t="shared" si="47"/>
        <v>X</v>
      </c>
      <c r="AP65" s="76" t="str">
        <f t="shared" si="48"/>
        <v>O</v>
      </c>
      <c r="AQ65" s="76" t="str">
        <f t="shared" si="49"/>
        <v>O</v>
      </c>
      <c r="AR65" s="76" t="str">
        <f t="shared" si="50"/>
        <v>X</v>
      </c>
      <c r="AS65" s="76" t="s">
        <v>2</v>
      </c>
      <c r="AT65" s="76" t="str">
        <f t="shared" si="51"/>
        <v>O</v>
      </c>
      <c r="AU65" s="76" t="str">
        <f t="shared" si="52"/>
        <v>O</v>
      </c>
      <c r="AV65" s="76" t="str">
        <f t="shared" si="53"/>
        <v>X</v>
      </c>
    </row>
    <row r="66" spans="1:48" x14ac:dyDescent="0.3">
      <c r="A66" s="9"/>
      <c r="B66" s="76"/>
      <c r="C66" s="6"/>
      <c r="D66" s="9"/>
      <c r="E66" s="14"/>
      <c r="F66" s="85"/>
      <c r="G66" s="9"/>
      <c r="H66" s="9"/>
      <c r="I66" s="9"/>
      <c r="J66" s="9"/>
      <c r="K66" s="9"/>
      <c r="L66" s="9"/>
      <c r="M66" s="9"/>
      <c r="N66" s="9"/>
      <c r="O66" s="90"/>
      <c r="P66" s="90"/>
      <c r="Q66" s="86"/>
      <c r="R66" s="86"/>
      <c r="S66" s="9"/>
      <c r="T66" s="47"/>
      <c r="U66" s="9"/>
      <c r="W66" s="67" t="str">
        <f>$A$4&amp;" "&amp;A67&amp;"("&amp;B67&amp;","&amp;C67&amp;"^)"</f>
        <v>평화동2가 송정써미트('05.11.,888^)</v>
      </c>
      <c r="X66" s="68"/>
      <c r="Y66" s="68"/>
      <c r="Z66" s="68"/>
      <c r="AA66" s="68"/>
      <c r="AB66" s="68"/>
      <c r="AC66" s="68"/>
      <c r="AD66" s="68"/>
      <c r="AE66" s="68"/>
      <c r="AF66" s="69"/>
      <c r="AH66" s="20" t="str">
        <f t="shared" si="24"/>
        <v/>
      </c>
      <c r="AI66" s="108" t="str">
        <f t="shared" si="20"/>
        <v/>
      </c>
      <c r="AJ66" s="76"/>
      <c r="AK66" s="76"/>
      <c r="AL66" s="76"/>
      <c r="AM66" s="76"/>
      <c r="AN66" s="76"/>
      <c r="AO66" s="76"/>
      <c r="AP66" s="76"/>
      <c r="AQ66" s="76"/>
      <c r="AR66" s="76"/>
      <c r="AS66" s="76"/>
      <c r="AT66" s="76"/>
      <c r="AU66" s="76"/>
      <c r="AV66" s="76"/>
    </row>
    <row r="67" spans="1:48" x14ac:dyDescent="0.3">
      <c r="A67" s="9" t="s">
        <v>1403</v>
      </c>
      <c r="B67" s="10" t="s">
        <v>1910</v>
      </c>
      <c r="C67" s="87">
        <v>888</v>
      </c>
      <c r="D67" s="85">
        <v>115.4</v>
      </c>
      <c r="E67" s="86">
        <v>35</v>
      </c>
      <c r="F67" s="85">
        <v>84.6</v>
      </c>
      <c r="G67" s="17">
        <v>26</v>
      </c>
      <c r="H67" s="87">
        <v>735</v>
      </c>
      <c r="I67" s="88">
        <v>23000</v>
      </c>
      <c r="J67" s="88" t="s">
        <v>80</v>
      </c>
      <c r="K67" s="88">
        <v>24500</v>
      </c>
      <c r="L67" s="88" t="s">
        <v>72</v>
      </c>
      <c r="M67" s="89">
        <f>I67-K67</f>
        <v>-1500</v>
      </c>
      <c r="N67" s="4">
        <f>IF(ISERROR(K67/I67),"",K67/I67)</f>
        <v>1.0652173913043479</v>
      </c>
      <c r="O67" s="90">
        <f>I67/E67</f>
        <v>657.14285714285711</v>
      </c>
      <c r="P67" s="90">
        <f>K67/E67</f>
        <v>700</v>
      </c>
      <c r="Q67" s="76">
        <v>3</v>
      </c>
      <c r="R67" s="76">
        <v>2</v>
      </c>
      <c r="S67" s="76" t="s">
        <v>61</v>
      </c>
      <c r="T67" s="5" t="s">
        <v>342</v>
      </c>
      <c r="U67" s="9"/>
      <c r="W67" s="85">
        <f t="shared" ref="W67:X69" si="54">D67</f>
        <v>115.4</v>
      </c>
      <c r="X67" s="86">
        <f t="shared" si="54"/>
        <v>35</v>
      </c>
      <c r="Y67" s="91">
        <f t="shared" ref="Y67:Z69" si="55">H67</f>
        <v>735</v>
      </c>
      <c r="Z67" s="89">
        <f t="shared" si="55"/>
        <v>23000</v>
      </c>
      <c r="AA67" s="89">
        <f>K67</f>
        <v>24500</v>
      </c>
      <c r="AB67" s="89">
        <f t="shared" ref="AB67:AD69" si="56">M67</f>
        <v>-1500</v>
      </c>
      <c r="AC67" s="4">
        <f t="shared" si="56"/>
        <v>1.0652173913043479</v>
      </c>
      <c r="AD67" s="90">
        <f t="shared" si="56"/>
        <v>657.14285714285711</v>
      </c>
      <c r="AE67" s="76" t="str">
        <f>S67</f>
        <v>계</v>
      </c>
      <c r="AF67" s="76" t="str">
        <f>Q67&amp;"/"&amp;R67</f>
        <v>3/2</v>
      </c>
      <c r="AH67" s="20" t="str">
        <f t="shared" si="24"/>
        <v>송정써미트</v>
      </c>
      <c r="AI67" s="86">
        <f t="shared" ref="AI67:AI85" si="57">IF(E67="","",E67)</f>
        <v>35</v>
      </c>
      <c r="AJ67" s="76" t="str">
        <f>IF(AI67="","",$AJ$2)</f>
        <v>A-</v>
      </c>
      <c r="AK67" s="76" t="s">
        <v>13</v>
      </c>
      <c r="AL67" s="76" t="s">
        <v>62</v>
      </c>
      <c r="AM67" s="76" t="s">
        <v>63</v>
      </c>
      <c r="AN67" s="76" t="str">
        <f>IF(AI67="","",$AN$2)</f>
        <v>C</v>
      </c>
      <c r="AO67" s="76" t="str">
        <f>IF(N67="","",IF(N67&gt;=$AO$1/100,"O","X"))</f>
        <v>O</v>
      </c>
      <c r="AP67" s="76" t="str">
        <f>IF(I67="","",IF(I67&lt;=$AP$1,"O","X"))</f>
        <v>O</v>
      </c>
      <c r="AQ67" s="76" t="str">
        <f>IF(O67="","",IF(O67&lt;=$AQ$1,"O","X"))</f>
        <v>O</v>
      </c>
      <c r="AR67" s="76" t="str">
        <f>IF(M67="","",IF(M67&lt;=$AR$1,"O","X"))</f>
        <v>O</v>
      </c>
      <c r="AS67" s="76" t="s">
        <v>2</v>
      </c>
      <c r="AT67" s="76" t="str">
        <f>IF(OR(F67="",AI67=""),"",IF(AND((F67&lt;=85),(AI67&gt;=15)),"O","X"))</f>
        <v>O</v>
      </c>
      <c r="AU67" s="76" t="str">
        <f>IF(C67="","",IF(C67&gt;=$AU$1,"O","X"))</f>
        <v>O</v>
      </c>
      <c r="AV67" s="76" t="str">
        <f>IF(AO67="","",IF(AND(AO67="O",AP67="O",AR67="O",AT67="O",AU67="O"),"후보","X"))</f>
        <v>후보</v>
      </c>
    </row>
    <row r="68" spans="1:48" x14ac:dyDescent="0.3">
      <c r="A68" s="9" t="s">
        <v>1403</v>
      </c>
      <c r="B68" s="10" t="s">
        <v>1910</v>
      </c>
      <c r="C68" s="87">
        <v>888</v>
      </c>
      <c r="D68" s="85">
        <v>115.4</v>
      </c>
      <c r="E68" s="86">
        <v>35</v>
      </c>
      <c r="F68" s="85">
        <v>84.6</v>
      </c>
      <c r="G68" s="17">
        <v>26</v>
      </c>
      <c r="H68" s="87">
        <v>136</v>
      </c>
      <c r="I68" s="88">
        <v>23000</v>
      </c>
      <c r="J68" s="88" t="s">
        <v>80</v>
      </c>
      <c r="K68" s="88">
        <v>24500</v>
      </c>
      <c r="L68" s="88" t="s">
        <v>72</v>
      </c>
      <c r="M68" s="89">
        <f>I68-K68</f>
        <v>-1500</v>
      </c>
      <c r="N68" s="4">
        <f>IF(ISERROR(K68/I68),"",K68/I68)</f>
        <v>1.0652173913043479</v>
      </c>
      <c r="O68" s="90">
        <f>I68/E68</f>
        <v>657.14285714285711</v>
      </c>
      <c r="P68" s="90">
        <f>K68/E68</f>
        <v>700</v>
      </c>
      <c r="Q68" s="76">
        <v>3</v>
      </c>
      <c r="R68" s="76">
        <v>2</v>
      </c>
      <c r="S68" s="76" t="s">
        <v>61</v>
      </c>
      <c r="T68" s="5" t="s">
        <v>343</v>
      </c>
      <c r="U68" s="9"/>
      <c r="W68" s="85">
        <f t="shared" si="54"/>
        <v>115.4</v>
      </c>
      <c r="X68" s="86">
        <f t="shared" si="54"/>
        <v>35</v>
      </c>
      <c r="Y68" s="91">
        <f t="shared" si="55"/>
        <v>136</v>
      </c>
      <c r="Z68" s="89">
        <f t="shared" si="55"/>
        <v>23000</v>
      </c>
      <c r="AA68" s="89">
        <f>K68</f>
        <v>24500</v>
      </c>
      <c r="AB68" s="89">
        <f t="shared" si="56"/>
        <v>-1500</v>
      </c>
      <c r="AC68" s="4">
        <f t="shared" si="56"/>
        <v>1.0652173913043479</v>
      </c>
      <c r="AD68" s="90">
        <f t="shared" si="56"/>
        <v>657.14285714285711</v>
      </c>
      <c r="AE68" s="76" t="str">
        <f>S68</f>
        <v>계</v>
      </c>
      <c r="AF68" s="76" t="str">
        <f>Q68&amp;"/"&amp;R68</f>
        <v>3/2</v>
      </c>
      <c r="AH68" s="20" t="str">
        <f t="shared" si="24"/>
        <v>송정써미트</v>
      </c>
      <c r="AI68" s="86">
        <f t="shared" si="57"/>
        <v>35</v>
      </c>
      <c r="AJ68" s="76" t="str">
        <f>IF(AI68="","",$AJ$2)</f>
        <v>A-</v>
      </c>
      <c r="AK68" s="76" t="s">
        <v>13</v>
      </c>
      <c r="AL68" s="76" t="s">
        <v>62</v>
      </c>
      <c r="AM68" s="76" t="s">
        <v>63</v>
      </c>
      <c r="AN68" s="76" t="str">
        <f>IF(AI68="","",$AN$2)</f>
        <v>C</v>
      </c>
      <c r="AO68" s="76" t="str">
        <f>IF(N68="","",IF(N68&gt;=$AO$1/100,"O","X"))</f>
        <v>O</v>
      </c>
      <c r="AP68" s="76" t="str">
        <f>IF(I68="","",IF(I68&lt;=$AP$1,"O","X"))</f>
        <v>O</v>
      </c>
      <c r="AQ68" s="76" t="str">
        <f>IF(O68="","",IF(O68&lt;=$AQ$1,"O","X"))</f>
        <v>O</v>
      </c>
      <c r="AR68" s="76" t="str">
        <f>IF(M68="","",IF(M68&lt;=$AR$1,"O","X"))</f>
        <v>O</v>
      </c>
      <c r="AS68" s="76" t="s">
        <v>2</v>
      </c>
      <c r="AT68" s="76" t="str">
        <f>IF(OR(F68="",AI68=""),"",IF(AND((F68&lt;=85),(AI68&gt;=15)),"O","X"))</f>
        <v>O</v>
      </c>
      <c r="AU68" s="76" t="str">
        <f>IF(C68="","",IF(C68&gt;=$AU$1,"O","X"))</f>
        <v>O</v>
      </c>
      <c r="AV68" s="76" t="str">
        <f>IF(AO68="","",IF(AND(AO68="O",AP68="O",AR68="O",AT68="O",AU68="O"),"후보","X"))</f>
        <v>후보</v>
      </c>
    </row>
    <row r="69" spans="1:48" x14ac:dyDescent="0.3">
      <c r="A69" s="9" t="s">
        <v>1403</v>
      </c>
      <c r="B69" s="10" t="s">
        <v>1910</v>
      </c>
      <c r="C69" s="87">
        <v>888</v>
      </c>
      <c r="D69" s="85">
        <v>115.9</v>
      </c>
      <c r="E69" s="86">
        <v>35</v>
      </c>
      <c r="F69" s="85">
        <v>85</v>
      </c>
      <c r="G69" s="17">
        <v>26</v>
      </c>
      <c r="H69" s="87">
        <v>17</v>
      </c>
      <c r="I69" s="88">
        <v>27000</v>
      </c>
      <c r="J69" s="88" t="s">
        <v>80</v>
      </c>
      <c r="K69" s="88"/>
      <c r="L69" s="88"/>
      <c r="M69" s="89">
        <f>I69-K69</f>
        <v>27000</v>
      </c>
      <c r="N69" s="4">
        <f>IF(ISERROR(K69/I69),"",K69/I69)</f>
        <v>0</v>
      </c>
      <c r="O69" s="90">
        <f>I69/E69</f>
        <v>771.42857142857144</v>
      </c>
      <c r="P69" s="90">
        <f>K69/E69</f>
        <v>0</v>
      </c>
      <c r="Q69" s="76">
        <v>3</v>
      </c>
      <c r="R69" s="76">
        <v>2</v>
      </c>
      <c r="S69" s="76" t="s">
        <v>61</v>
      </c>
      <c r="T69" s="5">
        <v>115</v>
      </c>
      <c r="U69" s="9"/>
      <c r="W69" s="85">
        <f t="shared" si="54"/>
        <v>115.9</v>
      </c>
      <c r="X69" s="86">
        <f t="shared" si="54"/>
        <v>35</v>
      </c>
      <c r="Y69" s="91">
        <f t="shared" si="55"/>
        <v>17</v>
      </c>
      <c r="Z69" s="89">
        <f t="shared" si="55"/>
        <v>27000</v>
      </c>
      <c r="AA69" s="89">
        <f>K69</f>
        <v>0</v>
      </c>
      <c r="AB69" s="89">
        <f t="shared" si="56"/>
        <v>27000</v>
      </c>
      <c r="AC69" s="4">
        <f t="shared" si="56"/>
        <v>0</v>
      </c>
      <c r="AD69" s="90">
        <f t="shared" si="56"/>
        <v>771.42857142857144</v>
      </c>
      <c r="AE69" s="76" t="str">
        <f>S69</f>
        <v>계</v>
      </c>
      <c r="AF69" s="76" t="str">
        <f>Q69&amp;"/"&amp;R69</f>
        <v>3/2</v>
      </c>
      <c r="AH69" s="20" t="str">
        <f t="shared" ref="AH69:AH85" si="58">IF(A69="","",A69)</f>
        <v>송정써미트</v>
      </c>
      <c r="AI69" s="86">
        <f t="shared" si="57"/>
        <v>35</v>
      </c>
      <c r="AJ69" s="76" t="str">
        <f>IF(AI69="","",$AJ$2)</f>
        <v>A-</v>
      </c>
      <c r="AK69" s="76" t="s">
        <v>13</v>
      </c>
      <c r="AL69" s="76" t="s">
        <v>62</v>
      </c>
      <c r="AM69" s="76" t="s">
        <v>63</v>
      </c>
      <c r="AN69" s="76" t="str">
        <f>IF(AI69="","",$AN$2)</f>
        <v>C</v>
      </c>
      <c r="AO69" s="76" t="str">
        <f>IF(N69="","",IF(N69&gt;=$AO$1/100,"O","X"))</f>
        <v>X</v>
      </c>
      <c r="AP69" s="76" t="str">
        <f>IF(I69="","",IF(I69&lt;=$AP$1,"O","X"))</f>
        <v>O</v>
      </c>
      <c r="AQ69" s="76" t="str">
        <f>IF(O69="","",IF(O69&lt;=$AQ$1,"O","X"))</f>
        <v>O</v>
      </c>
      <c r="AR69" s="76" t="str">
        <f>IF(M69="","",IF(M69&lt;=$AR$1,"O","X"))</f>
        <v>X</v>
      </c>
      <c r="AS69" s="76" t="s">
        <v>2</v>
      </c>
      <c r="AT69" s="76" t="str">
        <f>IF(OR(F69="",AI69=""),"",IF(AND((F69&lt;=85),(AI69&gt;=15)),"O","X"))</f>
        <v>O</v>
      </c>
      <c r="AU69" s="76" t="str">
        <f>IF(C69="","",IF(C69&gt;=$AU$1,"O","X"))</f>
        <v>O</v>
      </c>
      <c r="AV69" s="76" t="str">
        <f>IF(AO69="","",IF(AND(AO69="O",AP69="O",AR69="O",AT69="O",AU69="O"),"후보","X"))</f>
        <v>X</v>
      </c>
    </row>
    <row r="70" spans="1:48" x14ac:dyDescent="0.3">
      <c r="A70" s="9"/>
      <c r="B70" s="76"/>
      <c r="C70" s="6"/>
      <c r="D70" s="9"/>
      <c r="E70" s="14"/>
      <c r="F70" s="85"/>
      <c r="G70" s="9"/>
      <c r="H70" s="9"/>
      <c r="I70" s="9"/>
      <c r="J70" s="9"/>
      <c r="K70" s="9"/>
      <c r="L70" s="9"/>
      <c r="M70" s="9"/>
      <c r="N70" s="9"/>
      <c r="O70" s="90"/>
      <c r="P70" s="90"/>
      <c r="Q70" s="86"/>
      <c r="R70" s="86"/>
      <c r="S70" s="9"/>
      <c r="T70" s="47"/>
      <c r="U70" s="9"/>
      <c r="W70" s="67" t="str">
        <f>$A$4&amp;" "&amp;A71&amp;"("&amp;B71&amp;","&amp;C71&amp;"^)"</f>
        <v>평화동2가 우성신성타운('03.12.,270^)</v>
      </c>
      <c r="X70" s="68"/>
      <c r="Y70" s="68"/>
      <c r="Z70" s="68"/>
      <c r="AA70" s="68"/>
      <c r="AB70" s="68"/>
      <c r="AC70" s="68"/>
      <c r="AD70" s="68"/>
      <c r="AE70" s="68"/>
      <c r="AF70" s="69"/>
      <c r="AH70" s="20" t="str">
        <f t="shared" si="58"/>
        <v/>
      </c>
      <c r="AI70" s="108" t="str">
        <f t="shared" si="57"/>
        <v/>
      </c>
      <c r="AJ70" s="76"/>
      <c r="AK70" s="76"/>
      <c r="AL70" s="76"/>
      <c r="AM70" s="76"/>
      <c r="AN70" s="76"/>
      <c r="AO70" s="76"/>
      <c r="AP70" s="76"/>
      <c r="AQ70" s="76"/>
      <c r="AR70" s="76"/>
      <c r="AS70" s="76"/>
      <c r="AT70" s="76"/>
      <c r="AU70" s="76"/>
      <c r="AV70" s="76"/>
    </row>
    <row r="71" spans="1:48" x14ac:dyDescent="0.3">
      <c r="A71" s="9" t="s">
        <v>1408</v>
      </c>
      <c r="B71" s="10" t="s">
        <v>1911</v>
      </c>
      <c r="C71" s="87">
        <v>270</v>
      </c>
      <c r="D71" s="85">
        <v>100.5</v>
      </c>
      <c r="E71" s="86">
        <v>30</v>
      </c>
      <c r="F71" s="85">
        <v>83.2</v>
      </c>
      <c r="G71" s="17">
        <v>25</v>
      </c>
      <c r="H71" s="87">
        <v>270</v>
      </c>
      <c r="I71" s="88"/>
      <c r="J71" s="88"/>
      <c r="K71" s="88"/>
      <c r="L71" s="88"/>
      <c r="M71" s="89">
        <f>I71-K71</f>
        <v>0</v>
      </c>
      <c r="N71" s="4" t="str">
        <f>IF(ISERROR(K71/I71),"",K71/I71)</f>
        <v/>
      </c>
      <c r="O71" s="90">
        <f>I71/E71</f>
        <v>0</v>
      </c>
      <c r="P71" s="90">
        <f>K71/E71</f>
        <v>0</v>
      </c>
      <c r="Q71" s="76">
        <v>3</v>
      </c>
      <c r="R71" s="76">
        <v>2</v>
      </c>
      <c r="S71" s="76" t="s">
        <v>61</v>
      </c>
      <c r="T71" s="5">
        <v>100</v>
      </c>
      <c r="U71" s="9"/>
      <c r="W71" s="85">
        <f>D71</f>
        <v>100.5</v>
      </c>
      <c r="X71" s="86">
        <f>E71</f>
        <v>30</v>
      </c>
      <c r="Y71" s="91">
        <f>H71</f>
        <v>270</v>
      </c>
      <c r="Z71" s="89">
        <f>I71</f>
        <v>0</v>
      </c>
      <c r="AA71" s="89">
        <f>K71</f>
        <v>0</v>
      </c>
      <c r="AB71" s="89">
        <f>M71</f>
        <v>0</v>
      </c>
      <c r="AC71" s="4" t="str">
        <f>N71</f>
        <v/>
      </c>
      <c r="AD71" s="90">
        <f>O71</f>
        <v>0</v>
      </c>
      <c r="AE71" s="76" t="str">
        <f>S71</f>
        <v>계</v>
      </c>
      <c r="AF71" s="76" t="str">
        <f>Q71&amp;"/"&amp;R71</f>
        <v>3/2</v>
      </c>
      <c r="AH71" s="20" t="str">
        <f t="shared" si="58"/>
        <v>우성신성타운</v>
      </c>
      <c r="AI71" s="86">
        <f t="shared" si="57"/>
        <v>30</v>
      </c>
      <c r="AJ71" s="76" t="str">
        <f>IF(AI71="","",$AJ$2)</f>
        <v>A-</v>
      </c>
      <c r="AK71" s="76" t="s">
        <v>13</v>
      </c>
      <c r="AL71" s="76" t="s">
        <v>62</v>
      </c>
      <c r="AM71" s="76" t="s">
        <v>63</v>
      </c>
      <c r="AN71" s="76" t="str">
        <f>IF(AI71="","",$AN$2)</f>
        <v>C</v>
      </c>
      <c r="AO71" s="76" t="str">
        <f>IF(N71="","",IF(N71&gt;=$AO$1/100,"O","X"))</f>
        <v/>
      </c>
      <c r="AP71" s="76" t="str">
        <f>IF(I71="","",IF(I71&lt;=$AP$1,"O","X"))</f>
        <v/>
      </c>
      <c r="AQ71" s="76" t="str">
        <f>IF(O71="","",IF(O71&lt;=$AQ$1,"O","X"))</f>
        <v>O</v>
      </c>
      <c r="AR71" s="76" t="str">
        <f>IF(M71="","",IF(M71&lt;=$AR$1,"O","X"))</f>
        <v>O</v>
      </c>
      <c r="AS71" s="76" t="s">
        <v>2</v>
      </c>
      <c r="AT71" s="76" t="str">
        <f>IF(OR(F71="",AI71=""),"",IF(AND((F71&lt;=85),(AI71&gt;=15)),"O","X"))</f>
        <v>O</v>
      </c>
      <c r="AU71" s="76" t="str">
        <f>IF(C71="","",IF(C71&gt;=$AU$1,"O","X"))</f>
        <v>X</v>
      </c>
      <c r="AV71" s="76" t="str">
        <f>IF(AO71="","",IF(AND(AO71="O",AP71="O",AR71="O",AT71="O",AU71="O"),"후보","X"))</f>
        <v/>
      </c>
    </row>
    <row r="72" spans="1:48" x14ac:dyDescent="0.3">
      <c r="A72" s="9"/>
      <c r="B72" s="76"/>
      <c r="C72" s="6"/>
      <c r="D72" s="9"/>
      <c r="E72" s="14"/>
      <c r="F72" s="85"/>
      <c r="G72" s="9"/>
      <c r="H72" s="9"/>
      <c r="I72" s="9"/>
      <c r="J72" s="9"/>
      <c r="K72" s="9"/>
      <c r="L72" s="9"/>
      <c r="M72" s="9"/>
      <c r="N72" s="9"/>
      <c r="O72" s="90"/>
      <c r="P72" s="90"/>
      <c r="Q72" s="86"/>
      <c r="R72" s="86"/>
      <c r="S72" s="9"/>
      <c r="T72" s="47"/>
      <c r="U72" s="9"/>
      <c r="W72" s="67" t="str">
        <f>$A$4&amp;" "&amp;A73&amp;"("&amp;B73&amp;","&amp;C73&amp;"^)"</f>
        <v>평화동2가 평화엠코타운('13.01.,510^)</v>
      </c>
      <c r="X72" s="68"/>
      <c r="Y72" s="68"/>
      <c r="Z72" s="68"/>
      <c r="AA72" s="68"/>
      <c r="AB72" s="68"/>
      <c r="AC72" s="68"/>
      <c r="AD72" s="68"/>
      <c r="AE72" s="68"/>
      <c r="AF72" s="69"/>
      <c r="AH72" s="20" t="str">
        <f t="shared" si="58"/>
        <v/>
      </c>
      <c r="AI72" s="108" t="str">
        <f t="shared" si="57"/>
        <v/>
      </c>
      <c r="AJ72" s="76"/>
      <c r="AK72" s="76"/>
      <c r="AL72" s="76"/>
      <c r="AM72" s="76"/>
      <c r="AN72" s="76"/>
      <c r="AO72" s="76"/>
      <c r="AP72" s="76"/>
      <c r="AQ72" s="76"/>
      <c r="AR72" s="76"/>
      <c r="AS72" s="76"/>
      <c r="AT72" s="76"/>
      <c r="AU72" s="76"/>
      <c r="AV72" s="76"/>
    </row>
    <row r="73" spans="1:48" x14ac:dyDescent="0.3">
      <c r="A73" s="9" t="s">
        <v>1413</v>
      </c>
      <c r="B73" s="10" t="s">
        <v>1912</v>
      </c>
      <c r="C73" s="87">
        <v>510</v>
      </c>
      <c r="D73" s="85">
        <v>81.400000000000006</v>
      </c>
      <c r="E73" s="86">
        <v>25</v>
      </c>
      <c r="F73" s="85">
        <v>60</v>
      </c>
      <c r="G73" s="17">
        <v>18</v>
      </c>
      <c r="H73" s="87">
        <v>193</v>
      </c>
      <c r="I73" s="88">
        <v>24000</v>
      </c>
      <c r="J73" s="88" t="s">
        <v>85</v>
      </c>
      <c r="K73" s="88"/>
      <c r="L73" s="88"/>
      <c r="M73" s="89">
        <f>I73-K73</f>
        <v>24000</v>
      </c>
      <c r="N73" s="4">
        <f>IF(ISERROR(K73/I73),"",K73/I73)</f>
        <v>0</v>
      </c>
      <c r="O73" s="90">
        <f>I73/E73</f>
        <v>960</v>
      </c>
      <c r="P73" s="90">
        <f>K73/E73</f>
        <v>0</v>
      </c>
      <c r="Q73" s="76">
        <v>3</v>
      </c>
      <c r="R73" s="76">
        <v>2</v>
      </c>
      <c r="S73" s="76" t="s">
        <v>61</v>
      </c>
      <c r="T73" s="5">
        <v>81</v>
      </c>
      <c r="U73" s="9"/>
      <c r="W73" s="85">
        <f t="shared" ref="W73:X77" si="59">D73</f>
        <v>81.400000000000006</v>
      </c>
      <c r="X73" s="86">
        <f t="shared" si="59"/>
        <v>25</v>
      </c>
      <c r="Y73" s="91">
        <f t="shared" ref="Y73:Z77" si="60">H73</f>
        <v>193</v>
      </c>
      <c r="Z73" s="89">
        <f t="shared" si="60"/>
        <v>24000</v>
      </c>
      <c r="AA73" s="89">
        <f>K73</f>
        <v>0</v>
      </c>
      <c r="AB73" s="89">
        <f t="shared" ref="AB73:AD77" si="61">M73</f>
        <v>24000</v>
      </c>
      <c r="AC73" s="4">
        <f t="shared" si="61"/>
        <v>0</v>
      </c>
      <c r="AD73" s="90">
        <f t="shared" si="61"/>
        <v>960</v>
      </c>
      <c r="AE73" s="76" t="str">
        <f>S73</f>
        <v>계</v>
      </c>
      <c r="AF73" s="76" t="str">
        <f>Q73&amp;"/"&amp;R73</f>
        <v>3/2</v>
      </c>
      <c r="AH73" s="20" t="str">
        <f t="shared" si="58"/>
        <v>평화엠코타운</v>
      </c>
      <c r="AI73" s="86">
        <f t="shared" si="57"/>
        <v>25</v>
      </c>
      <c r="AJ73" s="76" t="str">
        <f>IF(AI73="","",$AJ$2)</f>
        <v>A-</v>
      </c>
      <c r="AK73" s="76" t="s">
        <v>13</v>
      </c>
      <c r="AL73" s="76" t="s">
        <v>62</v>
      </c>
      <c r="AM73" s="76" t="s">
        <v>63</v>
      </c>
      <c r="AN73" s="76" t="str">
        <f>IF(AI73="","",$AN$2)</f>
        <v>C</v>
      </c>
      <c r="AO73" s="76" t="str">
        <f>IF(N73="","",IF(N73&gt;=$AO$1/100,"O","X"))</f>
        <v>X</v>
      </c>
      <c r="AP73" s="76" t="str">
        <f>IF(I73="","",IF(I73&lt;=$AP$1,"O","X"))</f>
        <v>O</v>
      </c>
      <c r="AQ73" s="76" t="str">
        <f>IF(O73="","",IF(O73&lt;=$AQ$1,"O","X"))</f>
        <v>O</v>
      </c>
      <c r="AR73" s="76" t="str">
        <f>IF(M73="","",IF(M73&lt;=$AR$1,"O","X"))</f>
        <v>X</v>
      </c>
      <c r="AS73" s="76" t="s">
        <v>2</v>
      </c>
      <c r="AT73" s="76" t="str">
        <f>IF(OR(F73="",AI73=""),"",IF(AND((F73&lt;=85),(AI73&gt;=15)),"O","X"))</f>
        <v>O</v>
      </c>
      <c r="AU73" s="76" t="str">
        <f>IF(C73="","",IF(C73&gt;=$AU$1,"O","X"))</f>
        <v>O</v>
      </c>
      <c r="AV73" s="76" t="str">
        <f>IF(AO73="","",IF(AND(AO73="O",AP73="O",AR73="O",AT73="O",AU73="O"),"후보","X"))</f>
        <v>X</v>
      </c>
    </row>
    <row r="74" spans="1:48" x14ac:dyDescent="0.3">
      <c r="A74" s="9" t="s">
        <v>1413</v>
      </c>
      <c r="B74" s="10" t="s">
        <v>1912</v>
      </c>
      <c r="C74" s="87">
        <v>510</v>
      </c>
      <c r="D74" s="85">
        <v>107.5</v>
      </c>
      <c r="E74" s="86">
        <v>33</v>
      </c>
      <c r="F74" s="85">
        <v>84.9</v>
      </c>
      <c r="G74" s="17">
        <v>26</v>
      </c>
      <c r="H74" s="87">
        <v>142</v>
      </c>
      <c r="I74" s="88">
        <v>31000</v>
      </c>
      <c r="J74" s="88" t="s">
        <v>131</v>
      </c>
      <c r="K74" s="88"/>
      <c r="L74" s="88"/>
      <c r="M74" s="89">
        <f>I74-K74</f>
        <v>31000</v>
      </c>
      <c r="N74" s="4">
        <f>IF(ISERROR(K74/I74),"",K74/I74)</f>
        <v>0</v>
      </c>
      <c r="O74" s="90">
        <f>I74/E74</f>
        <v>939.39393939393938</v>
      </c>
      <c r="P74" s="90">
        <f>K74/E74</f>
        <v>0</v>
      </c>
      <c r="Q74" s="76">
        <v>3</v>
      </c>
      <c r="R74" s="76">
        <v>2</v>
      </c>
      <c r="S74" s="76" t="s">
        <v>61</v>
      </c>
      <c r="T74" s="5" t="s">
        <v>348</v>
      </c>
      <c r="U74" s="9"/>
      <c r="W74" s="85">
        <f t="shared" si="59"/>
        <v>107.5</v>
      </c>
      <c r="X74" s="86">
        <f t="shared" si="59"/>
        <v>33</v>
      </c>
      <c r="Y74" s="91">
        <f t="shared" si="60"/>
        <v>142</v>
      </c>
      <c r="Z74" s="89">
        <f t="shared" si="60"/>
        <v>31000</v>
      </c>
      <c r="AA74" s="89">
        <f>K74</f>
        <v>0</v>
      </c>
      <c r="AB74" s="89">
        <f t="shared" si="61"/>
        <v>31000</v>
      </c>
      <c r="AC74" s="4">
        <f t="shared" si="61"/>
        <v>0</v>
      </c>
      <c r="AD74" s="90">
        <f t="shared" si="61"/>
        <v>939.39393939393938</v>
      </c>
      <c r="AE74" s="76" t="str">
        <f>S74</f>
        <v>계</v>
      </c>
      <c r="AF74" s="76" t="str">
        <f>Q74&amp;"/"&amp;R74</f>
        <v>3/2</v>
      </c>
      <c r="AH74" s="20" t="str">
        <f t="shared" si="58"/>
        <v>평화엠코타운</v>
      </c>
      <c r="AI74" s="86">
        <f t="shared" si="57"/>
        <v>33</v>
      </c>
      <c r="AJ74" s="76" t="str">
        <f>IF(AI74="","",$AJ$2)</f>
        <v>A-</v>
      </c>
      <c r="AK74" s="76" t="s">
        <v>13</v>
      </c>
      <c r="AL74" s="76" t="s">
        <v>62</v>
      </c>
      <c r="AM74" s="76" t="s">
        <v>63</v>
      </c>
      <c r="AN74" s="76" t="str">
        <f>IF(AI74="","",$AN$2)</f>
        <v>C</v>
      </c>
      <c r="AO74" s="76" t="str">
        <f>IF(N74="","",IF(N74&gt;=$AO$1/100,"O","X"))</f>
        <v>X</v>
      </c>
      <c r="AP74" s="76" t="str">
        <f>IF(I74="","",IF(I74&lt;=$AP$1,"O","X"))</f>
        <v>O</v>
      </c>
      <c r="AQ74" s="76" t="str">
        <f>IF(O74="","",IF(O74&lt;=$AQ$1,"O","X"))</f>
        <v>O</v>
      </c>
      <c r="AR74" s="76" t="str">
        <f>IF(M74="","",IF(M74&lt;=$AR$1,"O","X"))</f>
        <v>X</v>
      </c>
      <c r="AS74" s="76" t="s">
        <v>2</v>
      </c>
      <c r="AT74" s="76" t="str">
        <f>IF(OR(F74="",AI74=""),"",IF(AND((F74&lt;=85),(AI74&gt;=15)),"O","X"))</f>
        <v>O</v>
      </c>
      <c r="AU74" s="76" t="str">
        <f>IF(C74="","",IF(C74&gt;=$AU$1,"O","X"))</f>
        <v>O</v>
      </c>
      <c r="AV74" s="76" t="str">
        <f>IF(AO74="","",IF(AND(AO74="O",AP74="O",AR74="O",AT74="O",AU74="O"),"후보","X"))</f>
        <v>X</v>
      </c>
    </row>
    <row r="75" spans="1:48" x14ac:dyDescent="0.3">
      <c r="A75" s="9" t="s">
        <v>1413</v>
      </c>
      <c r="B75" s="10" t="s">
        <v>1912</v>
      </c>
      <c r="C75" s="87">
        <v>510</v>
      </c>
      <c r="D75" s="85">
        <v>110</v>
      </c>
      <c r="E75" s="86">
        <v>33</v>
      </c>
      <c r="F75" s="85">
        <v>84.9</v>
      </c>
      <c r="G75" s="17">
        <v>26</v>
      </c>
      <c r="H75" s="87">
        <v>39</v>
      </c>
      <c r="I75" s="88"/>
      <c r="J75" s="88"/>
      <c r="K75" s="88"/>
      <c r="L75" s="88"/>
      <c r="M75" s="89">
        <f>I75-K75</f>
        <v>0</v>
      </c>
      <c r="N75" s="4" t="str">
        <f>IF(ISERROR(K75/I75),"",K75/I75)</f>
        <v/>
      </c>
      <c r="O75" s="90">
        <f>I75/E75</f>
        <v>0</v>
      </c>
      <c r="P75" s="90">
        <f>K75/E75</f>
        <v>0</v>
      </c>
      <c r="Q75" s="76">
        <v>3</v>
      </c>
      <c r="R75" s="76">
        <v>2</v>
      </c>
      <c r="S75" s="76" t="s">
        <v>61</v>
      </c>
      <c r="T75" s="5" t="s">
        <v>192</v>
      </c>
      <c r="U75" s="9"/>
      <c r="W75" s="85">
        <f t="shared" si="59"/>
        <v>110</v>
      </c>
      <c r="X75" s="86">
        <f t="shared" si="59"/>
        <v>33</v>
      </c>
      <c r="Y75" s="91">
        <f t="shared" si="60"/>
        <v>39</v>
      </c>
      <c r="Z75" s="89">
        <f t="shared" si="60"/>
        <v>0</v>
      </c>
      <c r="AA75" s="89">
        <f>K75</f>
        <v>0</v>
      </c>
      <c r="AB75" s="89">
        <f t="shared" si="61"/>
        <v>0</v>
      </c>
      <c r="AC75" s="4" t="str">
        <f t="shared" si="61"/>
        <v/>
      </c>
      <c r="AD75" s="90">
        <f t="shared" si="61"/>
        <v>0</v>
      </c>
      <c r="AE75" s="76" t="str">
        <f>S75</f>
        <v>계</v>
      </c>
      <c r="AF75" s="76" t="str">
        <f>Q75&amp;"/"&amp;R75</f>
        <v>3/2</v>
      </c>
      <c r="AH75" s="20" t="str">
        <f t="shared" si="58"/>
        <v>평화엠코타운</v>
      </c>
      <c r="AI75" s="86">
        <f t="shared" si="57"/>
        <v>33</v>
      </c>
      <c r="AJ75" s="76" t="str">
        <f>IF(AI75="","",$AJ$2)</f>
        <v>A-</v>
      </c>
      <c r="AK75" s="76" t="s">
        <v>13</v>
      </c>
      <c r="AL75" s="76" t="s">
        <v>62</v>
      </c>
      <c r="AM75" s="76" t="s">
        <v>63</v>
      </c>
      <c r="AN75" s="76" t="str">
        <f>IF(AI75="","",$AN$2)</f>
        <v>C</v>
      </c>
      <c r="AO75" s="76" t="str">
        <f>IF(N75="","",IF(N75&gt;=$AO$1/100,"O","X"))</f>
        <v/>
      </c>
      <c r="AP75" s="76" t="str">
        <f>IF(I75="","",IF(I75&lt;=$AP$1,"O","X"))</f>
        <v/>
      </c>
      <c r="AQ75" s="76" t="str">
        <f>IF(O75="","",IF(O75&lt;=$AQ$1,"O","X"))</f>
        <v>O</v>
      </c>
      <c r="AR75" s="76" t="str">
        <f>IF(M75="","",IF(M75&lt;=$AR$1,"O","X"))</f>
        <v>O</v>
      </c>
      <c r="AS75" s="76" t="s">
        <v>2</v>
      </c>
      <c r="AT75" s="76" t="str">
        <f>IF(OR(F75="",AI75=""),"",IF(AND((F75&lt;=85),(AI75&gt;=15)),"O","X"))</f>
        <v>O</v>
      </c>
      <c r="AU75" s="76" t="str">
        <f>IF(C75="","",IF(C75&gt;=$AU$1,"O","X"))</f>
        <v>O</v>
      </c>
      <c r="AV75" s="76" t="str">
        <f>IF(AO75="","",IF(AND(AO75="O",AP75="O",AR75="O",AT75="O",AU75="O"),"후보","X"))</f>
        <v/>
      </c>
    </row>
    <row r="76" spans="1:48" x14ac:dyDescent="0.3">
      <c r="A76" s="9" t="s">
        <v>1413</v>
      </c>
      <c r="B76" s="10" t="s">
        <v>1912</v>
      </c>
      <c r="C76" s="87">
        <v>510</v>
      </c>
      <c r="D76" s="85">
        <v>110.6</v>
      </c>
      <c r="E76" s="86">
        <v>33</v>
      </c>
      <c r="F76" s="85">
        <v>85</v>
      </c>
      <c r="G76" s="17">
        <v>26</v>
      </c>
      <c r="H76" s="87">
        <v>111</v>
      </c>
      <c r="I76" s="88">
        <v>32000</v>
      </c>
      <c r="J76" s="88" t="s">
        <v>131</v>
      </c>
      <c r="K76" s="88"/>
      <c r="L76" s="88"/>
      <c r="M76" s="89">
        <f>I76-K76</f>
        <v>32000</v>
      </c>
      <c r="N76" s="4">
        <f>IF(ISERROR(K76/I76),"",K76/I76)</f>
        <v>0</v>
      </c>
      <c r="O76" s="90">
        <f>I76/E76</f>
        <v>969.69696969696975</v>
      </c>
      <c r="P76" s="90">
        <f>K76/E76</f>
        <v>0</v>
      </c>
      <c r="Q76" s="76">
        <v>3</v>
      </c>
      <c r="R76" s="76">
        <v>2</v>
      </c>
      <c r="S76" s="76" t="s">
        <v>61</v>
      </c>
      <c r="T76" s="5" t="s">
        <v>293</v>
      </c>
      <c r="U76" s="9"/>
      <c r="W76" s="85">
        <f t="shared" si="59"/>
        <v>110.6</v>
      </c>
      <c r="X76" s="86">
        <f t="shared" si="59"/>
        <v>33</v>
      </c>
      <c r="Y76" s="91">
        <f t="shared" si="60"/>
        <v>111</v>
      </c>
      <c r="Z76" s="89">
        <f t="shared" si="60"/>
        <v>32000</v>
      </c>
      <c r="AA76" s="89">
        <f>K76</f>
        <v>0</v>
      </c>
      <c r="AB76" s="89">
        <f t="shared" si="61"/>
        <v>32000</v>
      </c>
      <c r="AC76" s="4">
        <f t="shared" si="61"/>
        <v>0</v>
      </c>
      <c r="AD76" s="90">
        <f t="shared" si="61"/>
        <v>969.69696969696975</v>
      </c>
      <c r="AE76" s="76" t="str">
        <f>S76</f>
        <v>계</v>
      </c>
      <c r="AF76" s="76" t="str">
        <f>Q76&amp;"/"&amp;R76</f>
        <v>3/2</v>
      </c>
      <c r="AH76" s="20" t="str">
        <f t="shared" si="58"/>
        <v>평화엠코타운</v>
      </c>
      <c r="AI76" s="86">
        <f t="shared" si="57"/>
        <v>33</v>
      </c>
      <c r="AJ76" s="76" t="str">
        <f>IF(AI76="","",$AJ$2)</f>
        <v>A-</v>
      </c>
      <c r="AK76" s="76" t="s">
        <v>13</v>
      </c>
      <c r="AL76" s="76" t="s">
        <v>62</v>
      </c>
      <c r="AM76" s="76" t="s">
        <v>63</v>
      </c>
      <c r="AN76" s="76" t="str">
        <f>IF(AI76="","",$AN$2)</f>
        <v>C</v>
      </c>
      <c r="AO76" s="76" t="str">
        <f>IF(N76="","",IF(N76&gt;=$AO$1/100,"O","X"))</f>
        <v>X</v>
      </c>
      <c r="AP76" s="76" t="str">
        <f>IF(I76="","",IF(I76&lt;=$AP$1,"O","X"))</f>
        <v>O</v>
      </c>
      <c r="AQ76" s="76" t="str">
        <f>IF(O76="","",IF(O76&lt;=$AQ$1,"O","X"))</f>
        <v>O</v>
      </c>
      <c r="AR76" s="76" t="str">
        <f>IF(M76="","",IF(M76&lt;=$AR$1,"O","X"))</f>
        <v>X</v>
      </c>
      <c r="AS76" s="76" t="s">
        <v>2</v>
      </c>
      <c r="AT76" s="76" t="str">
        <f>IF(OR(F76="",AI76=""),"",IF(AND((F76&lt;=85),(AI76&gt;=15)),"O","X"))</f>
        <v>O</v>
      </c>
      <c r="AU76" s="76" t="str">
        <f>IF(C76="","",IF(C76&gt;=$AU$1,"O","X"))</f>
        <v>O</v>
      </c>
      <c r="AV76" s="76" t="str">
        <f>IF(AO76="","",IF(AND(AO76="O",AP76="O",AR76="O",AT76="O",AU76="O"),"후보","X"))</f>
        <v>X</v>
      </c>
    </row>
    <row r="77" spans="1:48" x14ac:dyDescent="0.3">
      <c r="A77" s="9" t="s">
        <v>1413</v>
      </c>
      <c r="B77" s="10" t="s">
        <v>1912</v>
      </c>
      <c r="C77" s="87">
        <v>510</v>
      </c>
      <c r="D77" s="85">
        <v>111.7</v>
      </c>
      <c r="E77" s="86">
        <v>34</v>
      </c>
      <c r="F77" s="85">
        <v>85</v>
      </c>
      <c r="G77" s="17">
        <v>26</v>
      </c>
      <c r="H77" s="87">
        <v>25</v>
      </c>
      <c r="I77" s="88">
        <v>32000</v>
      </c>
      <c r="J77" s="88" t="s">
        <v>75</v>
      </c>
      <c r="K77" s="88"/>
      <c r="L77" s="88"/>
      <c r="M77" s="89">
        <f>I77-K77</f>
        <v>32000</v>
      </c>
      <c r="N77" s="4">
        <f>IF(ISERROR(K77/I77),"",K77/I77)</f>
        <v>0</v>
      </c>
      <c r="O77" s="90">
        <f>I77/E77</f>
        <v>941.17647058823525</v>
      </c>
      <c r="P77" s="90">
        <f>K77/E77</f>
        <v>0</v>
      </c>
      <c r="Q77" s="76">
        <v>3</v>
      </c>
      <c r="R77" s="76">
        <v>2</v>
      </c>
      <c r="S77" s="76" t="s">
        <v>61</v>
      </c>
      <c r="T77" s="5">
        <v>111</v>
      </c>
      <c r="U77" s="9"/>
      <c r="W77" s="85">
        <f t="shared" si="59"/>
        <v>111.7</v>
      </c>
      <c r="X77" s="86">
        <f t="shared" si="59"/>
        <v>34</v>
      </c>
      <c r="Y77" s="91">
        <f t="shared" si="60"/>
        <v>25</v>
      </c>
      <c r="Z77" s="89">
        <f t="shared" si="60"/>
        <v>32000</v>
      </c>
      <c r="AA77" s="89">
        <f>K77</f>
        <v>0</v>
      </c>
      <c r="AB77" s="89">
        <f t="shared" si="61"/>
        <v>32000</v>
      </c>
      <c r="AC77" s="4">
        <f t="shared" si="61"/>
        <v>0</v>
      </c>
      <c r="AD77" s="90">
        <f t="shared" si="61"/>
        <v>941.17647058823525</v>
      </c>
      <c r="AE77" s="76" t="str">
        <f>S77</f>
        <v>계</v>
      </c>
      <c r="AF77" s="76" t="str">
        <f>Q77&amp;"/"&amp;R77</f>
        <v>3/2</v>
      </c>
      <c r="AH77" s="20" t="str">
        <f t="shared" si="58"/>
        <v>평화엠코타운</v>
      </c>
      <c r="AI77" s="86">
        <f t="shared" si="57"/>
        <v>34</v>
      </c>
      <c r="AJ77" s="76" t="str">
        <f>IF(AI77="","",$AJ$2)</f>
        <v>A-</v>
      </c>
      <c r="AK77" s="76" t="s">
        <v>13</v>
      </c>
      <c r="AL77" s="76" t="s">
        <v>62</v>
      </c>
      <c r="AM77" s="76" t="s">
        <v>63</v>
      </c>
      <c r="AN77" s="76" t="str">
        <f>IF(AI77="","",$AN$2)</f>
        <v>C</v>
      </c>
      <c r="AO77" s="76" t="str">
        <f>IF(N77="","",IF(N77&gt;=$AO$1/100,"O","X"))</f>
        <v>X</v>
      </c>
      <c r="AP77" s="76" t="str">
        <f>IF(I77="","",IF(I77&lt;=$AP$1,"O","X"))</f>
        <v>O</v>
      </c>
      <c r="AQ77" s="76" t="str">
        <f>IF(O77="","",IF(O77&lt;=$AQ$1,"O","X"))</f>
        <v>O</v>
      </c>
      <c r="AR77" s="76" t="str">
        <f>IF(M77="","",IF(M77&lt;=$AR$1,"O","X"))</f>
        <v>X</v>
      </c>
      <c r="AS77" s="76" t="s">
        <v>2</v>
      </c>
      <c r="AT77" s="76" t="str">
        <f>IF(OR(F77="",AI77=""),"",IF(AND((F77&lt;=85),(AI77&gt;=15)),"O","X"))</f>
        <v>O</v>
      </c>
      <c r="AU77" s="76" t="str">
        <f>IF(C77="","",IF(C77&gt;=$AU$1,"O","X"))</f>
        <v>O</v>
      </c>
      <c r="AV77" s="76" t="str">
        <f>IF(AO77="","",IF(AND(AO77="O",AP77="O",AR77="O",AT77="O",AU77="O"),"후보","X"))</f>
        <v>X</v>
      </c>
    </row>
    <row r="78" spans="1:48" x14ac:dyDescent="0.3">
      <c r="A78" s="9"/>
      <c r="B78" s="76"/>
      <c r="C78" s="6"/>
      <c r="D78" s="9"/>
      <c r="E78" s="14"/>
      <c r="F78" s="85"/>
      <c r="G78" s="9"/>
      <c r="H78" s="9"/>
      <c r="I78" s="9"/>
      <c r="J78" s="9"/>
      <c r="K78" s="9"/>
      <c r="L78" s="9"/>
      <c r="M78" s="9"/>
      <c r="N78" s="9"/>
      <c r="O78" s="90"/>
      <c r="P78" s="90"/>
      <c r="Q78" s="86"/>
      <c r="R78" s="86"/>
      <c r="S78" s="9"/>
      <c r="T78" s="47"/>
      <c r="U78" s="9"/>
      <c r="W78" s="67" t="str">
        <f>$A$4&amp;" "&amp;A79&amp;"("&amp;B79&amp;","&amp;C79&amp;"^)"</f>
        <v>평화동2가 미송평화하이존('03.02.,438^)</v>
      </c>
      <c r="X78" s="68"/>
      <c r="Y78" s="68"/>
      <c r="Z78" s="68"/>
      <c r="AA78" s="68"/>
      <c r="AB78" s="68"/>
      <c r="AC78" s="68"/>
      <c r="AD78" s="68"/>
      <c r="AE78" s="68"/>
      <c r="AF78" s="69"/>
      <c r="AH78" s="20" t="str">
        <f t="shared" si="58"/>
        <v/>
      </c>
      <c r="AI78" s="108" t="str">
        <f t="shared" si="57"/>
        <v/>
      </c>
      <c r="AJ78" s="76"/>
      <c r="AK78" s="76"/>
      <c r="AL78" s="76"/>
      <c r="AM78" s="76"/>
      <c r="AN78" s="76"/>
      <c r="AO78" s="76"/>
      <c r="AP78" s="76"/>
      <c r="AQ78" s="76"/>
      <c r="AR78" s="76"/>
      <c r="AS78" s="76"/>
      <c r="AT78" s="76"/>
      <c r="AU78" s="76"/>
      <c r="AV78" s="76"/>
    </row>
    <row r="79" spans="1:48" x14ac:dyDescent="0.3">
      <c r="A79" s="9" t="s">
        <v>1418</v>
      </c>
      <c r="B79" s="10" t="s">
        <v>1913</v>
      </c>
      <c r="C79" s="87">
        <v>438</v>
      </c>
      <c r="D79" s="85">
        <v>94.2</v>
      </c>
      <c r="E79" s="86">
        <v>29</v>
      </c>
      <c r="F79" s="85">
        <v>84.8</v>
      </c>
      <c r="G79" s="17">
        <v>26</v>
      </c>
      <c r="H79" s="87">
        <v>28</v>
      </c>
      <c r="I79" s="88"/>
      <c r="J79" s="88"/>
      <c r="K79" s="88"/>
      <c r="L79" s="88"/>
      <c r="M79" s="89">
        <f>I79-K79</f>
        <v>0</v>
      </c>
      <c r="N79" s="4" t="str">
        <f>IF(ISERROR(K79/I79),"",K79/I79)</f>
        <v/>
      </c>
      <c r="O79" s="90">
        <f>I79/E79</f>
        <v>0</v>
      </c>
      <c r="P79" s="90">
        <f>K79/E79</f>
        <v>0</v>
      </c>
      <c r="Q79" s="76">
        <v>3</v>
      </c>
      <c r="R79" s="76">
        <v>2</v>
      </c>
      <c r="S79" s="76" t="s">
        <v>61</v>
      </c>
      <c r="T79" s="5">
        <v>94</v>
      </c>
      <c r="U79" s="9"/>
      <c r="W79" s="85">
        <f t="shared" ref="W79:X81" si="62">D79</f>
        <v>94.2</v>
      </c>
      <c r="X79" s="86">
        <f t="shared" si="62"/>
        <v>29</v>
      </c>
      <c r="Y79" s="91">
        <f t="shared" ref="Y79:Z81" si="63">H79</f>
        <v>28</v>
      </c>
      <c r="Z79" s="89">
        <f t="shared" si="63"/>
        <v>0</v>
      </c>
      <c r="AA79" s="89">
        <f>K79</f>
        <v>0</v>
      </c>
      <c r="AB79" s="89">
        <f t="shared" ref="AB79:AD81" si="64">M79</f>
        <v>0</v>
      </c>
      <c r="AC79" s="4" t="str">
        <f t="shared" si="64"/>
        <v/>
      </c>
      <c r="AD79" s="90">
        <f t="shared" si="64"/>
        <v>0</v>
      </c>
      <c r="AE79" s="76" t="str">
        <f>S79</f>
        <v>계</v>
      </c>
      <c r="AF79" s="76" t="str">
        <f>Q79&amp;"/"&amp;R79</f>
        <v>3/2</v>
      </c>
      <c r="AH79" s="20" t="str">
        <f t="shared" si="58"/>
        <v>미송평화하이존</v>
      </c>
      <c r="AI79" s="86">
        <f t="shared" si="57"/>
        <v>29</v>
      </c>
      <c r="AJ79" s="76" t="str">
        <f>IF(AI79="","",$AJ$2)</f>
        <v>A-</v>
      </c>
      <c r="AK79" s="76" t="s">
        <v>13</v>
      </c>
      <c r="AL79" s="76" t="s">
        <v>62</v>
      </c>
      <c r="AM79" s="76" t="s">
        <v>63</v>
      </c>
      <c r="AN79" s="76" t="str">
        <f>IF(AI79="","",$AN$2)</f>
        <v>C</v>
      </c>
      <c r="AO79" s="76" t="str">
        <f>IF(N79="","",IF(N79&gt;=$AO$1/100,"O","X"))</f>
        <v/>
      </c>
      <c r="AP79" s="76" t="str">
        <f>IF(I79="","",IF(I79&lt;=$AP$1,"O","X"))</f>
        <v/>
      </c>
      <c r="AQ79" s="76" t="str">
        <f>IF(O79="","",IF(O79&lt;=$AQ$1,"O","X"))</f>
        <v>O</v>
      </c>
      <c r="AR79" s="76" t="str">
        <f>IF(M79="","",IF(M79&lt;=$AR$1,"O","X"))</f>
        <v>O</v>
      </c>
      <c r="AS79" s="76" t="s">
        <v>2</v>
      </c>
      <c r="AT79" s="76" t="str">
        <f>IF(OR(F79="",AI79=""),"",IF(AND((F79&lt;=85),(AI79&gt;=15)),"O","X"))</f>
        <v>O</v>
      </c>
      <c r="AU79" s="76" t="str">
        <f>IF(C79="","",IF(C79&gt;=$AU$1,"O","X"))</f>
        <v>O</v>
      </c>
      <c r="AV79" s="76" t="str">
        <f>IF(AO79="","",IF(AND(AO79="O",AP79="O",AR79="O",AT79="O",AU79="O"),"후보","X"))</f>
        <v/>
      </c>
    </row>
    <row r="80" spans="1:48" x14ac:dyDescent="0.3">
      <c r="A80" s="9" t="s">
        <v>1418</v>
      </c>
      <c r="B80" s="10" t="s">
        <v>1913</v>
      </c>
      <c r="C80" s="87">
        <v>438</v>
      </c>
      <c r="D80" s="85">
        <v>102.4</v>
      </c>
      <c r="E80" s="86">
        <v>31</v>
      </c>
      <c r="F80" s="85">
        <v>84.7</v>
      </c>
      <c r="G80" s="17">
        <v>26</v>
      </c>
      <c r="H80" s="87">
        <v>60</v>
      </c>
      <c r="I80" s="88">
        <v>22000</v>
      </c>
      <c r="J80" s="88" t="s">
        <v>90</v>
      </c>
      <c r="K80" s="88"/>
      <c r="L80" s="88"/>
      <c r="M80" s="89">
        <f>I80-K80</f>
        <v>22000</v>
      </c>
      <c r="N80" s="4">
        <f>IF(ISERROR(K80/I80),"",K80/I80)</f>
        <v>0</v>
      </c>
      <c r="O80" s="90">
        <f>I80/E80</f>
        <v>709.67741935483866</v>
      </c>
      <c r="P80" s="90">
        <f>K80/E80</f>
        <v>0</v>
      </c>
      <c r="Q80" s="76">
        <v>3</v>
      </c>
      <c r="R80" s="76">
        <v>2</v>
      </c>
      <c r="S80" s="76" t="s">
        <v>68</v>
      </c>
      <c r="T80" s="5">
        <v>102</v>
      </c>
      <c r="U80" s="9"/>
      <c r="W80" s="85">
        <f t="shared" si="62"/>
        <v>102.4</v>
      </c>
      <c r="X80" s="86">
        <f t="shared" si="62"/>
        <v>31</v>
      </c>
      <c r="Y80" s="91">
        <f t="shared" si="63"/>
        <v>60</v>
      </c>
      <c r="Z80" s="89">
        <f t="shared" si="63"/>
        <v>22000</v>
      </c>
      <c r="AA80" s="89">
        <f>K80</f>
        <v>0</v>
      </c>
      <c r="AB80" s="89">
        <f t="shared" si="64"/>
        <v>22000</v>
      </c>
      <c r="AC80" s="4">
        <f t="shared" si="64"/>
        <v>0</v>
      </c>
      <c r="AD80" s="90">
        <f t="shared" si="64"/>
        <v>709.67741935483866</v>
      </c>
      <c r="AE80" s="76" t="str">
        <f>S80</f>
        <v>복</v>
      </c>
      <c r="AF80" s="76" t="str">
        <f>Q80&amp;"/"&amp;R80</f>
        <v>3/2</v>
      </c>
      <c r="AH80" s="20" t="str">
        <f t="shared" si="58"/>
        <v>미송평화하이존</v>
      </c>
      <c r="AI80" s="86">
        <f t="shared" si="57"/>
        <v>31</v>
      </c>
      <c r="AJ80" s="76" t="str">
        <f>IF(AI80="","",$AJ$2)</f>
        <v>A-</v>
      </c>
      <c r="AK80" s="76" t="s">
        <v>13</v>
      </c>
      <c r="AL80" s="76" t="s">
        <v>62</v>
      </c>
      <c r="AM80" s="76" t="s">
        <v>63</v>
      </c>
      <c r="AN80" s="76" t="str">
        <f>IF(AI80="","",$AN$2)</f>
        <v>C</v>
      </c>
      <c r="AO80" s="76" t="str">
        <f>IF(N80="","",IF(N80&gt;=$AO$1/100,"O","X"))</f>
        <v>X</v>
      </c>
      <c r="AP80" s="76" t="str">
        <f>IF(I80="","",IF(I80&lt;=$AP$1,"O","X"))</f>
        <v>O</v>
      </c>
      <c r="AQ80" s="76" t="str">
        <f>IF(O80="","",IF(O80&lt;=$AQ$1,"O","X"))</f>
        <v>O</v>
      </c>
      <c r="AR80" s="76" t="str">
        <f>IF(M80="","",IF(M80&lt;=$AR$1,"O","X"))</f>
        <v>X</v>
      </c>
      <c r="AS80" s="76" t="s">
        <v>2</v>
      </c>
      <c r="AT80" s="76" t="str">
        <f>IF(OR(F80="",AI80=""),"",IF(AND((F80&lt;=85),(AI80&gt;=15)),"O","X"))</f>
        <v>O</v>
      </c>
      <c r="AU80" s="76" t="str">
        <f>IF(C80="","",IF(C80&gt;=$AU$1,"O","X"))</f>
        <v>O</v>
      </c>
      <c r="AV80" s="76" t="str">
        <f>IF(AO80="","",IF(AND(AO80="O",AP80="O",AR80="O",AT80="O",AU80="O"),"후보","X"))</f>
        <v>X</v>
      </c>
    </row>
    <row r="81" spans="1:48" x14ac:dyDescent="0.3">
      <c r="A81" s="9" t="s">
        <v>1418</v>
      </c>
      <c r="B81" s="10" t="s">
        <v>1913</v>
      </c>
      <c r="C81" s="87">
        <v>438</v>
      </c>
      <c r="D81" s="85">
        <v>107.7</v>
      </c>
      <c r="E81" s="86">
        <v>33</v>
      </c>
      <c r="F81" s="85">
        <v>84.8</v>
      </c>
      <c r="G81" s="17">
        <v>26</v>
      </c>
      <c r="H81" s="87">
        <v>350</v>
      </c>
      <c r="I81" s="88">
        <v>23000</v>
      </c>
      <c r="J81" s="88" t="s">
        <v>80</v>
      </c>
      <c r="K81" s="88"/>
      <c r="L81" s="88"/>
      <c r="M81" s="89">
        <f>I81-K81</f>
        <v>23000</v>
      </c>
      <c r="N81" s="4">
        <f>IF(ISERROR(K81/I81),"",K81/I81)</f>
        <v>0</v>
      </c>
      <c r="O81" s="90">
        <f>I81/E81</f>
        <v>696.969696969697</v>
      </c>
      <c r="P81" s="90">
        <f>K81/E81</f>
        <v>0</v>
      </c>
      <c r="Q81" s="76">
        <v>3</v>
      </c>
      <c r="R81" s="76">
        <v>2</v>
      </c>
      <c r="S81" s="76" t="s">
        <v>61</v>
      </c>
      <c r="T81" s="5">
        <v>107</v>
      </c>
      <c r="U81" s="9"/>
      <c r="W81" s="85">
        <f t="shared" si="62"/>
        <v>107.7</v>
      </c>
      <c r="X81" s="86">
        <f t="shared" si="62"/>
        <v>33</v>
      </c>
      <c r="Y81" s="91">
        <f t="shared" si="63"/>
        <v>350</v>
      </c>
      <c r="Z81" s="89">
        <f t="shared" si="63"/>
        <v>23000</v>
      </c>
      <c r="AA81" s="89">
        <f>K81</f>
        <v>0</v>
      </c>
      <c r="AB81" s="89">
        <f t="shared" si="64"/>
        <v>23000</v>
      </c>
      <c r="AC81" s="4">
        <f t="shared" si="64"/>
        <v>0</v>
      </c>
      <c r="AD81" s="90">
        <f t="shared" si="64"/>
        <v>696.969696969697</v>
      </c>
      <c r="AE81" s="76" t="str">
        <f>S81</f>
        <v>계</v>
      </c>
      <c r="AF81" s="76" t="str">
        <f>Q81&amp;"/"&amp;R81</f>
        <v>3/2</v>
      </c>
      <c r="AH81" s="20" t="str">
        <f t="shared" si="58"/>
        <v>미송평화하이존</v>
      </c>
      <c r="AI81" s="86">
        <f t="shared" si="57"/>
        <v>33</v>
      </c>
      <c r="AJ81" s="76" t="str">
        <f>IF(AI81="","",$AJ$2)</f>
        <v>A-</v>
      </c>
      <c r="AK81" s="76" t="s">
        <v>13</v>
      </c>
      <c r="AL81" s="76" t="s">
        <v>62</v>
      </c>
      <c r="AM81" s="76" t="s">
        <v>63</v>
      </c>
      <c r="AN81" s="76" t="str">
        <f>IF(AI81="","",$AN$2)</f>
        <v>C</v>
      </c>
      <c r="AO81" s="76" t="str">
        <f>IF(N81="","",IF(N81&gt;=$AO$1/100,"O","X"))</f>
        <v>X</v>
      </c>
      <c r="AP81" s="76" t="str">
        <f>IF(I81="","",IF(I81&lt;=$AP$1,"O","X"))</f>
        <v>O</v>
      </c>
      <c r="AQ81" s="76" t="str">
        <f>IF(O81="","",IF(O81&lt;=$AQ$1,"O","X"))</f>
        <v>O</v>
      </c>
      <c r="AR81" s="76" t="str">
        <f>IF(M81="","",IF(M81&lt;=$AR$1,"O","X"))</f>
        <v>X</v>
      </c>
      <c r="AS81" s="76" t="s">
        <v>2</v>
      </c>
      <c r="AT81" s="76" t="str">
        <f>IF(OR(F81="",AI81=""),"",IF(AND((F81&lt;=85),(AI81&gt;=15)),"O","X"))</f>
        <v>O</v>
      </c>
      <c r="AU81" s="76" t="str">
        <f>IF(C81="","",IF(C81&gt;=$AU$1,"O","X"))</f>
        <v>O</v>
      </c>
      <c r="AV81" s="76" t="str">
        <f>IF(AO81="","",IF(AND(AO81="O",AP81="O",AR81="O",AT81="O",AU81="O"),"후보","X"))</f>
        <v>X</v>
      </c>
    </row>
    <row r="82" spans="1:48" x14ac:dyDescent="0.3">
      <c r="A82" s="9"/>
      <c r="B82" s="76"/>
      <c r="C82" s="6"/>
      <c r="D82" s="9"/>
      <c r="E82" s="14"/>
      <c r="F82" s="85"/>
      <c r="G82" s="9"/>
      <c r="H82" s="9"/>
      <c r="I82" s="9"/>
      <c r="J82" s="9"/>
      <c r="K82" s="9"/>
      <c r="L82" s="9"/>
      <c r="M82" s="9"/>
      <c r="N82" s="9"/>
      <c r="O82" s="90"/>
      <c r="P82" s="90"/>
      <c r="Q82" s="86"/>
      <c r="R82" s="86"/>
      <c r="S82" s="9"/>
      <c r="T82" s="47"/>
      <c r="U82" s="9"/>
      <c r="W82" s="67" t="str">
        <f>$A$4&amp;" "&amp;A83&amp;"("&amp;B83&amp;","&amp;C83&amp;"^)"</f>
        <v>평화동2가 호반리젠시빌('02.04.,639^)</v>
      </c>
      <c r="X82" s="68"/>
      <c r="Y82" s="68"/>
      <c r="Z82" s="68"/>
      <c r="AA82" s="68"/>
      <c r="AB82" s="68"/>
      <c r="AC82" s="68"/>
      <c r="AD82" s="68"/>
      <c r="AE82" s="68"/>
      <c r="AF82" s="69"/>
      <c r="AH82" s="20" t="str">
        <f t="shared" si="58"/>
        <v/>
      </c>
      <c r="AI82" s="108" t="str">
        <f t="shared" si="57"/>
        <v/>
      </c>
      <c r="AJ82" s="76"/>
      <c r="AK82" s="76"/>
      <c r="AL82" s="76"/>
      <c r="AM82" s="76"/>
      <c r="AN82" s="76"/>
      <c r="AO82" s="76"/>
      <c r="AP82" s="76"/>
      <c r="AQ82" s="76"/>
      <c r="AR82" s="76"/>
      <c r="AS82" s="76"/>
      <c r="AT82" s="76"/>
      <c r="AU82" s="76"/>
      <c r="AV82" s="76"/>
    </row>
    <row r="83" spans="1:48" x14ac:dyDescent="0.3">
      <c r="A83" s="9" t="s">
        <v>628</v>
      </c>
      <c r="B83" s="10" t="s">
        <v>1914</v>
      </c>
      <c r="C83" s="87">
        <v>639</v>
      </c>
      <c r="D83" s="85">
        <v>111.6</v>
      </c>
      <c r="E83" s="86">
        <v>34</v>
      </c>
      <c r="F83" s="85">
        <v>84.8</v>
      </c>
      <c r="G83" s="17">
        <v>26</v>
      </c>
      <c r="H83" s="87">
        <v>639</v>
      </c>
      <c r="I83" s="88">
        <v>26000</v>
      </c>
      <c r="J83" s="88" t="s">
        <v>75</v>
      </c>
      <c r="K83" s="88">
        <v>22000</v>
      </c>
      <c r="L83" s="88" t="s">
        <v>80</v>
      </c>
      <c r="M83" s="89">
        <f>I83-K83</f>
        <v>4000</v>
      </c>
      <c r="N83" s="4">
        <f>IF(ISERROR(K83/I83),"",K83/I83)</f>
        <v>0.84615384615384615</v>
      </c>
      <c r="O83" s="90">
        <f>I83/E83</f>
        <v>764.70588235294122</v>
      </c>
      <c r="P83" s="90">
        <f>K83/E83</f>
        <v>647.05882352941171</v>
      </c>
      <c r="Q83" s="76">
        <v>3</v>
      </c>
      <c r="R83" s="76">
        <v>2</v>
      </c>
      <c r="S83" s="76" t="s">
        <v>61</v>
      </c>
      <c r="T83" s="5">
        <v>111</v>
      </c>
      <c r="U83" s="9"/>
      <c r="W83" s="85">
        <f>D83</f>
        <v>111.6</v>
      </c>
      <c r="X83" s="86">
        <f>E83</f>
        <v>34</v>
      </c>
      <c r="Y83" s="91">
        <f>H83</f>
        <v>639</v>
      </c>
      <c r="Z83" s="89">
        <f>I83</f>
        <v>26000</v>
      </c>
      <c r="AA83" s="89">
        <f>K83</f>
        <v>22000</v>
      </c>
      <c r="AB83" s="89">
        <f>M83</f>
        <v>4000</v>
      </c>
      <c r="AC83" s="4">
        <f>N83</f>
        <v>0.84615384615384615</v>
      </c>
      <c r="AD83" s="90">
        <f>O83</f>
        <v>764.70588235294122</v>
      </c>
      <c r="AE83" s="76" t="str">
        <f>S83</f>
        <v>계</v>
      </c>
      <c r="AF83" s="76" t="str">
        <f>Q83&amp;"/"&amp;R83</f>
        <v>3/2</v>
      </c>
      <c r="AH83" s="20" t="str">
        <f t="shared" si="58"/>
        <v>호반리젠시빌</v>
      </c>
      <c r="AI83" s="86">
        <f t="shared" si="57"/>
        <v>34</v>
      </c>
      <c r="AJ83" s="76" t="str">
        <f>IF(AI83="","",$AJ$2)</f>
        <v>A-</v>
      </c>
      <c r="AK83" s="76" t="s">
        <v>13</v>
      </c>
      <c r="AL83" s="76" t="s">
        <v>62</v>
      </c>
      <c r="AM83" s="76" t="s">
        <v>63</v>
      </c>
      <c r="AN83" s="76" t="str">
        <f>IF(AI83="","",$AN$2)</f>
        <v>C</v>
      </c>
      <c r="AO83" s="76" t="str">
        <f>IF(N83="","",IF(N83&gt;=$AO$1/100,"O","X"))</f>
        <v>O</v>
      </c>
      <c r="AP83" s="76" t="str">
        <f>IF(I83="","",IF(I83&lt;=$AP$1,"O","X"))</f>
        <v>O</v>
      </c>
      <c r="AQ83" s="76" t="str">
        <f>IF(O83="","",IF(O83&lt;=$AQ$1,"O","X"))</f>
        <v>O</v>
      </c>
      <c r="AR83" s="76" t="str">
        <f>IF(M83="","",IF(M83&lt;=$AR$1,"O","X"))</f>
        <v>O</v>
      </c>
      <c r="AS83" s="76" t="s">
        <v>2</v>
      </c>
      <c r="AT83" s="76" t="str">
        <f>IF(OR(F83="",AI83=""),"",IF(AND((F83&lt;=85),(AI83&gt;=15)),"O","X"))</f>
        <v>O</v>
      </c>
      <c r="AU83" s="76" t="str">
        <f>IF(C83="","",IF(C83&gt;=$AU$1,"O","X"))</f>
        <v>O</v>
      </c>
      <c r="AV83" s="76" t="str">
        <f>IF(AO83="","",IF(AND(AO83="O",AP83="O",AR83="O",AT83="O",AU83="O"),"후보","X"))</f>
        <v>후보</v>
      </c>
    </row>
    <row r="84" spans="1:48" x14ac:dyDescent="0.3">
      <c r="A84" s="9"/>
      <c r="B84" s="76"/>
      <c r="C84" s="6"/>
      <c r="D84" s="9"/>
      <c r="E84" s="14"/>
      <c r="F84" s="85"/>
      <c r="G84" s="9"/>
      <c r="H84" s="9"/>
      <c r="I84" s="9"/>
      <c r="J84" s="9"/>
      <c r="K84" s="9"/>
      <c r="L84" s="9"/>
      <c r="M84" s="9"/>
      <c r="N84" s="9"/>
      <c r="O84" s="90"/>
      <c r="P84" s="90"/>
      <c r="Q84" s="86"/>
      <c r="R84" s="86"/>
      <c r="S84" s="9"/>
      <c r="T84" s="47"/>
      <c r="U84" s="9"/>
      <c r="W84" s="67" t="str">
        <f>$A$4&amp;" "&amp;A85&amp;"("&amp;B85&amp;","&amp;C85&amp;"^)"</f>
        <v>평화동2가 삼성강남('93.10.,422^)</v>
      </c>
      <c r="X84" s="68"/>
      <c r="Y84" s="68"/>
      <c r="Z84" s="68"/>
      <c r="AA84" s="68"/>
      <c r="AB84" s="68"/>
      <c r="AC84" s="68"/>
      <c r="AD84" s="68"/>
      <c r="AE84" s="68"/>
      <c r="AF84" s="69"/>
      <c r="AH84" s="20" t="str">
        <f t="shared" si="58"/>
        <v/>
      </c>
      <c r="AI84" s="108" t="str">
        <f t="shared" si="57"/>
        <v/>
      </c>
      <c r="AJ84" s="76"/>
      <c r="AK84" s="76"/>
      <c r="AL84" s="76"/>
      <c r="AM84" s="76"/>
      <c r="AN84" s="76"/>
      <c r="AO84" s="76"/>
      <c r="AP84" s="76"/>
      <c r="AQ84" s="76"/>
      <c r="AR84" s="76"/>
      <c r="AS84" s="76"/>
      <c r="AT84" s="76"/>
      <c r="AU84" s="76"/>
      <c r="AV84" s="76"/>
    </row>
    <row r="85" spans="1:48" x14ac:dyDescent="0.3">
      <c r="A85" s="9" t="s">
        <v>1427</v>
      </c>
      <c r="B85" s="10" t="s">
        <v>1915</v>
      </c>
      <c r="C85" s="87">
        <v>422</v>
      </c>
      <c r="D85" s="85">
        <v>80</v>
      </c>
      <c r="E85" s="86">
        <v>24</v>
      </c>
      <c r="F85" s="85">
        <v>60</v>
      </c>
      <c r="G85" s="17">
        <v>18</v>
      </c>
      <c r="H85" s="87">
        <v>422</v>
      </c>
      <c r="I85" s="88">
        <v>9000</v>
      </c>
      <c r="J85" s="88" t="s">
        <v>72</v>
      </c>
      <c r="K85" s="88">
        <v>9000</v>
      </c>
      <c r="L85" s="88" t="s">
        <v>85</v>
      </c>
      <c r="M85" s="89">
        <f>I85-K85</f>
        <v>0</v>
      </c>
      <c r="N85" s="4">
        <f>IF(ISERROR(K85/I85),"",K85/I85)</f>
        <v>1</v>
      </c>
      <c r="O85" s="90">
        <f>I85/E85</f>
        <v>375</v>
      </c>
      <c r="P85" s="90">
        <f>K85/E85</f>
        <v>375</v>
      </c>
      <c r="Q85" s="76">
        <v>3</v>
      </c>
      <c r="R85" s="76">
        <v>1</v>
      </c>
      <c r="S85" s="76" t="s">
        <v>68</v>
      </c>
      <c r="T85" s="5">
        <v>79</v>
      </c>
      <c r="U85" s="9"/>
      <c r="W85" s="85">
        <f>D85</f>
        <v>80</v>
      </c>
      <c r="X85" s="86">
        <f>E85</f>
        <v>24</v>
      </c>
      <c r="Y85" s="91">
        <f>H85</f>
        <v>422</v>
      </c>
      <c r="Z85" s="89">
        <f>I85</f>
        <v>9000</v>
      </c>
      <c r="AA85" s="89">
        <f>K85</f>
        <v>9000</v>
      </c>
      <c r="AB85" s="89">
        <f>M85</f>
        <v>0</v>
      </c>
      <c r="AC85" s="4">
        <f>N85</f>
        <v>1</v>
      </c>
      <c r="AD85" s="90">
        <f>O85</f>
        <v>375</v>
      </c>
      <c r="AE85" s="76" t="str">
        <f>S85</f>
        <v>복</v>
      </c>
      <c r="AF85" s="76" t="str">
        <f>Q85&amp;"/"&amp;R85</f>
        <v>3/1</v>
      </c>
      <c r="AH85" s="20" t="str">
        <f t="shared" si="58"/>
        <v>삼성강남</v>
      </c>
      <c r="AI85" s="86">
        <f t="shared" si="57"/>
        <v>24</v>
      </c>
      <c r="AJ85" s="76" t="str">
        <f>IF(AI85="","",$AJ$2)</f>
        <v>A-</v>
      </c>
      <c r="AK85" s="76" t="s">
        <v>13</v>
      </c>
      <c r="AL85" s="76" t="s">
        <v>62</v>
      </c>
      <c r="AM85" s="76" t="s">
        <v>63</v>
      </c>
      <c r="AN85" s="76" t="str">
        <f>IF(AI85="","",$AN$2)</f>
        <v>C</v>
      </c>
      <c r="AO85" s="76" t="str">
        <f>IF(N85="","",IF(N85&gt;=$AO$1/100,"O","X"))</f>
        <v>O</v>
      </c>
      <c r="AP85" s="76" t="str">
        <f>IF(I85="","",IF(I85&lt;=$AP$1,"O","X"))</f>
        <v>O</v>
      </c>
      <c r="AQ85" s="76" t="str">
        <f>IF(O85="","",IF(O85&lt;=$AQ$1,"O","X"))</f>
        <v>O</v>
      </c>
      <c r="AR85" s="76" t="str">
        <f>IF(M85="","",IF(M85&lt;=$AR$1,"O","X"))</f>
        <v>O</v>
      </c>
      <c r="AS85" s="76" t="s">
        <v>2</v>
      </c>
      <c r="AT85" s="76" t="str">
        <f>IF(OR(F85="",AI85=""),"",IF(AND((F85&lt;=85),(AI85&gt;=15)),"O","X"))</f>
        <v>O</v>
      </c>
      <c r="AU85" s="76" t="str">
        <f>IF(C85="","",IF(C85&gt;=$AU$1,"O","X"))</f>
        <v>O</v>
      </c>
      <c r="AV85" s="76" t="str">
        <f>IF(AO85="","",IF(AND(AO85="O",AP85="O",AR85="O",AT85="O",AU85="O"),"후보","X"))</f>
        <v>후보</v>
      </c>
    </row>
  </sheetData>
  <mergeCells count="1">
    <mergeCell ref="AJ1:AN1"/>
  </mergeCells>
  <phoneticPr fontId="2" type="noConversion"/>
  <conditionalFormatting sqref="AV4:AV6">
    <cfRule type="expression" dxfId="15331" priority="1255">
      <formula>AV4="X"</formula>
    </cfRule>
    <cfRule type="expression" dxfId="15330" priority="1256">
      <formula>AV4="후보"</formula>
    </cfRule>
  </conditionalFormatting>
  <conditionalFormatting sqref="AC1:AC2 AC4:AC6 N4:N5">
    <cfRule type="cellIs" dxfId="15329" priority="1252" operator="greaterThan">
      <formula>0.9</formula>
    </cfRule>
    <cfRule type="cellIs" dxfId="15328" priority="1253" operator="greaterThan">
      <formula>0.85</formula>
    </cfRule>
  </conditionalFormatting>
  <conditionalFormatting sqref="N1:N2">
    <cfRule type="cellIs" dxfId="15327" priority="1250" operator="greaterThan">
      <formula>0.9</formula>
    </cfRule>
    <cfRule type="cellIs" dxfId="15326" priority="1251" operator="greaterThan">
      <formula>0.85</formula>
    </cfRule>
  </conditionalFormatting>
  <conditionalFormatting sqref="N6">
    <cfRule type="cellIs" dxfId="15325" priority="1248" operator="greaterThan">
      <formula>0.9</formula>
    </cfRule>
    <cfRule type="cellIs" dxfId="15324" priority="1249" operator="greaterThan">
      <formula>0.85</formula>
    </cfRule>
  </conditionalFormatting>
  <conditionalFormatting sqref="E6">
    <cfRule type="expression" dxfId="15323" priority="1244">
      <formula>AND(IF(OR($Q6=1,$Q6=2),1,0),IF($X6&lt;=20,1,0))</formula>
    </cfRule>
    <cfRule type="expression" dxfId="15322" priority="1245">
      <formula>AND(IF($Q6=2,1,0),IF($X6&lt;30,1,0))</formula>
    </cfRule>
    <cfRule type="expression" dxfId="15321" priority="1246">
      <formula>AND(IF($Q6=3,1,0),IF($X6&lt;30,1,0))</formula>
    </cfRule>
    <cfRule type="expression" dxfId="15320" priority="1247">
      <formula>AND(IF($Q6=3,1,IF($Q6=4,1,0)),IF($F6&lt;=85,1,0))</formula>
    </cfRule>
  </conditionalFormatting>
  <conditionalFormatting sqref="X6">
    <cfRule type="expression" dxfId="15319" priority="1240">
      <formula>AND(IF(OR($Q6=1,$Q6=2),1,0),IF($X6&lt;=20,1,0))</formula>
    </cfRule>
    <cfRule type="expression" dxfId="15318" priority="1241">
      <formula>AND(IF($Q6=2,1,0),IF($X6&lt;30,1,0))</formula>
    </cfRule>
    <cfRule type="expression" dxfId="15317" priority="1242">
      <formula>AND(IF($Q6=3,1,0),IF($X6&lt;30,1,0))</formula>
    </cfRule>
    <cfRule type="expression" dxfId="15316" priority="1243">
      <formula>AND(IF($Q6=3,1,IF($Q6=4,1,0)),IF($F6&lt;=85,1,0))</formula>
    </cfRule>
  </conditionalFormatting>
  <conditionalFormatting sqref="AI6">
    <cfRule type="expression" dxfId="15315" priority="1236">
      <formula>AND(IF(OR($Q6=1,$Q6=2),1,0),IF($X6&lt;=20,1,0))</formula>
    </cfRule>
    <cfRule type="expression" dxfId="15314" priority="1237">
      <formula>AND(IF($Q6=2,1,0),IF($X6&lt;30,1,0))</formula>
    </cfRule>
    <cfRule type="expression" dxfId="15313" priority="1238">
      <formula>AND(IF($Q6=3,1,0),IF($X6&lt;30,1,0))</formula>
    </cfRule>
    <cfRule type="expression" dxfId="15312" priority="1239">
      <formula>AND(IF($Q6=3,1,IF($Q6=4,1,0)),IF($F6&lt;=85,1,0))</formula>
    </cfRule>
  </conditionalFormatting>
  <conditionalFormatting sqref="AV7">
    <cfRule type="expression" dxfId="15311" priority="1234">
      <formula>AV7="X"</formula>
    </cfRule>
    <cfRule type="expression" dxfId="15310" priority="1235">
      <formula>AV7="후보"</formula>
    </cfRule>
  </conditionalFormatting>
  <conditionalFormatting sqref="AC7">
    <cfRule type="cellIs" dxfId="15309" priority="1231" operator="greaterThan">
      <formula>0.9</formula>
    </cfRule>
    <cfRule type="cellIs" dxfId="15308" priority="1232" operator="greaterThan">
      <formula>0.85</formula>
    </cfRule>
  </conditionalFormatting>
  <conditionalFormatting sqref="N7">
    <cfRule type="cellIs" dxfId="15307" priority="1229" operator="greaterThan">
      <formula>0.9</formula>
    </cfRule>
    <cfRule type="cellIs" dxfId="15306" priority="1230" operator="greaterThan">
      <formula>0.85</formula>
    </cfRule>
  </conditionalFormatting>
  <conditionalFormatting sqref="E7">
    <cfRule type="expression" dxfId="15305" priority="1225">
      <formula>AND(IF(OR($Q7=1,$Q7=2),1,0),IF($X7&lt;=20,1,0))</formula>
    </cfRule>
    <cfRule type="expression" dxfId="15304" priority="1226">
      <formula>AND(IF($Q7=2,1,0),IF($X7&lt;30,1,0))</formula>
    </cfRule>
    <cfRule type="expression" dxfId="15303" priority="1227">
      <formula>AND(IF($Q7=3,1,0),IF($X7&lt;30,1,0))</formula>
    </cfRule>
    <cfRule type="expression" dxfId="15302" priority="1228">
      <formula>AND(IF($Q7=3,1,IF($Q7=4,1,0)),IF($F7&lt;=85,1,0))</formula>
    </cfRule>
  </conditionalFormatting>
  <conditionalFormatting sqref="X7">
    <cfRule type="expression" dxfId="15301" priority="1221">
      <formula>AND(IF(OR($Q7=1,$Q7=2),1,0),IF($X7&lt;=20,1,0))</formula>
    </cfRule>
    <cfRule type="expression" dxfId="15300" priority="1222">
      <formula>AND(IF($Q7=2,1,0),IF($X7&lt;30,1,0))</formula>
    </cfRule>
    <cfRule type="expression" dxfId="15299" priority="1223">
      <formula>AND(IF($Q7=3,1,0),IF($X7&lt;30,1,0))</formula>
    </cfRule>
    <cfRule type="expression" dxfId="15298" priority="1224">
      <formula>AND(IF($Q7=3,1,IF($Q7=4,1,0)),IF($F7&lt;=85,1,0))</formula>
    </cfRule>
  </conditionalFormatting>
  <conditionalFormatting sqref="AI7">
    <cfRule type="expression" dxfId="15297" priority="1217">
      <formula>AND(IF(OR($Q7=1,$Q7=2),1,0),IF($X7&lt;=20,1,0))</formula>
    </cfRule>
    <cfRule type="expression" dxfId="15296" priority="1218">
      <formula>AND(IF($Q7=2,1,0),IF($X7&lt;30,1,0))</formula>
    </cfRule>
    <cfRule type="expression" dxfId="15295" priority="1219">
      <formula>AND(IF($Q7=3,1,0),IF($X7&lt;30,1,0))</formula>
    </cfRule>
    <cfRule type="expression" dxfId="15294" priority="1220">
      <formula>AND(IF($Q7=3,1,IF($Q7=4,1,0)),IF($F7&lt;=85,1,0))</formula>
    </cfRule>
  </conditionalFormatting>
  <conditionalFormatting sqref="AV8">
    <cfRule type="expression" dxfId="15293" priority="1215">
      <formula>AV8="X"</formula>
    </cfRule>
    <cfRule type="expression" dxfId="15292" priority="1216">
      <formula>AV8="후보"</formula>
    </cfRule>
  </conditionalFormatting>
  <conditionalFormatting sqref="AC8">
    <cfRule type="cellIs" dxfId="15291" priority="1212" operator="greaterThan">
      <formula>0.9</formula>
    </cfRule>
    <cfRule type="cellIs" dxfId="15290" priority="1213" operator="greaterThan">
      <formula>0.85</formula>
    </cfRule>
  </conditionalFormatting>
  <conditionalFormatting sqref="N8">
    <cfRule type="cellIs" dxfId="15289" priority="1210" operator="greaterThan">
      <formula>0.9</formula>
    </cfRule>
    <cfRule type="cellIs" dxfId="15288" priority="1211" operator="greaterThan">
      <formula>0.85</formula>
    </cfRule>
  </conditionalFormatting>
  <conditionalFormatting sqref="E8">
    <cfRule type="expression" dxfId="15287" priority="1206">
      <formula>AND(IF(OR($Q8=1,$Q8=2),1,0),IF($X8&lt;=20,1,0))</formula>
    </cfRule>
    <cfRule type="expression" dxfId="15286" priority="1207">
      <formula>AND(IF($Q8=2,1,0),IF($X8&lt;30,1,0))</formula>
    </cfRule>
    <cfRule type="expression" dxfId="15285" priority="1208">
      <formula>AND(IF($Q8=3,1,0),IF($X8&lt;30,1,0))</formula>
    </cfRule>
    <cfRule type="expression" dxfId="15284" priority="1209">
      <formula>AND(IF($Q8=3,1,IF($Q8=4,1,0)),IF($F8&lt;=85,1,0))</formula>
    </cfRule>
  </conditionalFormatting>
  <conditionalFormatting sqref="X8">
    <cfRule type="expression" dxfId="15283" priority="1202">
      <formula>AND(IF(OR($Q8=1,$Q8=2),1,0),IF($X8&lt;=20,1,0))</formula>
    </cfRule>
    <cfRule type="expression" dxfId="15282" priority="1203">
      <formula>AND(IF($Q8=2,1,0),IF($X8&lt;30,1,0))</formula>
    </cfRule>
    <cfRule type="expression" dxfId="15281" priority="1204">
      <formula>AND(IF($Q8=3,1,0),IF($X8&lt;30,1,0))</formula>
    </cfRule>
    <cfRule type="expression" dxfId="15280" priority="1205">
      <formula>AND(IF($Q8=3,1,IF($Q8=4,1,0)),IF($F8&lt;=85,1,0))</formula>
    </cfRule>
  </conditionalFormatting>
  <conditionalFormatting sqref="AI8">
    <cfRule type="expression" dxfId="15279" priority="1198">
      <formula>AND(IF(OR($Q8=1,$Q8=2),1,0),IF($X8&lt;=20,1,0))</formula>
    </cfRule>
    <cfRule type="expression" dxfId="15278" priority="1199">
      <formula>AND(IF($Q8=2,1,0),IF($X8&lt;30,1,0))</formula>
    </cfRule>
    <cfRule type="expression" dxfId="15277" priority="1200">
      <formula>AND(IF($Q8=3,1,0),IF($X8&lt;30,1,0))</formula>
    </cfRule>
    <cfRule type="expression" dxfId="15276" priority="1201">
      <formula>AND(IF($Q8=3,1,IF($Q8=4,1,0)),IF($F8&lt;=85,1,0))</formula>
    </cfRule>
  </conditionalFormatting>
  <conditionalFormatting sqref="AV9">
    <cfRule type="expression" dxfId="15275" priority="1196">
      <formula>AV9="X"</formula>
    </cfRule>
    <cfRule type="expression" dxfId="15274" priority="1197">
      <formula>AV9="후보"</formula>
    </cfRule>
  </conditionalFormatting>
  <conditionalFormatting sqref="AC9 N9">
    <cfRule type="cellIs" dxfId="15273" priority="1193" operator="greaterThan">
      <formula>0.9</formula>
    </cfRule>
    <cfRule type="cellIs" dxfId="15272" priority="1194" operator="greaterThan">
      <formula>0.85</formula>
    </cfRule>
  </conditionalFormatting>
  <conditionalFormatting sqref="AV10">
    <cfRule type="expression" dxfId="15271" priority="1191">
      <formula>AV10="X"</formula>
    </cfRule>
    <cfRule type="expression" dxfId="15270" priority="1192">
      <formula>AV10="후보"</formula>
    </cfRule>
  </conditionalFormatting>
  <conditionalFormatting sqref="AC10">
    <cfRule type="cellIs" dxfId="15269" priority="1188" operator="greaterThan">
      <formula>0.9</formula>
    </cfRule>
    <cfRule type="cellIs" dxfId="15268" priority="1189" operator="greaterThan">
      <formula>0.85</formula>
    </cfRule>
  </conditionalFormatting>
  <conditionalFormatting sqref="N10">
    <cfRule type="cellIs" dxfId="15267" priority="1186" operator="greaterThan">
      <formula>0.9</formula>
    </cfRule>
    <cfRule type="cellIs" dxfId="15266" priority="1187" operator="greaterThan">
      <formula>0.85</formula>
    </cfRule>
  </conditionalFormatting>
  <conditionalFormatting sqref="E10">
    <cfRule type="expression" dxfId="15265" priority="1182">
      <formula>AND(IF(OR($Q10=1,$Q10=2),1,0),IF($X10&lt;=20,1,0))</formula>
    </cfRule>
    <cfRule type="expression" dxfId="15264" priority="1183">
      <formula>AND(IF($Q10=2,1,0),IF($X10&lt;30,1,0))</formula>
    </cfRule>
    <cfRule type="expression" dxfId="15263" priority="1184">
      <formula>AND(IF($Q10=3,1,0),IF($X10&lt;30,1,0))</formula>
    </cfRule>
    <cfRule type="expression" dxfId="15262" priority="1185">
      <formula>AND(IF($Q10=3,1,IF($Q10=4,1,0)),IF($F10&lt;=85,1,0))</formula>
    </cfRule>
  </conditionalFormatting>
  <conditionalFormatting sqref="X10">
    <cfRule type="expression" dxfId="15261" priority="1178">
      <formula>AND(IF(OR($Q10=1,$Q10=2),1,0),IF($X10&lt;=20,1,0))</formula>
    </cfRule>
    <cfRule type="expression" dxfId="15260" priority="1179">
      <formula>AND(IF($Q10=2,1,0),IF($X10&lt;30,1,0))</formula>
    </cfRule>
    <cfRule type="expression" dxfId="15259" priority="1180">
      <formula>AND(IF($Q10=3,1,0),IF($X10&lt;30,1,0))</formula>
    </cfRule>
    <cfRule type="expression" dxfId="15258" priority="1181">
      <formula>AND(IF($Q10=3,1,IF($Q10=4,1,0)),IF($F10&lt;=85,1,0))</formula>
    </cfRule>
  </conditionalFormatting>
  <conditionalFormatting sqref="AI10">
    <cfRule type="expression" dxfId="15257" priority="1174">
      <formula>AND(IF(OR($Q10=1,$Q10=2),1,0),IF($X10&lt;=20,1,0))</formula>
    </cfRule>
    <cfRule type="expression" dxfId="15256" priority="1175">
      <formula>AND(IF($Q10=2,1,0),IF($X10&lt;30,1,0))</formula>
    </cfRule>
    <cfRule type="expression" dxfId="15255" priority="1176">
      <formula>AND(IF($Q10=3,1,0),IF($X10&lt;30,1,0))</formula>
    </cfRule>
    <cfRule type="expression" dxfId="15254" priority="1177">
      <formula>AND(IF($Q10=3,1,IF($Q10=4,1,0)),IF($F10&lt;=85,1,0))</formula>
    </cfRule>
  </conditionalFormatting>
  <conditionalFormatting sqref="AV11">
    <cfRule type="expression" dxfId="15253" priority="1172">
      <formula>AV11="X"</formula>
    </cfRule>
    <cfRule type="expression" dxfId="15252" priority="1173">
      <formula>AV11="후보"</formula>
    </cfRule>
  </conditionalFormatting>
  <conditionalFormatting sqref="AC11">
    <cfRule type="cellIs" dxfId="15251" priority="1169" operator="greaterThan">
      <formula>0.9</formula>
    </cfRule>
    <cfRule type="cellIs" dxfId="15250" priority="1170" operator="greaterThan">
      <formula>0.85</formula>
    </cfRule>
  </conditionalFormatting>
  <conditionalFormatting sqref="N11">
    <cfRule type="cellIs" dxfId="15249" priority="1167" operator="greaterThan">
      <formula>0.9</formula>
    </cfRule>
    <cfRule type="cellIs" dxfId="15248" priority="1168" operator="greaterThan">
      <formula>0.85</formula>
    </cfRule>
  </conditionalFormatting>
  <conditionalFormatting sqref="E11">
    <cfRule type="expression" dxfId="15247" priority="1163">
      <formula>AND(IF(OR($Q11=1,$Q11=2),1,0),IF($X11&lt;=20,1,0))</formula>
    </cfRule>
    <cfRule type="expression" dxfId="15246" priority="1164">
      <formula>AND(IF($Q11=2,1,0),IF($X11&lt;30,1,0))</formula>
    </cfRule>
    <cfRule type="expression" dxfId="15245" priority="1165">
      <formula>AND(IF($Q11=3,1,0),IF($X11&lt;30,1,0))</formula>
    </cfRule>
    <cfRule type="expression" dxfId="15244" priority="1166">
      <formula>AND(IF($Q11=3,1,IF($Q11=4,1,0)),IF($F11&lt;=85,1,0))</formula>
    </cfRule>
  </conditionalFormatting>
  <conditionalFormatting sqref="X11">
    <cfRule type="expression" dxfId="15243" priority="1159">
      <formula>AND(IF(OR($Q11=1,$Q11=2),1,0),IF($X11&lt;=20,1,0))</formula>
    </cfRule>
    <cfRule type="expression" dxfId="15242" priority="1160">
      <formula>AND(IF($Q11=2,1,0),IF($X11&lt;30,1,0))</formula>
    </cfRule>
    <cfRule type="expression" dxfId="15241" priority="1161">
      <formula>AND(IF($Q11=3,1,0),IF($X11&lt;30,1,0))</formula>
    </cfRule>
    <cfRule type="expression" dxfId="15240" priority="1162">
      <formula>AND(IF($Q11=3,1,IF($Q11=4,1,0)),IF($F11&lt;=85,1,0))</formula>
    </cfRule>
  </conditionalFormatting>
  <conditionalFormatting sqref="AI11">
    <cfRule type="expression" dxfId="15239" priority="1155">
      <formula>AND(IF(OR($Q11=1,$Q11=2),1,0),IF($X11&lt;=20,1,0))</formula>
    </cfRule>
    <cfRule type="expression" dxfId="15238" priority="1156">
      <formula>AND(IF($Q11=2,1,0),IF($X11&lt;30,1,0))</formula>
    </cfRule>
    <cfRule type="expression" dxfId="15237" priority="1157">
      <formula>AND(IF($Q11=3,1,0),IF($X11&lt;30,1,0))</formula>
    </cfRule>
    <cfRule type="expression" dxfId="15236" priority="1158">
      <formula>AND(IF($Q11=3,1,IF($Q11=4,1,0)),IF($F11&lt;=85,1,0))</formula>
    </cfRule>
  </conditionalFormatting>
  <conditionalFormatting sqref="AV12">
    <cfRule type="expression" dxfId="15235" priority="1153">
      <formula>AV12="X"</formula>
    </cfRule>
    <cfRule type="expression" dxfId="15234" priority="1154">
      <formula>AV12="후보"</formula>
    </cfRule>
  </conditionalFormatting>
  <conditionalFormatting sqref="AC12">
    <cfRule type="cellIs" dxfId="15233" priority="1150" operator="greaterThan">
      <formula>0.9</formula>
    </cfRule>
    <cfRule type="cellIs" dxfId="15232" priority="1151" operator="greaterThan">
      <formula>0.85</formula>
    </cfRule>
  </conditionalFormatting>
  <conditionalFormatting sqref="N12">
    <cfRule type="cellIs" dxfId="15231" priority="1148" operator="greaterThan">
      <formula>0.9</formula>
    </cfRule>
    <cfRule type="cellIs" dxfId="15230" priority="1149" operator="greaterThan">
      <formula>0.85</formula>
    </cfRule>
  </conditionalFormatting>
  <conditionalFormatting sqref="E12">
    <cfRule type="expression" dxfId="15229" priority="1144">
      <formula>AND(IF(OR($Q12=1,$Q12=2),1,0),IF($X12&lt;=20,1,0))</formula>
    </cfRule>
    <cfRule type="expression" dxfId="15228" priority="1145">
      <formula>AND(IF($Q12=2,1,0),IF($X12&lt;30,1,0))</formula>
    </cfRule>
    <cfRule type="expression" dxfId="15227" priority="1146">
      <formula>AND(IF($Q12=3,1,0),IF($X12&lt;30,1,0))</formula>
    </cfRule>
    <cfRule type="expression" dxfId="15226" priority="1147">
      <formula>AND(IF($Q12=3,1,IF($Q12=4,1,0)),IF($F12&lt;=85,1,0))</formula>
    </cfRule>
  </conditionalFormatting>
  <conditionalFormatting sqref="X12">
    <cfRule type="expression" dxfId="15225" priority="1140">
      <formula>AND(IF(OR($Q12=1,$Q12=2),1,0),IF($X12&lt;=20,1,0))</formula>
    </cfRule>
    <cfRule type="expression" dxfId="15224" priority="1141">
      <formula>AND(IF($Q12=2,1,0),IF($X12&lt;30,1,0))</formula>
    </cfRule>
    <cfRule type="expression" dxfId="15223" priority="1142">
      <formula>AND(IF($Q12=3,1,0),IF($X12&lt;30,1,0))</formula>
    </cfRule>
    <cfRule type="expression" dxfId="15222" priority="1143">
      <formula>AND(IF($Q12=3,1,IF($Q12=4,1,0)),IF($F12&lt;=85,1,0))</formula>
    </cfRule>
  </conditionalFormatting>
  <conditionalFormatting sqref="AI12">
    <cfRule type="expression" dxfId="15221" priority="1136">
      <formula>AND(IF(OR($Q12=1,$Q12=2),1,0),IF($X12&lt;=20,1,0))</formula>
    </cfRule>
    <cfRule type="expression" dxfId="15220" priority="1137">
      <formula>AND(IF($Q12=2,1,0),IF($X12&lt;30,1,0))</formula>
    </cfRule>
    <cfRule type="expression" dxfId="15219" priority="1138">
      <formula>AND(IF($Q12=3,1,0),IF($X12&lt;30,1,0))</formula>
    </cfRule>
    <cfRule type="expression" dxfId="15218" priority="1139">
      <formula>AND(IF($Q12=3,1,IF($Q12=4,1,0)),IF($F12&lt;=85,1,0))</formula>
    </cfRule>
  </conditionalFormatting>
  <conditionalFormatting sqref="AV13">
    <cfRule type="expression" dxfId="15217" priority="1134">
      <formula>AV13="X"</formula>
    </cfRule>
    <cfRule type="expression" dxfId="15216" priority="1135">
      <formula>AV13="후보"</formula>
    </cfRule>
  </conditionalFormatting>
  <conditionalFormatting sqref="AC13">
    <cfRule type="cellIs" dxfId="15215" priority="1131" operator="greaterThan">
      <formula>0.9</formula>
    </cfRule>
    <cfRule type="cellIs" dxfId="15214" priority="1132" operator="greaterThan">
      <formula>0.85</formula>
    </cfRule>
  </conditionalFormatting>
  <conditionalFormatting sqref="N13">
    <cfRule type="cellIs" dxfId="15213" priority="1129" operator="greaterThan">
      <formula>0.9</formula>
    </cfRule>
    <cfRule type="cellIs" dxfId="15212" priority="1130" operator="greaterThan">
      <formula>0.85</formula>
    </cfRule>
  </conditionalFormatting>
  <conditionalFormatting sqref="E13">
    <cfRule type="expression" dxfId="15211" priority="1125">
      <formula>AND(IF(OR($Q13=1,$Q13=2),1,0),IF($X13&lt;=20,1,0))</formula>
    </cfRule>
    <cfRule type="expression" dxfId="15210" priority="1126">
      <formula>AND(IF($Q13=2,1,0),IF($X13&lt;30,1,0))</formula>
    </cfRule>
    <cfRule type="expression" dxfId="15209" priority="1127">
      <formula>AND(IF($Q13=3,1,0),IF($X13&lt;30,1,0))</formula>
    </cfRule>
    <cfRule type="expression" dxfId="15208" priority="1128">
      <formula>AND(IF($Q13=3,1,IF($Q13=4,1,0)),IF($F13&lt;=85,1,0))</formula>
    </cfRule>
  </conditionalFormatting>
  <conditionalFormatting sqref="X13">
    <cfRule type="expression" dxfId="15207" priority="1121">
      <formula>AND(IF(OR($Q13=1,$Q13=2),1,0),IF($X13&lt;=20,1,0))</formula>
    </cfRule>
    <cfRule type="expression" dxfId="15206" priority="1122">
      <formula>AND(IF($Q13=2,1,0),IF($X13&lt;30,1,0))</formula>
    </cfRule>
    <cfRule type="expression" dxfId="15205" priority="1123">
      <formula>AND(IF($Q13=3,1,0),IF($X13&lt;30,1,0))</formula>
    </cfRule>
    <cfRule type="expression" dxfId="15204" priority="1124">
      <formula>AND(IF($Q13=3,1,IF($Q13=4,1,0)),IF($F13&lt;=85,1,0))</formula>
    </cfRule>
  </conditionalFormatting>
  <conditionalFormatting sqref="AI13">
    <cfRule type="expression" dxfId="15203" priority="1117">
      <formula>AND(IF(OR($Q13=1,$Q13=2),1,0),IF($X13&lt;=20,1,0))</formula>
    </cfRule>
    <cfRule type="expression" dxfId="15202" priority="1118">
      <formula>AND(IF($Q13=2,1,0),IF($X13&lt;30,1,0))</formula>
    </cfRule>
    <cfRule type="expression" dxfId="15201" priority="1119">
      <formula>AND(IF($Q13=3,1,0),IF($X13&lt;30,1,0))</formula>
    </cfRule>
    <cfRule type="expression" dxfId="15200" priority="1120">
      <formula>AND(IF($Q13=3,1,IF($Q13=4,1,0)),IF($F13&lt;=85,1,0))</formula>
    </cfRule>
  </conditionalFormatting>
  <conditionalFormatting sqref="AV14">
    <cfRule type="expression" dxfId="15199" priority="1115">
      <formula>AV14="X"</formula>
    </cfRule>
    <cfRule type="expression" dxfId="15198" priority="1116">
      <formula>AV14="후보"</formula>
    </cfRule>
  </conditionalFormatting>
  <conditionalFormatting sqref="AC14 N14">
    <cfRule type="cellIs" dxfId="15197" priority="1112" operator="greaterThan">
      <formula>0.9</formula>
    </cfRule>
    <cfRule type="cellIs" dxfId="15196" priority="1113" operator="greaterThan">
      <formula>0.85</formula>
    </cfRule>
  </conditionalFormatting>
  <conditionalFormatting sqref="AV15">
    <cfRule type="expression" dxfId="15195" priority="1110">
      <formula>AV15="X"</formula>
    </cfRule>
    <cfRule type="expression" dxfId="15194" priority="1111">
      <formula>AV15="후보"</formula>
    </cfRule>
  </conditionalFormatting>
  <conditionalFormatting sqref="AC15">
    <cfRule type="cellIs" dxfId="15193" priority="1107" operator="greaterThan">
      <formula>0.9</formula>
    </cfRule>
    <cfRule type="cellIs" dxfId="15192" priority="1108" operator="greaterThan">
      <formula>0.85</formula>
    </cfRule>
  </conditionalFormatting>
  <conditionalFormatting sqref="N15">
    <cfRule type="cellIs" dxfId="15191" priority="1105" operator="greaterThan">
      <formula>0.9</formula>
    </cfRule>
    <cfRule type="cellIs" dxfId="15190" priority="1106" operator="greaterThan">
      <formula>0.85</formula>
    </cfRule>
  </conditionalFormatting>
  <conditionalFormatting sqref="E15">
    <cfRule type="expression" dxfId="15189" priority="1101">
      <formula>AND(IF(OR($Q15=1,$Q15=2),1,0),IF($X15&lt;=20,1,0))</formula>
    </cfRule>
    <cfRule type="expression" dxfId="15188" priority="1102">
      <formula>AND(IF($Q15=2,1,0),IF($X15&lt;30,1,0))</formula>
    </cfRule>
    <cfRule type="expression" dxfId="15187" priority="1103">
      <formula>AND(IF($Q15=3,1,0),IF($X15&lt;30,1,0))</formula>
    </cfRule>
    <cfRule type="expression" dxfId="15186" priority="1104">
      <formula>AND(IF($Q15=3,1,IF($Q15=4,1,0)),IF($F15&lt;=85,1,0))</formula>
    </cfRule>
  </conditionalFormatting>
  <conditionalFormatting sqref="X15">
    <cfRule type="expression" dxfId="15185" priority="1097">
      <formula>AND(IF(OR($Q15=1,$Q15=2),1,0),IF($X15&lt;=20,1,0))</formula>
    </cfRule>
    <cfRule type="expression" dxfId="15184" priority="1098">
      <formula>AND(IF($Q15=2,1,0),IF($X15&lt;30,1,0))</formula>
    </cfRule>
    <cfRule type="expression" dxfId="15183" priority="1099">
      <formula>AND(IF($Q15=3,1,0),IF($X15&lt;30,1,0))</formula>
    </cfRule>
    <cfRule type="expression" dxfId="15182" priority="1100">
      <formula>AND(IF($Q15=3,1,IF($Q15=4,1,0)),IF($F15&lt;=85,1,0))</formula>
    </cfRule>
  </conditionalFormatting>
  <conditionalFormatting sqref="AI15">
    <cfRule type="expression" dxfId="15181" priority="1093">
      <formula>AND(IF(OR($Q15=1,$Q15=2),1,0),IF($X15&lt;=20,1,0))</formula>
    </cfRule>
    <cfRule type="expression" dxfId="15180" priority="1094">
      <formula>AND(IF($Q15=2,1,0),IF($X15&lt;30,1,0))</formula>
    </cfRule>
    <cfRule type="expression" dxfId="15179" priority="1095">
      <formula>AND(IF($Q15=3,1,0),IF($X15&lt;30,1,0))</formula>
    </cfRule>
    <cfRule type="expression" dxfId="15178" priority="1096">
      <formula>AND(IF($Q15=3,1,IF($Q15=4,1,0)),IF($F15&lt;=85,1,0))</formula>
    </cfRule>
  </conditionalFormatting>
  <conditionalFormatting sqref="AV16">
    <cfRule type="expression" dxfId="15177" priority="1091">
      <formula>AV16="X"</formula>
    </cfRule>
    <cfRule type="expression" dxfId="15176" priority="1092">
      <formula>AV16="후보"</formula>
    </cfRule>
  </conditionalFormatting>
  <conditionalFormatting sqref="AC16">
    <cfRule type="cellIs" dxfId="15175" priority="1088" operator="greaterThan">
      <formula>0.9</formula>
    </cfRule>
    <cfRule type="cellIs" dxfId="15174" priority="1089" operator="greaterThan">
      <formula>0.85</formula>
    </cfRule>
  </conditionalFormatting>
  <conditionalFormatting sqref="N16">
    <cfRule type="cellIs" dxfId="15173" priority="1086" operator="greaterThan">
      <formula>0.9</formula>
    </cfRule>
    <cfRule type="cellIs" dxfId="15172" priority="1087" operator="greaterThan">
      <formula>0.85</formula>
    </cfRule>
  </conditionalFormatting>
  <conditionalFormatting sqref="E16">
    <cfRule type="expression" dxfId="15171" priority="1082">
      <formula>AND(IF(OR($Q16=1,$Q16=2),1,0),IF($X16&lt;=20,1,0))</formula>
    </cfRule>
    <cfRule type="expression" dxfId="15170" priority="1083">
      <formula>AND(IF($Q16=2,1,0),IF($X16&lt;30,1,0))</formula>
    </cfRule>
    <cfRule type="expression" dxfId="15169" priority="1084">
      <formula>AND(IF($Q16=3,1,0),IF($X16&lt;30,1,0))</formula>
    </cfRule>
    <cfRule type="expression" dxfId="15168" priority="1085">
      <formula>AND(IF($Q16=3,1,IF($Q16=4,1,0)),IF($F16&lt;=85,1,0))</formula>
    </cfRule>
  </conditionalFormatting>
  <conditionalFormatting sqref="X16">
    <cfRule type="expression" dxfId="15167" priority="1078">
      <formula>AND(IF(OR($Q16=1,$Q16=2),1,0),IF($X16&lt;=20,1,0))</formula>
    </cfRule>
    <cfRule type="expression" dxfId="15166" priority="1079">
      <formula>AND(IF($Q16=2,1,0),IF($X16&lt;30,1,0))</formula>
    </cfRule>
    <cfRule type="expression" dxfId="15165" priority="1080">
      <formula>AND(IF($Q16=3,1,0),IF($X16&lt;30,1,0))</formula>
    </cfRule>
    <cfRule type="expression" dxfId="15164" priority="1081">
      <formula>AND(IF($Q16=3,1,IF($Q16=4,1,0)),IF($F16&lt;=85,1,0))</formula>
    </cfRule>
  </conditionalFormatting>
  <conditionalFormatting sqref="AI16">
    <cfRule type="expression" dxfId="15163" priority="1074">
      <formula>AND(IF(OR($Q16=1,$Q16=2),1,0),IF($X16&lt;=20,1,0))</formula>
    </cfRule>
    <cfRule type="expression" dxfId="15162" priority="1075">
      <formula>AND(IF($Q16=2,1,0),IF($X16&lt;30,1,0))</formula>
    </cfRule>
    <cfRule type="expression" dxfId="15161" priority="1076">
      <formula>AND(IF($Q16=3,1,0),IF($X16&lt;30,1,0))</formula>
    </cfRule>
    <cfRule type="expression" dxfId="15160" priority="1077">
      <formula>AND(IF($Q16=3,1,IF($Q16=4,1,0)),IF($F16&lt;=85,1,0))</formula>
    </cfRule>
  </conditionalFormatting>
  <conditionalFormatting sqref="AV17">
    <cfRule type="expression" dxfId="15159" priority="1072">
      <formula>AV17="X"</formula>
    </cfRule>
    <cfRule type="expression" dxfId="15158" priority="1073">
      <formula>AV17="후보"</formula>
    </cfRule>
  </conditionalFormatting>
  <conditionalFormatting sqref="AC17 N17">
    <cfRule type="cellIs" dxfId="15157" priority="1069" operator="greaterThan">
      <formula>0.9</formula>
    </cfRule>
    <cfRule type="cellIs" dxfId="15156" priority="1070" operator="greaterThan">
      <formula>0.85</formula>
    </cfRule>
  </conditionalFormatting>
  <conditionalFormatting sqref="AV18">
    <cfRule type="expression" dxfId="15155" priority="1067">
      <formula>AV18="X"</formula>
    </cfRule>
    <cfRule type="expression" dxfId="15154" priority="1068">
      <formula>AV18="후보"</formula>
    </cfRule>
  </conditionalFormatting>
  <conditionalFormatting sqref="AC18">
    <cfRule type="cellIs" dxfId="15153" priority="1064" operator="greaterThan">
      <formula>0.9</formula>
    </cfRule>
    <cfRule type="cellIs" dxfId="15152" priority="1065" operator="greaterThan">
      <formula>0.85</formula>
    </cfRule>
  </conditionalFormatting>
  <conditionalFormatting sqref="N18">
    <cfRule type="cellIs" dxfId="15151" priority="1062" operator="greaterThan">
      <formula>0.9</formula>
    </cfRule>
    <cfRule type="cellIs" dxfId="15150" priority="1063" operator="greaterThan">
      <formula>0.85</formula>
    </cfRule>
  </conditionalFormatting>
  <conditionalFormatting sqref="E18">
    <cfRule type="expression" dxfId="15149" priority="1058">
      <formula>AND(IF(OR($Q18=1,$Q18=2),1,0),IF($X18&lt;=20,1,0))</formula>
    </cfRule>
    <cfRule type="expression" dxfId="15148" priority="1059">
      <formula>AND(IF($Q18=2,1,0),IF($X18&lt;30,1,0))</formula>
    </cfRule>
    <cfRule type="expression" dxfId="15147" priority="1060">
      <formula>AND(IF($Q18=3,1,0),IF($X18&lt;30,1,0))</formula>
    </cfRule>
    <cfRule type="expression" dxfId="15146" priority="1061">
      <formula>AND(IF($Q18=3,1,IF($Q18=4,1,0)),IF($F18&lt;=85,1,0))</formula>
    </cfRule>
  </conditionalFormatting>
  <conditionalFormatting sqref="X18">
    <cfRule type="expression" dxfId="15145" priority="1054">
      <formula>AND(IF(OR($Q18=1,$Q18=2),1,0),IF($X18&lt;=20,1,0))</formula>
    </cfRule>
    <cfRule type="expression" dxfId="15144" priority="1055">
      <formula>AND(IF($Q18=2,1,0),IF($X18&lt;30,1,0))</formula>
    </cfRule>
    <cfRule type="expression" dxfId="15143" priority="1056">
      <formula>AND(IF($Q18=3,1,0),IF($X18&lt;30,1,0))</formula>
    </cfRule>
    <cfRule type="expression" dxfId="15142" priority="1057">
      <formula>AND(IF($Q18=3,1,IF($Q18=4,1,0)),IF($F18&lt;=85,1,0))</formula>
    </cfRule>
  </conditionalFormatting>
  <conditionalFormatting sqref="AI18">
    <cfRule type="expression" dxfId="15141" priority="1050">
      <formula>AND(IF(OR($Q18=1,$Q18=2),1,0),IF($X18&lt;=20,1,0))</formula>
    </cfRule>
    <cfRule type="expression" dxfId="15140" priority="1051">
      <formula>AND(IF($Q18=2,1,0),IF($X18&lt;30,1,0))</formula>
    </cfRule>
    <cfRule type="expression" dxfId="15139" priority="1052">
      <formula>AND(IF($Q18=3,1,0),IF($X18&lt;30,1,0))</formula>
    </cfRule>
    <cfRule type="expression" dxfId="15138" priority="1053">
      <formula>AND(IF($Q18=3,1,IF($Q18=4,1,0)),IF($F18&lt;=85,1,0))</formula>
    </cfRule>
  </conditionalFormatting>
  <conditionalFormatting sqref="AV19">
    <cfRule type="expression" dxfId="15137" priority="1048">
      <formula>AV19="X"</formula>
    </cfRule>
    <cfRule type="expression" dxfId="15136" priority="1049">
      <formula>AV19="후보"</formula>
    </cfRule>
  </conditionalFormatting>
  <conditionalFormatting sqref="AC19">
    <cfRule type="cellIs" dxfId="15135" priority="1045" operator="greaterThan">
      <formula>0.9</formula>
    </cfRule>
    <cfRule type="cellIs" dxfId="15134" priority="1046" operator="greaterThan">
      <formula>0.85</formula>
    </cfRule>
  </conditionalFormatting>
  <conditionalFormatting sqref="N19">
    <cfRule type="cellIs" dxfId="15133" priority="1043" operator="greaterThan">
      <formula>0.9</formula>
    </cfRule>
    <cfRule type="cellIs" dxfId="15132" priority="1044" operator="greaterThan">
      <formula>0.85</formula>
    </cfRule>
  </conditionalFormatting>
  <conditionalFormatting sqref="E19">
    <cfRule type="expression" dxfId="15131" priority="1039">
      <formula>AND(IF(OR($Q19=1,$Q19=2),1,0),IF($X19&lt;=20,1,0))</formula>
    </cfRule>
    <cfRule type="expression" dxfId="15130" priority="1040">
      <formula>AND(IF($Q19=2,1,0),IF($X19&lt;30,1,0))</formula>
    </cfRule>
    <cfRule type="expression" dxfId="15129" priority="1041">
      <formula>AND(IF($Q19=3,1,0),IF($X19&lt;30,1,0))</formula>
    </cfRule>
    <cfRule type="expression" dxfId="15128" priority="1042">
      <formula>AND(IF($Q19=3,1,IF($Q19=4,1,0)),IF($F19&lt;=85,1,0))</formula>
    </cfRule>
  </conditionalFormatting>
  <conditionalFormatting sqref="X19">
    <cfRule type="expression" dxfId="15127" priority="1035">
      <formula>AND(IF(OR($Q19=1,$Q19=2),1,0),IF($X19&lt;=20,1,0))</formula>
    </cfRule>
    <cfRule type="expression" dxfId="15126" priority="1036">
      <formula>AND(IF($Q19=2,1,0),IF($X19&lt;30,1,0))</formula>
    </cfRule>
    <cfRule type="expression" dxfId="15125" priority="1037">
      <formula>AND(IF($Q19=3,1,0),IF($X19&lt;30,1,0))</formula>
    </cfRule>
    <cfRule type="expression" dxfId="15124" priority="1038">
      <formula>AND(IF($Q19=3,1,IF($Q19=4,1,0)),IF($F19&lt;=85,1,0))</formula>
    </cfRule>
  </conditionalFormatting>
  <conditionalFormatting sqref="AI19">
    <cfRule type="expression" dxfId="15123" priority="1031">
      <formula>AND(IF(OR($Q19=1,$Q19=2),1,0),IF($X19&lt;=20,1,0))</formula>
    </cfRule>
    <cfRule type="expression" dxfId="15122" priority="1032">
      <formula>AND(IF($Q19=2,1,0),IF($X19&lt;30,1,0))</formula>
    </cfRule>
    <cfRule type="expression" dxfId="15121" priority="1033">
      <formula>AND(IF($Q19=3,1,0),IF($X19&lt;30,1,0))</formula>
    </cfRule>
    <cfRule type="expression" dxfId="15120" priority="1034">
      <formula>AND(IF($Q19=3,1,IF($Q19=4,1,0)),IF($F19&lt;=85,1,0))</formula>
    </cfRule>
  </conditionalFormatting>
  <conditionalFormatting sqref="AV20">
    <cfRule type="expression" dxfId="15119" priority="1029">
      <formula>AV20="X"</formula>
    </cfRule>
    <cfRule type="expression" dxfId="15118" priority="1030">
      <formula>AV20="후보"</formula>
    </cfRule>
  </conditionalFormatting>
  <conditionalFormatting sqref="AC20">
    <cfRule type="cellIs" dxfId="15117" priority="1026" operator="greaterThan">
      <formula>0.9</formula>
    </cfRule>
    <cfRule type="cellIs" dxfId="15116" priority="1027" operator="greaterThan">
      <formula>0.85</formula>
    </cfRule>
  </conditionalFormatting>
  <conditionalFormatting sqref="N20">
    <cfRule type="cellIs" dxfId="15115" priority="1024" operator="greaterThan">
      <formula>0.9</formula>
    </cfRule>
    <cfRule type="cellIs" dxfId="15114" priority="1025" operator="greaterThan">
      <formula>0.85</formula>
    </cfRule>
  </conditionalFormatting>
  <conditionalFormatting sqref="E20">
    <cfRule type="expression" dxfId="15113" priority="1020">
      <formula>AND(IF(OR($Q20=1,$Q20=2),1,0),IF($X20&lt;=20,1,0))</formula>
    </cfRule>
    <cfRule type="expression" dxfId="15112" priority="1021">
      <formula>AND(IF($Q20=2,1,0),IF($X20&lt;30,1,0))</formula>
    </cfRule>
    <cfRule type="expression" dxfId="15111" priority="1022">
      <formula>AND(IF($Q20=3,1,0),IF($X20&lt;30,1,0))</formula>
    </cfRule>
    <cfRule type="expression" dxfId="15110" priority="1023">
      <formula>AND(IF($Q20=3,1,IF($Q20=4,1,0)),IF($F20&lt;=85,1,0))</formula>
    </cfRule>
  </conditionalFormatting>
  <conditionalFormatting sqref="X20">
    <cfRule type="expression" dxfId="15109" priority="1016">
      <formula>AND(IF(OR($Q20=1,$Q20=2),1,0),IF($X20&lt;=20,1,0))</formula>
    </cfRule>
    <cfRule type="expression" dxfId="15108" priority="1017">
      <formula>AND(IF($Q20=2,1,0),IF($X20&lt;30,1,0))</formula>
    </cfRule>
    <cfRule type="expression" dxfId="15107" priority="1018">
      <formula>AND(IF($Q20=3,1,0),IF($X20&lt;30,1,0))</formula>
    </cfRule>
    <cfRule type="expression" dxfId="15106" priority="1019">
      <formula>AND(IF($Q20=3,1,IF($Q20=4,1,0)),IF($F20&lt;=85,1,0))</formula>
    </cfRule>
  </conditionalFormatting>
  <conditionalFormatting sqref="AI20">
    <cfRule type="expression" dxfId="15105" priority="1012">
      <formula>AND(IF(OR($Q20=1,$Q20=2),1,0),IF($X20&lt;=20,1,0))</formula>
    </cfRule>
    <cfRule type="expression" dxfId="15104" priority="1013">
      <formula>AND(IF($Q20=2,1,0),IF($X20&lt;30,1,0))</formula>
    </cfRule>
    <cfRule type="expression" dxfId="15103" priority="1014">
      <formula>AND(IF($Q20=3,1,0),IF($X20&lt;30,1,0))</formula>
    </cfRule>
    <cfRule type="expression" dxfId="15102" priority="1015">
      <formula>AND(IF($Q20=3,1,IF($Q20=4,1,0)),IF($F20&lt;=85,1,0))</formula>
    </cfRule>
  </conditionalFormatting>
  <conditionalFormatting sqref="AV21">
    <cfRule type="expression" dxfId="15101" priority="1010">
      <formula>AV21="X"</formula>
    </cfRule>
    <cfRule type="expression" dxfId="15100" priority="1011">
      <formula>AV21="후보"</formula>
    </cfRule>
  </conditionalFormatting>
  <conditionalFormatting sqref="AC21 N21">
    <cfRule type="cellIs" dxfId="15099" priority="1007" operator="greaterThan">
      <formula>0.9</formula>
    </cfRule>
    <cfRule type="cellIs" dxfId="15098" priority="1008" operator="greaterThan">
      <formula>0.85</formula>
    </cfRule>
  </conditionalFormatting>
  <conditionalFormatting sqref="AV22">
    <cfRule type="expression" dxfId="15097" priority="1005">
      <formula>AV22="X"</formula>
    </cfRule>
    <cfRule type="expression" dxfId="15096" priority="1006">
      <formula>AV22="후보"</formula>
    </cfRule>
  </conditionalFormatting>
  <conditionalFormatting sqref="AC22">
    <cfRule type="cellIs" dxfId="15095" priority="1002" operator="greaterThan">
      <formula>0.9</formula>
    </cfRule>
    <cfRule type="cellIs" dxfId="15094" priority="1003" operator="greaterThan">
      <formula>0.85</formula>
    </cfRule>
  </conditionalFormatting>
  <conditionalFormatting sqref="N22">
    <cfRule type="cellIs" dxfId="15093" priority="1000" operator="greaterThan">
      <formula>0.9</formula>
    </cfRule>
    <cfRule type="cellIs" dxfId="15092" priority="1001" operator="greaterThan">
      <formula>0.85</formula>
    </cfRule>
  </conditionalFormatting>
  <conditionalFormatting sqref="E22">
    <cfRule type="expression" dxfId="15091" priority="996">
      <formula>AND(IF(OR($Q22=1,$Q22=2),1,0),IF($X22&lt;=20,1,0))</formula>
    </cfRule>
    <cfRule type="expression" dxfId="15090" priority="997">
      <formula>AND(IF($Q22=2,1,0),IF($X22&lt;30,1,0))</formula>
    </cfRule>
    <cfRule type="expression" dxfId="15089" priority="998">
      <formula>AND(IF($Q22=3,1,0),IF($X22&lt;30,1,0))</formula>
    </cfRule>
    <cfRule type="expression" dxfId="15088" priority="999">
      <formula>AND(IF($Q22=3,1,IF($Q22=4,1,0)),IF($F22&lt;=85,1,0))</formula>
    </cfRule>
  </conditionalFormatting>
  <conditionalFormatting sqref="X22">
    <cfRule type="expression" dxfId="15087" priority="992">
      <formula>AND(IF(OR($Q22=1,$Q22=2),1,0),IF($X22&lt;=20,1,0))</formula>
    </cfRule>
    <cfRule type="expression" dxfId="15086" priority="993">
      <formula>AND(IF($Q22=2,1,0),IF($X22&lt;30,1,0))</formula>
    </cfRule>
    <cfRule type="expression" dxfId="15085" priority="994">
      <formula>AND(IF($Q22=3,1,0),IF($X22&lt;30,1,0))</formula>
    </cfRule>
    <cfRule type="expression" dxfId="15084" priority="995">
      <formula>AND(IF($Q22=3,1,IF($Q22=4,1,0)),IF($F22&lt;=85,1,0))</formula>
    </cfRule>
  </conditionalFormatting>
  <conditionalFormatting sqref="AI22">
    <cfRule type="expression" dxfId="15083" priority="988">
      <formula>AND(IF(OR($Q22=1,$Q22=2),1,0),IF($X22&lt;=20,1,0))</formula>
    </cfRule>
    <cfRule type="expression" dxfId="15082" priority="989">
      <formula>AND(IF($Q22=2,1,0),IF($X22&lt;30,1,0))</formula>
    </cfRule>
    <cfRule type="expression" dxfId="15081" priority="990">
      <formula>AND(IF($Q22=3,1,0),IF($X22&lt;30,1,0))</formula>
    </cfRule>
    <cfRule type="expression" dxfId="15080" priority="991">
      <formula>AND(IF($Q22=3,1,IF($Q22=4,1,0)),IF($F22&lt;=85,1,0))</formula>
    </cfRule>
  </conditionalFormatting>
  <conditionalFormatting sqref="AV23">
    <cfRule type="expression" dxfId="15079" priority="986">
      <formula>AV23="X"</formula>
    </cfRule>
    <cfRule type="expression" dxfId="15078" priority="987">
      <formula>AV23="후보"</formula>
    </cfRule>
  </conditionalFormatting>
  <conditionalFormatting sqref="AC23">
    <cfRule type="cellIs" dxfId="15077" priority="983" operator="greaterThan">
      <formula>0.9</formula>
    </cfRule>
    <cfRule type="cellIs" dxfId="15076" priority="984" operator="greaterThan">
      <formula>0.85</formula>
    </cfRule>
  </conditionalFormatting>
  <conditionalFormatting sqref="N23">
    <cfRule type="cellIs" dxfId="15075" priority="981" operator="greaterThan">
      <formula>0.9</formula>
    </cfRule>
    <cfRule type="cellIs" dxfId="15074" priority="982" operator="greaterThan">
      <formula>0.85</formula>
    </cfRule>
  </conditionalFormatting>
  <conditionalFormatting sqref="E23">
    <cfRule type="expression" dxfId="15073" priority="977">
      <formula>AND(IF(OR($Q23=1,$Q23=2),1,0),IF($X23&lt;=20,1,0))</formula>
    </cfRule>
    <cfRule type="expression" dxfId="15072" priority="978">
      <formula>AND(IF($Q23=2,1,0),IF($X23&lt;30,1,0))</formula>
    </cfRule>
    <cfRule type="expression" dxfId="15071" priority="979">
      <formula>AND(IF($Q23=3,1,0),IF($X23&lt;30,1,0))</formula>
    </cfRule>
    <cfRule type="expression" dxfId="15070" priority="980">
      <formula>AND(IF($Q23=3,1,IF($Q23=4,1,0)),IF($F23&lt;=85,1,0))</formula>
    </cfRule>
  </conditionalFormatting>
  <conditionalFormatting sqref="X23">
    <cfRule type="expression" dxfId="15069" priority="973">
      <formula>AND(IF(OR($Q23=1,$Q23=2),1,0),IF($X23&lt;=20,1,0))</formula>
    </cfRule>
    <cfRule type="expression" dxfId="15068" priority="974">
      <formula>AND(IF($Q23=2,1,0),IF($X23&lt;30,1,0))</formula>
    </cfRule>
    <cfRule type="expression" dxfId="15067" priority="975">
      <formula>AND(IF($Q23=3,1,0),IF($X23&lt;30,1,0))</formula>
    </cfRule>
    <cfRule type="expression" dxfId="15066" priority="976">
      <formula>AND(IF($Q23=3,1,IF($Q23=4,1,0)),IF($F23&lt;=85,1,0))</formula>
    </cfRule>
  </conditionalFormatting>
  <conditionalFormatting sqref="AI23">
    <cfRule type="expression" dxfId="15065" priority="969">
      <formula>AND(IF(OR($Q23=1,$Q23=2),1,0),IF($X23&lt;=20,1,0))</formula>
    </cfRule>
    <cfRule type="expression" dxfId="15064" priority="970">
      <formula>AND(IF($Q23=2,1,0),IF($X23&lt;30,1,0))</formula>
    </cfRule>
    <cfRule type="expression" dxfId="15063" priority="971">
      <formula>AND(IF($Q23=3,1,0),IF($X23&lt;30,1,0))</formula>
    </cfRule>
    <cfRule type="expression" dxfId="15062" priority="972">
      <formula>AND(IF($Q23=3,1,IF($Q23=4,1,0)),IF($F23&lt;=85,1,0))</formula>
    </cfRule>
  </conditionalFormatting>
  <conditionalFormatting sqref="AV24">
    <cfRule type="expression" dxfId="15061" priority="967">
      <formula>AV24="X"</formula>
    </cfRule>
    <cfRule type="expression" dxfId="15060" priority="968">
      <formula>AV24="후보"</formula>
    </cfRule>
  </conditionalFormatting>
  <conditionalFormatting sqref="AC24 N24">
    <cfRule type="cellIs" dxfId="15059" priority="964" operator="greaterThan">
      <formula>0.9</formula>
    </cfRule>
    <cfRule type="cellIs" dxfId="15058" priority="965" operator="greaterThan">
      <formula>0.85</formula>
    </cfRule>
  </conditionalFormatting>
  <conditionalFormatting sqref="AV25">
    <cfRule type="expression" dxfId="15057" priority="962">
      <formula>AV25="X"</formula>
    </cfRule>
    <cfRule type="expression" dxfId="15056" priority="963">
      <formula>AV25="후보"</formula>
    </cfRule>
  </conditionalFormatting>
  <conditionalFormatting sqref="AC25">
    <cfRule type="cellIs" dxfId="15055" priority="959" operator="greaterThan">
      <formula>0.9</formula>
    </cfRule>
    <cfRule type="cellIs" dxfId="15054" priority="960" operator="greaterThan">
      <formula>0.85</formula>
    </cfRule>
  </conditionalFormatting>
  <conditionalFormatting sqref="N25">
    <cfRule type="cellIs" dxfId="15053" priority="957" operator="greaterThan">
      <formula>0.9</formula>
    </cfRule>
    <cfRule type="cellIs" dxfId="15052" priority="958" operator="greaterThan">
      <formula>0.85</formula>
    </cfRule>
  </conditionalFormatting>
  <conditionalFormatting sqref="E25">
    <cfRule type="expression" dxfId="15051" priority="953">
      <formula>AND(IF(OR($Q25=1,$Q25=2),1,0),IF($X25&lt;=20,1,0))</formula>
    </cfRule>
    <cfRule type="expression" dxfId="15050" priority="954">
      <formula>AND(IF($Q25=2,1,0),IF($X25&lt;30,1,0))</formula>
    </cfRule>
    <cfRule type="expression" dxfId="15049" priority="955">
      <formula>AND(IF($Q25=3,1,0),IF($X25&lt;30,1,0))</formula>
    </cfRule>
    <cfRule type="expression" dxfId="15048" priority="956">
      <formula>AND(IF($Q25=3,1,IF($Q25=4,1,0)),IF($F25&lt;=85,1,0))</formula>
    </cfRule>
  </conditionalFormatting>
  <conditionalFormatting sqref="X25">
    <cfRule type="expression" dxfId="15047" priority="949">
      <formula>AND(IF(OR($Q25=1,$Q25=2),1,0),IF($X25&lt;=20,1,0))</formula>
    </cfRule>
    <cfRule type="expression" dxfId="15046" priority="950">
      <formula>AND(IF($Q25=2,1,0),IF($X25&lt;30,1,0))</formula>
    </cfRule>
    <cfRule type="expression" dxfId="15045" priority="951">
      <formula>AND(IF($Q25=3,1,0),IF($X25&lt;30,1,0))</formula>
    </cfRule>
    <cfRule type="expression" dxfId="15044" priority="952">
      <formula>AND(IF($Q25=3,1,IF($Q25=4,1,0)),IF($F25&lt;=85,1,0))</formula>
    </cfRule>
  </conditionalFormatting>
  <conditionalFormatting sqref="AI25">
    <cfRule type="expression" dxfId="15043" priority="945">
      <formula>AND(IF(OR($Q25=1,$Q25=2),1,0),IF($X25&lt;=20,1,0))</formula>
    </cfRule>
    <cfRule type="expression" dxfId="15042" priority="946">
      <formula>AND(IF($Q25=2,1,0),IF($X25&lt;30,1,0))</formula>
    </cfRule>
    <cfRule type="expression" dxfId="15041" priority="947">
      <formula>AND(IF($Q25=3,1,0),IF($X25&lt;30,1,0))</formula>
    </cfRule>
    <cfRule type="expression" dxfId="15040" priority="948">
      <formula>AND(IF($Q25=3,1,IF($Q25=4,1,0)),IF($F25&lt;=85,1,0))</formula>
    </cfRule>
  </conditionalFormatting>
  <conditionalFormatting sqref="AV26">
    <cfRule type="expression" dxfId="15039" priority="943">
      <formula>AV26="X"</formula>
    </cfRule>
    <cfRule type="expression" dxfId="15038" priority="944">
      <formula>AV26="후보"</formula>
    </cfRule>
  </conditionalFormatting>
  <conditionalFormatting sqref="AC26">
    <cfRule type="cellIs" dxfId="15037" priority="940" operator="greaterThan">
      <formula>0.9</formula>
    </cfRule>
    <cfRule type="cellIs" dxfId="15036" priority="941" operator="greaterThan">
      <formula>0.85</formula>
    </cfRule>
  </conditionalFormatting>
  <conditionalFormatting sqref="N26">
    <cfRule type="cellIs" dxfId="15035" priority="938" operator="greaterThan">
      <formula>0.9</formula>
    </cfRule>
    <cfRule type="cellIs" dxfId="15034" priority="939" operator="greaterThan">
      <formula>0.85</formula>
    </cfRule>
  </conditionalFormatting>
  <conditionalFormatting sqref="E26">
    <cfRule type="expression" dxfId="15033" priority="934">
      <formula>AND(IF(OR($Q26=1,$Q26=2),1,0),IF($X26&lt;=20,1,0))</formula>
    </cfRule>
    <cfRule type="expression" dxfId="15032" priority="935">
      <formula>AND(IF($Q26=2,1,0),IF($X26&lt;30,1,0))</formula>
    </cfRule>
    <cfRule type="expression" dxfId="15031" priority="936">
      <formula>AND(IF($Q26=3,1,0),IF($X26&lt;30,1,0))</formula>
    </cfRule>
    <cfRule type="expression" dxfId="15030" priority="937">
      <formula>AND(IF($Q26=3,1,IF($Q26=4,1,0)),IF($F26&lt;=85,1,0))</formula>
    </cfRule>
  </conditionalFormatting>
  <conditionalFormatting sqref="X26">
    <cfRule type="expression" dxfId="15029" priority="930">
      <formula>AND(IF(OR($Q26=1,$Q26=2),1,0),IF($X26&lt;=20,1,0))</formula>
    </cfRule>
    <cfRule type="expression" dxfId="15028" priority="931">
      <formula>AND(IF($Q26=2,1,0),IF($X26&lt;30,1,0))</formula>
    </cfRule>
    <cfRule type="expression" dxfId="15027" priority="932">
      <formula>AND(IF($Q26=3,1,0),IF($X26&lt;30,1,0))</formula>
    </cfRule>
    <cfRule type="expression" dxfId="15026" priority="933">
      <formula>AND(IF($Q26=3,1,IF($Q26=4,1,0)),IF($F26&lt;=85,1,0))</formula>
    </cfRule>
  </conditionalFormatting>
  <conditionalFormatting sqref="AI26">
    <cfRule type="expression" dxfId="15025" priority="926">
      <formula>AND(IF(OR($Q26=1,$Q26=2),1,0),IF($X26&lt;=20,1,0))</formula>
    </cfRule>
    <cfRule type="expression" dxfId="15024" priority="927">
      <formula>AND(IF($Q26=2,1,0),IF($X26&lt;30,1,0))</formula>
    </cfRule>
    <cfRule type="expression" dxfId="15023" priority="928">
      <formula>AND(IF($Q26=3,1,0),IF($X26&lt;30,1,0))</formula>
    </cfRule>
    <cfRule type="expression" dxfId="15022" priority="929">
      <formula>AND(IF($Q26=3,1,IF($Q26=4,1,0)),IF($F26&lt;=85,1,0))</formula>
    </cfRule>
  </conditionalFormatting>
  <conditionalFormatting sqref="AV27">
    <cfRule type="expression" dxfId="15021" priority="924">
      <formula>AV27="X"</formula>
    </cfRule>
    <cfRule type="expression" dxfId="15020" priority="925">
      <formula>AV27="후보"</formula>
    </cfRule>
  </conditionalFormatting>
  <conditionalFormatting sqref="AC27">
    <cfRule type="cellIs" dxfId="15019" priority="921" operator="greaterThan">
      <formula>0.9</formula>
    </cfRule>
    <cfRule type="cellIs" dxfId="15018" priority="922" operator="greaterThan">
      <formula>0.85</formula>
    </cfRule>
  </conditionalFormatting>
  <conditionalFormatting sqref="N27">
    <cfRule type="cellIs" dxfId="15017" priority="919" operator="greaterThan">
      <formula>0.9</formula>
    </cfRule>
    <cfRule type="cellIs" dxfId="15016" priority="920" operator="greaterThan">
      <formula>0.85</formula>
    </cfRule>
  </conditionalFormatting>
  <conditionalFormatting sqref="E27">
    <cfRule type="expression" dxfId="15015" priority="915">
      <formula>AND(IF(OR($Q27=1,$Q27=2),1,0),IF($X27&lt;=20,1,0))</formula>
    </cfRule>
    <cfRule type="expression" dxfId="15014" priority="916">
      <formula>AND(IF($Q27=2,1,0),IF($X27&lt;30,1,0))</formula>
    </cfRule>
    <cfRule type="expression" dxfId="15013" priority="917">
      <formula>AND(IF($Q27=3,1,0),IF($X27&lt;30,1,0))</formula>
    </cfRule>
    <cfRule type="expression" dxfId="15012" priority="918">
      <formula>AND(IF($Q27=3,1,IF($Q27=4,1,0)),IF($F27&lt;=85,1,0))</formula>
    </cfRule>
  </conditionalFormatting>
  <conditionalFormatting sqref="X27">
    <cfRule type="expression" dxfId="15011" priority="911">
      <formula>AND(IF(OR($Q27=1,$Q27=2),1,0),IF($X27&lt;=20,1,0))</formula>
    </cfRule>
    <cfRule type="expression" dxfId="15010" priority="912">
      <formula>AND(IF($Q27=2,1,0),IF($X27&lt;30,1,0))</formula>
    </cfRule>
    <cfRule type="expression" dxfId="15009" priority="913">
      <formula>AND(IF($Q27=3,1,0),IF($X27&lt;30,1,0))</formula>
    </cfRule>
    <cfRule type="expression" dxfId="15008" priority="914">
      <formula>AND(IF($Q27=3,1,IF($Q27=4,1,0)),IF($F27&lt;=85,1,0))</formula>
    </cfRule>
  </conditionalFormatting>
  <conditionalFormatting sqref="AI27">
    <cfRule type="expression" dxfId="15007" priority="907">
      <formula>AND(IF(OR($Q27=1,$Q27=2),1,0),IF($X27&lt;=20,1,0))</formula>
    </cfRule>
    <cfRule type="expression" dxfId="15006" priority="908">
      <formula>AND(IF($Q27=2,1,0),IF($X27&lt;30,1,0))</formula>
    </cfRule>
    <cfRule type="expression" dxfId="15005" priority="909">
      <formula>AND(IF($Q27=3,1,0),IF($X27&lt;30,1,0))</formula>
    </cfRule>
    <cfRule type="expression" dxfId="15004" priority="910">
      <formula>AND(IF($Q27=3,1,IF($Q27=4,1,0)),IF($F27&lt;=85,1,0))</formula>
    </cfRule>
  </conditionalFormatting>
  <conditionalFormatting sqref="AV28">
    <cfRule type="expression" dxfId="15003" priority="905">
      <formula>AV28="X"</formula>
    </cfRule>
    <cfRule type="expression" dxfId="15002" priority="906">
      <formula>AV28="후보"</formula>
    </cfRule>
  </conditionalFormatting>
  <conditionalFormatting sqref="AC28 N28">
    <cfRule type="cellIs" dxfId="15001" priority="902" operator="greaterThan">
      <formula>0.9</formula>
    </cfRule>
    <cfRule type="cellIs" dxfId="15000" priority="903" operator="greaterThan">
      <formula>0.85</formula>
    </cfRule>
  </conditionalFormatting>
  <conditionalFormatting sqref="AV29">
    <cfRule type="expression" dxfId="14999" priority="900">
      <formula>AV29="X"</formula>
    </cfRule>
    <cfRule type="expression" dxfId="14998" priority="901">
      <formula>AV29="후보"</formula>
    </cfRule>
  </conditionalFormatting>
  <conditionalFormatting sqref="AC29">
    <cfRule type="cellIs" dxfId="14997" priority="897" operator="greaterThan">
      <formula>0.9</formula>
    </cfRule>
    <cfRule type="cellIs" dxfId="14996" priority="898" operator="greaterThan">
      <formula>0.85</formula>
    </cfRule>
  </conditionalFormatting>
  <conditionalFormatting sqref="N29">
    <cfRule type="cellIs" dxfId="14995" priority="895" operator="greaterThan">
      <formula>0.9</formula>
    </cfRule>
    <cfRule type="cellIs" dxfId="14994" priority="896" operator="greaterThan">
      <formula>0.85</formula>
    </cfRule>
  </conditionalFormatting>
  <conditionalFormatting sqref="E29">
    <cfRule type="expression" dxfId="14993" priority="891">
      <formula>AND(IF(OR($Q29=1,$Q29=2),1,0),IF($X29&lt;=20,1,0))</formula>
    </cfRule>
    <cfRule type="expression" dxfId="14992" priority="892">
      <formula>AND(IF($Q29=2,1,0),IF($X29&lt;30,1,0))</formula>
    </cfRule>
    <cfRule type="expression" dxfId="14991" priority="893">
      <formula>AND(IF($Q29=3,1,0),IF($X29&lt;30,1,0))</formula>
    </cfRule>
    <cfRule type="expression" dxfId="14990" priority="894">
      <formula>AND(IF($Q29=3,1,IF($Q29=4,1,0)),IF($F29&lt;=85,1,0))</formula>
    </cfRule>
  </conditionalFormatting>
  <conditionalFormatting sqref="X29">
    <cfRule type="expression" dxfId="14989" priority="887">
      <formula>AND(IF(OR($Q29=1,$Q29=2),1,0),IF($X29&lt;=20,1,0))</formula>
    </cfRule>
    <cfRule type="expression" dxfId="14988" priority="888">
      <formula>AND(IF($Q29=2,1,0),IF($X29&lt;30,1,0))</formula>
    </cfRule>
    <cfRule type="expression" dxfId="14987" priority="889">
      <formula>AND(IF($Q29=3,1,0),IF($X29&lt;30,1,0))</formula>
    </cfRule>
    <cfRule type="expression" dxfId="14986" priority="890">
      <formula>AND(IF($Q29=3,1,IF($Q29=4,1,0)),IF($F29&lt;=85,1,0))</formula>
    </cfRule>
  </conditionalFormatting>
  <conditionalFormatting sqref="AI29">
    <cfRule type="expression" dxfId="14985" priority="883">
      <formula>AND(IF(OR($Q29=1,$Q29=2),1,0),IF($X29&lt;=20,1,0))</formula>
    </cfRule>
    <cfRule type="expression" dxfId="14984" priority="884">
      <formula>AND(IF($Q29=2,1,0),IF($X29&lt;30,1,0))</formula>
    </cfRule>
    <cfRule type="expression" dxfId="14983" priority="885">
      <formula>AND(IF($Q29=3,1,0),IF($X29&lt;30,1,0))</formula>
    </cfRule>
    <cfRule type="expression" dxfId="14982" priority="886">
      <formula>AND(IF($Q29=3,1,IF($Q29=4,1,0)),IF($F29&lt;=85,1,0))</formula>
    </cfRule>
  </conditionalFormatting>
  <conditionalFormatting sqref="AV30">
    <cfRule type="expression" dxfId="14981" priority="881">
      <formula>AV30="X"</formula>
    </cfRule>
    <cfRule type="expression" dxfId="14980" priority="882">
      <formula>AV30="후보"</formula>
    </cfRule>
  </conditionalFormatting>
  <conditionalFormatting sqref="AC30">
    <cfRule type="cellIs" dxfId="14979" priority="878" operator="greaterThan">
      <formula>0.9</formula>
    </cfRule>
    <cfRule type="cellIs" dxfId="14978" priority="879" operator="greaterThan">
      <formula>0.85</formula>
    </cfRule>
  </conditionalFormatting>
  <conditionalFormatting sqref="N30">
    <cfRule type="cellIs" dxfId="14977" priority="876" operator="greaterThan">
      <formula>0.9</formula>
    </cfRule>
    <cfRule type="cellIs" dxfId="14976" priority="877" operator="greaterThan">
      <formula>0.85</formula>
    </cfRule>
  </conditionalFormatting>
  <conditionalFormatting sqref="E30">
    <cfRule type="expression" dxfId="14975" priority="872">
      <formula>AND(IF(OR($Q30=1,$Q30=2),1,0),IF($X30&lt;=20,1,0))</formula>
    </cfRule>
    <cfRule type="expression" dxfId="14974" priority="873">
      <formula>AND(IF($Q30=2,1,0),IF($X30&lt;30,1,0))</formula>
    </cfRule>
    <cfRule type="expression" dxfId="14973" priority="874">
      <formula>AND(IF($Q30=3,1,0),IF($X30&lt;30,1,0))</formula>
    </cfRule>
    <cfRule type="expression" dxfId="14972" priority="875">
      <formula>AND(IF($Q30=3,1,IF($Q30=4,1,0)),IF($F30&lt;=85,1,0))</formula>
    </cfRule>
  </conditionalFormatting>
  <conditionalFormatting sqref="X30">
    <cfRule type="expression" dxfId="14971" priority="868">
      <formula>AND(IF(OR($Q30=1,$Q30=2),1,0),IF($X30&lt;=20,1,0))</formula>
    </cfRule>
    <cfRule type="expression" dxfId="14970" priority="869">
      <formula>AND(IF($Q30=2,1,0),IF($X30&lt;30,1,0))</formula>
    </cfRule>
    <cfRule type="expression" dxfId="14969" priority="870">
      <formula>AND(IF($Q30=3,1,0),IF($X30&lt;30,1,0))</formula>
    </cfRule>
    <cfRule type="expression" dxfId="14968" priority="871">
      <formula>AND(IF($Q30=3,1,IF($Q30=4,1,0)),IF($F30&lt;=85,1,0))</formula>
    </cfRule>
  </conditionalFormatting>
  <conditionalFormatting sqref="AI30">
    <cfRule type="expression" dxfId="14967" priority="864">
      <formula>AND(IF(OR($Q30=1,$Q30=2),1,0),IF($X30&lt;=20,1,0))</formula>
    </cfRule>
    <cfRule type="expression" dxfId="14966" priority="865">
      <formula>AND(IF($Q30=2,1,0),IF($X30&lt;30,1,0))</formula>
    </cfRule>
    <cfRule type="expression" dxfId="14965" priority="866">
      <formula>AND(IF($Q30=3,1,0),IF($X30&lt;30,1,0))</formula>
    </cfRule>
    <cfRule type="expression" dxfId="14964" priority="867">
      <formula>AND(IF($Q30=3,1,IF($Q30=4,1,0)),IF($F30&lt;=85,1,0))</formula>
    </cfRule>
  </conditionalFormatting>
  <conditionalFormatting sqref="AV31">
    <cfRule type="expression" dxfId="14963" priority="862">
      <formula>AV31="X"</formula>
    </cfRule>
    <cfRule type="expression" dxfId="14962" priority="863">
      <formula>AV31="후보"</formula>
    </cfRule>
  </conditionalFormatting>
  <conditionalFormatting sqref="AC31">
    <cfRule type="cellIs" dxfId="14961" priority="859" operator="greaterThan">
      <formula>0.9</formula>
    </cfRule>
    <cfRule type="cellIs" dxfId="14960" priority="860" operator="greaterThan">
      <formula>0.85</formula>
    </cfRule>
  </conditionalFormatting>
  <conditionalFormatting sqref="N31">
    <cfRule type="cellIs" dxfId="14959" priority="857" operator="greaterThan">
      <formula>0.9</formula>
    </cfRule>
    <cfRule type="cellIs" dxfId="14958" priority="858" operator="greaterThan">
      <formula>0.85</formula>
    </cfRule>
  </conditionalFormatting>
  <conditionalFormatting sqref="E31">
    <cfRule type="expression" dxfId="14957" priority="853">
      <formula>AND(IF(OR($Q31=1,$Q31=2),1,0),IF($X31&lt;=20,1,0))</formula>
    </cfRule>
    <cfRule type="expression" dxfId="14956" priority="854">
      <formula>AND(IF($Q31=2,1,0),IF($X31&lt;30,1,0))</formula>
    </cfRule>
    <cfRule type="expression" dxfId="14955" priority="855">
      <formula>AND(IF($Q31=3,1,0),IF($X31&lt;30,1,0))</formula>
    </cfRule>
    <cfRule type="expression" dxfId="14954" priority="856">
      <formula>AND(IF($Q31=3,1,IF($Q31=4,1,0)),IF($F31&lt;=85,1,0))</formula>
    </cfRule>
  </conditionalFormatting>
  <conditionalFormatting sqref="X31">
    <cfRule type="expression" dxfId="14953" priority="849">
      <formula>AND(IF(OR($Q31=1,$Q31=2),1,0),IF($X31&lt;=20,1,0))</formula>
    </cfRule>
    <cfRule type="expression" dxfId="14952" priority="850">
      <formula>AND(IF($Q31=2,1,0),IF($X31&lt;30,1,0))</formula>
    </cfRule>
    <cfRule type="expression" dxfId="14951" priority="851">
      <formula>AND(IF($Q31=3,1,0),IF($X31&lt;30,1,0))</formula>
    </cfRule>
    <cfRule type="expression" dxfId="14950" priority="852">
      <formula>AND(IF($Q31=3,1,IF($Q31=4,1,0)),IF($F31&lt;=85,1,0))</formula>
    </cfRule>
  </conditionalFormatting>
  <conditionalFormatting sqref="AI31">
    <cfRule type="expression" dxfId="14949" priority="845">
      <formula>AND(IF(OR($Q31=1,$Q31=2),1,0),IF($X31&lt;=20,1,0))</formula>
    </cfRule>
    <cfRule type="expression" dxfId="14948" priority="846">
      <formula>AND(IF($Q31=2,1,0),IF($X31&lt;30,1,0))</formula>
    </cfRule>
    <cfRule type="expression" dxfId="14947" priority="847">
      <formula>AND(IF($Q31=3,1,0),IF($X31&lt;30,1,0))</formula>
    </cfRule>
    <cfRule type="expression" dxfId="14946" priority="848">
      <formula>AND(IF($Q31=3,1,IF($Q31=4,1,0)),IF($F31&lt;=85,1,0))</formula>
    </cfRule>
  </conditionalFormatting>
  <conditionalFormatting sqref="AV32">
    <cfRule type="expression" dxfId="14945" priority="843">
      <formula>AV32="X"</formula>
    </cfRule>
    <cfRule type="expression" dxfId="14944" priority="844">
      <formula>AV32="후보"</formula>
    </cfRule>
  </conditionalFormatting>
  <conditionalFormatting sqref="AC32">
    <cfRule type="cellIs" dxfId="14943" priority="840" operator="greaterThan">
      <formula>0.9</formula>
    </cfRule>
    <cfRule type="cellIs" dxfId="14942" priority="841" operator="greaterThan">
      <formula>0.85</formula>
    </cfRule>
  </conditionalFormatting>
  <conditionalFormatting sqref="N32">
    <cfRule type="cellIs" dxfId="14941" priority="838" operator="greaterThan">
      <formula>0.9</formula>
    </cfRule>
    <cfRule type="cellIs" dxfId="14940" priority="839" operator="greaterThan">
      <formula>0.85</formula>
    </cfRule>
  </conditionalFormatting>
  <conditionalFormatting sqref="E32">
    <cfRule type="expression" dxfId="14939" priority="834">
      <formula>AND(IF(OR($Q32=1,$Q32=2),1,0),IF($X32&lt;=20,1,0))</formula>
    </cfRule>
    <cfRule type="expression" dxfId="14938" priority="835">
      <formula>AND(IF($Q32=2,1,0),IF($X32&lt;30,1,0))</formula>
    </cfRule>
    <cfRule type="expression" dxfId="14937" priority="836">
      <formula>AND(IF($Q32=3,1,0),IF($X32&lt;30,1,0))</formula>
    </cfRule>
    <cfRule type="expression" dxfId="14936" priority="837">
      <formula>AND(IF($Q32=3,1,IF($Q32=4,1,0)),IF($F32&lt;=85,1,0))</formula>
    </cfRule>
  </conditionalFormatting>
  <conditionalFormatting sqref="X32">
    <cfRule type="expression" dxfId="14935" priority="830">
      <formula>AND(IF(OR($Q32=1,$Q32=2),1,0),IF($X32&lt;=20,1,0))</formula>
    </cfRule>
    <cfRule type="expression" dxfId="14934" priority="831">
      <formula>AND(IF($Q32=2,1,0),IF($X32&lt;30,1,0))</formula>
    </cfRule>
    <cfRule type="expression" dxfId="14933" priority="832">
      <formula>AND(IF($Q32=3,1,0),IF($X32&lt;30,1,0))</formula>
    </cfRule>
    <cfRule type="expression" dxfId="14932" priority="833">
      <formula>AND(IF($Q32=3,1,IF($Q32=4,1,0)),IF($F32&lt;=85,1,0))</formula>
    </cfRule>
  </conditionalFormatting>
  <conditionalFormatting sqref="AI32">
    <cfRule type="expression" dxfId="14931" priority="826">
      <formula>AND(IF(OR($Q32=1,$Q32=2),1,0),IF($X32&lt;=20,1,0))</formula>
    </cfRule>
    <cfRule type="expression" dxfId="14930" priority="827">
      <formula>AND(IF($Q32=2,1,0),IF($X32&lt;30,1,0))</formula>
    </cfRule>
    <cfRule type="expression" dxfId="14929" priority="828">
      <formula>AND(IF($Q32=3,1,0),IF($X32&lt;30,1,0))</formula>
    </cfRule>
    <cfRule type="expression" dxfId="14928" priority="829">
      <formula>AND(IF($Q32=3,1,IF($Q32=4,1,0)),IF($F32&lt;=85,1,0))</formula>
    </cfRule>
  </conditionalFormatting>
  <conditionalFormatting sqref="AV33">
    <cfRule type="expression" dxfId="14927" priority="824">
      <formula>AV33="X"</formula>
    </cfRule>
    <cfRule type="expression" dxfId="14926" priority="825">
      <formula>AV33="후보"</formula>
    </cfRule>
  </conditionalFormatting>
  <conditionalFormatting sqref="AC33 N33">
    <cfRule type="cellIs" dxfId="14925" priority="821" operator="greaterThan">
      <formula>0.9</formula>
    </cfRule>
    <cfRule type="cellIs" dxfId="14924" priority="822" operator="greaterThan">
      <formula>0.85</formula>
    </cfRule>
  </conditionalFormatting>
  <conditionalFormatting sqref="AV34">
    <cfRule type="expression" dxfId="14923" priority="819">
      <formula>AV34="X"</formula>
    </cfRule>
    <cfRule type="expression" dxfId="14922" priority="820">
      <formula>AV34="후보"</formula>
    </cfRule>
  </conditionalFormatting>
  <conditionalFormatting sqref="AC34">
    <cfRule type="cellIs" dxfId="14921" priority="816" operator="greaterThan">
      <formula>0.9</formula>
    </cfRule>
    <cfRule type="cellIs" dxfId="14920" priority="817" operator="greaterThan">
      <formula>0.85</formula>
    </cfRule>
  </conditionalFormatting>
  <conditionalFormatting sqref="N34">
    <cfRule type="cellIs" dxfId="14919" priority="814" operator="greaterThan">
      <formula>0.9</formula>
    </cfRule>
    <cfRule type="cellIs" dxfId="14918" priority="815" operator="greaterThan">
      <formula>0.85</formula>
    </cfRule>
  </conditionalFormatting>
  <conditionalFormatting sqref="E34">
    <cfRule type="expression" dxfId="14917" priority="810">
      <formula>AND(IF(OR($Q34=1,$Q34=2),1,0),IF($X34&lt;=20,1,0))</formula>
    </cfRule>
    <cfRule type="expression" dxfId="14916" priority="811">
      <formula>AND(IF($Q34=2,1,0),IF($X34&lt;30,1,0))</formula>
    </cfRule>
    <cfRule type="expression" dxfId="14915" priority="812">
      <formula>AND(IF($Q34=3,1,0),IF($X34&lt;30,1,0))</formula>
    </cfRule>
    <cfRule type="expression" dxfId="14914" priority="813">
      <formula>AND(IF($Q34=3,1,IF($Q34=4,1,0)),IF($F34&lt;=85,1,0))</formula>
    </cfRule>
  </conditionalFormatting>
  <conditionalFormatting sqref="X34">
    <cfRule type="expression" dxfId="14913" priority="806">
      <formula>AND(IF(OR($Q34=1,$Q34=2),1,0),IF($X34&lt;=20,1,0))</formula>
    </cfRule>
    <cfRule type="expression" dxfId="14912" priority="807">
      <formula>AND(IF($Q34=2,1,0),IF($X34&lt;30,1,0))</formula>
    </cfRule>
    <cfRule type="expression" dxfId="14911" priority="808">
      <formula>AND(IF($Q34=3,1,0),IF($X34&lt;30,1,0))</formula>
    </cfRule>
    <cfRule type="expression" dxfId="14910" priority="809">
      <formula>AND(IF($Q34=3,1,IF($Q34=4,1,0)),IF($F34&lt;=85,1,0))</formula>
    </cfRule>
  </conditionalFormatting>
  <conditionalFormatting sqref="AI34">
    <cfRule type="expression" dxfId="14909" priority="802">
      <formula>AND(IF(OR($Q34=1,$Q34=2),1,0),IF($X34&lt;=20,1,0))</formula>
    </cfRule>
    <cfRule type="expression" dxfId="14908" priority="803">
      <formula>AND(IF($Q34=2,1,0),IF($X34&lt;30,1,0))</formula>
    </cfRule>
    <cfRule type="expression" dxfId="14907" priority="804">
      <formula>AND(IF($Q34=3,1,0),IF($X34&lt;30,1,0))</formula>
    </cfRule>
    <cfRule type="expression" dxfId="14906" priority="805">
      <formula>AND(IF($Q34=3,1,IF($Q34=4,1,0)),IF($F34&lt;=85,1,0))</formula>
    </cfRule>
  </conditionalFormatting>
  <conditionalFormatting sqref="AV35">
    <cfRule type="expression" dxfId="14905" priority="800">
      <formula>AV35="X"</formula>
    </cfRule>
    <cfRule type="expression" dxfId="14904" priority="801">
      <formula>AV35="후보"</formula>
    </cfRule>
  </conditionalFormatting>
  <conditionalFormatting sqref="AC35">
    <cfRule type="cellIs" dxfId="14903" priority="797" operator="greaterThan">
      <formula>0.9</formula>
    </cfRule>
    <cfRule type="cellIs" dxfId="14902" priority="798" operator="greaterThan">
      <formula>0.85</formula>
    </cfRule>
  </conditionalFormatting>
  <conditionalFormatting sqref="N35">
    <cfRule type="cellIs" dxfId="14901" priority="795" operator="greaterThan">
      <formula>0.9</formula>
    </cfRule>
    <cfRule type="cellIs" dxfId="14900" priority="796" operator="greaterThan">
      <formula>0.85</formula>
    </cfRule>
  </conditionalFormatting>
  <conditionalFormatting sqref="E35">
    <cfRule type="expression" dxfId="14899" priority="791">
      <formula>AND(IF(OR($Q35=1,$Q35=2),1,0),IF($X35&lt;=20,1,0))</formula>
    </cfRule>
    <cfRule type="expression" dxfId="14898" priority="792">
      <formula>AND(IF($Q35=2,1,0),IF($X35&lt;30,1,0))</formula>
    </cfRule>
    <cfRule type="expression" dxfId="14897" priority="793">
      <formula>AND(IF($Q35=3,1,0),IF($X35&lt;30,1,0))</formula>
    </cfRule>
    <cfRule type="expression" dxfId="14896" priority="794">
      <formula>AND(IF($Q35=3,1,IF($Q35=4,1,0)),IF($F35&lt;=85,1,0))</formula>
    </cfRule>
  </conditionalFormatting>
  <conditionalFormatting sqref="X35">
    <cfRule type="expression" dxfId="14895" priority="787">
      <formula>AND(IF(OR($Q35=1,$Q35=2),1,0),IF($X35&lt;=20,1,0))</formula>
    </cfRule>
    <cfRule type="expression" dxfId="14894" priority="788">
      <formula>AND(IF($Q35=2,1,0),IF($X35&lt;30,1,0))</formula>
    </cfRule>
    <cfRule type="expression" dxfId="14893" priority="789">
      <formula>AND(IF($Q35=3,1,0),IF($X35&lt;30,1,0))</formula>
    </cfRule>
    <cfRule type="expression" dxfId="14892" priority="790">
      <formula>AND(IF($Q35=3,1,IF($Q35=4,1,0)),IF($F35&lt;=85,1,0))</formula>
    </cfRule>
  </conditionalFormatting>
  <conditionalFormatting sqref="AI35">
    <cfRule type="expression" dxfId="14891" priority="783">
      <formula>AND(IF(OR($Q35=1,$Q35=2),1,0),IF($X35&lt;=20,1,0))</formula>
    </cfRule>
    <cfRule type="expression" dxfId="14890" priority="784">
      <formula>AND(IF($Q35=2,1,0),IF($X35&lt;30,1,0))</formula>
    </cfRule>
    <cfRule type="expression" dxfId="14889" priority="785">
      <formula>AND(IF($Q35=3,1,0),IF($X35&lt;30,1,0))</formula>
    </cfRule>
    <cfRule type="expression" dxfId="14888" priority="786">
      <formula>AND(IF($Q35=3,1,IF($Q35=4,1,0)),IF($F35&lt;=85,1,0))</formula>
    </cfRule>
  </conditionalFormatting>
  <conditionalFormatting sqref="AV36">
    <cfRule type="expression" dxfId="14887" priority="781">
      <formula>AV36="X"</formula>
    </cfRule>
    <cfRule type="expression" dxfId="14886" priority="782">
      <formula>AV36="후보"</formula>
    </cfRule>
  </conditionalFormatting>
  <conditionalFormatting sqref="AC36 N36">
    <cfRule type="cellIs" dxfId="14885" priority="778" operator="greaterThan">
      <formula>0.9</formula>
    </cfRule>
    <cfRule type="cellIs" dxfId="14884" priority="779" operator="greaterThan">
      <formula>0.85</formula>
    </cfRule>
  </conditionalFormatting>
  <conditionalFormatting sqref="AV37">
    <cfRule type="expression" dxfId="14883" priority="776">
      <formula>AV37="X"</formula>
    </cfRule>
    <cfRule type="expression" dxfId="14882" priority="777">
      <formula>AV37="후보"</formula>
    </cfRule>
  </conditionalFormatting>
  <conditionalFormatting sqref="AC37">
    <cfRule type="cellIs" dxfId="14881" priority="773" operator="greaterThan">
      <formula>0.9</formula>
    </cfRule>
    <cfRule type="cellIs" dxfId="14880" priority="774" operator="greaterThan">
      <formula>0.85</formula>
    </cfRule>
  </conditionalFormatting>
  <conditionalFormatting sqref="N37">
    <cfRule type="cellIs" dxfId="14879" priority="771" operator="greaterThan">
      <formula>0.9</formula>
    </cfRule>
    <cfRule type="cellIs" dxfId="14878" priority="772" operator="greaterThan">
      <formula>0.85</formula>
    </cfRule>
  </conditionalFormatting>
  <conditionalFormatting sqref="E37">
    <cfRule type="expression" dxfId="14877" priority="767">
      <formula>AND(IF(OR($Q37=1,$Q37=2),1,0),IF($X37&lt;=20,1,0))</formula>
    </cfRule>
    <cfRule type="expression" dxfId="14876" priority="768">
      <formula>AND(IF($Q37=2,1,0),IF($X37&lt;30,1,0))</formula>
    </cfRule>
    <cfRule type="expression" dxfId="14875" priority="769">
      <formula>AND(IF($Q37=3,1,0),IF($X37&lt;30,1,0))</formula>
    </cfRule>
    <cfRule type="expression" dxfId="14874" priority="770">
      <formula>AND(IF($Q37=3,1,IF($Q37=4,1,0)),IF($F37&lt;=85,1,0))</formula>
    </cfRule>
  </conditionalFormatting>
  <conditionalFormatting sqref="X37">
    <cfRule type="expression" dxfId="14873" priority="763">
      <formula>AND(IF(OR($Q37=1,$Q37=2),1,0),IF($X37&lt;=20,1,0))</formula>
    </cfRule>
    <cfRule type="expression" dxfId="14872" priority="764">
      <formula>AND(IF($Q37=2,1,0),IF($X37&lt;30,1,0))</formula>
    </cfRule>
    <cfRule type="expression" dxfId="14871" priority="765">
      <formula>AND(IF($Q37=3,1,0),IF($X37&lt;30,1,0))</formula>
    </cfRule>
    <cfRule type="expression" dxfId="14870" priority="766">
      <formula>AND(IF($Q37=3,1,IF($Q37=4,1,0)),IF($F37&lt;=85,1,0))</formula>
    </cfRule>
  </conditionalFormatting>
  <conditionalFormatting sqref="AI37">
    <cfRule type="expression" dxfId="14869" priority="759">
      <formula>AND(IF(OR($Q37=1,$Q37=2),1,0),IF($X37&lt;=20,1,0))</formula>
    </cfRule>
    <cfRule type="expression" dxfId="14868" priority="760">
      <formula>AND(IF($Q37=2,1,0),IF($X37&lt;30,1,0))</formula>
    </cfRule>
    <cfRule type="expression" dxfId="14867" priority="761">
      <formula>AND(IF($Q37=3,1,0),IF($X37&lt;30,1,0))</formula>
    </cfRule>
    <cfRule type="expression" dxfId="14866" priority="762">
      <formula>AND(IF($Q37=3,1,IF($Q37=4,1,0)),IF($F37&lt;=85,1,0))</formula>
    </cfRule>
  </conditionalFormatting>
  <conditionalFormatting sqref="AV38">
    <cfRule type="expression" dxfId="14865" priority="757">
      <formula>AV38="X"</formula>
    </cfRule>
    <cfRule type="expression" dxfId="14864" priority="758">
      <formula>AV38="후보"</formula>
    </cfRule>
  </conditionalFormatting>
  <conditionalFormatting sqref="AC38">
    <cfRule type="cellIs" dxfId="14863" priority="754" operator="greaterThan">
      <formula>0.9</formula>
    </cfRule>
    <cfRule type="cellIs" dxfId="14862" priority="755" operator="greaterThan">
      <formula>0.85</formula>
    </cfRule>
  </conditionalFormatting>
  <conditionalFormatting sqref="N38">
    <cfRule type="cellIs" dxfId="14861" priority="752" operator="greaterThan">
      <formula>0.9</formula>
    </cfRule>
    <cfRule type="cellIs" dxfId="14860" priority="753" operator="greaterThan">
      <formula>0.85</formula>
    </cfRule>
  </conditionalFormatting>
  <conditionalFormatting sqref="E38">
    <cfRule type="expression" dxfId="14859" priority="748">
      <formula>AND(IF(OR($Q38=1,$Q38=2),1,0),IF($X38&lt;=20,1,0))</formula>
    </cfRule>
    <cfRule type="expression" dxfId="14858" priority="749">
      <formula>AND(IF($Q38=2,1,0),IF($X38&lt;30,1,0))</formula>
    </cfRule>
    <cfRule type="expression" dxfId="14857" priority="750">
      <formula>AND(IF($Q38=3,1,0),IF($X38&lt;30,1,0))</formula>
    </cfRule>
    <cfRule type="expression" dxfId="14856" priority="751">
      <formula>AND(IF($Q38=3,1,IF($Q38=4,1,0)),IF($F38&lt;=85,1,0))</formula>
    </cfRule>
  </conditionalFormatting>
  <conditionalFormatting sqref="X38">
    <cfRule type="expression" dxfId="14855" priority="744">
      <formula>AND(IF(OR($Q38=1,$Q38=2),1,0),IF($X38&lt;=20,1,0))</formula>
    </cfRule>
    <cfRule type="expression" dxfId="14854" priority="745">
      <formula>AND(IF($Q38=2,1,0),IF($X38&lt;30,1,0))</formula>
    </cfRule>
    <cfRule type="expression" dxfId="14853" priority="746">
      <formula>AND(IF($Q38=3,1,0),IF($X38&lt;30,1,0))</formula>
    </cfRule>
    <cfRule type="expression" dxfId="14852" priority="747">
      <formula>AND(IF($Q38=3,1,IF($Q38=4,1,0)),IF($F38&lt;=85,1,0))</formula>
    </cfRule>
  </conditionalFormatting>
  <conditionalFormatting sqref="AI38">
    <cfRule type="expression" dxfId="14851" priority="740">
      <formula>AND(IF(OR($Q38=1,$Q38=2),1,0),IF($X38&lt;=20,1,0))</formula>
    </cfRule>
    <cfRule type="expression" dxfId="14850" priority="741">
      <formula>AND(IF($Q38=2,1,0),IF($X38&lt;30,1,0))</formula>
    </cfRule>
    <cfRule type="expression" dxfId="14849" priority="742">
      <formula>AND(IF($Q38=3,1,0),IF($X38&lt;30,1,0))</formula>
    </cfRule>
    <cfRule type="expression" dxfId="14848" priority="743">
      <formula>AND(IF($Q38=3,1,IF($Q38=4,1,0)),IF($F38&lt;=85,1,0))</formula>
    </cfRule>
  </conditionalFormatting>
  <conditionalFormatting sqref="AV39">
    <cfRule type="expression" dxfId="14847" priority="738">
      <formula>AV39="X"</formula>
    </cfRule>
    <cfRule type="expression" dxfId="14846" priority="739">
      <formula>AV39="후보"</formula>
    </cfRule>
  </conditionalFormatting>
  <conditionalFormatting sqref="AC39">
    <cfRule type="cellIs" dxfId="14845" priority="735" operator="greaterThan">
      <formula>0.9</formula>
    </cfRule>
    <cfRule type="cellIs" dxfId="14844" priority="736" operator="greaterThan">
      <formula>0.85</formula>
    </cfRule>
  </conditionalFormatting>
  <conditionalFormatting sqref="N39">
    <cfRule type="cellIs" dxfId="14843" priority="733" operator="greaterThan">
      <formula>0.9</formula>
    </cfRule>
    <cfRule type="cellIs" dxfId="14842" priority="734" operator="greaterThan">
      <formula>0.85</formula>
    </cfRule>
  </conditionalFormatting>
  <conditionalFormatting sqref="E39">
    <cfRule type="expression" dxfId="14841" priority="729">
      <formula>AND(IF(OR($Q39=1,$Q39=2),1,0),IF($X39&lt;=20,1,0))</formula>
    </cfRule>
    <cfRule type="expression" dxfId="14840" priority="730">
      <formula>AND(IF($Q39=2,1,0),IF($X39&lt;30,1,0))</formula>
    </cfRule>
    <cfRule type="expression" dxfId="14839" priority="731">
      <formula>AND(IF($Q39=3,1,0),IF($X39&lt;30,1,0))</formula>
    </cfRule>
    <cfRule type="expression" dxfId="14838" priority="732">
      <formula>AND(IF($Q39=3,1,IF($Q39=4,1,0)),IF($F39&lt;=85,1,0))</formula>
    </cfRule>
  </conditionalFormatting>
  <conditionalFormatting sqref="X39">
    <cfRule type="expression" dxfId="14837" priority="725">
      <formula>AND(IF(OR($Q39=1,$Q39=2),1,0),IF($X39&lt;=20,1,0))</formula>
    </cfRule>
    <cfRule type="expression" dxfId="14836" priority="726">
      <formula>AND(IF($Q39=2,1,0),IF($X39&lt;30,1,0))</formula>
    </cfRule>
    <cfRule type="expression" dxfId="14835" priority="727">
      <formula>AND(IF($Q39=3,1,0),IF($X39&lt;30,1,0))</formula>
    </cfRule>
    <cfRule type="expression" dxfId="14834" priority="728">
      <formula>AND(IF($Q39=3,1,IF($Q39=4,1,0)),IF($F39&lt;=85,1,0))</formula>
    </cfRule>
  </conditionalFormatting>
  <conditionalFormatting sqref="AI39">
    <cfRule type="expression" dxfId="14833" priority="721">
      <formula>AND(IF(OR($Q39=1,$Q39=2),1,0),IF($X39&lt;=20,1,0))</formula>
    </cfRule>
    <cfRule type="expression" dxfId="14832" priority="722">
      <formula>AND(IF($Q39=2,1,0),IF($X39&lt;30,1,0))</formula>
    </cfRule>
    <cfRule type="expression" dxfId="14831" priority="723">
      <formula>AND(IF($Q39=3,1,0),IF($X39&lt;30,1,0))</formula>
    </cfRule>
    <cfRule type="expression" dxfId="14830" priority="724">
      <formula>AND(IF($Q39=3,1,IF($Q39=4,1,0)),IF($F39&lt;=85,1,0))</formula>
    </cfRule>
  </conditionalFormatting>
  <conditionalFormatting sqref="AV40">
    <cfRule type="expression" dxfId="14829" priority="719">
      <formula>AV40="X"</formula>
    </cfRule>
    <cfRule type="expression" dxfId="14828" priority="720">
      <formula>AV40="후보"</formula>
    </cfRule>
  </conditionalFormatting>
  <conditionalFormatting sqref="AC40">
    <cfRule type="cellIs" dxfId="14827" priority="716" operator="greaterThan">
      <formula>0.9</formula>
    </cfRule>
    <cfRule type="cellIs" dxfId="14826" priority="717" operator="greaterThan">
      <formula>0.85</formula>
    </cfRule>
  </conditionalFormatting>
  <conditionalFormatting sqref="N40">
    <cfRule type="cellIs" dxfId="14825" priority="714" operator="greaterThan">
      <formula>0.9</formula>
    </cfRule>
    <cfRule type="cellIs" dxfId="14824" priority="715" operator="greaterThan">
      <formula>0.85</formula>
    </cfRule>
  </conditionalFormatting>
  <conditionalFormatting sqref="E40">
    <cfRule type="expression" dxfId="14823" priority="710">
      <formula>AND(IF(OR($Q40=1,$Q40=2),1,0),IF($X40&lt;=20,1,0))</formula>
    </cfRule>
    <cfRule type="expression" dxfId="14822" priority="711">
      <formula>AND(IF($Q40=2,1,0),IF($X40&lt;30,1,0))</formula>
    </cfRule>
    <cfRule type="expression" dxfId="14821" priority="712">
      <formula>AND(IF($Q40=3,1,0),IF($X40&lt;30,1,0))</formula>
    </cfRule>
    <cfRule type="expression" dxfId="14820" priority="713">
      <formula>AND(IF($Q40=3,1,IF($Q40=4,1,0)),IF($F40&lt;=85,1,0))</formula>
    </cfRule>
  </conditionalFormatting>
  <conditionalFormatting sqref="X40">
    <cfRule type="expression" dxfId="14819" priority="706">
      <formula>AND(IF(OR($Q40=1,$Q40=2),1,0),IF($X40&lt;=20,1,0))</formula>
    </cfRule>
    <cfRule type="expression" dxfId="14818" priority="707">
      <formula>AND(IF($Q40=2,1,0),IF($X40&lt;30,1,0))</formula>
    </cfRule>
    <cfRule type="expression" dxfId="14817" priority="708">
      <formula>AND(IF($Q40=3,1,0),IF($X40&lt;30,1,0))</formula>
    </cfRule>
    <cfRule type="expression" dxfId="14816" priority="709">
      <formula>AND(IF($Q40=3,1,IF($Q40=4,1,0)),IF($F40&lt;=85,1,0))</formula>
    </cfRule>
  </conditionalFormatting>
  <conditionalFormatting sqref="AI40">
    <cfRule type="expression" dxfId="14815" priority="702">
      <formula>AND(IF(OR($Q40=1,$Q40=2),1,0),IF($X40&lt;=20,1,0))</formula>
    </cfRule>
    <cfRule type="expression" dxfId="14814" priority="703">
      <formula>AND(IF($Q40=2,1,0),IF($X40&lt;30,1,0))</formula>
    </cfRule>
    <cfRule type="expression" dxfId="14813" priority="704">
      <formula>AND(IF($Q40=3,1,0),IF($X40&lt;30,1,0))</formula>
    </cfRule>
    <cfRule type="expression" dxfId="14812" priority="705">
      <formula>AND(IF($Q40=3,1,IF($Q40=4,1,0)),IF($F40&lt;=85,1,0))</formula>
    </cfRule>
  </conditionalFormatting>
  <conditionalFormatting sqref="AV41">
    <cfRule type="expression" dxfId="14811" priority="700">
      <formula>AV41="X"</formula>
    </cfRule>
    <cfRule type="expression" dxfId="14810" priority="701">
      <formula>AV41="후보"</formula>
    </cfRule>
  </conditionalFormatting>
  <conditionalFormatting sqref="AC41 N41">
    <cfRule type="cellIs" dxfId="14809" priority="697" operator="greaterThan">
      <formula>0.9</formula>
    </cfRule>
    <cfRule type="cellIs" dxfId="14808" priority="698" operator="greaterThan">
      <formula>0.85</formula>
    </cfRule>
  </conditionalFormatting>
  <conditionalFormatting sqref="AV42">
    <cfRule type="expression" dxfId="14807" priority="695">
      <formula>AV42="X"</formula>
    </cfRule>
    <cfRule type="expression" dxfId="14806" priority="696">
      <formula>AV42="후보"</formula>
    </cfRule>
  </conditionalFormatting>
  <conditionalFormatting sqref="AC42">
    <cfRule type="cellIs" dxfId="14805" priority="692" operator="greaterThan">
      <formula>0.9</formula>
    </cfRule>
    <cfRule type="cellIs" dxfId="14804" priority="693" operator="greaterThan">
      <formula>0.85</formula>
    </cfRule>
  </conditionalFormatting>
  <conditionalFormatting sqref="N42">
    <cfRule type="cellIs" dxfId="14803" priority="690" operator="greaterThan">
      <formula>0.9</formula>
    </cfRule>
    <cfRule type="cellIs" dxfId="14802" priority="691" operator="greaterThan">
      <formula>0.85</formula>
    </cfRule>
  </conditionalFormatting>
  <conditionalFormatting sqref="E42">
    <cfRule type="expression" dxfId="14801" priority="686">
      <formula>AND(IF(OR($Q42=1,$Q42=2),1,0),IF($X42&lt;=20,1,0))</formula>
    </cfRule>
    <cfRule type="expression" dxfId="14800" priority="687">
      <formula>AND(IF($Q42=2,1,0),IF($X42&lt;30,1,0))</formula>
    </cfRule>
    <cfRule type="expression" dxfId="14799" priority="688">
      <formula>AND(IF($Q42=3,1,0),IF($X42&lt;30,1,0))</formula>
    </cfRule>
    <cfRule type="expression" dxfId="14798" priority="689">
      <formula>AND(IF($Q42=3,1,IF($Q42=4,1,0)),IF($F42&lt;=85,1,0))</formula>
    </cfRule>
  </conditionalFormatting>
  <conditionalFormatting sqref="X42">
    <cfRule type="expression" dxfId="14797" priority="682">
      <formula>AND(IF(OR($Q42=1,$Q42=2),1,0),IF($X42&lt;=20,1,0))</formula>
    </cfRule>
    <cfRule type="expression" dxfId="14796" priority="683">
      <formula>AND(IF($Q42=2,1,0),IF($X42&lt;30,1,0))</formula>
    </cfRule>
    <cfRule type="expression" dxfId="14795" priority="684">
      <formula>AND(IF($Q42=3,1,0),IF($X42&lt;30,1,0))</formula>
    </cfRule>
    <cfRule type="expression" dxfId="14794" priority="685">
      <formula>AND(IF($Q42=3,1,IF($Q42=4,1,0)),IF($F42&lt;=85,1,0))</formula>
    </cfRule>
  </conditionalFormatting>
  <conditionalFormatting sqref="AI42">
    <cfRule type="expression" dxfId="14793" priority="678">
      <formula>AND(IF(OR($Q42=1,$Q42=2),1,0),IF($X42&lt;=20,1,0))</formula>
    </cfRule>
    <cfRule type="expression" dxfId="14792" priority="679">
      <formula>AND(IF($Q42=2,1,0),IF($X42&lt;30,1,0))</formula>
    </cfRule>
    <cfRule type="expression" dxfId="14791" priority="680">
      <formula>AND(IF($Q42=3,1,0),IF($X42&lt;30,1,0))</formula>
    </cfRule>
    <cfRule type="expression" dxfId="14790" priority="681">
      <formula>AND(IF($Q42=3,1,IF($Q42=4,1,0)),IF($F42&lt;=85,1,0))</formula>
    </cfRule>
  </conditionalFormatting>
  <conditionalFormatting sqref="AV43">
    <cfRule type="expression" dxfId="14789" priority="676">
      <formula>AV43="X"</formula>
    </cfRule>
    <cfRule type="expression" dxfId="14788" priority="677">
      <formula>AV43="후보"</formula>
    </cfRule>
  </conditionalFormatting>
  <conditionalFormatting sqref="AC43">
    <cfRule type="cellIs" dxfId="14787" priority="673" operator="greaterThan">
      <formula>0.9</formula>
    </cfRule>
    <cfRule type="cellIs" dxfId="14786" priority="674" operator="greaterThan">
      <formula>0.85</formula>
    </cfRule>
  </conditionalFormatting>
  <conditionalFormatting sqref="N43">
    <cfRule type="cellIs" dxfId="14785" priority="671" operator="greaterThan">
      <formula>0.9</formula>
    </cfRule>
    <cfRule type="cellIs" dxfId="14784" priority="672" operator="greaterThan">
      <formula>0.85</formula>
    </cfRule>
  </conditionalFormatting>
  <conditionalFormatting sqref="E43">
    <cfRule type="expression" dxfId="14783" priority="667">
      <formula>AND(IF(OR($Q43=1,$Q43=2),1,0),IF($X43&lt;=20,1,0))</formula>
    </cfRule>
    <cfRule type="expression" dxfId="14782" priority="668">
      <formula>AND(IF($Q43=2,1,0),IF($X43&lt;30,1,0))</formula>
    </cfRule>
    <cfRule type="expression" dxfId="14781" priority="669">
      <formula>AND(IF($Q43=3,1,0),IF($X43&lt;30,1,0))</formula>
    </cfRule>
    <cfRule type="expression" dxfId="14780" priority="670">
      <formula>AND(IF($Q43=3,1,IF($Q43=4,1,0)),IF($F43&lt;=85,1,0))</formula>
    </cfRule>
  </conditionalFormatting>
  <conditionalFormatting sqref="X43">
    <cfRule type="expression" dxfId="14779" priority="663">
      <formula>AND(IF(OR($Q43=1,$Q43=2),1,0),IF($X43&lt;=20,1,0))</formula>
    </cfRule>
    <cfRule type="expression" dxfId="14778" priority="664">
      <formula>AND(IF($Q43=2,1,0),IF($X43&lt;30,1,0))</formula>
    </cfRule>
    <cfRule type="expression" dxfId="14777" priority="665">
      <formula>AND(IF($Q43=3,1,0),IF($X43&lt;30,1,0))</formula>
    </cfRule>
    <cfRule type="expression" dxfId="14776" priority="666">
      <formula>AND(IF($Q43=3,1,IF($Q43=4,1,0)),IF($F43&lt;=85,1,0))</formula>
    </cfRule>
  </conditionalFormatting>
  <conditionalFormatting sqref="AI43">
    <cfRule type="expression" dxfId="14775" priority="659">
      <formula>AND(IF(OR($Q43=1,$Q43=2),1,0),IF($X43&lt;=20,1,0))</formula>
    </cfRule>
    <cfRule type="expression" dxfId="14774" priority="660">
      <formula>AND(IF($Q43=2,1,0),IF($X43&lt;30,1,0))</formula>
    </cfRule>
    <cfRule type="expression" dxfId="14773" priority="661">
      <formula>AND(IF($Q43=3,1,0),IF($X43&lt;30,1,0))</formula>
    </cfRule>
    <cfRule type="expression" dxfId="14772" priority="662">
      <formula>AND(IF($Q43=3,1,IF($Q43=4,1,0)),IF($F43&lt;=85,1,0))</formula>
    </cfRule>
  </conditionalFormatting>
  <conditionalFormatting sqref="AV44">
    <cfRule type="expression" dxfId="14771" priority="657">
      <formula>AV44="X"</formula>
    </cfRule>
    <cfRule type="expression" dxfId="14770" priority="658">
      <formula>AV44="후보"</formula>
    </cfRule>
  </conditionalFormatting>
  <conditionalFormatting sqref="AC44">
    <cfRule type="cellIs" dxfId="14769" priority="654" operator="greaterThan">
      <formula>0.9</formula>
    </cfRule>
    <cfRule type="cellIs" dxfId="14768" priority="655" operator="greaterThan">
      <formula>0.85</formula>
    </cfRule>
  </conditionalFormatting>
  <conditionalFormatting sqref="N44">
    <cfRule type="cellIs" dxfId="14767" priority="652" operator="greaterThan">
      <formula>0.9</formula>
    </cfRule>
    <cfRule type="cellIs" dxfId="14766" priority="653" operator="greaterThan">
      <formula>0.85</formula>
    </cfRule>
  </conditionalFormatting>
  <conditionalFormatting sqref="E44">
    <cfRule type="expression" dxfId="14765" priority="648">
      <formula>AND(IF(OR($Q44=1,$Q44=2),1,0),IF($X44&lt;=20,1,0))</formula>
    </cfRule>
    <cfRule type="expression" dxfId="14764" priority="649">
      <formula>AND(IF($Q44=2,1,0),IF($X44&lt;30,1,0))</formula>
    </cfRule>
    <cfRule type="expression" dxfId="14763" priority="650">
      <formula>AND(IF($Q44=3,1,0),IF($X44&lt;30,1,0))</formula>
    </cfRule>
    <cfRule type="expression" dxfId="14762" priority="651">
      <formula>AND(IF($Q44=3,1,IF($Q44=4,1,0)),IF($F44&lt;=85,1,0))</formula>
    </cfRule>
  </conditionalFormatting>
  <conditionalFormatting sqref="X44">
    <cfRule type="expression" dxfId="14761" priority="644">
      <formula>AND(IF(OR($Q44=1,$Q44=2),1,0),IF($X44&lt;=20,1,0))</formula>
    </cfRule>
    <cfRule type="expression" dxfId="14760" priority="645">
      <formula>AND(IF($Q44=2,1,0),IF($X44&lt;30,1,0))</formula>
    </cfRule>
    <cfRule type="expression" dxfId="14759" priority="646">
      <formula>AND(IF($Q44=3,1,0),IF($X44&lt;30,1,0))</formula>
    </cfRule>
    <cfRule type="expression" dxfId="14758" priority="647">
      <formula>AND(IF($Q44=3,1,IF($Q44=4,1,0)),IF($F44&lt;=85,1,0))</formula>
    </cfRule>
  </conditionalFormatting>
  <conditionalFormatting sqref="AI44">
    <cfRule type="expression" dxfId="14757" priority="640">
      <formula>AND(IF(OR($Q44=1,$Q44=2),1,0),IF($X44&lt;=20,1,0))</formula>
    </cfRule>
    <cfRule type="expression" dxfId="14756" priority="641">
      <formula>AND(IF($Q44=2,1,0),IF($X44&lt;30,1,0))</formula>
    </cfRule>
    <cfRule type="expression" dxfId="14755" priority="642">
      <formula>AND(IF($Q44=3,1,0),IF($X44&lt;30,1,0))</formula>
    </cfRule>
    <cfRule type="expression" dxfId="14754" priority="643">
      <formula>AND(IF($Q44=3,1,IF($Q44=4,1,0)),IF($F44&lt;=85,1,0))</formula>
    </cfRule>
  </conditionalFormatting>
  <conditionalFormatting sqref="AV45">
    <cfRule type="expression" dxfId="14753" priority="638">
      <formula>AV45="X"</formula>
    </cfRule>
    <cfRule type="expression" dxfId="14752" priority="639">
      <formula>AV45="후보"</formula>
    </cfRule>
  </conditionalFormatting>
  <conditionalFormatting sqref="AC45">
    <cfRule type="cellIs" dxfId="14751" priority="635" operator="greaterThan">
      <formula>0.9</formula>
    </cfRule>
    <cfRule type="cellIs" dxfId="14750" priority="636" operator="greaterThan">
      <formula>0.85</formula>
    </cfRule>
  </conditionalFormatting>
  <conditionalFormatting sqref="N45">
    <cfRule type="cellIs" dxfId="14749" priority="633" operator="greaterThan">
      <formula>0.9</formula>
    </cfRule>
    <cfRule type="cellIs" dxfId="14748" priority="634" operator="greaterThan">
      <formula>0.85</formula>
    </cfRule>
  </conditionalFormatting>
  <conditionalFormatting sqref="E45">
    <cfRule type="expression" dxfId="14747" priority="629">
      <formula>AND(IF(OR($Q45=1,$Q45=2),1,0),IF($X45&lt;=20,1,0))</formula>
    </cfRule>
    <cfRule type="expression" dxfId="14746" priority="630">
      <formula>AND(IF($Q45=2,1,0),IF($X45&lt;30,1,0))</formula>
    </cfRule>
    <cfRule type="expression" dxfId="14745" priority="631">
      <formula>AND(IF($Q45=3,1,0),IF($X45&lt;30,1,0))</formula>
    </cfRule>
    <cfRule type="expression" dxfId="14744" priority="632">
      <formula>AND(IF($Q45=3,1,IF($Q45=4,1,0)),IF($F45&lt;=85,1,0))</formula>
    </cfRule>
  </conditionalFormatting>
  <conditionalFormatting sqref="X45">
    <cfRule type="expression" dxfId="14743" priority="625">
      <formula>AND(IF(OR($Q45=1,$Q45=2),1,0),IF($X45&lt;=20,1,0))</formula>
    </cfRule>
    <cfRule type="expression" dxfId="14742" priority="626">
      <formula>AND(IF($Q45=2,1,0),IF($X45&lt;30,1,0))</formula>
    </cfRule>
    <cfRule type="expression" dxfId="14741" priority="627">
      <formula>AND(IF($Q45=3,1,0),IF($X45&lt;30,1,0))</formula>
    </cfRule>
    <cfRule type="expression" dxfId="14740" priority="628">
      <formula>AND(IF($Q45=3,1,IF($Q45=4,1,0)),IF($F45&lt;=85,1,0))</formula>
    </cfRule>
  </conditionalFormatting>
  <conditionalFormatting sqref="AI45">
    <cfRule type="expression" dxfId="14739" priority="621">
      <formula>AND(IF(OR($Q45=1,$Q45=2),1,0),IF($X45&lt;=20,1,0))</formula>
    </cfRule>
    <cfRule type="expression" dxfId="14738" priority="622">
      <formula>AND(IF($Q45=2,1,0),IF($X45&lt;30,1,0))</formula>
    </cfRule>
    <cfRule type="expression" dxfId="14737" priority="623">
      <formula>AND(IF($Q45=3,1,0),IF($X45&lt;30,1,0))</formula>
    </cfRule>
    <cfRule type="expression" dxfId="14736" priority="624">
      <formula>AND(IF($Q45=3,1,IF($Q45=4,1,0)),IF($F45&lt;=85,1,0))</formula>
    </cfRule>
  </conditionalFormatting>
  <conditionalFormatting sqref="AV46">
    <cfRule type="expression" dxfId="14735" priority="619">
      <formula>AV46="X"</formula>
    </cfRule>
    <cfRule type="expression" dxfId="14734" priority="620">
      <formula>AV46="후보"</formula>
    </cfRule>
  </conditionalFormatting>
  <conditionalFormatting sqref="AC46 N46">
    <cfRule type="cellIs" dxfId="14733" priority="616" operator="greaterThan">
      <formula>0.9</formula>
    </cfRule>
    <cfRule type="cellIs" dxfId="14732" priority="617" operator="greaterThan">
      <formula>0.85</formula>
    </cfRule>
  </conditionalFormatting>
  <conditionalFormatting sqref="AV47">
    <cfRule type="expression" dxfId="14731" priority="614">
      <formula>AV47="X"</formula>
    </cfRule>
    <cfRule type="expression" dxfId="14730" priority="615">
      <formula>AV47="후보"</formula>
    </cfRule>
  </conditionalFormatting>
  <conditionalFormatting sqref="AC47">
    <cfRule type="cellIs" dxfId="14729" priority="611" operator="greaterThan">
      <formula>0.9</formula>
    </cfRule>
    <cfRule type="cellIs" dxfId="14728" priority="612" operator="greaterThan">
      <formula>0.85</formula>
    </cfRule>
  </conditionalFormatting>
  <conditionalFormatting sqref="N47">
    <cfRule type="cellIs" dxfId="14727" priority="609" operator="greaterThan">
      <formula>0.9</formula>
    </cfRule>
    <cfRule type="cellIs" dxfId="14726" priority="610" operator="greaterThan">
      <formula>0.85</formula>
    </cfRule>
  </conditionalFormatting>
  <conditionalFormatting sqref="E47">
    <cfRule type="expression" dxfId="14725" priority="605">
      <formula>AND(IF(OR($Q47=1,$Q47=2),1,0),IF($X47&lt;=20,1,0))</formula>
    </cfRule>
    <cfRule type="expression" dxfId="14724" priority="606">
      <formula>AND(IF($Q47=2,1,0),IF($X47&lt;30,1,0))</formula>
    </cfRule>
    <cfRule type="expression" dxfId="14723" priority="607">
      <formula>AND(IF($Q47=3,1,0),IF($X47&lt;30,1,0))</formula>
    </cfRule>
    <cfRule type="expression" dxfId="14722" priority="608">
      <formula>AND(IF($Q47=3,1,IF($Q47=4,1,0)),IF($F47&lt;=85,1,0))</formula>
    </cfRule>
  </conditionalFormatting>
  <conditionalFormatting sqref="X47">
    <cfRule type="expression" dxfId="14721" priority="601">
      <formula>AND(IF(OR($Q47=1,$Q47=2),1,0),IF($X47&lt;=20,1,0))</formula>
    </cfRule>
    <cfRule type="expression" dxfId="14720" priority="602">
      <formula>AND(IF($Q47=2,1,0),IF($X47&lt;30,1,0))</formula>
    </cfRule>
    <cfRule type="expression" dxfId="14719" priority="603">
      <formula>AND(IF($Q47=3,1,0),IF($X47&lt;30,1,0))</formula>
    </cfRule>
    <cfRule type="expression" dxfId="14718" priority="604">
      <formula>AND(IF($Q47=3,1,IF($Q47=4,1,0)),IF($F47&lt;=85,1,0))</formula>
    </cfRule>
  </conditionalFormatting>
  <conditionalFormatting sqref="AI47">
    <cfRule type="expression" dxfId="14717" priority="597">
      <formula>AND(IF(OR($Q47=1,$Q47=2),1,0),IF($X47&lt;=20,1,0))</formula>
    </cfRule>
    <cfRule type="expression" dxfId="14716" priority="598">
      <formula>AND(IF($Q47=2,1,0),IF($X47&lt;30,1,0))</formula>
    </cfRule>
    <cfRule type="expression" dxfId="14715" priority="599">
      <formula>AND(IF($Q47=3,1,0),IF($X47&lt;30,1,0))</formula>
    </cfRule>
    <cfRule type="expression" dxfId="14714" priority="600">
      <formula>AND(IF($Q47=3,1,IF($Q47=4,1,0)),IF($F47&lt;=85,1,0))</formula>
    </cfRule>
  </conditionalFormatting>
  <conditionalFormatting sqref="AV48">
    <cfRule type="expression" dxfId="14713" priority="595">
      <formula>AV48="X"</formula>
    </cfRule>
    <cfRule type="expression" dxfId="14712" priority="596">
      <formula>AV48="후보"</formula>
    </cfRule>
  </conditionalFormatting>
  <conditionalFormatting sqref="AC48">
    <cfRule type="cellIs" dxfId="14711" priority="592" operator="greaterThan">
      <formula>0.9</formula>
    </cfRule>
    <cfRule type="cellIs" dxfId="14710" priority="593" operator="greaterThan">
      <formula>0.85</formula>
    </cfRule>
  </conditionalFormatting>
  <conditionalFormatting sqref="N48">
    <cfRule type="cellIs" dxfId="14709" priority="590" operator="greaterThan">
      <formula>0.9</formula>
    </cfRule>
    <cfRule type="cellIs" dxfId="14708" priority="591" operator="greaterThan">
      <formula>0.85</formula>
    </cfRule>
  </conditionalFormatting>
  <conditionalFormatting sqref="E48">
    <cfRule type="expression" dxfId="14707" priority="586">
      <formula>AND(IF(OR($Q48=1,$Q48=2),1,0),IF($X48&lt;=20,1,0))</formula>
    </cfRule>
    <cfRule type="expression" dxfId="14706" priority="587">
      <formula>AND(IF($Q48=2,1,0),IF($X48&lt;30,1,0))</formula>
    </cfRule>
    <cfRule type="expression" dxfId="14705" priority="588">
      <formula>AND(IF($Q48=3,1,0),IF($X48&lt;30,1,0))</formula>
    </cfRule>
    <cfRule type="expression" dxfId="14704" priority="589">
      <formula>AND(IF($Q48=3,1,IF($Q48=4,1,0)),IF($F48&lt;=85,1,0))</formula>
    </cfRule>
  </conditionalFormatting>
  <conditionalFormatting sqref="X48">
    <cfRule type="expression" dxfId="14703" priority="582">
      <formula>AND(IF(OR($Q48=1,$Q48=2),1,0),IF($X48&lt;=20,1,0))</formula>
    </cfRule>
    <cfRule type="expression" dxfId="14702" priority="583">
      <formula>AND(IF($Q48=2,1,0),IF($X48&lt;30,1,0))</formula>
    </cfRule>
    <cfRule type="expression" dxfId="14701" priority="584">
      <formula>AND(IF($Q48=3,1,0),IF($X48&lt;30,1,0))</formula>
    </cfRule>
    <cfRule type="expression" dxfId="14700" priority="585">
      <formula>AND(IF($Q48=3,1,IF($Q48=4,1,0)),IF($F48&lt;=85,1,0))</formula>
    </cfRule>
  </conditionalFormatting>
  <conditionalFormatting sqref="AI48">
    <cfRule type="expression" dxfId="14699" priority="578">
      <formula>AND(IF(OR($Q48=1,$Q48=2),1,0),IF($X48&lt;=20,1,0))</formula>
    </cfRule>
    <cfRule type="expression" dxfId="14698" priority="579">
      <formula>AND(IF($Q48=2,1,0),IF($X48&lt;30,1,0))</formula>
    </cfRule>
    <cfRule type="expression" dxfId="14697" priority="580">
      <formula>AND(IF($Q48=3,1,0),IF($X48&lt;30,1,0))</formula>
    </cfRule>
    <cfRule type="expression" dxfId="14696" priority="581">
      <formula>AND(IF($Q48=3,1,IF($Q48=4,1,0)),IF($F48&lt;=85,1,0))</formula>
    </cfRule>
  </conditionalFormatting>
  <conditionalFormatting sqref="AV49">
    <cfRule type="expression" dxfId="14695" priority="576">
      <formula>AV49="X"</formula>
    </cfRule>
    <cfRule type="expression" dxfId="14694" priority="577">
      <formula>AV49="후보"</formula>
    </cfRule>
  </conditionalFormatting>
  <conditionalFormatting sqref="AC49">
    <cfRule type="cellIs" dxfId="14693" priority="573" operator="greaterThan">
      <formula>0.9</formula>
    </cfRule>
    <cfRule type="cellIs" dxfId="14692" priority="574" operator="greaterThan">
      <formula>0.85</formula>
    </cfRule>
  </conditionalFormatting>
  <conditionalFormatting sqref="N49">
    <cfRule type="cellIs" dxfId="14691" priority="571" operator="greaterThan">
      <formula>0.9</formula>
    </cfRule>
    <cfRule type="cellIs" dxfId="14690" priority="572" operator="greaterThan">
      <formula>0.85</formula>
    </cfRule>
  </conditionalFormatting>
  <conditionalFormatting sqref="E49">
    <cfRule type="expression" dxfId="14689" priority="567">
      <formula>AND(IF(OR($Q49=1,$Q49=2),1,0),IF($X49&lt;=20,1,0))</formula>
    </cfRule>
    <cfRule type="expression" dxfId="14688" priority="568">
      <formula>AND(IF($Q49=2,1,0),IF($X49&lt;30,1,0))</formula>
    </cfRule>
    <cfRule type="expression" dxfId="14687" priority="569">
      <formula>AND(IF($Q49=3,1,0),IF($X49&lt;30,1,0))</formula>
    </cfRule>
    <cfRule type="expression" dxfId="14686" priority="570">
      <formula>AND(IF($Q49=3,1,IF($Q49=4,1,0)),IF($F49&lt;=85,1,0))</formula>
    </cfRule>
  </conditionalFormatting>
  <conditionalFormatting sqref="X49">
    <cfRule type="expression" dxfId="14685" priority="563">
      <formula>AND(IF(OR($Q49=1,$Q49=2),1,0),IF($X49&lt;=20,1,0))</formula>
    </cfRule>
    <cfRule type="expression" dxfId="14684" priority="564">
      <formula>AND(IF($Q49=2,1,0),IF($X49&lt;30,1,0))</formula>
    </cfRule>
    <cfRule type="expression" dxfId="14683" priority="565">
      <formula>AND(IF($Q49=3,1,0),IF($X49&lt;30,1,0))</formula>
    </cfRule>
    <cfRule type="expression" dxfId="14682" priority="566">
      <formula>AND(IF($Q49=3,1,IF($Q49=4,1,0)),IF($F49&lt;=85,1,0))</formula>
    </cfRule>
  </conditionalFormatting>
  <conditionalFormatting sqref="AI49">
    <cfRule type="expression" dxfId="14681" priority="559">
      <formula>AND(IF(OR($Q49=1,$Q49=2),1,0),IF($X49&lt;=20,1,0))</formula>
    </cfRule>
    <cfRule type="expression" dxfId="14680" priority="560">
      <formula>AND(IF($Q49=2,1,0),IF($X49&lt;30,1,0))</formula>
    </cfRule>
    <cfRule type="expression" dxfId="14679" priority="561">
      <formula>AND(IF($Q49=3,1,0),IF($X49&lt;30,1,0))</formula>
    </cfRule>
    <cfRule type="expression" dxfId="14678" priority="562">
      <formula>AND(IF($Q49=3,1,IF($Q49=4,1,0)),IF($F49&lt;=85,1,0))</formula>
    </cfRule>
  </conditionalFormatting>
  <conditionalFormatting sqref="AV50">
    <cfRule type="expression" dxfId="14677" priority="557">
      <formula>AV50="X"</formula>
    </cfRule>
    <cfRule type="expression" dxfId="14676" priority="558">
      <formula>AV50="후보"</formula>
    </cfRule>
  </conditionalFormatting>
  <conditionalFormatting sqref="AC50 N50">
    <cfRule type="cellIs" dxfId="14675" priority="554" operator="greaterThan">
      <formula>0.9</formula>
    </cfRule>
    <cfRule type="cellIs" dxfId="14674" priority="555" operator="greaterThan">
      <formula>0.85</formula>
    </cfRule>
  </conditionalFormatting>
  <conditionalFormatting sqref="AV51">
    <cfRule type="expression" dxfId="14673" priority="552">
      <formula>AV51="X"</formula>
    </cfRule>
    <cfRule type="expression" dxfId="14672" priority="553">
      <formula>AV51="후보"</formula>
    </cfRule>
  </conditionalFormatting>
  <conditionalFormatting sqref="AC51">
    <cfRule type="cellIs" dxfId="14671" priority="549" operator="greaterThan">
      <formula>0.9</formula>
    </cfRule>
    <cfRule type="cellIs" dxfId="14670" priority="550" operator="greaterThan">
      <formula>0.85</formula>
    </cfRule>
  </conditionalFormatting>
  <conditionalFormatting sqref="N51">
    <cfRule type="cellIs" dxfId="14669" priority="547" operator="greaterThan">
      <formula>0.9</formula>
    </cfRule>
    <cfRule type="cellIs" dxfId="14668" priority="548" operator="greaterThan">
      <formula>0.85</formula>
    </cfRule>
  </conditionalFormatting>
  <conditionalFormatting sqref="E51">
    <cfRule type="expression" dxfId="14667" priority="543">
      <formula>AND(IF(OR($Q51=1,$Q51=2),1,0),IF($X51&lt;=20,1,0))</formula>
    </cfRule>
    <cfRule type="expression" dxfId="14666" priority="544">
      <formula>AND(IF($Q51=2,1,0),IF($X51&lt;30,1,0))</formula>
    </cfRule>
    <cfRule type="expression" dxfId="14665" priority="545">
      <formula>AND(IF($Q51=3,1,0),IF($X51&lt;30,1,0))</formula>
    </cfRule>
    <cfRule type="expression" dxfId="14664" priority="546">
      <formula>AND(IF($Q51=3,1,IF($Q51=4,1,0)),IF($F51&lt;=85,1,0))</formula>
    </cfRule>
  </conditionalFormatting>
  <conditionalFormatting sqref="X51">
    <cfRule type="expression" dxfId="14663" priority="539">
      <formula>AND(IF(OR($Q51=1,$Q51=2),1,0),IF($X51&lt;=20,1,0))</formula>
    </cfRule>
    <cfRule type="expression" dxfId="14662" priority="540">
      <formula>AND(IF($Q51=2,1,0),IF($X51&lt;30,1,0))</formula>
    </cfRule>
    <cfRule type="expression" dxfId="14661" priority="541">
      <formula>AND(IF($Q51=3,1,0),IF($X51&lt;30,1,0))</formula>
    </cfRule>
    <cfRule type="expression" dxfId="14660" priority="542">
      <formula>AND(IF($Q51=3,1,IF($Q51=4,1,0)),IF($F51&lt;=85,1,0))</formula>
    </cfRule>
  </conditionalFormatting>
  <conditionalFormatting sqref="AI51">
    <cfRule type="expression" dxfId="14659" priority="535">
      <formula>AND(IF(OR($Q51=1,$Q51=2),1,0),IF($X51&lt;=20,1,0))</formula>
    </cfRule>
    <cfRule type="expression" dxfId="14658" priority="536">
      <formula>AND(IF($Q51=2,1,0),IF($X51&lt;30,1,0))</formula>
    </cfRule>
    <cfRule type="expression" dxfId="14657" priority="537">
      <formula>AND(IF($Q51=3,1,0),IF($X51&lt;30,1,0))</formula>
    </cfRule>
    <cfRule type="expression" dxfId="14656" priority="538">
      <formula>AND(IF($Q51=3,1,IF($Q51=4,1,0)),IF($F51&lt;=85,1,0))</formula>
    </cfRule>
  </conditionalFormatting>
  <conditionalFormatting sqref="AV52">
    <cfRule type="expression" dxfId="14655" priority="533">
      <formula>AV52="X"</formula>
    </cfRule>
    <cfRule type="expression" dxfId="14654" priority="534">
      <formula>AV52="후보"</formula>
    </cfRule>
  </conditionalFormatting>
  <conditionalFormatting sqref="AC52">
    <cfRule type="cellIs" dxfId="14653" priority="530" operator="greaterThan">
      <formula>0.9</formula>
    </cfRule>
    <cfRule type="cellIs" dxfId="14652" priority="531" operator="greaterThan">
      <formula>0.85</formula>
    </cfRule>
  </conditionalFormatting>
  <conditionalFormatting sqref="N52">
    <cfRule type="cellIs" dxfId="14651" priority="528" operator="greaterThan">
      <formula>0.9</formula>
    </cfRule>
    <cfRule type="cellIs" dxfId="14650" priority="529" operator="greaterThan">
      <formula>0.85</formula>
    </cfRule>
  </conditionalFormatting>
  <conditionalFormatting sqref="E52">
    <cfRule type="expression" dxfId="14649" priority="524">
      <formula>AND(IF(OR($Q52=1,$Q52=2),1,0),IF($X52&lt;=20,1,0))</formula>
    </cfRule>
    <cfRule type="expression" dxfId="14648" priority="525">
      <formula>AND(IF($Q52=2,1,0),IF($X52&lt;30,1,0))</formula>
    </cfRule>
    <cfRule type="expression" dxfId="14647" priority="526">
      <formula>AND(IF($Q52=3,1,0),IF($X52&lt;30,1,0))</formula>
    </cfRule>
    <cfRule type="expression" dxfId="14646" priority="527">
      <formula>AND(IF($Q52=3,1,IF($Q52=4,1,0)),IF($F52&lt;=85,1,0))</formula>
    </cfRule>
  </conditionalFormatting>
  <conditionalFormatting sqref="X52">
    <cfRule type="expression" dxfId="14645" priority="520">
      <formula>AND(IF(OR($Q52=1,$Q52=2),1,0),IF($X52&lt;=20,1,0))</formula>
    </cfRule>
    <cfRule type="expression" dxfId="14644" priority="521">
      <formula>AND(IF($Q52=2,1,0),IF($X52&lt;30,1,0))</formula>
    </cfRule>
    <cfRule type="expression" dxfId="14643" priority="522">
      <formula>AND(IF($Q52=3,1,0),IF($X52&lt;30,1,0))</formula>
    </cfRule>
    <cfRule type="expression" dxfId="14642" priority="523">
      <formula>AND(IF($Q52=3,1,IF($Q52=4,1,0)),IF($F52&lt;=85,1,0))</formula>
    </cfRule>
  </conditionalFormatting>
  <conditionalFormatting sqref="AI52">
    <cfRule type="expression" dxfId="14641" priority="516">
      <formula>AND(IF(OR($Q52=1,$Q52=2),1,0),IF($X52&lt;=20,1,0))</formula>
    </cfRule>
    <cfRule type="expression" dxfId="14640" priority="517">
      <formula>AND(IF($Q52=2,1,0),IF($X52&lt;30,1,0))</formula>
    </cfRule>
    <cfRule type="expression" dxfId="14639" priority="518">
      <formula>AND(IF($Q52=3,1,0),IF($X52&lt;30,1,0))</formula>
    </cfRule>
    <cfRule type="expression" dxfId="14638" priority="519">
      <formula>AND(IF($Q52=3,1,IF($Q52=4,1,0)),IF($F52&lt;=85,1,0))</formula>
    </cfRule>
  </conditionalFormatting>
  <conditionalFormatting sqref="AV53">
    <cfRule type="expression" dxfId="14637" priority="514">
      <formula>AV53="X"</formula>
    </cfRule>
    <cfRule type="expression" dxfId="14636" priority="515">
      <formula>AV53="후보"</formula>
    </cfRule>
  </conditionalFormatting>
  <conditionalFormatting sqref="AC53 N53">
    <cfRule type="cellIs" dxfId="14635" priority="511" operator="greaterThan">
      <formula>0.9</formula>
    </cfRule>
    <cfRule type="cellIs" dxfId="14634" priority="512" operator="greaterThan">
      <formula>0.85</formula>
    </cfRule>
  </conditionalFormatting>
  <conditionalFormatting sqref="AV54">
    <cfRule type="expression" dxfId="14633" priority="509">
      <formula>AV54="X"</formula>
    </cfRule>
    <cfRule type="expression" dxfId="14632" priority="510">
      <formula>AV54="후보"</formula>
    </cfRule>
  </conditionalFormatting>
  <conditionalFormatting sqref="AC54">
    <cfRule type="cellIs" dxfId="14631" priority="506" operator="greaterThan">
      <formula>0.9</formula>
    </cfRule>
    <cfRule type="cellIs" dxfId="14630" priority="507" operator="greaterThan">
      <formula>0.85</formula>
    </cfRule>
  </conditionalFormatting>
  <conditionalFormatting sqref="N54">
    <cfRule type="cellIs" dxfId="14629" priority="504" operator="greaterThan">
      <formula>0.9</formula>
    </cfRule>
    <cfRule type="cellIs" dxfId="14628" priority="505" operator="greaterThan">
      <formula>0.85</formula>
    </cfRule>
  </conditionalFormatting>
  <conditionalFormatting sqref="E54">
    <cfRule type="expression" dxfId="14627" priority="500">
      <formula>AND(IF(OR($Q54=1,$Q54=2),1,0),IF($X54&lt;=20,1,0))</formula>
    </cfRule>
    <cfRule type="expression" dxfId="14626" priority="501">
      <formula>AND(IF($Q54=2,1,0),IF($X54&lt;30,1,0))</formula>
    </cfRule>
    <cfRule type="expression" dxfId="14625" priority="502">
      <formula>AND(IF($Q54=3,1,0),IF($X54&lt;30,1,0))</formula>
    </cfRule>
    <cfRule type="expression" dxfId="14624" priority="503">
      <formula>AND(IF($Q54=3,1,IF($Q54=4,1,0)),IF($F54&lt;=85,1,0))</formula>
    </cfRule>
  </conditionalFormatting>
  <conditionalFormatting sqref="X54">
    <cfRule type="expression" dxfId="14623" priority="496">
      <formula>AND(IF(OR($Q54=1,$Q54=2),1,0),IF($X54&lt;=20,1,0))</formula>
    </cfRule>
    <cfRule type="expression" dxfId="14622" priority="497">
      <formula>AND(IF($Q54=2,1,0),IF($X54&lt;30,1,0))</formula>
    </cfRule>
    <cfRule type="expression" dxfId="14621" priority="498">
      <formula>AND(IF($Q54=3,1,0),IF($X54&lt;30,1,0))</formula>
    </cfRule>
    <cfRule type="expression" dxfId="14620" priority="499">
      <formula>AND(IF($Q54=3,1,IF($Q54=4,1,0)),IF($F54&lt;=85,1,0))</formula>
    </cfRule>
  </conditionalFormatting>
  <conditionalFormatting sqref="AI54">
    <cfRule type="expression" dxfId="14619" priority="492">
      <formula>AND(IF(OR($Q54=1,$Q54=2),1,0),IF($X54&lt;=20,1,0))</formula>
    </cfRule>
    <cfRule type="expression" dxfId="14618" priority="493">
      <formula>AND(IF($Q54=2,1,0),IF($X54&lt;30,1,0))</formula>
    </cfRule>
    <cfRule type="expression" dxfId="14617" priority="494">
      <formula>AND(IF($Q54=3,1,0),IF($X54&lt;30,1,0))</formula>
    </cfRule>
    <cfRule type="expression" dxfId="14616" priority="495">
      <formula>AND(IF($Q54=3,1,IF($Q54=4,1,0)),IF($F54&lt;=85,1,0))</formula>
    </cfRule>
  </conditionalFormatting>
  <conditionalFormatting sqref="AV55">
    <cfRule type="expression" dxfId="14615" priority="490">
      <formula>AV55="X"</formula>
    </cfRule>
    <cfRule type="expression" dxfId="14614" priority="491">
      <formula>AV55="후보"</formula>
    </cfRule>
  </conditionalFormatting>
  <conditionalFormatting sqref="AC55">
    <cfRule type="cellIs" dxfId="14613" priority="487" operator="greaterThan">
      <formula>0.9</formula>
    </cfRule>
    <cfRule type="cellIs" dxfId="14612" priority="488" operator="greaterThan">
      <formula>0.85</formula>
    </cfRule>
  </conditionalFormatting>
  <conditionalFormatting sqref="N55">
    <cfRule type="cellIs" dxfId="14611" priority="485" operator="greaterThan">
      <formula>0.9</formula>
    </cfRule>
    <cfRule type="cellIs" dxfId="14610" priority="486" operator="greaterThan">
      <formula>0.85</formula>
    </cfRule>
  </conditionalFormatting>
  <conditionalFormatting sqref="E55">
    <cfRule type="expression" dxfId="14609" priority="481">
      <formula>AND(IF(OR($Q55=1,$Q55=2),1,0),IF($X55&lt;=20,1,0))</formula>
    </cfRule>
    <cfRule type="expression" dxfId="14608" priority="482">
      <formula>AND(IF($Q55=2,1,0),IF($X55&lt;30,1,0))</formula>
    </cfRule>
    <cfRule type="expression" dxfId="14607" priority="483">
      <formula>AND(IF($Q55=3,1,0),IF($X55&lt;30,1,0))</formula>
    </cfRule>
    <cfRule type="expression" dxfId="14606" priority="484">
      <formula>AND(IF($Q55=3,1,IF($Q55=4,1,0)),IF($F55&lt;=85,1,0))</formula>
    </cfRule>
  </conditionalFormatting>
  <conditionalFormatting sqref="X55">
    <cfRule type="expression" dxfId="14605" priority="477">
      <formula>AND(IF(OR($Q55=1,$Q55=2),1,0),IF($X55&lt;=20,1,0))</formula>
    </cfRule>
    <cfRule type="expression" dxfId="14604" priority="478">
      <formula>AND(IF($Q55=2,1,0),IF($X55&lt;30,1,0))</formula>
    </cfRule>
    <cfRule type="expression" dxfId="14603" priority="479">
      <formula>AND(IF($Q55=3,1,0),IF($X55&lt;30,1,0))</formula>
    </cfRule>
    <cfRule type="expression" dxfId="14602" priority="480">
      <formula>AND(IF($Q55=3,1,IF($Q55=4,1,0)),IF($F55&lt;=85,1,0))</formula>
    </cfRule>
  </conditionalFormatting>
  <conditionalFormatting sqref="AI55">
    <cfRule type="expression" dxfId="14601" priority="473">
      <formula>AND(IF(OR($Q55=1,$Q55=2),1,0),IF($X55&lt;=20,1,0))</formula>
    </cfRule>
    <cfRule type="expression" dxfId="14600" priority="474">
      <formula>AND(IF($Q55=2,1,0),IF($X55&lt;30,1,0))</formula>
    </cfRule>
    <cfRule type="expression" dxfId="14599" priority="475">
      <formula>AND(IF($Q55=3,1,0),IF($X55&lt;30,1,0))</formula>
    </cfRule>
    <cfRule type="expression" dxfId="14598" priority="476">
      <formula>AND(IF($Q55=3,1,IF($Q55=4,1,0)),IF($F55&lt;=85,1,0))</formula>
    </cfRule>
  </conditionalFormatting>
  <conditionalFormatting sqref="AV56">
    <cfRule type="expression" dxfId="14597" priority="471">
      <formula>AV56="X"</formula>
    </cfRule>
    <cfRule type="expression" dxfId="14596" priority="472">
      <formula>AV56="후보"</formula>
    </cfRule>
  </conditionalFormatting>
  <conditionalFormatting sqref="AC56">
    <cfRule type="cellIs" dxfId="14595" priority="468" operator="greaterThan">
      <formula>0.9</formula>
    </cfRule>
    <cfRule type="cellIs" dxfId="14594" priority="469" operator="greaterThan">
      <formula>0.85</formula>
    </cfRule>
  </conditionalFormatting>
  <conditionalFormatting sqref="N56">
    <cfRule type="cellIs" dxfId="14593" priority="466" operator="greaterThan">
      <formula>0.9</formula>
    </cfRule>
    <cfRule type="cellIs" dxfId="14592" priority="467" operator="greaterThan">
      <formula>0.85</formula>
    </cfRule>
  </conditionalFormatting>
  <conditionalFormatting sqref="E56">
    <cfRule type="expression" dxfId="14591" priority="462">
      <formula>AND(IF(OR($Q56=1,$Q56=2),1,0),IF($X56&lt;=20,1,0))</formula>
    </cfRule>
    <cfRule type="expression" dxfId="14590" priority="463">
      <formula>AND(IF($Q56=2,1,0),IF($X56&lt;30,1,0))</formula>
    </cfRule>
    <cfRule type="expression" dxfId="14589" priority="464">
      <formula>AND(IF($Q56=3,1,0),IF($X56&lt;30,1,0))</formula>
    </cfRule>
    <cfRule type="expression" dxfId="14588" priority="465">
      <formula>AND(IF($Q56=3,1,IF($Q56=4,1,0)),IF($F56&lt;=85,1,0))</formula>
    </cfRule>
  </conditionalFormatting>
  <conditionalFormatting sqref="X56">
    <cfRule type="expression" dxfId="14587" priority="458">
      <formula>AND(IF(OR($Q56=1,$Q56=2),1,0),IF($X56&lt;=20,1,0))</formula>
    </cfRule>
    <cfRule type="expression" dxfId="14586" priority="459">
      <formula>AND(IF($Q56=2,1,0),IF($X56&lt;30,1,0))</formula>
    </cfRule>
    <cfRule type="expression" dxfId="14585" priority="460">
      <formula>AND(IF($Q56=3,1,0),IF($X56&lt;30,1,0))</formula>
    </cfRule>
    <cfRule type="expression" dxfId="14584" priority="461">
      <formula>AND(IF($Q56=3,1,IF($Q56=4,1,0)),IF($F56&lt;=85,1,0))</formula>
    </cfRule>
  </conditionalFormatting>
  <conditionalFormatting sqref="AI56">
    <cfRule type="expression" dxfId="14583" priority="454">
      <formula>AND(IF(OR($Q56=1,$Q56=2),1,0),IF($X56&lt;=20,1,0))</formula>
    </cfRule>
    <cfRule type="expression" dxfId="14582" priority="455">
      <formula>AND(IF($Q56=2,1,0),IF($X56&lt;30,1,0))</formula>
    </cfRule>
    <cfRule type="expression" dxfId="14581" priority="456">
      <formula>AND(IF($Q56=3,1,0),IF($X56&lt;30,1,0))</formula>
    </cfRule>
    <cfRule type="expression" dxfId="14580" priority="457">
      <formula>AND(IF($Q56=3,1,IF($Q56=4,1,0)),IF($F56&lt;=85,1,0))</formula>
    </cfRule>
  </conditionalFormatting>
  <conditionalFormatting sqref="AV57">
    <cfRule type="expression" dxfId="14579" priority="452">
      <formula>AV57="X"</formula>
    </cfRule>
    <cfRule type="expression" dxfId="14578" priority="453">
      <formula>AV57="후보"</formula>
    </cfRule>
  </conditionalFormatting>
  <conditionalFormatting sqref="AC57">
    <cfRule type="cellIs" dxfId="14577" priority="449" operator="greaterThan">
      <formula>0.9</formula>
    </cfRule>
    <cfRule type="cellIs" dxfId="14576" priority="450" operator="greaterThan">
      <formula>0.85</formula>
    </cfRule>
  </conditionalFormatting>
  <conditionalFormatting sqref="N57">
    <cfRule type="cellIs" dxfId="14575" priority="447" operator="greaterThan">
      <formula>0.9</formula>
    </cfRule>
    <cfRule type="cellIs" dxfId="14574" priority="448" operator="greaterThan">
      <formula>0.85</formula>
    </cfRule>
  </conditionalFormatting>
  <conditionalFormatting sqref="E57">
    <cfRule type="expression" dxfId="14573" priority="443">
      <formula>AND(IF(OR($Q57=1,$Q57=2),1,0),IF($X57&lt;=20,1,0))</formula>
    </cfRule>
    <cfRule type="expression" dxfId="14572" priority="444">
      <formula>AND(IF($Q57=2,1,0),IF($X57&lt;30,1,0))</formula>
    </cfRule>
    <cfRule type="expression" dxfId="14571" priority="445">
      <formula>AND(IF($Q57=3,1,0),IF($X57&lt;30,1,0))</formula>
    </cfRule>
    <cfRule type="expression" dxfId="14570" priority="446">
      <formula>AND(IF($Q57=3,1,IF($Q57=4,1,0)),IF($F57&lt;=85,1,0))</formula>
    </cfRule>
  </conditionalFormatting>
  <conditionalFormatting sqref="X57">
    <cfRule type="expression" dxfId="14569" priority="439">
      <formula>AND(IF(OR($Q57=1,$Q57=2),1,0),IF($X57&lt;=20,1,0))</formula>
    </cfRule>
    <cfRule type="expression" dxfId="14568" priority="440">
      <formula>AND(IF($Q57=2,1,0),IF($X57&lt;30,1,0))</formula>
    </cfRule>
    <cfRule type="expression" dxfId="14567" priority="441">
      <formula>AND(IF($Q57=3,1,0),IF($X57&lt;30,1,0))</formula>
    </cfRule>
    <cfRule type="expression" dxfId="14566" priority="442">
      <formula>AND(IF($Q57=3,1,IF($Q57=4,1,0)),IF($F57&lt;=85,1,0))</formula>
    </cfRule>
  </conditionalFormatting>
  <conditionalFormatting sqref="AI57">
    <cfRule type="expression" dxfId="14565" priority="435">
      <formula>AND(IF(OR($Q57=1,$Q57=2),1,0),IF($X57&lt;=20,1,0))</formula>
    </cfRule>
    <cfRule type="expression" dxfId="14564" priority="436">
      <formula>AND(IF($Q57=2,1,0),IF($X57&lt;30,1,0))</formula>
    </cfRule>
    <cfRule type="expression" dxfId="14563" priority="437">
      <formula>AND(IF($Q57=3,1,0),IF($X57&lt;30,1,0))</formula>
    </cfRule>
    <cfRule type="expression" dxfId="14562" priority="438">
      <formula>AND(IF($Q57=3,1,IF($Q57=4,1,0)),IF($F57&lt;=85,1,0))</formula>
    </cfRule>
  </conditionalFormatting>
  <conditionalFormatting sqref="AV58">
    <cfRule type="expression" dxfId="14561" priority="433">
      <formula>AV58="X"</formula>
    </cfRule>
    <cfRule type="expression" dxfId="14560" priority="434">
      <formula>AV58="후보"</formula>
    </cfRule>
  </conditionalFormatting>
  <conditionalFormatting sqref="AC58">
    <cfRule type="cellIs" dxfId="14559" priority="430" operator="greaterThan">
      <formula>0.9</formula>
    </cfRule>
    <cfRule type="cellIs" dxfId="14558" priority="431" operator="greaterThan">
      <formula>0.85</formula>
    </cfRule>
  </conditionalFormatting>
  <conditionalFormatting sqref="N58">
    <cfRule type="cellIs" dxfId="14557" priority="428" operator="greaterThan">
      <formula>0.9</formula>
    </cfRule>
    <cfRule type="cellIs" dxfId="14556" priority="429" operator="greaterThan">
      <formula>0.85</formula>
    </cfRule>
  </conditionalFormatting>
  <conditionalFormatting sqref="E58">
    <cfRule type="expression" dxfId="14555" priority="424">
      <formula>AND(IF(OR($Q58=1,$Q58=2),1,0),IF($X58&lt;=20,1,0))</formula>
    </cfRule>
    <cfRule type="expression" dxfId="14554" priority="425">
      <formula>AND(IF($Q58=2,1,0),IF($X58&lt;30,1,0))</formula>
    </cfRule>
    <cfRule type="expression" dxfId="14553" priority="426">
      <formula>AND(IF($Q58=3,1,0),IF($X58&lt;30,1,0))</formula>
    </cfRule>
    <cfRule type="expression" dxfId="14552" priority="427">
      <formula>AND(IF($Q58=3,1,IF($Q58=4,1,0)),IF($F58&lt;=85,1,0))</formula>
    </cfRule>
  </conditionalFormatting>
  <conditionalFormatting sqref="X58">
    <cfRule type="expression" dxfId="14551" priority="420">
      <formula>AND(IF(OR($Q58=1,$Q58=2),1,0),IF($X58&lt;=20,1,0))</formula>
    </cfRule>
    <cfRule type="expression" dxfId="14550" priority="421">
      <formula>AND(IF($Q58=2,1,0),IF($X58&lt;30,1,0))</formula>
    </cfRule>
    <cfRule type="expression" dxfId="14549" priority="422">
      <formula>AND(IF($Q58=3,1,0),IF($X58&lt;30,1,0))</formula>
    </cfRule>
    <cfRule type="expression" dxfId="14548" priority="423">
      <formula>AND(IF($Q58=3,1,IF($Q58=4,1,0)),IF($F58&lt;=85,1,0))</formula>
    </cfRule>
  </conditionalFormatting>
  <conditionalFormatting sqref="AI58">
    <cfRule type="expression" dxfId="14547" priority="416">
      <formula>AND(IF(OR($Q58=1,$Q58=2),1,0),IF($X58&lt;=20,1,0))</formula>
    </cfRule>
    <cfRule type="expression" dxfId="14546" priority="417">
      <formula>AND(IF($Q58=2,1,0),IF($X58&lt;30,1,0))</formula>
    </cfRule>
    <cfRule type="expression" dxfId="14545" priority="418">
      <formula>AND(IF($Q58=3,1,0),IF($X58&lt;30,1,0))</formula>
    </cfRule>
    <cfRule type="expression" dxfId="14544" priority="419">
      <formula>AND(IF($Q58=3,1,IF($Q58=4,1,0)),IF($F58&lt;=85,1,0))</formula>
    </cfRule>
  </conditionalFormatting>
  <conditionalFormatting sqref="AV59">
    <cfRule type="expression" dxfId="14543" priority="414">
      <formula>AV59="X"</formula>
    </cfRule>
    <cfRule type="expression" dxfId="14542" priority="415">
      <formula>AV59="후보"</formula>
    </cfRule>
  </conditionalFormatting>
  <conditionalFormatting sqref="AC59 N59">
    <cfRule type="cellIs" dxfId="14541" priority="411" operator="greaterThan">
      <formula>0.9</formula>
    </cfRule>
    <cfRule type="cellIs" dxfId="14540" priority="412" operator="greaterThan">
      <formula>0.85</formula>
    </cfRule>
  </conditionalFormatting>
  <conditionalFormatting sqref="AV60">
    <cfRule type="expression" dxfId="14539" priority="409">
      <formula>AV60="X"</formula>
    </cfRule>
    <cfRule type="expression" dxfId="14538" priority="410">
      <formula>AV60="후보"</formula>
    </cfRule>
  </conditionalFormatting>
  <conditionalFormatting sqref="AC60">
    <cfRule type="cellIs" dxfId="14537" priority="406" operator="greaterThan">
      <formula>0.9</formula>
    </cfRule>
    <cfRule type="cellIs" dxfId="14536" priority="407" operator="greaterThan">
      <formula>0.85</formula>
    </cfRule>
  </conditionalFormatting>
  <conditionalFormatting sqref="N60">
    <cfRule type="cellIs" dxfId="14535" priority="404" operator="greaterThan">
      <formula>0.9</formula>
    </cfRule>
    <cfRule type="cellIs" dxfId="14534" priority="405" operator="greaterThan">
      <formula>0.85</formula>
    </cfRule>
  </conditionalFormatting>
  <conditionalFormatting sqref="E60">
    <cfRule type="expression" dxfId="14533" priority="400">
      <formula>AND(IF(OR($Q60=1,$Q60=2),1,0),IF($X60&lt;=20,1,0))</formula>
    </cfRule>
    <cfRule type="expression" dxfId="14532" priority="401">
      <formula>AND(IF($Q60=2,1,0),IF($X60&lt;30,1,0))</formula>
    </cfRule>
    <cfRule type="expression" dxfId="14531" priority="402">
      <formula>AND(IF($Q60=3,1,0),IF($X60&lt;30,1,0))</formula>
    </cfRule>
    <cfRule type="expression" dxfId="14530" priority="403">
      <formula>AND(IF($Q60=3,1,IF($Q60=4,1,0)),IF($F60&lt;=85,1,0))</formula>
    </cfRule>
  </conditionalFormatting>
  <conditionalFormatting sqref="X60">
    <cfRule type="expression" dxfId="14529" priority="396">
      <formula>AND(IF(OR($Q60=1,$Q60=2),1,0),IF($X60&lt;=20,1,0))</formula>
    </cfRule>
    <cfRule type="expression" dxfId="14528" priority="397">
      <formula>AND(IF($Q60=2,1,0),IF($X60&lt;30,1,0))</formula>
    </cfRule>
    <cfRule type="expression" dxfId="14527" priority="398">
      <formula>AND(IF($Q60=3,1,0),IF($X60&lt;30,1,0))</formula>
    </cfRule>
    <cfRule type="expression" dxfId="14526" priority="399">
      <formula>AND(IF($Q60=3,1,IF($Q60=4,1,0)),IF($F60&lt;=85,1,0))</formula>
    </cfRule>
  </conditionalFormatting>
  <conditionalFormatting sqref="AI60">
    <cfRule type="expression" dxfId="14525" priority="392">
      <formula>AND(IF(OR($Q60=1,$Q60=2),1,0),IF($X60&lt;=20,1,0))</formula>
    </cfRule>
    <cfRule type="expression" dxfId="14524" priority="393">
      <formula>AND(IF($Q60=2,1,0),IF($X60&lt;30,1,0))</formula>
    </cfRule>
    <cfRule type="expression" dxfId="14523" priority="394">
      <formula>AND(IF($Q60=3,1,0),IF($X60&lt;30,1,0))</formula>
    </cfRule>
    <cfRule type="expression" dxfId="14522" priority="395">
      <formula>AND(IF($Q60=3,1,IF($Q60=4,1,0)),IF($F60&lt;=85,1,0))</formula>
    </cfRule>
  </conditionalFormatting>
  <conditionalFormatting sqref="AV61">
    <cfRule type="expression" dxfId="14521" priority="390">
      <formula>AV61="X"</formula>
    </cfRule>
    <cfRule type="expression" dxfId="14520" priority="391">
      <formula>AV61="후보"</formula>
    </cfRule>
  </conditionalFormatting>
  <conditionalFormatting sqref="AC61">
    <cfRule type="cellIs" dxfId="14519" priority="387" operator="greaterThan">
      <formula>0.9</formula>
    </cfRule>
    <cfRule type="cellIs" dxfId="14518" priority="388" operator="greaterThan">
      <formula>0.85</formula>
    </cfRule>
  </conditionalFormatting>
  <conditionalFormatting sqref="N61">
    <cfRule type="cellIs" dxfId="14517" priority="385" operator="greaterThan">
      <formula>0.9</formula>
    </cfRule>
    <cfRule type="cellIs" dxfId="14516" priority="386" operator="greaterThan">
      <formula>0.85</formula>
    </cfRule>
  </conditionalFormatting>
  <conditionalFormatting sqref="E61">
    <cfRule type="expression" dxfId="14515" priority="381">
      <formula>AND(IF(OR($Q61=1,$Q61=2),1,0),IF($X61&lt;=20,1,0))</formula>
    </cfRule>
    <cfRule type="expression" dxfId="14514" priority="382">
      <formula>AND(IF($Q61=2,1,0),IF($X61&lt;30,1,0))</formula>
    </cfRule>
    <cfRule type="expression" dxfId="14513" priority="383">
      <formula>AND(IF($Q61=3,1,0),IF($X61&lt;30,1,0))</formula>
    </cfRule>
    <cfRule type="expression" dxfId="14512" priority="384">
      <formula>AND(IF($Q61=3,1,IF($Q61=4,1,0)),IF($F61&lt;=85,1,0))</formula>
    </cfRule>
  </conditionalFormatting>
  <conditionalFormatting sqref="X61">
    <cfRule type="expression" dxfId="14511" priority="377">
      <formula>AND(IF(OR($Q61=1,$Q61=2),1,0),IF($X61&lt;=20,1,0))</formula>
    </cfRule>
    <cfRule type="expression" dxfId="14510" priority="378">
      <formula>AND(IF($Q61=2,1,0),IF($X61&lt;30,1,0))</formula>
    </cfRule>
    <cfRule type="expression" dxfId="14509" priority="379">
      <formula>AND(IF($Q61=3,1,0),IF($X61&lt;30,1,0))</formula>
    </cfRule>
    <cfRule type="expression" dxfId="14508" priority="380">
      <formula>AND(IF($Q61=3,1,IF($Q61=4,1,0)),IF($F61&lt;=85,1,0))</formula>
    </cfRule>
  </conditionalFormatting>
  <conditionalFormatting sqref="AI61">
    <cfRule type="expression" dxfId="14507" priority="373">
      <formula>AND(IF(OR($Q61=1,$Q61=2),1,0),IF($X61&lt;=20,1,0))</formula>
    </cfRule>
    <cfRule type="expression" dxfId="14506" priority="374">
      <formula>AND(IF($Q61=2,1,0),IF($X61&lt;30,1,0))</formula>
    </cfRule>
    <cfRule type="expression" dxfId="14505" priority="375">
      <formula>AND(IF($Q61=3,1,0),IF($X61&lt;30,1,0))</formula>
    </cfRule>
    <cfRule type="expression" dxfId="14504" priority="376">
      <formula>AND(IF($Q61=3,1,IF($Q61=4,1,0)),IF($F61&lt;=85,1,0))</formula>
    </cfRule>
  </conditionalFormatting>
  <conditionalFormatting sqref="AV62">
    <cfRule type="expression" dxfId="14503" priority="371">
      <formula>AV62="X"</formula>
    </cfRule>
    <cfRule type="expression" dxfId="14502" priority="372">
      <formula>AV62="후보"</formula>
    </cfRule>
  </conditionalFormatting>
  <conditionalFormatting sqref="AC62">
    <cfRule type="cellIs" dxfId="14501" priority="368" operator="greaterThan">
      <formula>0.9</formula>
    </cfRule>
    <cfRule type="cellIs" dxfId="14500" priority="369" operator="greaterThan">
      <formula>0.85</formula>
    </cfRule>
  </conditionalFormatting>
  <conditionalFormatting sqref="N62">
    <cfRule type="cellIs" dxfId="14499" priority="366" operator="greaterThan">
      <formula>0.9</formula>
    </cfRule>
    <cfRule type="cellIs" dxfId="14498" priority="367" operator="greaterThan">
      <formula>0.85</formula>
    </cfRule>
  </conditionalFormatting>
  <conditionalFormatting sqref="E62">
    <cfRule type="expression" dxfId="14497" priority="362">
      <formula>AND(IF(OR($Q62=1,$Q62=2),1,0),IF($X62&lt;=20,1,0))</formula>
    </cfRule>
    <cfRule type="expression" dxfId="14496" priority="363">
      <formula>AND(IF($Q62=2,1,0),IF($X62&lt;30,1,0))</formula>
    </cfRule>
    <cfRule type="expression" dxfId="14495" priority="364">
      <formula>AND(IF($Q62=3,1,0),IF($X62&lt;30,1,0))</formula>
    </cfRule>
    <cfRule type="expression" dxfId="14494" priority="365">
      <formula>AND(IF($Q62=3,1,IF($Q62=4,1,0)),IF($F62&lt;=85,1,0))</formula>
    </cfRule>
  </conditionalFormatting>
  <conditionalFormatting sqref="X62">
    <cfRule type="expression" dxfId="14493" priority="358">
      <formula>AND(IF(OR($Q62=1,$Q62=2),1,0),IF($X62&lt;=20,1,0))</formula>
    </cfRule>
    <cfRule type="expression" dxfId="14492" priority="359">
      <formula>AND(IF($Q62=2,1,0),IF($X62&lt;30,1,0))</formula>
    </cfRule>
    <cfRule type="expression" dxfId="14491" priority="360">
      <formula>AND(IF($Q62=3,1,0),IF($X62&lt;30,1,0))</formula>
    </cfRule>
    <cfRule type="expression" dxfId="14490" priority="361">
      <formula>AND(IF($Q62=3,1,IF($Q62=4,1,0)),IF($F62&lt;=85,1,0))</formula>
    </cfRule>
  </conditionalFormatting>
  <conditionalFormatting sqref="AI62">
    <cfRule type="expression" dxfId="14489" priority="354">
      <formula>AND(IF(OR($Q62=1,$Q62=2),1,0),IF($X62&lt;=20,1,0))</formula>
    </cfRule>
    <cfRule type="expression" dxfId="14488" priority="355">
      <formula>AND(IF($Q62=2,1,0),IF($X62&lt;30,1,0))</formula>
    </cfRule>
    <cfRule type="expression" dxfId="14487" priority="356">
      <formula>AND(IF($Q62=3,1,0),IF($X62&lt;30,1,0))</formula>
    </cfRule>
    <cfRule type="expression" dxfId="14486" priority="357">
      <formula>AND(IF($Q62=3,1,IF($Q62=4,1,0)),IF($F62&lt;=85,1,0))</formula>
    </cfRule>
  </conditionalFormatting>
  <conditionalFormatting sqref="AV63">
    <cfRule type="expression" dxfId="14485" priority="352">
      <formula>AV63="X"</formula>
    </cfRule>
    <cfRule type="expression" dxfId="14484" priority="353">
      <formula>AV63="후보"</formula>
    </cfRule>
  </conditionalFormatting>
  <conditionalFormatting sqref="AC63">
    <cfRule type="cellIs" dxfId="14483" priority="349" operator="greaterThan">
      <formula>0.9</formula>
    </cfRule>
    <cfRule type="cellIs" dxfId="14482" priority="350" operator="greaterThan">
      <formula>0.85</formula>
    </cfRule>
  </conditionalFormatting>
  <conditionalFormatting sqref="N63">
    <cfRule type="cellIs" dxfId="14481" priority="347" operator="greaterThan">
      <formula>0.9</formula>
    </cfRule>
    <cfRule type="cellIs" dxfId="14480" priority="348" operator="greaterThan">
      <formula>0.85</formula>
    </cfRule>
  </conditionalFormatting>
  <conditionalFormatting sqref="E63">
    <cfRule type="expression" dxfId="14479" priority="343">
      <formula>AND(IF(OR($Q63=1,$Q63=2),1,0),IF($X63&lt;=20,1,0))</formula>
    </cfRule>
    <cfRule type="expression" dxfId="14478" priority="344">
      <formula>AND(IF($Q63=2,1,0),IF($X63&lt;30,1,0))</formula>
    </cfRule>
    <cfRule type="expression" dxfId="14477" priority="345">
      <formula>AND(IF($Q63=3,1,0),IF($X63&lt;30,1,0))</formula>
    </cfRule>
    <cfRule type="expression" dxfId="14476" priority="346">
      <formula>AND(IF($Q63=3,1,IF($Q63=4,1,0)),IF($F63&lt;=85,1,0))</formula>
    </cfRule>
  </conditionalFormatting>
  <conditionalFormatting sqref="X63">
    <cfRule type="expression" dxfId="14475" priority="339">
      <formula>AND(IF(OR($Q63=1,$Q63=2),1,0),IF($X63&lt;=20,1,0))</formula>
    </cfRule>
    <cfRule type="expression" dxfId="14474" priority="340">
      <formula>AND(IF($Q63=2,1,0),IF($X63&lt;30,1,0))</formula>
    </cfRule>
    <cfRule type="expression" dxfId="14473" priority="341">
      <formula>AND(IF($Q63=3,1,0),IF($X63&lt;30,1,0))</formula>
    </cfRule>
    <cfRule type="expression" dxfId="14472" priority="342">
      <formula>AND(IF($Q63=3,1,IF($Q63=4,1,0)),IF($F63&lt;=85,1,0))</formula>
    </cfRule>
  </conditionalFormatting>
  <conditionalFormatting sqref="AI63">
    <cfRule type="expression" dxfId="14471" priority="335">
      <formula>AND(IF(OR($Q63=1,$Q63=2),1,0),IF($X63&lt;=20,1,0))</formula>
    </cfRule>
    <cfRule type="expression" dxfId="14470" priority="336">
      <formula>AND(IF($Q63=2,1,0),IF($X63&lt;30,1,0))</formula>
    </cfRule>
    <cfRule type="expression" dxfId="14469" priority="337">
      <formula>AND(IF($Q63=3,1,0),IF($X63&lt;30,1,0))</formula>
    </cfRule>
    <cfRule type="expression" dxfId="14468" priority="338">
      <formula>AND(IF($Q63=3,1,IF($Q63=4,1,0)),IF($F63&lt;=85,1,0))</formula>
    </cfRule>
  </conditionalFormatting>
  <conditionalFormatting sqref="AV64">
    <cfRule type="expression" dxfId="14467" priority="333">
      <formula>AV64="X"</formula>
    </cfRule>
    <cfRule type="expression" dxfId="14466" priority="334">
      <formula>AV64="후보"</formula>
    </cfRule>
  </conditionalFormatting>
  <conditionalFormatting sqref="AC64">
    <cfRule type="cellIs" dxfId="14465" priority="330" operator="greaterThan">
      <formula>0.9</formula>
    </cfRule>
    <cfRule type="cellIs" dxfId="14464" priority="331" operator="greaterThan">
      <formula>0.85</formula>
    </cfRule>
  </conditionalFormatting>
  <conditionalFormatting sqref="N64">
    <cfRule type="cellIs" dxfId="14463" priority="328" operator="greaterThan">
      <formula>0.9</formula>
    </cfRule>
    <cfRule type="cellIs" dxfId="14462" priority="329" operator="greaterThan">
      <formula>0.85</formula>
    </cfRule>
  </conditionalFormatting>
  <conditionalFormatting sqref="E64">
    <cfRule type="expression" dxfId="14461" priority="324">
      <formula>AND(IF(OR($Q64=1,$Q64=2),1,0),IF($X64&lt;=20,1,0))</formula>
    </cfRule>
    <cfRule type="expression" dxfId="14460" priority="325">
      <formula>AND(IF($Q64=2,1,0),IF($X64&lt;30,1,0))</formula>
    </cfRule>
    <cfRule type="expression" dxfId="14459" priority="326">
      <formula>AND(IF($Q64=3,1,0),IF($X64&lt;30,1,0))</formula>
    </cfRule>
    <cfRule type="expression" dxfId="14458" priority="327">
      <formula>AND(IF($Q64=3,1,IF($Q64=4,1,0)),IF($F64&lt;=85,1,0))</formula>
    </cfRule>
  </conditionalFormatting>
  <conditionalFormatting sqref="X64">
    <cfRule type="expression" dxfId="14457" priority="320">
      <formula>AND(IF(OR($Q64=1,$Q64=2),1,0),IF($X64&lt;=20,1,0))</formula>
    </cfRule>
    <cfRule type="expression" dxfId="14456" priority="321">
      <formula>AND(IF($Q64=2,1,0),IF($X64&lt;30,1,0))</formula>
    </cfRule>
    <cfRule type="expression" dxfId="14455" priority="322">
      <formula>AND(IF($Q64=3,1,0),IF($X64&lt;30,1,0))</formula>
    </cfRule>
    <cfRule type="expression" dxfId="14454" priority="323">
      <formula>AND(IF($Q64=3,1,IF($Q64=4,1,0)),IF($F64&lt;=85,1,0))</formula>
    </cfRule>
  </conditionalFormatting>
  <conditionalFormatting sqref="AI64">
    <cfRule type="expression" dxfId="14453" priority="316">
      <formula>AND(IF(OR($Q64=1,$Q64=2),1,0),IF($X64&lt;=20,1,0))</formula>
    </cfRule>
    <cfRule type="expression" dxfId="14452" priority="317">
      <formula>AND(IF($Q64=2,1,0),IF($X64&lt;30,1,0))</formula>
    </cfRule>
    <cfRule type="expression" dxfId="14451" priority="318">
      <formula>AND(IF($Q64=3,1,0),IF($X64&lt;30,1,0))</formula>
    </cfRule>
    <cfRule type="expression" dxfId="14450" priority="319">
      <formula>AND(IF($Q64=3,1,IF($Q64=4,1,0)),IF($F64&lt;=85,1,0))</formula>
    </cfRule>
  </conditionalFormatting>
  <conditionalFormatting sqref="AV65">
    <cfRule type="expression" dxfId="14449" priority="314">
      <formula>AV65="X"</formula>
    </cfRule>
    <cfRule type="expression" dxfId="14448" priority="315">
      <formula>AV65="후보"</formula>
    </cfRule>
  </conditionalFormatting>
  <conditionalFormatting sqref="AC65">
    <cfRule type="cellIs" dxfId="14447" priority="311" operator="greaterThan">
      <formula>0.9</formula>
    </cfRule>
    <cfRule type="cellIs" dxfId="14446" priority="312" operator="greaterThan">
      <formula>0.85</formula>
    </cfRule>
  </conditionalFormatting>
  <conditionalFormatting sqref="N65">
    <cfRule type="cellIs" dxfId="14445" priority="309" operator="greaterThan">
      <formula>0.9</formula>
    </cfRule>
    <cfRule type="cellIs" dxfId="14444" priority="310" operator="greaterThan">
      <formula>0.85</formula>
    </cfRule>
  </conditionalFormatting>
  <conditionalFormatting sqref="E65">
    <cfRule type="expression" dxfId="14443" priority="305">
      <formula>AND(IF(OR($Q65=1,$Q65=2),1,0),IF($X65&lt;=20,1,0))</formula>
    </cfRule>
    <cfRule type="expression" dxfId="14442" priority="306">
      <formula>AND(IF($Q65=2,1,0),IF($X65&lt;30,1,0))</formula>
    </cfRule>
    <cfRule type="expression" dxfId="14441" priority="307">
      <formula>AND(IF($Q65=3,1,0),IF($X65&lt;30,1,0))</formula>
    </cfRule>
    <cfRule type="expression" dxfId="14440" priority="308">
      <formula>AND(IF($Q65=3,1,IF($Q65=4,1,0)),IF($F65&lt;=85,1,0))</formula>
    </cfRule>
  </conditionalFormatting>
  <conditionalFormatting sqref="X65">
    <cfRule type="expression" dxfId="14439" priority="301">
      <formula>AND(IF(OR($Q65=1,$Q65=2),1,0),IF($X65&lt;=20,1,0))</formula>
    </cfRule>
    <cfRule type="expression" dxfId="14438" priority="302">
      <formula>AND(IF($Q65=2,1,0),IF($X65&lt;30,1,0))</formula>
    </cfRule>
    <cfRule type="expression" dxfId="14437" priority="303">
      <formula>AND(IF($Q65=3,1,0),IF($X65&lt;30,1,0))</formula>
    </cfRule>
    <cfRule type="expression" dxfId="14436" priority="304">
      <formula>AND(IF($Q65=3,1,IF($Q65=4,1,0)),IF($F65&lt;=85,1,0))</formula>
    </cfRule>
  </conditionalFormatting>
  <conditionalFormatting sqref="AI65">
    <cfRule type="expression" dxfId="14435" priority="297">
      <formula>AND(IF(OR($Q65=1,$Q65=2),1,0),IF($X65&lt;=20,1,0))</formula>
    </cfRule>
    <cfRule type="expression" dxfId="14434" priority="298">
      <formula>AND(IF($Q65=2,1,0),IF($X65&lt;30,1,0))</formula>
    </cfRule>
    <cfRule type="expression" dxfId="14433" priority="299">
      <formula>AND(IF($Q65=3,1,0),IF($X65&lt;30,1,0))</formula>
    </cfRule>
    <cfRule type="expression" dxfId="14432" priority="300">
      <formula>AND(IF($Q65=3,1,IF($Q65=4,1,0)),IF($F65&lt;=85,1,0))</formula>
    </cfRule>
  </conditionalFormatting>
  <conditionalFormatting sqref="AV66">
    <cfRule type="expression" dxfId="14431" priority="295">
      <formula>AV66="X"</formula>
    </cfRule>
    <cfRule type="expression" dxfId="14430" priority="296">
      <formula>AV66="후보"</formula>
    </cfRule>
  </conditionalFormatting>
  <conditionalFormatting sqref="AC66 N66">
    <cfRule type="cellIs" dxfId="14429" priority="292" operator="greaterThan">
      <formula>0.9</formula>
    </cfRule>
    <cfRule type="cellIs" dxfId="14428" priority="293" operator="greaterThan">
      <formula>0.85</formula>
    </cfRule>
  </conditionalFormatting>
  <conditionalFormatting sqref="AV67">
    <cfRule type="expression" dxfId="14427" priority="290">
      <formula>AV67="X"</formula>
    </cfRule>
    <cfRule type="expression" dxfId="14426" priority="291">
      <formula>AV67="후보"</formula>
    </cfRule>
  </conditionalFormatting>
  <conditionalFormatting sqref="AC67">
    <cfRule type="cellIs" dxfId="14425" priority="287" operator="greaterThan">
      <formula>0.9</formula>
    </cfRule>
    <cfRule type="cellIs" dxfId="14424" priority="288" operator="greaterThan">
      <formula>0.85</formula>
    </cfRule>
  </conditionalFormatting>
  <conditionalFormatting sqref="N67">
    <cfRule type="cellIs" dxfId="14423" priority="285" operator="greaterThan">
      <formula>0.9</formula>
    </cfRule>
    <cfRule type="cellIs" dxfId="14422" priority="286" operator="greaterThan">
      <formula>0.85</formula>
    </cfRule>
  </conditionalFormatting>
  <conditionalFormatting sqref="E67">
    <cfRule type="expression" dxfId="14421" priority="281">
      <formula>AND(IF(OR($Q67=1,$Q67=2),1,0),IF($X67&lt;=20,1,0))</formula>
    </cfRule>
    <cfRule type="expression" dxfId="14420" priority="282">
      <formula>AND(IF($Q67=2,1,0),IF($X67&lt;30,1,0))</formula>
    </cfRule>
    <cfRule type="expression" dxfId="14419" priority="283">
      <formula>AND(IF($Q67=3,1,0),IF($X67&lt;30,1,0))</formula>
    </cfRule>
    <cfRule type="expression" dxfId="14418" priority="284">
      <formula>AND(IF($Q67=3,1,IF($Q67=4,1,0)),IF($F67&lt;=85,1,0))</formula>
    </cfRule>
  </conditionalFormatting>
  <conditionalFormatting sqref="X67">
    <cfRule type="expression" dxfId="14417" priority="277">
      <formula>AND(IF(OR($Q67=1,$Q67=2),1,0),IF($X67&lt;=20,1,0))</formula>
    </cfRule>
    <cfRule type="expression" dxfId="14416" priority="278">
      <formula>AND(IF($Q67=2,1,0),IF($X67&lt;30,1,0))</formula>
    </cfRule>
    <cfRule type="expression" dxfId="14415" priority="279">
      <formula>AND(IF($Q67=3,1,0),IF($X67&lt;30,1,0))</formula>
    </cfRule>
    <cfRule type="expression" dxfId="14414" priority="280">
      <formula>AND(IF($Q67=3,1,IF($Q67=4,1,0)),IF($F67&lt;=85,1,0))</formula>
    </cfRule>
  </conditionalFormatting>
  <conditionalFormatting sqref="AI67">
    <cfRule type="expression" dxfId="14413" priority="273">
      <formula>AND(IF(OR($Q67=1,$Q67=2),1,0),IF($X67&lt;=20,1,0))</formula>
    </cfRule>
    <cfRule type="expression" dxfId="14412" priority="274">
      <formula>AND(IF($Q67=2,1,0),IF($X67&lt;30,1,0))</formula>
    </cfRule>
    <cfRule type="expression" dxfId="14411" priority="275">
      <formula>AND(IF($Q67=3,1,0),IF($X67&lt;30,1,0))</formula>
    </cfRule>
    <cfRule type="expression" dxfId="14410" priority="276">
      <formula>AND(IF($Q67=3,1,IF($Q67=4,1,0)),IF($F67&lt;=85,1,0))</formula>
    </cfRule>
  </conditionalFormatting>
  <conditionalFormatting sqref="AV68">
    <cfRule type="expression" dxfId="14409" priority="271">
      <formula>AV68="X"</formula>
    </cfRule>
    <cfRule type="expression" dxfId="14408" priority="272">
      <formula>AV68="후보"</formula>
    </cfRule>
  </conditionalFormatting>
  <conditionalFormatting sqref="AC68">
    <cfRule type="cellIs" dxfId="14407" priority="268" operator="greaterThan">
      <formula>0.9</formula>
    </cfRule>
    <cfRule type="cellIs" dxfId="14406" priority="269" operator="greaterThan">
      <formula>0.85</formula>
    </cfRule>
  </conditionalFormatting>
  <conditionalFormatting sqref="N68">
    <cfRule type="cellIs" dxfId="14405" priority="266" operator="greaterThan">
      <formula>0.9</formula>
    </cfRule>
    <cfRule type="cellIs" dxfId="14404" priority="267" operator="greaterThan">
      <formula>0.85</formula>
    </cfRule>
  </conditionalFormatting>
  <conditionalFormatting sqref="E68">
    <cfRule type="expression" dxfId="14403" priority="262">
      <formula>AND(IF(OR($Q68=1,$Q68=2),1,0),IF($X68&lt;=20,1,0))</formula>
    </cfRule>
    <cfRule type="expression" dxfId="14402" priority="263">
      <formula>AND(IF($Q68=2,1,0),IF($X68&lt;30,1,0))</formula>
    </cfRule>
    <cfRule type="expression" dxfId="14401" priority="264">
      <formula>AND(IF($Q68=3,1,0),IF($X68&lt;30,1,0))</formula>
    </cfRule>
    <cfRule type="expression" dxfId="14400" priority="265">
      <formula>AND(IF($Q68=3,1,IF($Q68=4,1,0)),IF($F68&lt;=85,1,0))</formula>
    </cfRule>
  </conditionalFormatting>
  <conditionalFormatting sqref="X68">
    <cfRule type="expression" dxfId="14399" priority="258">
      <formula>AND(IF(OR($Q68=1,$Q68=2),1,0),IF($X68&lt;=20,1,0))</formula>
    </cfRule>
    <cfRule type="expression" dxfId="14398" priority="259">
      <formula>AND(IF($Q68=2,1,0),IF($X68&lt;30,1,0))</formula>
    </cfRule>
    <cfRule type="expression" dxfId="14397" priority="260">
      <formula>AND(IF($Q68=3,1,0),IF($X68&lt;30,1,0))</formula>
    </cfRule>
    <cfRule type="expression" dxfId="14396" priority="261">
      <formula>AND(IF($Q68=3,1,IF($Q68=4,1,0)),IF($F68&lt;=85,1,0))</formula>
    </cfRule>
  </conditionalFormatting>
  <conditionalFormatting sqref="AI68">
    <cfRule type="expression" dxfId="14395" priority="254">
      <formula>AND(IF(OR($Q68=1,$Q68=2),1,0),IF($X68&lt;=20,1,0))</formula>
    </cfRule>
    <cfRule type="expression" dxfId="14394" priority="255">
      <formula>AND(IF($Q68=2,1,0),IF($X68&lt;30,1,0))</formula>
    </cfRule>
    <cfRule type="expression" dxfId="14393" priority="256">
      <formula>AND(IF($Q68=3,1,0),IF($X68&lt;30,1,0))</formula>
    </cfRule>
    <cfRule type="expression" dxfId="14392" priority="257">
      <formula>AND(IF($Q68=3,1,IF($Q68=4,1,0)),IF($F68&lt;=85,1,0))</formula>
    </cfRule>
  </conditionalFormatting>
  <conditionalFormatting sqref="AV69">
    <cfRule type="expression" dxfId="14391" priority="252">
      <formula>AV69="X"</formula>
    </cfRule>
    <cfRule type="expression" dxfId="14390" priority="253">
      <formula>AV69="후보"</formula>
    </cfRule>
  </conditionalFormatting>
  <conditionalFormatting sqref="AC69">
    <cfRule type="cellIs" dxfId="14389" priority="249" operator="greaterThan">
      <formula>0.9</formula>
    </cfRule>
    <cfRule type="cellIs" dxfId="14388" priority="250" operator="greaterThan">
      <formula>0.85</formula>
    </cfRule>
  </conditionalFormatting>
  <conditionalFormatting sqref="N69">
    <cfRule type="cellIs" dxfId="14387" priority="247" operator="greaterThan">
      <formula>0.9</formula>
    </cfRule>
    <cfRule type="cellIs" dxfId="14386" priority="248" operator="greaterThan">
      <formula>0.85</formula>
    </cfRule>
  </conditionalFormatting>
  <conditionalFormatting sqref="E69">
    <cfRule type="expression" dxfId="14385" priority="243">
      <formula>AND(IF(OR($Q69=1,$Q69=2),1,0),IF($X69&lt;=20,1,0))</formula>
    </cfRule>
    <cfRule type="expression" dxfId="14384" priority="244">
      <formula>AND(IF($Q69=2,1,0),IF($X69&lt;30,1,0))</formula>
    </cfRule>
    <cfRule type="expression" dxfId="14383" priority="245">
      <formula>AND(IF($Q69=3,1,0),IF($X69&lt;30,1,0))</formula>
    </cfRule>
    <cfRule type="expression" dxfId="14382" priority="246">
      <formula>AND(IF($Q69=3,1,IF($Q69=4,1,0)),IF($F69&lt;=85,1,0))</formula>
    </cfRule>
  </conditionalFormatting>
  <conditionalFormatting sqref="X69">
    <cfRule type="expression" dxfId="14381" priority="239">
      <formula>AND(IF(OR($Q69=1,$Q69=2),1,0),IF($X69&lt;=20,1,0))</formula>
    </cfRule>
    <cfRule type="expression" dxfId="14380" priority="240">
      <formula>AND(IF($Q69=2,1,0),IF($X69&lt;30,1,0))</formula>
    </cfRule>
    <cfRule type="expression" dxfId="14379" priority="241">
      <formula>AND(IF($Q69=3,1,0),IF($X69&lt;30,1,0))</formula>
    </cfRule>
    <cfRule type="expression" dxfId="14378" priority="242">
      <formula>AND(IF($Q69=3,1,IF($Q69=4,1,0)),IF($F69&lt;=85,1,0))</formula>
    </cfRule>
  </conditionalFormatting>
  <conditionalFormatting sqref="AI69">
    <cfRule type="expression" dxfId="14377" priority="235">
      <formula>AND(IF(OR($Q69=1,$Q69=2),1,0),IF($X69&lt;=20,1,0))</formula>
    </cfRule>
    <cfRule type="expression" dxfId="14376" priority="236">
      <formula>AND(IF($Q69=2,1,0),IF($X69&lt;30,1,0))</formula>
    </cfRule>
    <cfRule type="expression" dxfId="14375" priority="237">
      <formula>AND(IF($Q69=3,1,0),IF($X69&lt;30,1,0))</formula>
    </cfRule>
    <cfRule type="expression" dxfId="14374" priority="238">
      <formula>AND(IF($Q69=3,1,IF($Q69=4,1,0)),IF($F69&lt;=85,1,0))</formula>
    </cfRule>
  </conditionalFormatting>
  <conditionalFormatting sqref="AV70">
    <cfRule type="expression" dxfId="14373" priority="233">
      <formula>AV70="X"</formula>
    </cfRule>
    <cfRule type="expression" dxfId="14372" priority="234">
      <formula>AV70="후보"</formula>
    </cfRule>
  </conditionalFormatting>
  <conditionalFormatting sqref="AC70 N70">
    <cfRule type="cellIs" dxfId="14371" priority="230" operator="greaterThan">
      <formula>0.9</formula>
    </cfRule>
    <cfRule type="cellIs" dxfId="14370" priority="231" operator="greaterThan">
      <formula>0.85</formula>
    </cfRule>
  </conditionalFormatting>
  <conditionalFormatting sqref="AV71">
    <cfRule type="expression" dxfId="14369" priority="228">
      <formula>AV71="X"</formula>
    </cfRule>
    <cfRule type="expression" dxfId="14368" priority="229">
      <formula>AV71="후보"</formula>
    </cfRule>
  </conditionalFormatting>
  <conditionalFormatting sqref="AC71">
    <cfRule type="cellIs" dxfId="14367" priority="225" operator="greaterThan">
      <formula>0.9</formula>
    </cfRule>
    <cfRule type="cellIs" dxfId="14366" priority="226" operator="greaterThan">
      <formula>0.85</formula>
    </cfRule>
  </conditionalFormatting>
  <conditionalFormatting sqref="N71">
    <cfRule type="cellIs" dxfId="14365" priority="223" operator="greaterThan">
      <formula>0.9</formula>
    </cfRule>
    <cfRule type="cellIs" dxfId="14364" priority="224" operator="greaterThan">
      <formula>0.85</formula>
    </cfRule>
  </conditionalFormatting>
  <conditionalFormatting sqref="E71">
    <cfRule type="expression" dxfId="14363" priority="219">
      <formula>AND(IF(OR($Q71=1,$Q71=2),1,0),IF($X71&lt;=20,1,0))</formula>
    </cfRule>
    <cfRule type="expression" dxfId="14362" priority="220">
      <formula>AND(IF($Q71=2,1,0),IF($X71&lt;30,1,0))</formula>
    </cfRule>
    <cfRule type="expression" dxfId="14361" priority="221">
      <formula>AND(IF($Q71=3,1,0),IF($X71&lt;30,1,0))</formula>
    </cfRule>
    <cfRule type="expression" dxfId="14360" priority="222">
      <formula>AND(IF($Q71=3,1,IF($Q71=4,1,0)),IF($F71&lt;=85,1,0))</formula>
    </cfRule>
  </conditionalFormatting>
  <conditionalFormatting sqref="X71">
    <cfRule type="expression" dxfId="14359" priority="215">
      <formula>AND(IF(OR($Q71=1,$Q71=2),1,0),IF($X71&lt;=20,1,0))</formula>
    </cfRule>
    <cfRule type="expression" dxfId="14358" priority="216">
      <formula>AND(IF($Q71=2,1,0),IF($X71&lt;30,1,0))</formula>
    </cfRule>
    <cfRule type="expression" dxfId="14357" priority="217">
      <formula>AND(IF($Q71=3,1,0),IF($X71&lt;30,1,0))</formula>
    </cfRule>
    <cfRule type="expression" dxfId="14356" priority="218">
      <formula>AND(IF($Q71=3,1,IF($Q71=4,1,0)),IF($F71&lt;=85,1,0))</formula>
    </cfRule>
  </conditionalFormatting>
  <conditionalFormatting sqref="AI71">
    <cfRule type="expression" dxfId="14355" priority="211">
      <formula>AND(IF(OR($Q71=1,$Q71=2),1,0),IF($X71&lt;=20,1,0))</formula>
    </cfRule>
    <cfRule type="expression" dxfId="14354" priority="212">
      <formula>AND(IF($Q71=2,1,0),IF($X71&lt;30,1,0))</formula>
    </cfRule>
    <cfRule type="expression" dxfId="14353" priority="213">
      <formula>AND(IF($Q71=3,1,0),IF($X71&lt;30,1,0))</formula>
    </cfRule>
    <cfRule type="expression" dxfId="14352" priority="214">
      <formula>AND(IF($Q71=3,1,IF($Q71=4,1,0)),IF($F71&lt;=85,1,0))</formula>
    </cfRule>
  </conditionalFormatting>
  <conditionalFormatting sqref="AV72">
    <cfRule type="expression" dxfId="14351" priority="209">
      <formula>AV72="X"</formula>
    </cfRule>
    <cfRule type="expression" dxfId="14350" priority="210">
      <formula>AV72="후보"</formula>
    </cfRule>
  </conditionalFormatting>
  <conditionalFormatting sqref="AC72 N72">
    <cfRule type="cellIs" dxfId="14349" priority="206" operator="greaterThan">
      <formula>0.9</formula>
    </cfRule>
    <cfRule type="cellIs" dxfId="14348" priority="207" operator="greaterThan">
      <formula>0.85</formula>
    </cfRule>
  </conditionalFormatting>
  <conditionalFormatting sqref="AV73">
    <cfRule type="expression" dxfId="14347" priority="204">
      <formula>AV73="X"</formula>
    </cfRule>
    <cfRule type="expression" dxfId="14346" priority="205">
      <formula>AV73="후보"</formula>
    </cfRule>
  </conditionalFormatting>
  <conditionalFormatting sqref="AC73">
    <cfRule type="cellIs" dxfId="14345" priority="201" operator="greaterThan">
      <formula>0.9</formula>
    </cfRule>
    <cfRule type="cellIs" dxfId="14344" priority="202" operator="greaterThan">
      <formula>0.85</formula>
    </cfRule>
  </conditionalFormatting>
  <conditionalFormatting sqref="N73">
    <cfRule type="cellIs" dxfId="14343" priority="199" operator="greaterThan">
      <formula>0.9</formula>
    </cfRule>
    <cfRule type="cellIs" dxfId="14342" priority="200" operator="greaterThan">
      <formula>0.85</formula>
    </cfRule>
  </conditionalFormatting>
  <conditionalFormatting sqref="E73">
    <cfRule type="expression" dxfId="14341" priority="195">
      <formula>AND(IF(OR($Q73=1,$Q73=2),1,0),IF($X73&lt;=20,1,0))</formula>
    </cfRule>
    <cfRule type="expression" dxfId="14340" priority="196">
      <formula>AND(IF($Q73=2,1,0),IF($X73&lt;30,1,0))</formula>
    </cfRule>
    <cfRule type="expression" dxfId="14339" priority="197">
      <formula>AND(IF($Q73=3,1,0),IF($X73&lt;30,1,0))</formula>
    </cfRule>
    <cfRule type="expression" dxfId="14338" priority="198">
      <formula>AND(IF($Q73=3,1,IF($Q73=4,1,0)),IF($F73&lt;=85,1,0))</formula>
    </cfRule>
  </conditionalFormatting>
  <conditionalFormatting sqref="X73">
    <cfRule type="expression" dxfId="14337" priority="191">
      <formula>AND(IF(OR($Q73=1,$Q73=2),1,0),IF($X73&lt;=20,1,0))</formula>
    </cfRule>
    <cfRule type="expression" dxfId="14336" priority="192">
      <formula>AND(IF($Q73=2,1,0),IF($X73&lt;30,1,0))</formula>
    </cfRule>
    <cfRule type="expression" dxfId="14335" priority="193">
      <formula>AND(IF($Q73=3,1,0),IF($X73&lt;30,1,0))</formula>
    </cfRule>
    <cfRule type="expression" dxfId="14334" priority="194">
      <formula>AND(IF($Q73=3,1,IF($Q73=4,1,0)),IF($F73&lt;=85,1,0))</formula>
    </cfRule>
  </conditionalFormatting>
  <conditionalFormatting sqref="AI73">
    <cfRule type="expression" dxfId="14333" priority="187">
      <formula>AND(IF(OR($Q73=1,$Q73=2),1,0),IF($X73&lt;=20,1,0))</formula>
    </cfRule>
    <cfRule type="expression" dxfId="14332" priority="188">
      <formula>AND(IF($Q73=2,1,0),IF($X73&lt;30,1,0))</formula>
    </cfRule>
    <cfRule type="expression" dxfId="14331" priority="189">
      <formula>AND(IF($Q73=3,1,0),IF($X73&lt;30,1,0))</formula>
    </cfRule>
    <cfRule type="expression" dxfId="14330" priority="190">
      <formula>AND(IF($Q73=3,1,IF($Q73=4,1,0)),IF($F73&lt;=85,1,0))</formula>
    </cfRule>
  </conditionalFormatting>
  <conditionalFormatting sqref="AV74">
    <cfRule type="expression" dxfId="14329" priority="185">
      <formula>AV74="X"</formula>
    </cfRule>
    <cfRule type="expression" dxfId="14328" priority="186">
      <formula>AV74="후보"</formula>
    </cfRule>
  </conditionalFormatting>
  <conditionalFormatting sqref="AC74">
    <cfRule type="cellIs" dxfId="14327" priority="182" operator="greaterThan">
      <formula>0.9</formula>
    </cfRule>
    <cfRule type="cellIs" dxfId="14326" priority="183" operator="greaterThan">
      <formula>0.85</formula>
    </cfRule>
  </conditionalFormatting>
  <conditionalFormatting sqref="N74">
    <cfRule type="cellIs" dxfId="14325" priority="180" operator="greaterThan">
      <formula>0.9</formula>
    </cfRule>
    <cfRule type="cellIs" dxfId="14324" priority="181" operator="greaterThan">
      <formula>0.85</formula>
    </cfRule>
  </conditionalFormatting>
  <conditionalFormatting sqref="E74">
    <cfRule type="expression" dxfId="14323" priority="176">
      <formula>AND(IF(OR($Q74=1,$Q74=2),1,0),IF($X74&lt;=20,1,0))</formula>
    </cfRule>
    <cfRule type="expression" dxfId="14322" priority="177">
      <formula>AND(IF($Q74=2,1,0),IF($X74&lt;30,1,0))</formula>
    </cfRule>
    <cfRule type="expression" dxfId="14321" priority="178">
      <formula>AND(IF($Q74=3,1,0),IF($X74&lt;30,1,0))</formula>
    </cfRule>
    <cfRule type="expression" dxfId="14320" priority="179">
      <formula>AND(IF($Q74=3,1,IF($Q74=4,1,0)),IF($F74&lt;=85,1,0))</formula>
    </cfRule>
  </conditionalFormatting>
  <conditionalFormatting sqref="X74">
    <cfRule type="expression" dxfId="14319" priority="172">
      <formula>AND(IF(OR($Q74=1,$Q74=2),1,0),IF($X74&lt;=20,1,0))</formula>
    </cfRule>
    <cfRule type="expression" dxfId="14318" priority="173">
      <formula>AND(IF($Q74=2,1,0),IF($X74&lt;30,1,0))</formula>
    </cfRule>
    <cfRule type="expression" dxfId="14317" priority="174">
      <formula>AND(IF($Q74=3,1,0),IF($X74&lt;30,1,0))</formula>
    </cfRule>
    <cfRule type="expression" dxfId="14316" priority="175">
      <formula>AND(IF($Q74=3,1,IF($Q74=4,1,0)),IF($F74&lt;=85,1,0))</formula>
    </cfRule>
  </conditionalFormatting>
  <conditionalFormatting sqref="AI74">
    <cfRule type="expression" dxfId="14315" priority="168">
      <formula>AND(IF(OR($Q74=1,$Q74=2),1,0),IF($X74&lt;=20,1,0))</formula>
    </cfRule>
    <cfRule type="expression" dxfId="14314" priority="169">
      <formula>AND(IF($Q74=2,1,0),IF($X74&lt;30,1,0))</formula>
    </cfRule>
    <cfRule type="expression" dxfId="14313" priority="170">
      <formula>AND(IF($Q74=3,1,0),IF($X74&lt;30,1,0))</formula>
    </cfRule>
    <cfRule type="expression" dxfId="14312" priority="171">
      <formula>AND(IF($Q74=3,1,IF($Q74=4,1,0)),IF($F74&lt;=85,1,0))</formula>
    </cfRule>
  </conditionalFormatting>
  <conditionalFormatting sqref="AV75">
    <cfRule type="expression" dxfId="14311" priority="166">
      <formula>AV75="X"</formula>
    </cfRule>
    <cfRule type="expression" dxfId="14310" priority="167">
      <formula>AV75="후보"</formula>
    </cfRule>
  </conditionalFormatting>
  <conditionalFormatting sqref="AC75">
    <cfRule type="cellIs" dxfId="14309" priority="163" operator="greaterThan">
      <formula>0.9</formula>
    </cfRule>
    <cfRule type="cellIs" dxfId="14308" priority="164" operator="greaterThan">
      <formula>0.85</formula>
    </cfRule>
  </conditionalFormatting>
  <conditionalFormatting sqref="N75">
    <cfRule type="cellIs" dxfId="14307" priority="161" operator="greaterThan">
      <formula>0.9</formula>
    </cfRule>
    <cfRule type="cellIs" dxfId="14306" priority="162" operator="greaterThan">
      <formula>0.85</formula>
    </cfRule>
  </conditionalFormatting>
  <conditionalFormatting sqref="E75">
    <cfRule type="expression" dxfId="14305" priority="157">
      <formula>AND(IF(OR($Q75=1,$Q75=2),1,0),IF($X75&lt;=20,1,0))</formula>
    </cfRule>
    <cfRule type="expression" dxfId="14304" priority="158">
      <formula>AND(IF($Q75=2,1,0),IF($X75&lt;30,1,0))</formula>
    </cfRule>
    <cfRule type="expression" dxfId="14303" priority="159">
      <formula>AND(IF($Q75=3,1,0),IF($X75&lt;30,1,0))</formula>
    </cfRule>
    <cfRule type="expression" dxfId="14302" priority="160">
      <formula>AND(IF($Q75=3,1,IF($Q75=4,1,0)),IF($F75&lt;=85,1,0))</formula>
    </cfRule>
  </conditionalFormatting>
  <conditionalFormatting sqref="X75">
    <cfRule type="expression" dxfId="14301" priority="153">
      <formula>AND(IF(OR($Q75=1,$Q75=2),1,0),IF($X75&lt;=20,1,0))</formula>
    </cfRule>
    <cfRule type="expression" dxfId="14300" priority="154">
      <formula>AND(IF($Q75=2,1,0),IF($X75&lt;30,1,0))</formula>
    </cfRule>
    <cfRule type="expression" dxfId="14299" priority="155">
      <formula>AND(IF($Q75=3,1,0),IF($X75&lt;30,1,0))</formula>
    </cfRule>
    <cfRule type="expression" dxfId="14298" priority="156">
      <formula>AND(IF($Q75=3,1,IF($Q75=4,1,0)),IF($F75&lt;=85,1,0))</formula>
    </cfRule>
  </conditionalFormatting>
  <conditionalFormatting sqref="AI75">
    <cfRule type="expression" dxfId="14297" priority="149">
      <formula>AND(IF(OR($Q75=1,$Q75=2),1,0),IF($X75&lt;=20,1,0))</formula>
    </cfRule>
    <cfRule type="expression" dxfId="14296" priority="150">
      <formula>AND(IF($Q75=2,1,0),IF($X75&lt;30,1,0))</formula>
    </cfRule>
    <cfRule type="expression" dxfId="14295" priority="151">
      <formula>AND(IF($Q75=3,1,0),IF($X75&lt;30,1,0))</formula>
    </cfRule>
    <cfRule type="expression" dxfId="14294" priority="152">
      <formula>AND(IF($Q75=3,1,IF($Q75=4,1,0)),IF($F75&lt;=85,1,0))</formula>
    </cfRule>
  </conditionalFormatting>
  <conditionalFormatting sqref="AV76">
    <cfRule type="expression" dxfId="14293" priority="147">
      <formula>AV76="X"</formula>
    </cfRule>
    <cfRule type="expression" dxfId="14292" priority="148">
      <formula>AV76="후보"</formula>
    </cfRule>
  </conditionalFormatting>
  <conditionalFormatting sqref="AC76">
    <cfRule type="cellIs" dxfId="14291" priority="144" operator="greaterThan">
      <formula>0.9</formula>
    </cfRule>
    <cfRule type="cellIs" dxfId="14290" priority="145" operator="greaterThan">
      <formula>0.85</formula>
    </cfRule>
  </conditionalFormatting>
  <conditionalFormatting sqref="N76">
    <cfRule type="cellIs" dxfId="14289" priority="142" operator="greaterThan">
      <formula>0.9</formula>
    </cfRule>
    <cfRule type="cellIs" dxfId="14288" priority="143" operator="greaterThan">
      <formula>0.85</formula>
    </cfRule>
  </conditionalFormatting>
  <conditionalFormatting sqref="E76">
    <cfRule type="expression" dxfId="14287" priority="138">
      <formula>AND(IF(OR($Q76=1,$Q76=2),1,0),IF($X76&lt;=20,1,0))</formula>
    </cfRule>
    <cfRule type="expression" dxfId="14286" priority="139">
      <formula>AND(IF($Q76=2,1,0),IF($X76&lt;30,1,0))</formula>
    </cfRule>
    <cfRule type="expression" dxfId="14285" priority="140">
      <formula>AND(IF($Q76=3,1,0),IF($X76&lt;30,1,0))</formula>
    </cfRule>
    <cfRule type="expression" dxfId="14284" priority="141">
      <formula>AND(IF($Q76=3,1,IF($Q76=4,1,0)),IF($F76&lt;=85,1,0))</formula>
    </cfRule>
  </conditionalFormatting>
  <conditionalFormatting sqref="X76">
    <cfRule type="expression" dxfId="14283" priority="134">
      <formula>AND(IF(OR($Q76=1,$Q76=2),1,0),IF($X76&lt;=20,1,0))</formula>
    </cfRule>
    <cfRule type="expression" dxfId="14282" priority="135">
      <formula>AND(IF($Q76=2,1,0),IF($X76&lt;30,1,0))</formula>
    </cfRule>
    <cfRule type="expression" dxfId="14281" priority="136">
      <formula>AND(IF($Q76=3,1,0),IF($X76&lt;30,1,0))</formula>
    </cfRule>
    <cfRule type="expression" dxfId="14280" priority="137">
      <formula>AND(IF($Q76=3,1,IF($Q76=4,1,0)),IF($F76&lt;=85,1,0))</formula>
    </cfRule>
  </conditionalFormatting>
  <conditionalFormatting sqref="AI76">
    <cfRule type="expression" dxfId="14279" priority="130">
      <formula>AND(IF(OR($Q76=1,$Q76=2),1,0),IF($X76&lt;=20,1,0))</formula>
    </cfRule>
    <cfRule type="expression" dxfId="14278" priority="131">
      <formula>AND(IF($Q76=2,1,0),IF($X76&lt;30,1,0))</formula>
    </cfRule>
    <cfRule type="expression" dxfId="14277" priority="132">
      <formula>AND(IF($Q76=3,1,0),IF($X76&lt;30,1,0))</formula>
    </cfRule>
    <cfRule type="expression" dxfId="14276" priority="133">
      <formula>AND(IF($Q76=3,1,IF($Q76=4,1,0)),IF($F76&lt;=85,1,0))</formula>
    </cfRule>
  </conditionalFormatting>
  <conditionalFormatting sqref="AV77">
    <cfRule type="expression" dxfId="14275" priority="128">
      <formula>AV77="X"</formula>
    </cfRule>
    <cfRule type="expression" dxfId="14274" priority="129">
      <formula>AV77="후보"</formula>
    </cfRule>
  </conditionalFormatting>
  <conditionalFormatting sqref="AC77">
    <cfRule type="cellIs" dxfId="14273" priority="125" operator="greaterThan">
      <formula>0.9</formula>
    </cfRule>
    <cfRule type="cellIs" dxfId="14272" priority="126" operator="greaterThan">
      <formula>0.85</formula>
    </cfRule>
  </conditionalFormatting>
  <conditionalFormatting sqref="N77">
    <cfRule type="cellIs" dxfId="14271" priority="123" operator="greaterThan">
      <formula>0.9</formula>
    </cfRule>
    <cfRule type="cellIs" dxfId="14270" priority="124" operator="greaterThan">
      <formula>0.85</formula>
    </cfRule>
  </conditionalFormatting>
  <conditionalFormatting sqref="E77">
    <cfRule type="expression" dxfId="14269" priority="119">
      <formula>AND(IF(OR($Q77=1,$Q77=2),1,0),IF($X77&lt;=20,1,0))</formula>
    </cfRule>
    <cfRule type="expression" dxfId="14268" priority="120">
      <formula>AND(IF($Q77=2,1,0),IF($X77&lt;30,1,0))</formula>
    </cfRule>
    <cfRule type="expression" dxfId="14267" priority="121">
      <formula>AND(IF($Q77=3,1,0),IF($X77&lt;30,1,0))</formula>
    </cfRule>
    <cfRule type="expression" dxfId="14266" priority="122">
      <formula>AND(IF($Q77=3,1,IF($Q77=4,1,0)),IF($F77&lt;=85,1,0))</formula>
    </cfRule>
  </conditionalFormatting>
  <conditionalFormatting sqref="X77">
    <cfRule type="expression" dxfId="14265" priority="115">
      <formula>AND(IF(OR($Q77=1,$Q77=2),1,0),IF($X77&lt;=20,1,0))</formula>
    </cfRule>
    <cfRule type="expression" dxfId="14264" priority="116">
      <formula>AND(IF($Q77=2,1,0),IF($X77&lt;30,1,0))</formula>
    </cfRule>
    <cfRule type="expression" dxfId="14263" priority="117">
      <formula>AND(IF($Q77=3,1,0),IF($X77&lt;30,1,0))</formula>
    </cfRule>
    <cfRule type="expression" dxfId="14262" priority="118">
      <formula>AND(IF($Q77=3,1,IF($Q77=4,1,0)),IF($F77&lt;=85,1,0))</formula>
    </cfRule>
  </conditionalFormatting>
  <conditionalFormatting sqref="AI77">
    <cfRule type="expression" dxfId="14261" priority="111">
      <formula>AND(IF(OR($Q77=1,$Q77=2),1,0),IF($X77&lt;=20,1,0))</formula>
    </cfRule>
    <cfRule type="expression" dxfId="14260" priority="112">
      <formula>AND(IF($Q77=2,1,0),IF($X77&lt;30,1,0))</formula>
    </cfRule>
    <cfRule type="expression" dxfId="14259" priority="113">
      <formula>AND(IF($Q77=3,1,0),IF($X77&lt;30,1,0))</formula>
    </cfRule>
    <cfRule type="expression" dxfId="14258" priority="114">
      <formula>AND(IF($Q77=3,1,IF($Q77=4,1,0)),IF($F77&lt;=85,1,0))</formula>
    </cfRule>
  </conditionalFormatting>
  <conditionalFormatting sqref="AV78">
    <cfRule type="expression" dxfId="14257" priority="109">
      <formula>AV78="X"</formula>
    </cfRule>
    <cfRule type="expression" dxfId="14256" priority="110">
      <formula>AV78="후보"</formula>
    </cfRule>
  </conditionalFormatting>
  <conditionalFormatting sqref="AC78 N78">
    <cfRule type="cellIs" dxfId="14255" priority="106" operator="greaterThan">
      <formula>0.9</formula>
    </cfRule>
    <cfRule type="cellIs" dxfId="14254" priority="107" operator="greaterThan">
      <formula>0.85</formula>
    </cfRule>
  </conditionalFormatting>
  <conditionalFormatting sqref="AV79">
    <cfRule type="expression" dxfId="14253" priority="104">
      <formula>AV79="X"</formula>
    </cfRule>
    <cfRule type="expression" dxfId="14252" priority="105">
      <formula>AV79="후보"</formula>
    </cfRule>
  </conditionalFormatting>
  <conditionalFormatting sqref="AC79">
    <cfRule type="cellIs" dxfId="14251" priority="101" operator="greaterThan">
      <formula>0.9</formula>
    </cfRule>
    <cfRule type="cellIs" dxfId="14250" priority="102" operator="greaterThan">
      <formula>0.85</formula>
    </cfRule>
  </conditionalFormatting>
  <conditionalFormatting sqref="N79">
    <cfRule type="cellIs" dxfId="14249" priority="99" operator="greaterThan">
      <formula>0.9</formula>
    </cfRule>
    <cfRule type="cellIs" dxfId="14248" priority="100" operator="greaterThan">
      <formula>0.85</formula>
    </cfRule>
  </conditionalFormatting>
  <conditionalFormatting sqref="E79">
    <cfRule type="expression" dxfId="14247" priority="95">
      <formula>AND(IF(OR($Q79=1,$Q79=2),1,0),IF($X79&lt;=20,1,0))</formula>
    </cfRule>
    <cfRule type="expression" dxfId="14246" priority="96">
      <formula>AND(IF($Q79=2,1,0),IF($X79&lt;30,1,0))</formula>
    </cfRule>
    <cfRule type="expression" dxfId="14245" priority="97">
      <formula>AND(IF($Q79=3,1,0),IF($X79&lt;30,1,0))</formula>
    </cfRule>
    <cfRule type="expression" dxfId="14244" priority="98">
      <formula>AND(IF($Q79=3,1,IF($Q79=4,1,0)),IF($F79&lt;=85,1,0))</formula>
    </cfRule>
  </conditionalFormatting>
  <conditionalFormatting sqref="X79">
    <cfRule type="expression" dxfId="14243" priority="91">
      <formula>AND(IF(OR($Q79=1,$Q79=2),1,0),IF($X79&lt;=20,1,0))</formula>
    </cfRule>
    <cfRule type="expression" dxfId="14242" priority="92">
      <formula>AND(IF($Q79=2,1,0),IF($X79&lt;30,1,0))</formula>
    </cfRule>
    <cfRule type="expression" dxfId="14241" priority="93">
      <formula>AND(IF($Q79=3,1,0),IF($X79&lt;30,1,0))</formula>
    </cfRule>
    <cfRule type="expression" dxfId="14240" priority="94">
      <formula>AND(IF($Q79=3,1,IF($Q79=4,1,0)),IF($F79&lt;=85,1,0))</formula>
    </cfRule>
  </conditionalFormatting>
  <conditionalFormatting sqref="AI79">
    <cfRule type="expression" dxfId="14239" priority="87">
      <formula>AND(IF(OR($Q79=1,$Q79=2),1,0),IF($X79&lt;=20,1,0))</formula>
    </cfRule>
    <cfRule type="expression" dxfId="14238" priority="88">
      <formula>AND(IF($Q79=2,1,0),IF($X79&lt;30,1,0))</formula>
    </cfRule>
    <cfRule type="expression" dxfId="14237" priority="89">
      <formula>AND(IF($Q79=3,1,0),IF($X79&lt;30,1,0))</formula>
    </cfRule>
    <cfRule type="expression" dxfId="14236" priority="90">
      <formula>AND(IF($Q79=3,1,IF($Q79=4,1,0)),IF($F79&lt;=85,1,0))</formula>
    </cfRule>
  </conditionalFormatting>
  <conditionalFormatting sqref="AV80">
    <cfRule type="expression" dxfId="14235" priority="85">
      <formula>AV80="X"</formula>
    </cfRule>
    <cfRule type="expression" dxfId="14234" priority="86">
      <formula>AV80="후보"</formula>
    </cfRule>
  </conditionalFormatting>
  <conditionalFormatting sqref="AC80">
    <cfRule type="cellIs" dxfId="14233" priority="82" operator="greaterThan">
      <formula>0.9</formula>
    </cfRule>
    <cfRule type="cellIs" dxfId="14232" priority="83" operator="greaterThan">
      <formula>0.85</formula>
    </cfRule>
  </conditionalFormatting>
  <conditionalFormatting sqref="N80">
    <cfRule type="cellIs" dxfId="14231" priority="80" operator="greaterThan">
      <formula>0.9</formula>
    </cfRule>
    <cfRule type="cellIs" dxfId="14230" priority="81" operator="greaterThan">
      <formula>0.85</formula>
    </cfRule>
  </conditionalFormatting>
  <conditionalFormatting sqref="E80">
    <cfRule type="expression" dxfId="14229" priority="76">
      <formula>AND(IF(OR($Q80=1,$Q80=2),1,0),IF($X80&lt;=20,1,0))</formula>
    </cfRule>
    <cfRule type="expression" dxfId="14228" priority="77">
      <formula>AND(IF($Q80=2,1,0),IF($X80&lt;30,1,0))</formula>
    </cfRule>
    <cfRule type="expression" dxfId="14227" priority="78">
      <formula>AND(IF($Q80=3,1,0),IF($X80&lt;30,1,0))</formula>
    </cfRule>
    <cfRule type="expression" dxfId="14226" priority="79">
      <formula>AND(IF($Q80=3,1,IF($Q80=4,1,0)),IF($F80&lt;=85,1,0))</formula>
    </cfRule>
  </conditionalFormatting>
  <conditionalFormatting sqref="X80">
    <cfRule type="expression" dxfId="14225" priority="72">
      <formula>AND(IF(OR($Q80=1,$Q80=2),1,0),IF($X80&lt;=20,1,0))</formula>
    </cfRule>
    <cfRule type="expression" dxfId="14224" priority="73">
      <formula>AND(IF($Q80=2,1,0),IF($X80&lt;30,1,0))</formula>
    </cfRule>
    <cfRule type="expression" dxfId="14223" priority="74">
      <formula>AND(IF($Q80=3,1,0),IF($X80&lt;30,1,0))</formula>
    </cfRule>
    <cfRule type="expression" dxfId="14222" priority="75">
      <formula>AND(IF($Q80=3,1,IF($Q80=4,1,0)),IF($F80&lt;=85,1,0))</formula>
    </cfRule>
  </conditionalFormatting>
  <conditionalFormatting sqref="AI80">
    <cfRule type="expression" dxfId="14221" priority="68">
      <formula>AND(IF(OR($Q80=1,$Q80=2),1,0),IF($X80&lt;=20,1,0))</formula>
    </cfRule>
    <cfRule type="expression" dxfId="14220" priority="69">
      <formula>AND(IF($Q80=2,1,0),IF($X80&lt;30,1,0))</formula>
    </cfRule>
    <cfRule type="expression" dxfId="14219" priority="70">
      <formula>AND(IF($Q80=3,1,0),IF($X80&lt;30,1,0))</formula>
    </cfRule>
    <cfRule type="expression" dxfId="14218" priority="71">
      <formula>AND(IF($Q80=3,1,IF($Q80=4,1,0)),IF($F80&lt;=85,1,0))</formula>
    </cfRule>
  </conditionalFormatting>
  <conditionalFormatting sqref="AV81">
    <cfRule type="expression" dxfId="14217" priority="66">
      <formula>AV81="X"</formula>
    </cfRule>
    <cfRule type="expression" dxfId="14216" priority="67">
      <formula>AV81="후보"</formula>
    </cfRule>
  </conditionalFormatting>
  <conditionalFormatting sqref="AC81">
    <cfRule type="cellIs" dxfId="14215" priority="63" operator="greaterThan">
      <formula>0.9</formula>
    </cfRule>
    <cfRule type="cellIs" dxfId="14214" priority="64" operator="greaterThan">
      <formula>0.85</formula>
    </cfRule>
  </conditionalFormatting>
  <conditionalFormatting sqref="N81">
    <cfRule type="cellIs" dxfId="14213" priority="61" operator="greaterThan">
      <formula>0.9</formula>
    </cfRule>
    <cfRule type="cellIs" dxfId="14212" priority="62" operator="greaterThan">
      <formula>0.85</formula>
    </cfRule>
  </conditionalFormatting>
  <conditionalFormatting sqref="E81">
    <cfRule type="expression" dxfId="14211" priority="57">
      <formula>AND(IF(OR($Q81=1,$Q81=2),1,0),IF($X81&lt;=20,1,0))</formula>
    </cfRule>
    <cfRule type="expression" dxfId="14210" priority="58">
      <formula>AND(IF($Q81=2,1,0),IF($X81&lt;30,1,0))</formula>
    </cfRule>
    <cfRule type="expression" dxfId="14209" priority="59">
      <formula>AND(IF($Q81=3,1,0),IF($X81&lt;30,1,0))</formula>
    </cfRule>
    <cfRule type="expression" dxfId="14208" priority="60">
      <formula>AND(IF($Q81=3,1,IF($Q81=4,1,0)),IF($F81&lt;=85,1,0))</formula>
    </cfRule>
  </conditionalFormatting>
  <conditionalFormatting sqref="X81">
    <cfRule type="expression" dxfId="14207" priority="53">
      <formula>AND(IF(OR($Q81=1,$Q81=2),1,0),IF($X81&lt;=20,1,0))</formula>
    </cfRule>
    <cfRule type="expression" dxfId="14206" priority="54">
      <formula>AND(IF($Q81=2,1,0),IF($X81&lt;30,1,0))</formula>
    </cfRule>
    <cfRule type="expression" dxfId="14205" priority="55">
      <formula>AND(IF($Q81=3,1,0),IF($X81&lt;30,1,0))</formula>
    </cfRule>
    <cfRule type="expression" dxfId="14204" priority="56">
      <formula>AND(IF($Q81=3,1,IF($Q81=4,1,0)),IF($F81&lt;=85,1,0))</formula>
    </cfRule>
  </conditionalFormatting>
  <conditionalFormatting sqref="AI81">
    <cfRule type="expression" dxfId="14203" priority="49">
      <formula>AND(IF(OR($Q81=1,$Q81=2),1,0),IF($X81&lt;=20,1,0))</formula>
    </cfRule>
    <cfRule type="expression" dxfId="14202" priority="50">
      <formula>AND(IF($Q81=2,1,0),IF($X81&lt;30,1,0))</formula>
    </cfRule>
    <cfRule type="expression" dxfId="14201" priority="51">
      <formula>AND(IF($Q81=3,1,0),IF($X81&lt;30,1,0))</formula>
    </cfRule>
    <cfRule type="expression" dxfId="14200" priority="52">
      <formula>AND(IF($Q81=3,1,IF($Q81=4,1,0)),IF($F81&lt;=85,1,0))</formula>
    </cfRule>
  </conditionalFormatting>
  <conditionalFormatting sqref="AV82">
    <cfRule type="expression" dxfId="14199" priority="47">
      <formula>AV82="X"</formula>
    </cfRule>
    <cfRule type="expression" dxfId="14198" priority="48">
      <formula>AV82="후보"</formula>
    </cfRule>
  </conditionalFormatting>
  <conditionalFormatting sqref="AC82 N82">
    <cfRule type="cellIs" dxfId="14197" priority="44" operator="greaterThan">
      <formula>0.9</formula>
    </cfRule>
    <cfRule type="cellIs" dxfId="14196" priority="45" operator="greaterThan">
      <formula>0.85</formula>
    </cfRule>
  </conditionalFormatting>
  <conditionalFormatting sqref="AV83">
    <cfRule type="expression" dxfId="14195" priority="42">
      <formula>AV83="X"</formula>
    </cfRule>
    <cfRule type="expression" dxfId="14194" priority="43">
      <formula>AV83="후보"</formula>
    </cfRule>
  </conditionalFormatting>
  <conditionalFormatting sqref="AC83">
    <cfRule type="cellIs" dxfId="14193" priority="39" operator="greaterThan">
      <formula>0.9</formula>
    </cfRule>
    <cfRule type="cellIs" dxfId="14192" priority="40" operator="greaterThan">
      <formula>0.85</formula>
    </cfRule>
  </conditionalFormatting>
  <conditionalFormatting sqref="N83">
    <cfRule type="cellIs" dxfId="14191" priority="37" operator="greaterThan">
      <formula>0.9</formula>
    </cfRule>
    <cfRule type="cellIs" dxfId="14190" priority="38" operator="greaterThan">
      <formula>0.85</formula>
    </cfRule>
  </conditionalFormatting>
  <conditionalFormatting sqref="E83">
    <cfRule type="expression" dxfId="14189" priority="33">
      <formula>AND(IF(OR($Q83=1,$Q83=2),1,0),IF($X83&lt;=20,1,0))</formula>
    </cfRule>
    <cfRule type="expression" dxfId="14188" priority="34">
      <formula>AND(IF($Q83=2,1,0),IF($X83&lt;30,1,0))</formula>
    </cfRule>
    <cfRule type="expression" dxfId="14187" priority="35">
      <formula>AND(IF($Q83=3,1,0),IF($X83&lt;30,1,0))</formula>
    </cfRule>
    <cfRule type="expression" dxfId="14186" priority="36">
      <formula>AND(IF($Q83=3,1,IF($Q83=4,1,0)),IF($F83&lt;=85,1,0))</formula>
    </cfRule>
  </conditionalFormatting>
  <conditionalFormatting sqref="X83">
    <cfRule type="expression" dxfId="14185" priority="29">
      <formula>AND(IF(OR($Q83=1,$Q83=2),1,0),IF($X83&lt;=20,1,0))</formula>
    </cfRule>
    <cfRule type="expression" dxfId="14184" priority="30">
      <formula>AND(IF($Q83=2,1,0),IF($X83&lt;30,1,0))</formula>
    </cfRule>
    <cfRule type="expression" dxfId="14183" priority="31">
      <formula>AND(IF($Q83=3,1,0),IF($X83&lt;30,1,0))</formula>
    </cfRule>
    <cfRule type="expression" dxfId="14182" priority="32">
      <formula>AND(IF($Q83=3,1,IF($Q83=4,1,0)),IF($F83&lt;=85,1,0))</formula>
    </cfRule>
  </conditionalFormatting>
  <conditionalFormatting sqref="AI83">
    <cfRule type="expression" dxfId="14181" priority="25">
      <formula>AND(IF(OR($Q83=1,$Q83=2),1,0),IF($X83&lt;=20,1,0))</formula>
    </cfRule>
    <cfRule type="expression" dxfId="14180" priority="26">
      <formula>AND(IF($Q83=2,1,0),IF($X83&lt;30,1,0))</formula>
    </cfRule>
    <cfRule type="expression" dxfId="14179" priority="27">
      <formula>AND(IF($Q83=3,1,0),IF($X83&lt;30,1,0))</formula>
    </cfRule>
    <cfRule type="expression" dxfId="14178" priority="28">
      <formula>AND(IF($Q83=3,1,IF($Q83=4,1,0)),IF($F83&lt;=85,1,0))</formula>
    </cfRule>
  </conditionalFormatting>
  <conditionalFormatting sqref="AV84">
    <cfRule type="expression" dxfId="14177" priority="23">
      <formula>AV84="X"</formula>
    </cfRule>
    <cfRule type="expression" dxfId="14176" priority="24">
      <formula>AV84="후보"</formula>
    </cfRule>
  </conditionalFormatting>
  <conditionalFormatting sqref="AC84 N84">
    <cfRule type="cellIs" dxfId="14175" priority="20" operator="greaterThan">
      <formula>0.9</formula>
    </cfRule>
    <cfRule type="cellIs" dxfId="14174" priority="21" operator="greaterThan">
      <formula>0.85</formula>
    </cfRule>
  </conditionalFormatting>
  <conditionalFormatting sqref="AV85">
    <cfRule type="expression" dxfId="14173" priority="18">
      <formula>AV85="X"</formula>
    </cfRule>
    <cfRule type="expression" dxfId="14172" priority="19">
      <formula>AV85="후보"</formula>
    </cfRule>
  </conditionalFormatting>
  <conditionalFormatting sqref="AC85">
    <cfRule type="cellIs" dxfId="14171" priority="15" operator="greaterThan">
      <formula>0.9</formula>
    </cfRule>
    <cfRule type="cellIs" dxfId="14170" priority="16" operator="greaterThan">
      <formula>0.85</formula>
    </cfRule>
  </conditionalFormatting>
  <conditionalFormatting sqref="N85">
    <cfRule type="cellIs" dxfId="14169" priority="13" operator="greaterThan">
      <formula>0.9</formula>
    </cfRule>
    <cfRule type="cellIs" dxfId="14168" priority="14" operator="greaterThan">
      <formula>0.85</formula>
    </cfRule>
  </conditionalFormatting>
  <conditionalFormatting sqref="E85">
    <cfRule type="expression" dxfId="14167" priority="9">
      <formula>AND(IF(OR($Q85=1,$Q85=2),1,0),IF($X85&lt;=20,1,0))</formula>
    </cfRule>
    <cfRule type="expression" dxfId="14166" priority="10">
      <formula>AND(IF($Q85=2,1,0),IF($X85&lt;30,1,0))</formula>
    </cfRule>
    <cfRule type="expression" dxfId="14165" priority="11">
      <formula>AND(IF($Q85=3,1,0),IF($X85&lt;30,1,0))</formula>
    </cfRule>
    <cfRule type="expression" dxfId="14164" priority="12">
      <formula>AND(IF($Q85=3,1,IF($Q85=4,1,0)),IF($F85&lt;=85,1,0))</formula>
    </cfRule>
  </conditionalFormatting>
  <conditionalFormatting sqref="X85">
    <cfRule type="expression" dxfId="14163" priority="5">
      <formula>AND(IF(OR($Q85=1,$Q85=2),1,0),IF($X85&lt;=20,1,0))</formula>
    </cfRule>
    <cfRule type="expression" dxfId="14162" priority="6">
      <formula>AND(IF($Q85=2,1,0),IF($X85&lt;30,1,0))</formula>
    </cfRule>
    <cfRule type="expression" dxfId="14161" priority="7">
      <formula>AND(IF($Q85=3,1,0),IF($X85&lt;30,1,0))</formula>
    </cfRule>
    <cfRule type="expression" dxfId="14160" priority="8">
      <formula>AND(IF($Q85=3,1,IF($Q85=4,1,0)),IF($F85&lt;=85,1,0))</formula>
    </cfRule>
  </conditionalFormatting>
  <conditionalFormatting sqref="AI85">
    <cfRule type="expression" dxfId="14159" priority="1">
      <formula>AND(IF(OR($Q85=1,$Q85=2),1,0),IF($X85&lt;=20,1,0))</formula>
    </cfRule>
    <cfRule type="expression" dxfId="14158" priority="2">
      <formula>AND(IF($Q85=2,1,0),IF($X85&lt;30,1,0))</formula>
    </cfRule>
    <cfRule type="expression" dxfId="14157" priority="3">
      <formula>AND(IF($Q85=3,1,0),IF($X85&lt;30,1,0))</formula>
    </cfRule>
    <cfRule type="expression" dxfId="14156" priority="4">
      <formula>AND(IF($Q85=3,1,IF($Q85=4,1,0)),IF($F85&lt;=85,1,0))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9">
    <pageSetUpPr fitToPage="1"/>
  </sheetPr>
  <dimension ref="A1:AV10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03" sqref="A103:XFD103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5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0" width="9" style="37" customWidth="1"/>
    <col min="51" max="16384" width="9" style="37"/>
  </cols>
  <sheetData>
    <row r="1" spans="1:48" ht="17.25" customHeight="1" x14ac:dyDescent="0.3">
      <c r="A1" s="7" t="str">
        <f>단지추출!A1</f>
        <v>인천광역시 연수구</v>
      </c>
      <c r="I1" s="42" t="s">
        <v>1827</v>
      </c>
      <c r="X1" s="37" t="s">
        <v>5</v>
      </c>
      <c r="Y1" s="37"/>
      <c r="AA1" s="39">
        <f>단지추출!AA1</f>
        <v>70000</v>
      </c>
      <c r="AH1" s="7" t="str">
        <f>A1</f>
        <v>인천광역시 연수구</v>
      </c>
      <c r="AJ1" s="117" t="str">
        <f>A1&amp;" 전체 등급"</f>
        <v>인천광역시 연수구 전체 등급</v>
      </c>
      <c r="AK1" s="118"/>
      <c r="AL1" s="118"/>
      <c r="AM1" s="118"/>
      <c r="AN1" s="119"/>
      <c r="AO1" s="22">
        <f>단지추출!AO1</f>
        <v>80</v>
      </c>
      <c r="AP1" s="22">
        <f>단지추출!AP1</f>
        <v>50000</v>
      </c>
      <c r="AQ1" s="22">
        <f>단지추출!AQ1</f>
        <v>15000</v>
      </c>
      <c r="AR1" s="22">
        <f>단지추출!AR1</f>
        <v>5000</v>
      </c>
      <c r="AS1" s="2"/>
      <c r="AT1" s="2"/>
      <c r="AU1" s="22">
        <f>단지추출!AU1</f>
        <v>300</v>
      </c>
    </row>
    <row r="2" spans="1:48" x14ac:dyDescent="0.3">
      <c r="A2" s="80">
        <f>단지추출!A2</f>
        <v>44197</v>
      </c>
      <c r="W2" s="38"/>
      <c r="X2" s="38" t="s">
        <v>10</v>
      </c>
      <c r="Y2" s="38"/>
      <c r="AA2" s="39">
        <f>단지추출!AA2</f>
        <v>10000</v>
      </c>
      <c r="AH2" s="18" t="str">
        <f>AH1 &amp;" " &amp;A4</f>
        <v>인천광역시 연수구 효자동1가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4" t="s">
        <v>15</v>
      </c>
      <c r="AP2" s="65"/>
      <c r="AQ2" s="66"/>
      <c r="AR2" s="64" t="s">
        <v>16</v>
      </c>
      <c r="AS2" s="66"/>
      <c r="AT2" s="64" t="s">
        <v>17</v>
      </c>
      <c r="AU2" s="66"/>
      <c r="AV2" s="40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1828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106" t="s">
        <v>27</v>
      </c>
      <c r="Z3" s="12" t="s">
        <v>41</v>
      </c>
      <c r="AA3" s="12" t="s">
        <v>42</v>
      </c>
      <c r="AB3" s="12" t="s">
        <v>1828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34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(5억↓)</v>
      </c>
      <c r="AQ3" s="11" t="str">
        <f>"지역평단가
("&amp;AQ1&amp;"↓)"</f>
        <v>지역평단가
(15000↓)</v>
      </c>
      <c r="AR3" s="11" t="str">
        <f>"투자규모★
(갭"&amp;AR1/1000&amp;"천↓)"</f>
        <v>투자규모★
(갭5천↓)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1" t="s">
        <v>18</v>
      </c>
    </row>
    <row r="4" spans="1:48" x14ac:dyDescent="0.3">
      <c r="A4" s="8" t="s">
        <v>502</v>
      </c>
      <c r="B4" s="76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07"/>
      <c r="R4" s="107"/>
      <c r="S4" s="76"/>
      <c r="T4" s="5"/>
      <c r="U4" s="9"/>
      <c r="W4" s="9"/>
      <c r="X4" s="9"/>
      <c r="Y4" s="91"/>
      <c r="Z4" s="9"/>
      <c r="AA4" s="9"/>
      <c r="AB4" s="9"/>
      <c r="AC4" s="9"/>
      <c r="AD4" s="9"/>
      <c r="AE4" s="76"/>
      <c r="AF4" s="5"/>
      <c r="AH4" s="20"/>
      <c r="AI4" s="108" t="str">
        <f t="shared" si="0"/>
        <v/>
      </c>
      <c r="AJ4" s="76"/>
      <c r="AK4" s="76"/>
      <c r="AL4" s="76"/>
      <c r="AM4" s="76"/>
      <c r="AN4" s="76"/>
      <c r="AO4" s="76"/>
      <c r="AP4" s="76"/>
      <c r="AQ4" s="76"/>
      <c r="AR4" s="76"/>
      <c r="AS4" s="76"/>
      <c r="AT4" s="76"/>
      <c r="AU4" s="76"/>
      <c r="AV4" s="76"/>
    </row>
    <row r="5" spans="1:48" x14ac:dyDescent="0.3">
      <c r="A5" s="9"/>
      <c r="B5" s="76"/>
      <c r="C5" s="6"/>
      <c r="D5" s="9"/>
      <c r="E5" s="14"/>
      <c r="F5" s="85"/>
      <c r="G5" s="9"/>
      <c r="H5" s="9"/>
      <c r="I5" s="9"/>
      <c r="J5" s="9"/>
      <c r="K5" s="9"/>
      <c r="L5" s="9"/>
      <c r="M5" s="9"/>
      <c r="N5" s="9"/>
      <c r="O5" s="90"/>
      <c r="P5" s="90"/>
      <c r="Q5" s="86"/>
      <c r="R5" s="86"/>
      <c r="S5" s="9"/>
      <c r="T5" s="47"/>
      <c r="U5" s="9"/>
      <c r="W5" s="67" t="str">
        <f>$A$4&amp;" "&amp;A6&amp;"("&amp;B6&amp;","&amp;C6&amp;"^)"</f>
        <v>효자동1가 신원리브웰('17.08.,326^)</v>
      </c>
      <c r="X5" s="68"/>
      <c r="Y5" s="68"/>
      <c r="Z5" s="68"/>
      <c r="AA5" s="68"/>
      <c r="AB5" s="68"/>
      <c r="AC5" s="68"/>
      <c r="AD5" s="68"/>
      <c r="AE5" s="68"/>
      <c r="AF5" s="69"/>
      <c r="AH5" s="20" t="str">
        <f t="shared" ref="AH5:AH36" si="1">IF(A5="","",A5)</f>
        <v/>
      </c>
      <c r="AI5" s="108" t="str">
        <f t="shared" si="0"/>
        <v/>
      </c>
      <c r="AJ5" s="76"/>
      <c r="AK5" s="76"/>
      <c r="AL5" s="76"/>
      <c r="AM5" s="76"/>
      <c r="AN5" s="76"/>
      <c r="AO5" s="76"/>
      <c r="AP5" s="76"/>
      <c r="AQ5" s="76"/>
      <c r="AR5" s="76"/>
      <c r="AS5" s="76"/>
      <c r="AT5" s="76"/>
      <c r="AU5" s="76"/>
      <c r="AV5" s="76"/>
    </row>
    <row r="6" spans="1:48" x14ac:dyDescent="0.3">
      <c r="A6" s="9" t="s">
        <v>1432</v>
      </c>
      <c r="B6" s="10" t="s">
        <v>1916</v>
      </c>
      <c r="C6" s="87">
        <v>326</v>
      </c>
      <c r="D6" s="85">
        <v>77.5</v>
      </c>
      <c r="E6" s="86">
        <v>23</v>
      </c>
      <c r="F6" s="85">
        <v>59.8</v>
      </c>
      <c r="G6" s="17">
        <v>18</v>
      </c>
      <c r="H6" s="87">
        <v>57</v>
      </c>
      <c r="I6" s="88"/>
      <c r="J6" s="88"/>
      <c r="K6" s="88"/>
      <c r="L6" s="88"/>
      <c r="M6" s="89">
        <f>I6-K6</f>
        <v>0</v>
      </c>
      <c r="N6" s="4" t="str">
        <f>IF(ISERROR(K6/I6),"",K6/I6)</f>
        <v/>
      </c>
      <c r="O6" s="90">
        <f>I6/E6</f>
        <v>0</v>
      </c>
      <c r="P6" s="90">
        <f>K6/E6</f>
        <v>0</v>
      </c>
      <c r="Q6" s="76">
        <v>3</v>
      </c>
      <c r="R6" s="76">
        <v>2</v>
      </c>
      <c r="S6" s="76" t="s">
        <v>61</v>
      </c>
      <c r="T6" s="5" t="s">
        <v>357</v>
      </c>
      <c r="U6" s="9"/>
      <c r="W6" s="85">
        <f t="shared" ref="W6:X9" si="2">D6</f>
        <v>77.5</v>
      </c>
      <c r="X6" s="86">
        <f t="shared" si="2"/>
        <v>23</v>
      </c>
      <c r="Y6" s="91">
        <f t="shared" ref="Y6:Z9" si="3">H6</f>
        <v>57</v>
      </c>
      <c r="Z6" s="89">
        <f t="shared" si="3"/>
        <v>0</v>
      </c>
      <c r="AA6" s="89">
        <f>K6</f>
        <v>0</v>
      </c>
      <c r="AB6" s="89">
        <f t="shared" ref="AB6:AD9" si="4">M6</f>
        <v>0</v>
      </c>
      <c r="AC6" s="4" t="str">
        <f t="shared" si="4"/>
        <v/>
      </c>
      <c r="AD6" s="90">
        <f t="shared" si="4"/>
        <v>0</v>
      </c>
      <c r="AE6" s="76" t="str">
        <f>S6</f>
        <v>계</v>
      </c>
      <c r="AF6" s="76" t="str">
        <f>Q6&amp;"/"&amp;R6</f>
        <v>3/2</v>
      </c>
      <c r="AH6" s="20" t="str">
        <f t="shared" si="1"/>
        <v>신원리브웰</v>
      </c>
      <c r="AI6" s="86">
        <f t="shared" si="0"/>
        <v>23</v>
      </c>
      <c r="AJ6" s="76" t="str">
        <f>IF(AI6="","",$AJ$2)</f>
        <v>A-</v>
      </c>
      <c r="AK6" s="76" t="s">
        <v>13</v>
      </c>
      <c r="AL6" s="76" t="s">
        <v>62</v>
      </c>
      <c r="AM6" s="76" t="s">
        <v>63</v>
      </c>
      <c r="AN6" s="76" t="str">
        <f>IF(AI6="","",$AN$2)</f>
        <v>C</v>
      </c>
      <c r="AO6" s="76" t="str">
        <f>IF(N6="","",IF(N6&gt;=$AO$1/100,"O","X"))</f>
        <v/>
      </c>
      <c r="AP6" s="76" t="str">
        <f>IF(I6="","",IF(I6&lt;=$AP$1,"O","X"))</f>
        <v/>
      </c>
      <c r="AQ6" s="76" t="str">
        <f>IF(O6="","",IF(O6&lt;=$AQ$1,"O","X"))</f>
        <v>O</v>
      </c>
      <c r="AR6" s="76" t="str">
        <f>IF(M6="","",IF(M6&lt;=$AR$1,"O","X"))</f>
        <v>O</v>
      </c>
      <c r="AS6" s="76" t="s">
        <v>2</v>
      </c>
      <c r="AT6" s="76" t="str">
        <f>IF(OR(F6="",AI6=""),"",IF(AND((F6&lt;=85),(AI6&gt;=15)),"O","X"))</f>
        <v>O</v>
      </c>
      <c r="AU6" s="76" t="str">
        <f>IF(C6="","",IF(C6&gt;=$AU$1,"O","X"))</f>
        <v>O</v>
      </c>
      <c r="AV6" s="76" t="str">
        <f>IF(AO6="","",IF(AND(AO6="O",AP6="O",AR6="O",AT6="O",AU6="O"),"후보","X"))</f>
        <v/>
      </c>
    </row>
    <row r="7" spans="1:48" x14ac:dyDescent="0.3">
      <c r="A7" s="9" t="s">
        <v>1432</v>
      </c>
      <c r="B7" s="10" t="s">
        <v>1916</v>
      </c>
      <c r="C7" s="87">
        <v>326</v>
      </c>
      <c r="D7" s="85">
        <v>110</v>
      </c>
      <c r="E7" s="86">
        <v>33</v>
      </c>
      <c r="F7" s="85">
        <v>84.7</v>
      </c>
      <c r="G7" s="17">
        <v>26</v>
      </c>
      <c r="H7" s="87">
        <v>176</v>
      </c>
      <c r="I7" s="88">
        <v>39500</v>
      </c>
      <c r="J7" s="88" t="s">
        <v>71</v>
      </c>
      <c r="K7" s="88"/>
      <c r="L7" s="88"/>
      <c r="M7" s="89">
        <f>I7-K7</f>
        <v>39500</v>
      </c>
      <c r="N7" s="4">
        <f>IF(ISERROR(K7/I7),"",K7/I7)</f>
        <v>0</v>
      </c>
      <c r="O7" s="90">
        <f>I7/E7</f>
        <v>1196.969696969697</v>
      </c>
      <c r="P7" s="90">
        <f>K7/E7</f>
        <v>0</v>
      </c>
      <c r="Q7" s="76">
        <v>3</v>
      </c>
      <c r="R7" s="76">
        <v>2</v>
      </c>
      <c r="S7" s="76" t="s">
        <v>61</v>
      </c>
      <c r="T7" s="5" t="s">
        <v>124</v>
      </c>
      <c r="U7" s="9"/>
      <c r="W7" s="85">
        <f t="shared" si="2"/>
        <v>110</v>
      </c>
      <c r="X7" s="86">
        <f t="shared" si="2"/>
        <v>33</v>
      </c>
      <c r="Y7" s="91">
        <f t="shared" si="3"/>
        <v>176</v>
      </c>
      <c r="Z7" s="89">
        <f t="shared" si="3"/>
        <v>39500</v>
      </c>
      <c r="AA7" s="89">
        <f>K7</f>
        <v>0</v>
      </c>
      <c r="AB7" s="89">
        <f t="shared" si="4"/>
        <v>39500</v>
      </c>
      <c r="AC7" s="4">
        <f t="shared" si="4"/>
        <v>0</v>
      </c>
      <c r="AD7" s="90">
        <f t="shared" si="4"/>
        <v>1196.969696969697</v>
      </c>
      <c r="AE7" s="76" t="str">
        <f>S7</f>
        <v>계</v>
      </c>
      <c r="AF7" s="76" t="str">
        <f>Q7&amp;"/"&amp;R7</f>
        <v>3/2</v>
      </c>
      <c r="AH7" s="20" t="str">
        <f t="shared" si="1"/>
        <v>신원리브웰</v>
      </c>
      <c r="AI7" s="86">
        <f t="shared" si="0"/>
        <v>33</v>
      </c>
      <c r="AJ7" s="76" t="str">
        <f>IF(AI7="","",$AJ$2)</f>
        <v>A-</v>
      </c>
      <c r="AK7" s="76" t="s">
        <v>13</v>
      </c>
      <c r="AL7" s="76" t="s">
        <v>62</v>
      </c>
      <c r="AM7" s="76" t="s">
        <v>63</v>
      </c>
      <c r="AN7" s="76" t="str">
        <f>IF(AI7="","",$AN$2)</f>
        <v>C</v>
      </c>
      <c r="AO7" s="76" t="str">
        <f>IF(N7="","",IF(N7&gt;=$AO$1/100,"O","X"))</f>
        <v>X</v>
      </c>
      <c r="AP7" s="76" t="str">
        <f>IF(I7="","",IF(I7&lt;=$AP$1,"O","X"))</f>
        <v>O</v>
      </c>
      <c r="AQ7" s="76" t="str">
        <f>IF(O7="","",IF(O7&lt;=$AQ$1,"O","X"))</f>
        <v>O</v>
      </c>
      <c r="AR7" s="76" t="str">
        <f>IF(M7="","",IF(M7&lt;=$AR$1,"O","X"))</f>
        <v>X</v>
      </c>
      <c r="AS7" s="76" t="s">
        <v>2</v>
      </c>
      <c r="AT7" s="76" t="str">
        <f>IF(OR(F7="",AI7=""),"",IF(AND((F7&lt;=85),(AI7&gt;=15)),"O","X"))</f>
        <v>O</v>
      </c>
      <c r="AU7" s="76" t="str">
        <f>IF(C7="","",IF(C7&gt;=$AU$1,"O","X"))</f>
        <v>O</v>
      </c>
      <c r="AV7" s="76" t="str">
        <f>IF(AO7="","",IF(AND(AO7="O",AP7="O",AR7="O",AT7="O",AU7="O"),"후보","X"))</f>
        <v>X</v>
      </c>
    </row>
    <row r="8" spans="1:48" x14ac:dyDescent="0.3">
      <c r="A8" s="9" t="s">
        <v>1432</v>
      </c>
      <c r="B8" s="10" t="s">
        <v>1916</v>
      </c>
      <c r="C8" s="87">
        <v>326</v>
      </c>
      <c r="D8" s="85">
        <v>110.1</v>
      </c>
      <c r="E8" s="86">
        <v>33</v>
      </c>
      <c r="F8" s="85">
        <v>84.8</v>
      </c>
      <c r="G8" s="17">
        <v>26</v>
      </c>
      <c r="H8" s="87">
        <v>64</v>
      </c>
      <c r="I8" s="88">
        <v>40000</v>
      </c>
      <c r="J8" s="88" t="s">
        <v>90</v>
      </c>
      <c r="K8" s="88"/>
      <c r="L8" s="88"/>
      <c r="M8" s="89">
        <f>I8-K8</f>
        <v>40000</v>
      </c>
      <c r="N8" s="4">
        <f>IF(ISERROR(K8/I8),"",K8/I8)</f>
        <v>0</v>
      </c>
      <c r="O8" s="90">
        <f>I8/E8</f>
        <v>1212.121212121212</v>
      </c>
      <c r="P8" s="90">
        <f>K8/E8</f>
        <v>0</v>
      </c>
      <c r="Q8" s="76">
        <v>3</v>
      </c>
      <c r="R8" s="76">
        <v>2</v>
      </c>
      <c r="S8" s="76" t="s">
        <v>61</v>
      </c>
      <c r="T8" s="5" t="s">
        <v>125</v>
      </c>
      <c r="U8" s="9"/>
      <c r="W8" s="85">
        <f t="shared" si="2"/>
        <v>110.1</v>
      </c>
      <c r="X8" s="86">
        <f t="shared" si="2"/>
        <v>33</v>
      </c>
      <c r="Y8" s="91">
        <f t="shared" si="3"/>
        <v>64</v>
      </c>
      <c r="Z8" s="89">
        <f t="shared" si="3"/>
        <v>40000</v>
      </c>
      <c r="AA8" s="89">
        <f>K8</f>
        <v>0</v>
      </c>
      <c r="AB8" s="89">
        <f t="shared" si="4"/>
        <v>40000</v>
      </c>
      <c r="AC8" s="4">
        <f t="shared" si="4"/>
        <v>0</v>
      </c>
      <c r="AD8" s="90">
        <f t="shared" si="4"/>
        <v>1212.121212121212</v>
      </c>
      <c r="AE8" s="76" t="str">
        <f>S8</f>
        <v>계</v>
      </c>
      <c r="AF8" s="76" t="str">
        <f>Q8&amp;"/"&amp;R8</f>
        <v>3/2</v>
      </c>
      <c r="AH8" s="20" t="str">
        <f t="shared" si="1"/>
        <v>신원리브웰</v>
      </c>
      <c r="AI8" s="86">
        <f t="shared" si="0"/>
        <v>33</v>
      </c>
      <c r="AJ8" s="76" t="str">
        <f>IF(AI8="","",$AJ$2)</f>
        <v>A-</v>
      </c>
      <c r="AK8" s="76" t="s">
        <v>13</v>
      </c>
      <c r="AL8" s="76" t="s">
        <v>62</v>
      </c>
      <c r="AM8" s="76" t="s">
        <v>63</v>
      </c>
      <c r="AN8" s="76" t="str">
        <f>IF(AI8="","",$AN$2)</f>
        <v>C</v>
      </c>
      <c r="AO8" s="76" t="str">
        <f>IF(N8="","",IF(N8&gt;=$AO$1/100,"O","X"))</f>
        <v>X</v>
      </c>
      <c r="AP8" s="76" t="str">
        <f>IF(I8="","",IF(I8&lt;=$AP$1,"O","X"))</f>
        <v>O</v>
      </c>
      <c r="AQ8" s="76" t="str">
        <f>IF(O8="","",IF(O8&lt;=$AQ$1,"O","X"))</f>
        <v>O</v>
      </c>
      <c r="AR8" s="76" t="str">
        <f>IF(M8="","",IF(M8&lt;=$AR$1,"O","X"))</f>
        <v>X</v>
      </c>
      <c r="AS8" s="76" t="s">
        <v>2</v>
      </c>
      <c r="AT8" s="76" t="str">
        <f>IF(OR(F8="",AI8=""),"",IF(AND((F8&lt;=85),(AI8&gt;=15)),"O","X"))</f>
        <v>O</v>
      </c>
      <c r="AU8" s="76" t="str">
        <f>IF(C8="","",IF(C8&gt;=$AU$1,"O","X"))</f>
        <v>O</v>
      </c>
      <c r="AV8" s="76" t="str">
        <f>IF(AO8="","",IF(AND(AO8="O",AP8="O",AR8="O",AT8="O",AU8="O"),"후보","X"))</f>
        <v>X</v>
      </c>
    </row>
    <row r="9" spans="1:48" x14ac:dyDescent="0.3">
      <c r="A9" s="9" t="s">
        <v>1432</v>
      </c>
      <c r="B9" s="10" t="s">
        <v>1916</v>
      </c>
      <c r="C9" s="87">
        <v>326</v>
      </c>
      <c r="D9" s="85">
        <v>110.2</v>
      </c>
      <c r="E9" s="86">
        <v>33</v>
      </c>
      <c r="F9" s="85">
        <v>84.8</v>
      </c>
      <c r="G9" s="17">
        <v>26</v>
      </c>
      <c r="H9" s="87">
        <v>29</v>
      </c>
      <c r="I9" s="88"/>
      <c r="J9" s="88"/>
      <c r="K9" s="88"/>
      <c r="L9" s="88"/>
      <c r="M9" s="89">
        <f>I9-K9</f>
        <v>0</v>
      </c>
      <c r="N9" s="4" t="str">
        <f>IF(ISERROR(K9/I9),"",K9/I9)</f>
        <v/>
      </c>
      <c r="O9" s="90">
        <f>I9/E9</f>
        <v>0</v>
      </c>
      <c r="P9" s="90">
        <f>K9/E9</f>
        <v>0</v>
      </c>
      <c r="Q9" s="76">
        <v>3</v>
      </c>
      <c r="R9" s="76">
        <v>2</v>
      </c>
      <c r="S9" s="76" t="s">
        <v>61</v>
      </c>
      <c r="T9" s="5" t="s">
        <v>293</v>
      </c>
      <c r="U9" s="9"/>
      <c r="W9" s="85">
        <f t="shared" si="2"/>
        <v>110.2</v>
      </c>
      <c r="X9" s="86">
        <f t="shared" si="2"/>
        <v>33</v>
      </c>
      <c r="Y9" s="91">
        <f t="shared" si="3"/>
        <v>29</v>
      </c>
      <c r="Z9" s="89">
        <f t="shared" si="3"/>
        <v>0</v>
      </c>
      <c r="AA9" s="89">
        <f>K9</f>
        <v>0</v>
      </c>
      <c r="AB9" s="89">
        <f t="shared" si="4"/>
        <v>0</v>
      </c>
      <c r="AC9" s="4" t="str">
        <f t="shared" si="4"/>
        <v/>
      </c>
      <c r="AD9" s="90">
        <f t="shared" si="4"/>
        <v>0</v>
      </c>
      <c r="AE9" s="76" t="str">
        <f>S9</f>
        <v>계</v>
      </c>
      <c r="AF9" s="76" t="str">
        <f>Q9&amp;"/"&amp;R9</f>
        <v>3/2</v>
      </c>
      <c r="AH9" s="20" t="str">
        <f t="shared" si="1"/>
        <v>신원리브웰</v>
      </c>
      <c r="AI9" s="86">
        <f t="shared" si="0"/>
        <v>33</v>
      </c>
      <c r="AJ9" s="76" t="str">
        <f>IF(AI9="","",$AJ$2)</f>
        <v>A-</v>
      </c>
      <c r="AK9" s="76" t="s">
        <v>13</v>
      </c>
      <c r="AL9" s="76" t="s">
        <v>62</v>
      </c>
      <c r="AM9" s="76" t="s">
        <v>63</v>
      </c>
      <c r="AN9" s="76" t="str">
        <f>IF(AI9="","",$AN$2)</f>
        <v>C</v>
      </c>
      <c r="AO9" s="76" t="str">
        <f>IF(N9="","",IF(N9&gt;=$AO$1/100,"O","X"))</f>
        <v/>
      </c>
      <c r="AP9" s="76" t="str">
        <f>IF(I9="","",IF(I9&lt;=$AP$1,"O","X"))</f>
        <v/>
      </c>
      <c r="AQ9" s="76" t="str">
        <f>IF(O9="","",IF(O9&lt;=$AQ$1,"O","X"))</f>
        <v>O</v>
      </c>
      <c r="AR9" s="76" t="str">
        <f>IF(M9="","",IF(M9&lt;=$AR$1,"O","X"))</f>
        <v>O</v>
      </c>
      <c r="AS9" s="76" t="s">
        <v>2</v>
      </c>
      <c r="AT9" s="76" t="str">
        <f>IF(OR(F9="",AI9=""),"",IF(AND((F9&lt;=85),(AI9&gt;=15)),"O","X"))</f>
        <v>O</v>
      </c>
      <c r="AU9" s="76" t="str">
        <f>IF(C9="","",IF(C9&gt;=$AU$1,"O","X"))</f>
        <v>O</v>
      </c>
      <c r="AV9" s="76" t="str">
        <f>IF(AO9="","",IF(AND(AO9="O",AP9="O",AR9="O",AT9="O",AU9="O"),"후보","X"))</f>
        <v/>
      </c>
    </row>
    <row r="10" spans="1:48" x14ac:dyDescent="0.3">
      <c r="A10" s="9"/>
      <c r="B10" s="76"/>
      <c r="C10" s="6"/>
      <c r="D10" s="9"/>
      <c r="E10" s="14"/>
      <c r="F10" s="85"/>
      <c r="G10" s="9"/>
      <c r="H10" s="9"/>
      <c r="I10" s="9"/>
      <c r="J10" s="9"/>
      <c r="K10" s="9"/>
      <c r="L10" s="9"/>
      <c r="M10" s="9"/>
      <c r="N10" s="9"/>
      <c r="O10" s="90"/>
      <c r="P10" s="90"/>
      <c r="Q10" s="86"/>
      <c r="R10" s="86"/>
      <c r="S10" s="9"/>
      <c r="T10" s="47"/>
      <c r="U10" s="9"/>
      <c r="W10" s="67" t="str">
        <f>$A$4&amp;" "&amp;A11&amp;"("&amp;B11&amp;","&amp;C11&amp;"^)"</f>
        <v>효자동1가 삼성효자맨션('97.02.,467^)</v>
      </c>
      <c r="X10" s="68"/>
      <c r="Y10" s="68"/>
      <c r="Z10" s="68"/>
      <c r="AA10" s="68"/>
      <c r="AB10" s="68"/>
      <c r="AC10" s="68"/>
      <c r="AD10" s="68"/>
      <c r="AE10" s="68"/>
      <c r="AF10" s="69"/>
      <c r="AH10" s="20" t="str">
        <f t="shared" si="1"/>
        <v/>
      </c>
      <c r="AI10" s="108" t="str">
        <f t="shared" si="0"/>
        <v/>
      </c>
      <c r="AJ10" s="76"/>
      <c r="AK10" s="76"/>
      <c r="AL10" s="76"/>
      <c r="AM10" s="76"/>
      <c r="AN10" s="76"/>
      <c r="AO10" s="76"/>
      <c r="AP10" s="76"/>
      <c r="AQ10" s="76"/>
      <c r="AR10" s="76"/>
      <c r="AS10" s="76"/>
      <c r="AT10" s="76"/>
      <c r="AU10" s="76"/>
      <c r="AV10" s="76"/>
    </row>
    <row r="11" spans="1:48" x14ac:dyDescent="0.3">
      <c r="A11" s="9" t="s">
        <v>1452</v>
      </c>
      <c r="B11" s="10" t="s">
        <v>1917</v>
      </c>
      <c r="C11" s="87">
        <v>467</v>
      </c>
      <c r="D11" s="85">
        <v>77.2</v>
      </c>
      <c r="E11" s="86">
        <v>23</v>
      </c>
      <c r="F11" s="85">
        <v>60</v>
      </c>
      <c r="G11" s="17">
        <v>18</v>
      </c>
      <c r="H11" s="87">
        <v>222</v>
      </c>
      <c r="I11" s="88">
        <v>11500</v>
      </c>
      <c r="J11" s="88" t="s">
        <v>219</v>
      </c>
      <c r="K11" s="88"/>
      <c r="L11" s="88"/>
      <c r="M11" s="89">
        <f>I11-K11</f>
        <v>11500</v>
      </c>
      <c r="N11" s="4">
        <f>IF(ISERROR(K11/I11),"",K11/I11)</f>
        <v>0</v>
      </c>
      <c r="O11" s="90">
        <f>I11/E11</f>
        <v>500</v>
      </c>
      <c r="P11" s="90">
        <f>K11/E11</f>
        <v>0</v>
      </c>
      <c r="Q11" s="76">
        <v>3</v>
      </c>
      <c r="R11" s="76">
        <v>1</v>
      </c>
      <c r="S11" s="76" t="s">
        <v>68</v>
      </c>
      <c r="T11" s="5">
        <v>77</v>
      </c>
      <c r="U11" s="9"/>
      <c r="W11" s="85">
        <f t="shared" ref="W11:X13" si="5">D11</f>
        <v>77.2</v>
      </c>
      <c r="X11" s="86">
        <f t="shared" si="5"/>
        <v>23</v>
      </c>
      <c r="Y11" s="91">
        <f t="shared" ref="Y11:Z13" si="6">H11</f>
        <v>222</v>
      </c>
      <c r="Z11" s="89">
        <f t="shared" si="6"/>
        <v>11500</v>
      </c>
      <c r="AA11" s="89">
        <f>K11</f>
        <v>0</v>
      </c>
      <c r="AB11" s="89">
        <f t="shared" ref="AB11:AD13" si="7">M11</f>
        <v>11500</v>
      </c>
      <c r="AC11" s="4">
        <f t="shared" si="7"/>
        <v>0</v>
      </c>
      <c r="AD11" s="90">
        <f t="shared" si="7"/>
        <v>500</v>
      </c>
      <c r="AE11" s="76" t="str">
        <f>S11</f>
        <v>복</v>
      </c>
      <c r="AF11" s="76" t="str">
        <f>Q11&amp;"/"&amp;R11</f>
        <v>3/1</v>
      </c>
      <c r="AH11" s="20" t="str">
        <f t="shared" si="1"/>
        <v>삼성효자맨션</v>
      </c>
      <c r="AI11" s="86">
        <f t="shared" si="0"/>
        <v>23</v>
      </c>
      <c r="AJ11" s="76" t="str">
        <f>IF(AI11="","",$AJ$2)</f>
        <v>A-</v>
      </c>
      <c r="AK11" s="76" t="s">
        <v>13</v>
      </c>
      <c r="AL11" s="76" t="s">
        <v>62</v>
      </c>
      <c r="AM11" s="76" t="s">
        <v>63</v>
      </c>
      <c r="AN11" s="76" t="str">
        <f>IF(AI11="","",$AN$2)</f>
        <v>C</v>
      </c>
      <c r="AO11" s="76" t="str">
        <f>IF(N11="","",IF(N11&gt;=$AO$1/100,"O","X"))</f>
        <v>X</v>
      </c>
      <c r="AP11" s="76" t="str">
        <f>IF(I11="","",IF(I11&lt;=$AP$1,"O","X"))</f>
        <v>O</v>
      </c>
      <c r="AQ11" s="76" t="str">
        <f>IF(O11="","",IF(O11&lt;=$AQ$1,"O","X"))</f>
        <v>O</v>
      </c>
      <c r="AR11" s="76" t="str">
        <f>IF(M11="","",IF(M11&lt;=$AR$1,"O","X"))</f>
        <v>X</v>
      </c>
      <c r="AS11" s="76" t="s">
        <v>2</v>
      </c>
      <c r="AT11" s="76" t="str">
        <f>IF(OR(F11="",AI11=""),"",IF(AND((F11&lt;=85),(AI11&gt;=15)),"O","X"))</f>
        <v>O</v>
      </c>
      <c r="AU11" s="76" t="str">
        <f>IF(C11="","",IF(C11&gt;=$AU$1,"O","X"))</f>
        <v>O</v>
      </c>
      <c r="AV11" s="76" t="str">
        <f>IF(AO11="","",IF(AND(AO11="O",AP11="O",AR11="O",AT11="O",AU11="O"),"후보","X"))</f>
        <v>X</v>
      </c>
    </row>
    <row r="12" spans="1:48" x14ac:dyDescent="0.3">
      <c r="A12" s="9" t="s">
        <v>1452</v>
      </c>
      <c r="B12" s="10" t="s">
        <v>1917</v>
      </c>
      <c r="C12" s="87">
        <v>467</v>
      </c>
      <c r="D12" s="85">
        <v>91.1</v>
      </c>
      <c r="E12" s="86">
        <v>28</v>
      </c>
      <c r="F12" s="85">
        <v>70.8</v>
      </c>
      <c r="G12" s="17">
        <v>21</v>
      </c>
      <c r="H12" s="87">
        <v>57</v>
      </c>
      <c r="I12" s="88"/>
      <c r="J12" s="88"/>
      <c r="K12" s="88"/>
      <c r="L12" s="88"/>
      <c r="M12" s="89">
        <f>I12-K12</f>
        <v>0</v>
      </c>
      <c r="N12" s="4" t="str">
        <f>IF(ISERROR(K12/I12),"",K12/I12)</f>
        <v/>
      </c>
      <c r="O12" s="90">
        <f>I12/E12</f>
        <v>0</v>
      </c>
      <c r="P12" s="90">
        <f>K12/E12</f>
        <v>0</v>
      </c>
      <c r="Q12" s="76">
        <v>3</v>
      </c>
      <c r="R12" s="76">
        <v>1</v>
      </c>
      <c r="S12" s="76" t="s">
        <v>68</v>
      </c>
      <c r="T12" s="5">
        <v>91</v>
      </c>
      <c r="U12" s="9"/>
      <c r="W12" s="85">
        <f t="shared" si="5"/>
        <v>91.1</v>
      </c>
      <c r="X12" s="86">
        <f t="shared" si="5"/>
        <v>28</v>
      </c>
      <c r="Y12" s="91">
        <f t="shared" si="6"/>
        <v>57</v>
      </c>
      <c r="Z12" s="89">
        <f t="shared" si="6"/>
        <v>0</v>
      </c>
      <c r="AA12" s="89">
        <f>K12</f>
        <v>0</v>
      </c>
      <c r="AB12" s="89">
        <f t="shared" si="7"/>
        <v>0</v>
      </c>
      <c r="AC12" s="4" t="str">
        <f t="shared" si="7"/>
        <v/>
      </c>
      <c r="AD12" s="90">
        <f t="shared" si="7"/>
        <v>0</v>
      </c>
      <c r="AE12" s="76" t="str">
        <f>S12</f>
        <v>복</v>
      </c>
      <c r="AF12" s="76" t="str">
        <f>Q12&amp;"/"&amp;R12</f>
        <v>3/1</v>
      </c>
      <c r="AH12" s="20" t="str">
        <f t="shared" si="1"/>
        <v>삼성효자맨션</v>
      </c>
      <c r="AI12" s="86">
        <f t="shared" si="0"/>
        <v>28</v>
      </c>
      <c r="AJ12" s="76" t="str">
        <f>IF(AI12="","",$AJ$2)</f>
        <v>A-</v>
      </c>
      <c r="AK12" s="76" t="s">
        <v>13</v>
      </c>
      <c r="AL12" s="76" t="s">
        <v>62</v>
      </c>
      <c r="AM12" s="76" t="s">
        <v>63</v>
      </c>
      <c r="AN12" s="76" t="str">
        <f>IF(AI12="","",$AN$2)</f>
        <v>C</v>
      </c>
      <c r="AO12" s="76" t="str">
        <f>IF(N12="","",IF(N12&gt;=$AO$1/100,"O","X"))</f>
        <v/>
      </c>
      <c r="AP12" s="76" t="str">
        <f>IF(I12="","",IF(I12&lt;=$AP$1,"O","X"))</f>
        <v/>
      </c>
      <c r="AQ12" s="76" t="str">
        <f>IF(O12="","",IF(O12&lt;=$AQ$1,"O","X"))</f>
        <v>O</v>
      </c>
      <c r="AR12" s="76" t="str">
        <f>IF(M12="","",IF(M12&lt;=$AR$1,"O","X"))</f>
        <v>O</v>
      </c>
      <c r="AS12" s="76" t="s">
        <v>2</v>
      </c>
      <c r="AT12" s="76" t="str">
        <f>IF(OR(F12="",AI12=""),"",IF(AND((F12&lt;=85),(AI12&gt;=15)),"O","X"))</f>
        <v>O</v>
      </c>
      <c r="AU12" s="76" t="str">
        <f>IF(C12="","",IF(C12&gt;=$AU$1,"O","X"))</f>
        <v>O</v>
      </c>
      <c r="AV12" s="76" t="str">
        <f>IF(AO12="","",IF(AND(AO12="O",AP12="O",AR12="O",AT12="O",AU12="O"),"후보","X"))</f>
        <v/>
      </c>
    </row>
    <row r="13" spans="1:48" x14ac:dyDescent="0.3">
      <c r="A13" s="9" t="s">
        <v>1452</v>
      </c>
      <c r="B13" s="10" t="s">
        <v>1917</v>
      </c>
      <c r="C13" s="87">
        <v>467</v>
      </c>
      <c r="D13" s="85">
        <v>107.5</v>
      </c>
      <c r="E13" s="86">
        <v>33</v>
      </c>
      <c r="F13" s="85">
        <v>83.6</v>
      </c>
      <c r="G13" s="17">
        <v>25</v>
      </c>
      <c r="H13" s="87">
        <v>188</v>
      </c>
      <c r="I13" s="88">
        <v>18500</v>
      </c>
      <c r="J13" s="88" t="s">
        <v>80</v>
      </c>
      <c r="K13" s="88">
        <v>19000</v>
      </c>
      <c r="L13" s="88" t="s">
        <v>90</v>
      </c>
      <c r="M13" s="89">
        <f>I13-K13</f>
        <v>-500</v>
      </c>
      <c r="N13" s="4">
        <f>IF(ISERROR(K13/I13),"",K13/I13)</f>
        <v>1.027027027027027</v>
      </c>
      <c r="O13" s="90">
        <f>I13/E13</f>
        <v>560.60606060606062</v>
      </c>
      <c r="P13" s="90">
        <f>K13/E13</f>
        <v>575.75757575757575</v>
      </c>
      <c r="Q13" s="76">
        <v>3</v>
      </c>
      <c r="R13" s="76">
        <v>2</v>
      </c>
      <c r="S13" s="76" t="s">
        <v>68</v>
      </c>
      <c r="T13" s="5">
        <v>107</v>
      </c>
      <c r="U13" s="9"/>
      <c r="W13" s="85">
        <f t="shared" si="5"/>
        <v>107.5</v>
      </c>
      <c r="X13" s="86">
        <f t="shared" si="5"/>
        <v>33</v>
      </c>
      <c r="Y13" s="91">
        <f t="shared" si="6"/>
        <v>188</v>
      </c>
      <c r="Z13" s="89">
        <f t="shared" si="6"/>
        <v>18500</v>
      </c>
      <c r="AA13" s="89">
        <f>K13</f>
        <v>19000</v>
      </c>
      <c r="AB13" s="89">
        <f t="shared" si="7"/>
        <v>-500</v>
      </c>
      <c r="AC13" s="4">
        <f t="shared" si="7"/>
        <v>1.027027027027027</v>
      </c>
      <c r="AD13" s="90">
        <f t="shared" si="7"/>
        <v>560.60606060606062</v>
      </c>
      <c r="AE13" s="76" t="str">
        <f>S13</f>
        <v>복</v>
      </c>
      <c r="AF13" s="76" t="str">
        <f>Q13&amp;"/"&amp;R13</f>
        <v>3/2</v>
      </c>
      <c r="AH13" s="20" t="str">
        <f t="shared" si="1"/>
        <v>삼성효자맨션</v>
      </c>
      <c r="AI13" s="86">
        <f t="shared" si="0"/>
        <v>33</v>
      </c>
      <c r="AJ13" s="76" t="str">
        <f>IF(AI13="","",$AJ$2)</f>
        <v>A-</v>
      </c>
      <c r="AK13" s="76" t="s">
        <v>13</v>
      </c>
      <c r="AL13" s="76" t="s">
        <v>62</v>
      </c>
      <c r="AM13" s="76" t="s">
        <v>63</v>
      </c>
      <c r="AN13" s="76" t="str">
        <f>IF(AI13="","",$AN$2)</f>
        <v>C</v>
      </c>
      <c r="AO13" s="76" t="str">
        <f>IF(N13="","",IF(N13&gt;=$AO$1/100,"O","X"))</f>
        <v>O</v>
      </c>
      <c r="AP13" s="76" t="str">
        <f>IF(I13="","",IF(I13&lt;=$AP$1,"O","X"))</f>
        <v>O</v>
      </c>
      <c r="AQ13" s="76" t="str">
        <f>IF(O13="","",IF(O13&lt;=$AQ$1,"O","X"))</f>
        <v>O</v>
      </c>
      <c r="AR13" s="76" t="str">
        <f>IF(M13="","",IF(M13&lt;=$AR$1,"O","X"))</f>
        <v>O</v>
      </c>
      <c r="AS13" s="76" t="s">
        <v>2</v>
      </c>
      <c r="AT13" s="76" t="str">
        <f>IF(OR(F13="",AI13=""),"",IF(AND((F13&lt;=85),(AI13&gt;=15)),"O","X"))</f>
        <v>O</v>
      </c>
      <c r="AU13" s="76" t="str">
        <f>IF(C13="","",IF(C13&gt;=$AU$1,"O","X"))</f>
        <v>O</v>
      </c>
      <c r="AV13" s="76" t="str">
        <f>IF(AO13="","",IF(AND(AO13="O",AP13="O",AR13="O",AT13="O",AU13="O"),"후보","X"))</f>
        <v>후보</v>
      </c>
    </row>
    <row r="14" spans="1:48" x14ac:dyDescent="0.3">
      <c r="A14" s="9"/>
      <c r="B14" s="76"/>
      <c r="C14" s="6"/>
      <c r="D14" s="9"/>
      <c r="E14" s="14"/>
      <c r="F14" s="85"/>
      <c r="G14" s="9"/>
      <c r="H14" s="9"/>
      <c r="I14" s="9"/>
      <c r="J14" s="9"/>
      <c r="K14" s="9"/>
      <c r="L14" s="9"/>
      <c r="M14" s="9"/>
      <c r="N14" s="9"/>
      <c r="O14" s="90"/>
      <c r="P14" s="90"/>
      <c r="Q14" s="86"/>
      <c r="R14" s="86"/>
      <c r="S14" s="9"/>
      <c r="T14" s="47"/>
      <c r="U14" s="9"/>
      <c r="W14" s="67" t="str">
        <f>$A$4&amp;" "&amp;A15&amp;"("&amp;B15&amp;","&amp;C15&amp;"^)"</f>
        <v>효자동1가 상산타운('94.04.,1155^)</v>
      </c>
      <c r="X14" s="68"/>
      <c r="Y14" s="68"/>
      <c r="Z14" s="68"/>
      <c r="AA14" s="68"/>
      <c r="AB14" s="68"/>
      <c r="AC14" s="68"/>
      <c r="AD14" s="68"/>
      <c r="AE14" s="68"/>
      <c r="AF14" s="69"/>
      <c r="AH14" s="20" t="str">
        <f t="shared" si="1"/>
        <v/>
      </c>
      <c r="AI14" s="108" t="str">
        <f t="shared" si="0"/>
        <v/>
      </c>
      <c r="AJ14" s="76"/>
      <c r="AK14" s="76"/>
      <c r="AL14" s="76"/>
      <c r="AM14" s="76"/>
      <c r="AN14" s="76"/>
      <c r="AO14" s="76"/>
      <c r="AP14" s="76"/>
      <c r="AQ14" s="76"/>
      <c r="AR14" s="76"/>
      <c r="AS14" s="76"/>
      <c r="AT14" s="76"/>
      <c r="AU14" s="76"/>
      <c r="AV14" s="76"/>
    </row>
    <row r="15" spans="1:48" x14ac:dyDescent="0.3">
      <c r="A15" s="9" t="s">
        <v>1466</v>
      </c>
      <c r="B15" s="10" t="s">
        <v>1918</v>
      </c>
      <c r="C15" s="87">
        <v>1155</v>
      </c>
      <c r="D15" s="85">
        <v>83.1</v>
      </c>
      <c r="E15" s="86">
        <v>25</v>
      </c>
      <c r="F15" s="85">
        <v>59.8</v>
      </c>
      <c r="G15" s="17">
        <v>18</v>
      </c>
      <c r="H15" s="87">
        <v>435</v>
      </c>
      <c r="I15" s="88">
        <v>14000</v>
      </c>
      <c r="J15" s="88" t="s">
        <v>80</v>
      </c>
      <c r="K15" s="88">
        <v>12000</v>
      </c>
      <c r="L15" s="88" t="s">
        <v>71</v>
      </c>
      <c r="M15" s="89">
        <f>I15-K15</f>
        <v>2000</v>
      </c>
      <c r="N15" s="4">
        <f>IF(ISERROR(K15/I15),"",K15/I15)</f>
        <v>0.8571428571428571</v>
      </c>
      <c r="O15" s="90">
        <f>I15/E15</f>
        <v>560</v>
      </c>
      <c r="P15" s="90">
        <f>K15/E15</f>
        <v>480</v>
      </c>
      <c r="Q15" s="76">
        <v>3</v>
      </c>
      <c r="R15" s="76">
        <v>1</v>
      </c>
      <c r="S15" s="76" t="s">
        <v>68</v>
      </c>
      <c r="T15" s="5">
        <v>83</v>
      </c>
      <c r="U15" s="9"/>
      <c r="W15" s="85">
        <f t="shared" ref="W15:X17" si="8">D15</f>
        <v>83.1</v>
      </c>
      <c r="X15" s="86">
        <f t="shared" si="8"/>
        <v>25</v>
      </c>
      <c r="Y15" s="91">
        <f t="shared" ref="Y15:Z17" si="9">H15</f>
        <v>435</v>
      </c>
      <c r="Z15" s="89">
        <f t="shared" si="9"/>
        <v>14000</v>
      </c>
      <c r="AA15" s="89">
        <f>K15</f>
        <v>12000</v>
      </c>
      <c r="AB15" s="89">
        <f t="shared" ref="AB15:AD17" si="10">M15</f>
        <v>2000</v>
      </c>
      <c r="AC15" s="4">
        <f t="shared" si="10"/>
        <v>0.8571428571428571</v>
      </c>
      <c r="AD15" s="90">
        <f t="shared" si="10"/>
        <v>560</v>
      </c>
      <c r="AE15" s="76" t="str">
        <f>S15</f>
        <v>복</v>
      </c>
      <c r="AF15" s="76" t="str">
        <f>Q15&amp;"/"&amp;R15</f>
        <v>3/1</v>
      </c>
      <c r="AH15" s="20" t="str">
        <f t="shared" si="1"/>
        <v>상산타운</v>
      </c>
      <c r="AI15" s="86">
        <f t="shared" si="0"/>
        <v>25</v>
      </c>
      <c r="AJ15" s="76" t="str">
        <f>IF(AI15="","",$AJ$2)</f>
        <v>A-</v>
      </c>
      <c r="AK15" s="76" t="s">
        <v>13</v>
      </c>
      <c r="AL15" s="76" t="s">
        <v>62</v>
      </c>
      <c r="AM15" s="76" t="s">
        <v>63</v>
      </c>
      <c r="AN15" s="76" t="str">
        <f>IF(AI15="","",$AN$2)</f>
        <v>C</v>
      </c>
      <c r="AO15" s="76" t="str">
        <f>IF(N15="","",IF(N15&gt;=$AO$1/100,"O","X"))</f>
        <v>O</v>
      </c>
      <c r="AP15" s="76" t="str">
        <f>IF(I15="","",IF(I15&lt;=$AP$1,"O","X"))</f>
        <v>O</v>
      </c>
      <c r="AQ15" s="76" t="str">
        <f>IF(O15="","",IF(O15&lt;=$AQ$1,"O","X"))</f>
        <v>O</v>
      </c>
      <c r="AR15" s="76" t="str">
        <f>IF(M15="","",IF(M15&lt;=$AR$1,"O","X"))</f>
        <v>O</v>
      </c>
      <c r="AS15" s="76" t="s">
        <v>2</v>
      </c>
      <c r="AT15" s="76" t="str">
        <f>IF(OR(F15="",AI15=""),"",IF(AND((F15&lt;=85),(AI15&gt;=15)),"O","X"))</f>
        <v>O</v>
      </c>
      <c r="AU15" s="76" t="str">
        <f>IF(C15="","",IF(C15&gt;=$AU$1,"O","X"))</f>
        <v>O</v>
      </c>
      <c r="AV15" s="76" t="str">
        <f>IF(AO15="","",IF(AND(AO15="O",AP15="O",AR15="O",AT15="O",AU15="O"),"후보","X"))</f>
        <v>후보</v>
      </c>
    </row>
    <row r="16" spans="1:48" x14ac:dyDescent="0.3">
      <c r="A16" s="9" t="s">
        <v>1466</v>
      </c>
      <c r="B16" s="10" t="s">
        <v>1918</v>
      </c>
      <c r="C16" s="87">
        <v>1155</v>
      </c>
      <c r="D16" s="85">
        <v>102.4</v>
      </c>
      <c r="E16" s="86">
        <v>31</v>
      </c>
      <c r="F16" s="85">
        <v>84.8</v>
      </c>
      <c r="G16" s="17">
        <v>26</v>
      </c>
      <c r="H16" s="87">
        <v>480</v>
      </c>
      <c r="I16" s="88">
        <v>24000</v>
      </c>
      <c r="J16" s="88" t="s">
        <v>85</v>
      </c>
      <c r="K16" s="88"/>
      <c r="L16" s="88"/>
      <c r="M16" s="89">
        <f>I16-K16</f>
        <v>24000</v>
      </c>
      <c r="N16" s="4">
        <f>IF(ISERROR(K16/I16),"",K16/I16)</f>
        <v>0</v>
      </c>
      <c r="O16" s="90">
        <f>I16/E16</f>
        <v>774.19354838709683</v>
      </c>
      <c r="P16" s="90">
        <f>K16/E16</f>
        <v>0</v>
      </c>
      <c r="Q16" s="76">
        <v>3</v>
      </c>
      <c r="R16" s="76">
        <v>2</v>
      </c>
      <c r="S16" s="76" t="s">
        <v>61</v>
      </c>
      <c r="T16" s="5">
        <v>102</v>
      </c>
      <c r="U16" s="9"/>
      <c r="W16" s="85">
        <f t="shared" si="8"/>
        <v>102.4</v>
      </c>
      <c r="X16" s="86">
        <f t="shared" si="8"/>
        <v>31</v>
      </c>
      <c r="Y16" s="91">
        <f t="shared" si="9"/>
        <v>480</v>
      </c>
      <c r="Z16" s="89">
        <f t="shared" si="9"/>
        <v>24000</v>
      </c>
      <c r="AA16" s="89">
        <f>K16</f>
        <v>0</v>
      </c>
      <c r="AB16" s="89">
        <f t="shared" si="10"/>
        <v>24000</v>
      </c>
      <c r="AC16" s="4">
        <f t="shared" si="10"/>
        <v>0</v>
      </c>
      <c r="AD16" s="90">
        <f t="shared" si="10"/>
        <v>774.19354838709683</v>
      </c>
      <c r="AE16" s="76" t="str">
        <f>S16</f>
        <v>계</v>
      </c>
      <c r="AF16" s="76" t="str">
        <f>Q16&amp;"/"&amp;R16</f>
        <v>3/2</v>
      </c>
      <c r="AH16" s="20" t="str">
        <f t="shared" si="1"/>
        <v>상산타운</v>
      </c>
      <c r="AI16" s="86">
        <f t="shared" si="0"/>
        <v>31</v>
      </c>
      <c r="AJ16" s="76" t="str">
        <f>IF(AI16="","",$AJ$2)</f>
        <v>A-</v>
      </c>
      <c r="AK16" s="76" t="s">
        <v>13</v>
      </c>
      <c r="AL16" s="76" t="s">
        <v>62</v>
      </c>
      <c r="AM16" s="76" t="s">
        <v>63</v>
      </c>
      <c r="AN16" s="76" t="str">
        <f>IF(AI16="","",$AN$2)</f>
        <v>C</v>
      </c>
      <c r="AO16" s="76" t="str">
        <f>IF(N16="","",IF(N16&gt;=$AO$1/100,"O","X"))</f>
        <v>X</v>
      </c>
      <c r="AP16" s="76" t="str">
        <f>IF(I16="","",IF(I16&lt;=$AP$1,"O","X"))</f>
        <v>O</v>
      </c>
      <c r="AQ16" s="76" t="str">
        <f>IF(O16="","",IF(O16&lt;=$AQ$1,"O","X"))</f>
        <v>O</v>
      </c>
      <c r="AR16" s="76" t="str">
        <f>IF(M16="","",IF(M16&lt;=$AR$1,"O","X"))</f>
        <v>X</v>
      </c>
      <c r="AS16" s="76" t="s">
        <v>2</v>
      </c>
      <c r="AT16" s="76" t="str">
        <f>IF(OR(F16="",AI16=""),"",IF(AND((F16&lt;=85),(AI16&gt;=15)),"O","X"))</f>
        <v>O</v>
      </c>
      <c r="AU16" s="76" t="str">
        <f>IF(C16="","",IF(C16&gt;=$AU$1,"O","X"))</f>
        <v>O</v>
      </c>
      <c r="AV16" s="76" t="str">
        <f>IF(AO16="","",IF(AND(AO16="O",AP16="O",AR16="O",AT16="O",AU16="O"),"후보","X"))</f>
        <v>X</v>
      </c>
    </row>
    <row r="17" spans="1:48" x14ac:dyDescent="0.3">
      <c r="A17" s="9" t="s">
        <v>1466</v>
      </c>
      <c r="B17" s="10" t="s">
        <v>1918</v>
      </c>
      <c r="C17" s="87">
        <v>1155</v>
      </c>
      <c r="D17" s="85">
        <v>127.5</v>
      </c>
      <c r="E17" s="86">
        <v>39</v>
      </c>
      <c r="F17" s="85">
        <v>108</v>
      </c>
      <c r="G17" s="17">
        <v>33</v>
      </c>
      <c r="H17" s="87">
        <v>240</v>
      </c>
      <c r="I17" s="88">
        <v>27000</v>
      </c>
      <c r="J17" s="88" t="s">
        <v>89</v>
      </c>
      <c r="K17" s="88"/>
      <c r="L17" s="88"/>
      <c r="M17" s="89">
        <f>I17-K17</f>
        <v>27000</v>
      </c>
      <c r="N17" s="4">
        <f>IF(ISERROR(K17/I17),"",K17/I17)</f>
        <v>0</v>
      </c>
      <c r="O17" s="90">
        <f>I17/E17</f>
        <v>692.30769230769226</v>
      </c>
      <c r="P17" s="90">
        <f>K17/E17</f>
        <v>0</v>
      </c>
      <c r="Q17" s="76">
        <v>4</v>
      </c>
      <c r="R17" s="76">
        <v>2</v>
      </c>
      <c r="S17" s="76" t="s">
        <v>61</v>
      </c>
      <c r="T17" s="5">
        <v>127</v>
      </c>
      <c r="U17" s="9"/>
      <c r="W17" s="85">
        <f t="shared" si="8"/>
        <v>127.5</v>
      </c>
      <c r="X17" s="86">
        <f t="shared" si="8"/>
        <v>39</v>
      </c>
      <c r="Y17" s="91">
        <f t="shared" si="9"/>
        <v>240</v>
      </c>
      <c r="Z17" s="89">
        <f t="shared" si="9"/>
        <v>27000</v>
      </c>
      <c r="AA17" s="89">
        <f>K17</f>
        <v>0</v>
      </c>
      <c r="AB17" s="89">
        <f t="shared" si="10"/>
        <v>27000</v>
      </c>
      <c r="AC17" s="4">
        <f t="shared" si="10"/>
        <v>0</v>
      </c>
      <c r="AD17" s="90">
        <f t="shared" si="10"/>
        <v>692.30769230769226</v>
      </c>
      <c r="AE17" s="76" t="str">
        <f>S17</f>
        <v>계</v>
      </c>
      <c r="AF17" s="76" t="str">
        <f>Q17&amp;"/"&amp;R17</f>
        <v>4/2</v>
      </c>
      <c r="AH17" s="20" t="str">
        <f t="shared" si="1"/>
        <v>상산타운</v>
      </c>
      <c r="AI17" s="86">
        <f t="shared" si="0"/>
        <v>39</v>
      </c>
      <c r="AJ17" s="76" t="str">
        <f>IF(AI17="","",$AJ$2)</f>
        <v>A-</v>
      </c>
      <c r="AK17" s="76" t="s">
        <v>13</v>
      </c>
      <c r="AL17" s="76" t="s">
        <v>62</v>
      </c>
      <c r="AM17" s="76" t="s">
        <v>63</v>
      </c>
      <c r="AN17" s="76" t="str">
        <f>IF(AI17="","",$AN$2)</f>
        <v>C</v>
      </c>
      <c r="AO17" s="76" t="str">
        <f>IF(N17="","",IF(N17&gt;=$AO$1/100,"O","X"))</f>
        <v>X</v>
      </c>
      <c r="AP17" s="76" t="str">
        <f>IF(I17="","",IF(I17&lt;=$AP$1,"O","X"))</f>
        <v>O</v>
      </c>
      <c r="AQ17" s="76" t="str">
        <f>IF(O17="","",IF(O17&lt;=$AQ$1,"O","X"))</f>
        <v>O</v>
      </c>
      <c r="AR17" s="76" t="str">
        <f>IF(M17="","",IF(M17&lt;=$AR$1,"O","X"))</f>
        <v>X</v>
      </c>
      <c r="AS17" s="76" t="s">
        <v>2</v>
      </c>
      <c r="AT17" s="76" t="str">
        <f>IF(OR(F17="",AI17=""),"",IF(AND((F17&lt;=85),(AI17&gt;=15)),"O","X"))</f>
        <v>X</v>
      </c>
      <c r="AU17" s="76" t="str">
        <f>IF(C17="","",IF(C17&gt;=$AU$1,"O","X"))</f>
        <v>O</v>
      </c>
      <c r="AV17" s="76" t="str">
        <f>IF(AO17="","",IF(AND(AO17="O",AP17="O",AR17="O",AT17="O",AU17="O"),"후보","X"))</f>
        <v>X</v>
      </c>
    </row>
    <row r="18" spans="1:48" x14ac:dyDescent="0.3">
      <c r="A18" s="9"/>
      <c r="B18" s="76"/>
      <c r="C18" s="6"/>
      <c r="D18" s="9"/>
      <c r="E18" s="14"/>
      <c r="F18" s="85"/>
      <c r="G18" s="9"/>
      <c r="H18" s="9"/>
      <c r="I18" s="9"/>
      <c r="J18" s="9"/>
      <c r="K18" s="9"/>
      <c r="L18" s="9"/>
      <c r="M18" s="9"/>
      <c r="N18" s="9"/>
      <c r="O18" s="90"/>
      <c r="P18" s="90"/>
      <c r="Q18" s="86"/>
      <c r="R18" s="86"/>
      <c r="S18" s="9"/>
      <c r="T18" s="47"/>
      <c r="U18" s="9"/>
      <c r="W18" s="67" t="str">
        <f>$A$4&amp;" "&amp;A19&amp;"("&amp;B19&amp;","&amp;C19&amp;"^)"</f>
        <v>효자동1가 효자주공3단지('84.10.,1230^)</v>
      </c>
      <c r="X18" s="68"/>
      <c r="Y18" s="68"/>
      <c r="Z18" s="68"/>
      <c r="AA18" s="68"/>
      <c r="AB18" s="68"/>
      <c r="AC18" s="68"/>
      <c r="AD18" s="68"/>
      <c r="AE18" s="68"/>
      <c r="AF18" s="69"/>
      <c r="AH18" s="20" t="str">
        <f t="shared" si="1"/>
        <v/>
      </c>
      <c r="AI18" s="108" t="str">
        <f t="shared" si="0"/>
        <v/>
      </c>
      <c r="AJ18" s="76"/>
      <c r="AK18" s="76"/>
      <c r="AL18" s="76"/>
      <c r="AM18" s="76"/>
      <c r="AN18" s="76"/>
      <c r="AO18" s="76"/>
      <c r="AP18" s="76"/>
      <c r="AQ18" s="76"/>
      <c r="AR18" s="76"/>
      <c r="AS18" s="76"/>
      <c r="AT18" s="76"/>
      <c r="AU18" s="76"/>
      <c r="AV18" s="76"/>
    </row>
    <row r="19" spans="1:48" x14ac:dyDescent="0.3">
      <c r="A19" s="9" t="s">
        <v>1471</v>
      </c>
      <c r="B19" s="10" t="s">
        <v>1919</v>
      </c>
      <c r="C19" s="87">
        <v>1230</v>
      </c>
      <c r="D19" s="85">
        <v>45.7</v>
      </c>
      <c r="E19" s="86">
        <v>14</v>
      </c>
      <c r="F19" s="85">
        <v>45.7</v>
      </c>
      <c r="G19" s="17">
        <v>14</v>
      </c>
      <c r="H19" s="87">
        <v>100</v>
      </c>
      <c r="I19" s="88"/>
      <c r="J19" s="88"/>
      <c r="K19" s="88"/>
      <c r="L19" s="88"/>
      <c r="M19" s="89">
        <f t="shared" ref="M19:M29" si="11">I19-K19</f>
        <v>0</v>
      </c>
      <c r="N19" s="4" t="str">
        <f t="shared" ref="N19:N29" si="12">IF(ISERROR(K19/I19),"",K19/I19)</f>
        <v/>
      </c>
      <c r="O19" s="90">
        <f t="shared" ref="O19:O29" si="13">I19/E19</f>
        <v>0</v>
      </c>
      <c r="P19" s="90">
        <f t="shared" ref="P19:P29" si="14">K19/E19</f>
        <v>0</v>
      </c>
      <c r="Q19" s="76">
        <v>2</v>
      </c>
      <c r="R19" s="76">
        <v>1</v>
      </c>
      <c r="S19" s="76" t="s">
        <v>61</v>
      </c>
      <c r="T19" s="5" t="s">
        <v>364</v>
      </c>
      <c r="U19" s="9"/>
      <c r="W19" s="85">
        <f t="shared" ref="W19:W29" si="15">D19</f>
        <v>45.7</v>
      </c>
      <c r="X19" s="86">
        <f t="shared" ref="X19:X29" si="16">E19</f>
        <v>14</v>
      </c>
      <c r="Y19" s="91">
        <f t="shared" ref="Y19:Y29" si="17">H19</f>
        <v>100</v>
      </c>
      <c r="Z19" s="89">
        <f t="shared" ref="Z19:Z29" si="18">I19</f>
        <v>0</v>
      </c>
      <c r="AA19" s="89">
        <f t="shared" ref="AA19:AA29" si="19">K19</f>
        <v>0</v>
      </c>
      <c r="AB19" s="89">
        <f t="shared" ref="AB19:AB29" si="20">M19</f>
        <v>0</v>
      </c>
      <c r="AC19" s="4" t="str">
        <f t="shared" ref="AC19:AC29" si="21">N19</f>
        <v/>
      </c>
      <c r="AD19" s="90">
        <f t="shared" ref="AD19:AD29" si="22">O19</f>
        <v>0</v>
      </c>
      <c r="AE19" s="76" t="str">
        <f t="shared" ref="AE19:AE29" si="23">S19</f>
        <v>계</v>
      </c>
      <c r="AF19" s="76" t="str">
        <f t="shared" ref="AF19:AF29" si="24">Q19&amp;"/"&amp;R19</f>
        <v>2/1</v>
      </c>
      <c r="AH19" s="20" t="str">
        <f t="shared" si="1"/>
        <v>효자주공3단지</v>
      </c>
      <c r="AI19" s="86">
        <f t="shared" si="0"/>
        <v>14</v>
      </c>
      <c r="AJ19" s="76" t="str">
        <f t="shared" ref="AJ19:AJ29" si="25">IF(AI19="","",$AJ$2)</f>
        <v>A-</v>
      </c>
      <c r="AK19" s="76" t="s">
        <v>13</v>
      </c>
      <c r="AL19" s="76" t="s">
        <v>62</v>
      </c>
      <c r="AM19" s="76" t="s">
        <v>63</v>
      </c>
      <c r="AN19" s="76" t="str">
        <f t="shared" ref="AN19:AN29" si="26">IF(AI19="","",$AN$2)</f>
        <v>C</v>
      </c>
      <c r="AO19" s="76" t="str">
        <f t="shared" ref="AO19:AO29" si="27">IF(N19="","",IF(N19&gt;=$AO$1/100,"O","X"))</f>
        <v/>
      </c>
      <c r="AP19" s="76" t="str">
        <f t="shared" ref="AP19:AP29" si="28">IF(I19="","",IF(I19&lt;=$AP$1,"O","X"))</f>
        <v/>
      </c>
      <c r="AQ19" s="76" t="str">
        <f t="shared" ref="AQ19:AQ29" si="29">IF(O19="","",IF(O19&lt;=$AQ$1,"O","X"))</f>
        <v>O</v>
      </c>
      <c r="AR19" s="76" t="str">
        <f t="shared" ref="AR19:AR29" si="30">IF(M19="","",IF(M19&lt;=$AR$1,"O","X"))</f>
        <v>O</v>
      </c>
      <c r="AS19" s="76" t="s">
        <v>2</v>
      </c>
      <c r="AT19" s="76" t="str">
        <f t="shared" ref="AT19:AT29" si="31">IF(OR(F19="",AI19=""),"",IF(AND((F19&lt;=85),(AI19&gt;=15)),"O","X"))</f>
        <v>X</v>
      </c>
      <c r="AU19" s="76" t="str">
        <f t="shared" ref="AU19:AU29" si="32">IF(C19="","",IF(C19&gt;=$AU$1,"O","X"))</f>
        <v>O</v>
      </c>
      <c r="AV19" s="76" t="str">
        <f t="shared" ref="AV19:AV29" si="33">IF(AO19="","",IF(AND(AO19="O",AP19="O",AR19="O",AT19="O",AU19="O"),"후보","X"))</f>
        <v/>
      </c>
    </row>
    <row r="20" spans="1:48" x14ac:dyDescent="0.3">
      <c r="A20" s="9" t="s">
        <v>1471</v>
      </c>
      <c r="B20" s="10" t="s">
        <v>1919</v>
      </c>
      <c r="C20" s="87">
        <v>1230</v>
      </c>
      <c r="D20" s="85">
        <v>45.9</v>
      </c>
      <c r="E20" s="86">
        <v>14</v>
      </c>
      <c r="F20" s="85">
        <v>45.9</v>
      </c>
      <c r="G20" s="17">
        <v>14</v>
      </c>
      <c r="H20" s="87">
        <v>100</v>
      </c>
      <c r="I20" s="88"/>
      <c r="J20" s="88"/>
      <c r="K20" s="88"/>
      <c r="L20" s="88"/>
      <c r="M20" s="89">
        <f t="shared" si="11"/>
        <v>0</v>
      </c>
      <c r="N20" s="4" t="str">
        <f t="shared" si="12"/>
        <v/>
      </c>
      <c r="O20" s="90">
        <f t="shared" si="13"/>
        <v>0</v>
      </c>
      <c r="P20" s="90">
        <f t="shared" si="14"/>
        <v>0</v>
      </c>
      <c r="Q20" s="76">
        <v>2</v>
      </c>
      <c r="R20" s="76">
        <v>1</v>
      </c>
      <c r="S20" s="76" t="s">
        <v>61</v>
      </c>
      <c r="T20" s="5" t="s">
        <v>365</v>
      </c>
      <c r="U20" s="9"/>
      <c r="W20" s="85">
        <f t="shared" si="15"/>
        <v>45.9</v>
      </c>
      <c r="X20" s="86">
        <f t="shared" si="16"/>
        <v>14</v>
      </c>
      <c r="Y20" s="91">
        <f t="shared" si="17"/>
        <v>100</v>
      </c>
      <c r="Z20" s="89">
        <f t="shared" si="18"/>
        <v>0</v>
      </c>
      <c r="AA20" s="89">
        <f t="shared" si="19"/>
        <v>0</v>
      </c>
      <c r="AB20" s="89">
        <f t="shared" si="20"/>
        <v>0</v>
      </c>
      <c r="AC20" s="4" t="str">
        <f t="shared" si="21"/>
        <v/>
      </c>
      <c r="AD20" s="90">
        <f t="shared" si="22"/>
        <v>0</v>
      </c>
      <c r="AE20" s="76" t="str">
        <f t="shared" si="23"/>
        <v>계</v>
      </c>
      <c r="AF20" s="76" t="str">
        <f t="shared" si="24"/>
        <v>2/1</v>
      </c>
      <c r="AH20" s="20" t="str">
        <f t="shared" si="1"/>
        <v>효자주공3단지</v>
      </c>
      <c r="AI20" s="86">
        <f t="shared" si="0"/>
        <v>14</v>
      </c>
      <c r="AJ20" s="76" t="str">
        <f t="shared" si="25"/>
        <v>A-</v>
      </c>
      <c r="AK20" s="76" t="s">
        <v>13</v>
      </c>
      <c r="AL20" s="76" t="s">
        <v>62</v>
      </c>
      <c r="AM20" s="76" t="s">
        <v>63</v>
      </c>
      <c r="AN20" s="76" t="str">
        <f t="shared" si="26"/>
        <v>C</v>
      </c>
      <c r="AO20" s="76" t="str">
        <f t="shared" si="27"/>
        <v/>
      </c>
      <c r="AP20" s="76" t="str">
        <f t="shared" si="28"/>
        <v/>
      </c>
      <c r="AQ20" s="76" t="str">
        <f t="shared" si="29"/>
        <v>O</v>
      </c>
      <c r="AR20" s="76" t="str">
        <f t="shared" si="30"/>
        <v>O</v>
      </c>
      <c r="AS20" s="76" t="s">
        <v>2</v>
      </c>
      <c r="AT20" s="76" t="str">
        <f t="shared" si="31"/>
        <v>X</v>
      </c>
      <c r="AU20" s="76" t="str">
        <f t="shared" si="32"/>
        <v>O</v>
      </c>
      <c r="AV20" s="76" t="str">
        <f t="shared" si="33"/>
        <v/>
      </c>
    </row>
    <row r="21" spans="1:48" x14ac:dyDescent="0.3">
      <c r="A21" s="9" t="s">
        <v>1471</v>
      </c>
      <c r="B21" s="10" t="s">
        <v>1919</v>
      </c>
      <c r="C21" s="87">
        <v>1230</v>
      </c>
      <c r="D21" s="85">
        <v>47.6</v>
      </c>
      <c r="E21" s="86">
        <v>14</v>
      </c>
      <c r="F21" s="85">
        <v>47.6</v>
      </c>
      <c r="G21" s="17">
        <v>14</v>
      </c>
      <c r="H21" s="87">
        <v>34</v>
      </c>
      <c r="I21" s="88"/>
      <c r="J21" s="88"/>
      <c r="K21" s="88"/>
      <c r="L21" s="88"/>
      <c r="M21" s="89">
        <f t="shared" si="11"/>
        <v>0</v>
      </c>
      <c r="N21" s="4" t="str">
        <f t="shared" si="12"/>
        <v/>
      </c>
      <c r="O21" s="90">
        <f t="shared" si="13"/>
        <v>0</v>
      </c>
      <c r="P21" s="90">
        <f t="shared" si="14"/>
        <v>0</v>
      </c>
      <c r="Q21" s="76">
        <v>2</v>
      </c>
      <c r="R21" s="76">
        <v>1</v>
      </c>
      <c r="S21" s="76" t="s">
        <v>61</v>
      </c>
      <c r="T21" s="5" t="s">
        <v>366</v>
      </c>
      <c r="U21" s="9"/>
      <c r="W21" s="85">
        <f t="shared" si="15"/>
        <v>47.6</v>
      </c>
      <c r="X21" s="86">
        <f t="shared" si="16"/>
        <v>14</v>
      </c>
      <c r="Y21" s="91">
        <f t="shared" si="17"/>
        <v>34</v>
      </c>
      <c r="Z21" s="89">
        <f t="shared" si="18"/>
        <v>0</v>
      </c>
      <c r="AA21" s="89">
        <f t="shared" si="19"/>
        <v>0</v>
      </c>
      <c r="AB21" s="89">
        <f t="shared" si="20"/>
        <v>0</v>
      </c>
      <c r="AC21" s="4" t="str">
        <f t="shared" si="21"/>
        <v/>
      </c>
      <c r="AD21" s="90">
        <f t="shared" si="22"/>
        <v>0</v>
      </c>
      <c r="AE21" s="76" t="str">
        <f t="shared" si="23"/>
        <v>계</v>
      </c>
      <c r="AF21" s="76" t="str">
        <f t="shared" si="24"/>
        <v>2/1</v>
      </c>
      <c r="AH21" s="20" t="str">
        <f t="shared" si="1"/>
        <v>효자주공3단지</v>
      </c>
      <c r="AI21" s="86">
        <f t="shared" si="0"/>
        <v>14</v>
      </c>
      <c r="AJ21" s="76" t="str">
        <f t="shared" si="25"/>
        <v>A-</v>
      </c>
      <c r="AK21" s="76" t="s">
        <v>13</v>
      </c>
      <c r="AL21" s="76" t="s">
        <v>62</v>
      </c>
      <c r="AM21" s="76" t="s">
        <v>63</v>
      </c>
      <c r="AN21" s="76" t="str">
        <f t="shared" si="26"/>
        <v>C</v>
      </c>
      <c r="AO21" s="76" t="str">
        <f t="shared" si="27"/>
        <v/>
      </c>
      <c r="AP21" s="76" t="str">
        <f t="shared" si="28"/>
        <v/>
      </c>
      <c r="AQ21" s="76" t="str">
        <f t="shared" si="29"/>
        <v>O</v>
      </c>
      <c r="AR21" s="76" t="str">
        <f t="shared" si="30"/>
        <v>O</v>
      </c>
      <c r="AS21" s="76" t="s">
        <v>2</v>
      </c>
      <c r="AT21" s="76" t="str">
        <f t="shared" si="31"/>
        <v>X</v>
      </c>
      <c r="AU21" s="76" t="str">
        <f t="shared" si="32"/>
        <v>O</v>
      </c>
      <c r="AV21" s="76" t="str">
        <f t="shared" si="33"/>
        <v/>
      </c>
    </row>
    <row r="22" spans="1:48" x14ac:dyDescent="0.3">
      <c r="A22" s="9" t="s">
        <v>1471</v>
      </c>
      <c r="B22" s="10" t="s">
        <v>1919</v>
      </c>
      <c r="C22" s="87">
        <v>1230</v>
      </c>
      <c r="D22" s="85">
        <v>52.4</v>
      </c>
      <c r="E22" s="86">
        <v>16</v>
      </c>
      <c r="F22" s="85">
        <v>52.4</v>
      </c>
      <c r="G22" s="17">
        <v>16</v>
      </c>
      <c r="H22" s="87">
        <v>100</v>
      </c>
      <c r="I22" s="88"/>
      <c r="J22" s="88"/>
      <c r="K22" s="88"/>
      <c r="L22" s="88"/>
      <c r="M22" s="89">
        <f t="shared" si="11"/>
        <v>0</v>
      </c>
      <c r="N22" s="4" t="str">
        <f t="shared" si="12"/>
        <v/>
      </c>
      <c r="O22" s="90">
        <f t="shared" si="13"/>
        <v>0</v>
      </c>
      <c r="P22" s="90">
        <f t="shared" si="14"/>
        <v>0</v>
      </c>
      <c r="Q22" s="76">
        <v>3</v>
      </c>
      <c r="R22" s="76">
        <v>1</v>
      </c>
      <c r="S22" s="76" t="s">
        <v>61</v>
      </c>
      <c r="T22" s="5" t="s">
        <v>367</v>
      </c>
      <c r="U22" s="9"/>
      <c r="W22" s="85">
        <f t="shared" si="15"/>
        <v>52.4</v>
      </c>
      <c r="X22" s="86">
        <f t="shared" si="16"/>
        <v>16</v>
      </c>
      <c r="Y22" s="91">
        <f t="shared" si="17"/>
        <v>100</v>
      </c>
      <c r="Z22" s="89">
        <f t="shared" si="18"/>
        <v>0</v>
      </c>
      <c r="AA22" s="89">
        <f t="shared" si="19"/>
        <v>0</v>
      </c>
      <c r="AB22" s="89">
        <f t="shared" si="20"/>
        <v>0</v>
      </c>
      <c r="AC22" s="4" t="str">
        <f t="shared" si="21"/>
        <v/>
      </c>
      <c r="AD22" s="90">
        <f t="shared" si="22"/>
        <v>0</v>
      </c>
      <c r="AE22" s="76" t="str">
        <f t="shared" si="23"/>
        <v>계</v>
      </c>
      <c r="AF22" s="76" t="str">
        <f t="shared" si="24"/>
        <v>3/1</v>
      </c>
      <c r="AH22" s="20" t="str">
        <f t="shared" si="1"/>
        <v>효자주공3단지</v>
      </c>
      <c r="AI22" s="86">
        <f t="shared" si="0"/>
        <v>16</v>
      </c>
      <c r="AJ22" s="76" t="str">
        <f t="shared" si="25"/>
        <v>A-</v>
      </c>
      <c r="AK22" s="76" t="s">
        <v>13</v>
      </c>
      <c r="AL22" s="76" t="s">
        <v>62</v>
      </c>
      <c r="AM22" s="76" t="s">
        <v>63</v>
      </c>
      <c r="AN22" s="76" t="str">
        <f t="shared" si="26"/>
        <v>C</v>
      </c>
      <c r="AO22" s="76" t="str">
        <f t="shared" si="27"/>
        <v/>
      </c>
      <c r="AP22" s="76" t="str">
        <f t="shared" si="28"/>
        <v/>
      </c>
      <c r="AQ22" s="76" t="str">
        <f t="shared" si="29"/>
        <v>O</v>
      </c>
      <c r="AR22" s="76" t="str">
        <f t="shared" si="30"/>
        <v>O</v>
      </c>
      <c r="AS22" s="76" t="s">
        <v>2</v>
      </c>
      <c r="AT22" s="76" t="str">
        <f t="shared" si="31"/>
        <v>O</v>
      </c>
      <c r="AU22" s="76" t="str">
        <f t="shared" si="32"/>
        <v>O</v>
      </c>
      <c r="AV22" s="76" t="str">
        <f t="shared" si="33"/>
        <v/>
      </c>
    </row>
    <row r="23" spans="1:48" x14ac:dyDescent="0.3">
      <c r="A23" s="9" t="s">
        <v>1471</v>
      </c>
      <c r="B23" s="10" t="s">
        <v>1919</v>
      </c>
      <c r="C23" s="87">
        <v>1230</v>
      </c>
      <c r="D23" s="85">
        <v>52.7</v>
      </c>
      <c r="E23" s="86">
        <v>16</v>
      </c>
      <c r="F23" s="85">
        <v>52.7</v>
      </c>
      <c r="G23" s="17">
        <v>16</v>
      </c>
      <c r="H23" s="87">
        <v>100</v>
      </c>
      <c r="I23" s="88"/>
      <c r="J23" s="88"/>
      <c r="K23" s="88"/>
      <c r="L23" s="88"/>
      <c r="M23" s="89">
        <f t="shared" si="11"/>
        <v>0</v>
      </c>
      <c r="N23" s="4" t="str">
        <f t="shared" si="12"/>
        <v/>
      </c>
      <c r="O23" s="90">
        <f t="shared" si="13"/>
        <v>0</v>
      </c>
      <c r="P23" s="90">
        <f t="shared" si="14"/>
        <v>0</v>
      </c>
      <c r="Q23" s="76">
        <v>3</v>
      </c>
      <c r="R23" s="76">
        <v>1</v>
      </c>
      <c r="S23" s="76" t="s">
        <v>61</v>
      </c>
      <c r="T23" s="5" t="s">
        <v>368</v>
      </c>
      <c r="U23" s="9"/>
      <c r="W23" s="85">
        <f t="shared" si="15"/>
        <v>52.7</v>
      </c>
      <c r="X23" s="86">
        <f t="shared" si="16"/>
        <v>16</v>
      </c>
      <c r="Y23" s="91">
        <f t="shared" si="17"/>
        <v>100</v>
      </c>
      <c r="Z23" s="89">
        <f t="shared" si="18"/>
        <v>0</v>
      </c>
      <c r="AA23" s="89">
        <f t="shared" si="19"/>
        <v>0</v>
      </c>
      <c r="AB23" s="89">
        <f t="shared" si="20"/>
        <v>0</v>
      </c>
      <c r="AC23" s="4" t="str">
        <f t="shared" si="21"/>
        <v/>
      </c>
      <c r="AD23" s="90">
        <f t="shared" si="22"/>
        <v>0</v>
      </c>
      <c r="AE23" s="76" t="str">
        <f t="shared" si="23"/>
        <v>계</v>
      </c>
      <c r="AF23" s="76" t="str">
        <f t="shared" si="24"/>
        <v>3/1</v>
      </c>
      <c r="AH23" s="20" t="str">
        <f t="shared" si="1"/>
        <v>효자주공3단지</v>
      </c>
      <c r="AI23" s="86">
        <f t="shared" si="0"/>
        <v>16</v>
      </c>
      <c r="AJ23" s="76" t="str">
        <f t="shared" si="25"/>
        <v>A-</v>
      </c>
      <c r="AK23" s="76" t="s">
        <v>13</v>
      </c>
      <c r="AL23" s="76" t="s">
        <v>62</v>
      </c>
      <c r="AM23" s="76" t="s">
        <v>63</v>
      </c>
      <c r="AN23" s="76" t="str">
        <f t="shared" si="26"/>
        <v>C</v>
      </c>
      <c r="AO23" s="76" t="str">
        <f t="shared" si="27"/>
        <v/>
      </c>
      <c r="AP23" s="76" t="str">
        <f t="shared" si="28"/>
        <v/>
      </c>
      <c r="AQ23" s="76" t="str">
        <f t="shared" si="29"/>
        <v>O</v>
      </c>
      <c r="AR23" s="76" t="str">
        <f t="shared" si="30"/>
        <v>O</v>
      </c>
      <c r="AS23" s="76" t="s">
        <v>2</v>
      </c>
      <c r="AT23" s="76" t="str">
        <f t="shared" si="31"/>
        <v>O</v>
      </c>
      <c r="AU23" s="76" t="str">
        <f t="shared" si="32"/>
        <v>O</v>
      </c>
      <c r="AV23" s="76" t="str">
        <f t="shared" si="33"/>
        <v/>
      </c>
    </row>
    <row r="24" spans="1:48" x14ac:dyDescent="0.3">
      <c r="A24" s="9" t="s">
        <v>1471</v>
      </c>
      <c r="B24" s="10" t="s">
        <v>1919</v>
      </c>
      <c r="C24" s="87">
        <v>1230</v>
      </c>
      <c r="D24" s="85">
        <v>54.1</v>
      </c>
      <c r="E24" s="86">
        <v>16</v>
      </c>
      <c r="F24" s="85">
        <v>54.1</v>
      </c>
      <c r="G24" s="17">
        <v>16</v>
      </c>
      <c r="H24" s="87">
        <v>185</v>
      </c>
      <c r="I24" s="88"/>
      <c r="J24" s="88"/>
      <c r="K24" s="88"/>
      <c r="L24" s="88"/>
      <c r="M24" s="89">
        <f t="shared" si="11"/>
        <v>0</v>
      </c>
      <c r="N24" s="4" t="str">
        <f t="shared" si="12"/>
        <v/>
      </c>
      <c r="O24" s="90">
        <f t="shared" si="13"/>
        <v>0</v>
      </c>
      <c r="P24" s="90">
        <f t="shared" si="14"/>
        <v>0</v>
      </c>
      <c r="Q24" s="76">
        <v>3</v>
      </c>
      <c r="R24" s="76">
        <v>1</v>
      </c>
      <c r="S24" s="76" t="s">
        <v>61</v>
      </c>
      <c r="T24" s="5" t="s">
        <v>369</v>
      </c>
      <c r="U24" s="9"/>
      <c r="W24" s="85">
        <f t="shared" si="15"/>
        <v>54.1</v>
      </c>
      <c r="X24" s="86">
        <f t="shared" si="16"/>
        <v>16</v>
      </c>
      <c r="Y24" s="91">
        <f t="shared" si="17"/>
        <v>185</v>
      </c>
      <c r="Z24" s="89">
        <f t="shared" si="18"/>
        <v>0</v>
      </c>
      <c r="AA24" s="89">
        <f t="shared" si="19"/>
        <v>0</v>
      </c>
      <c r="AB24" s="89">
        <f t="shared" si="20"/>
        <v>0</v>
      </c>
      <c r="AC24" s="4" t="str">
        <f t="shared" si="21"/>
        <v/>
      </c>
      <c r="AD24" s="90">
        <f t="shared" si="22"/>
        <v>0</v>
      </c>
      <c r="AE24" s="76" t="str">
        <f t="shared" si="23"/>
        <v>계</v>
      </c>
      <c r="AF24" s="76" t="str">
        <f t="shared" si="24"/>
        <v>3/1</v>
      </c>
      <c r="AH24" s="20" t="str">
        <f t="shared" si="1"/>
        <v>효자주공3단지</v>
      </c>
      <c r="AI24" s="86">
        <f t="shared" si="0"/>
        <v>16</v>
      </c>
      <c r="AJ24" s="76" t="str">
        <f t="shared" si="25"/>
        <v>A-</v>
      </c>
      <c r="AK24" s="76" t="s">
        <v>13</v>
      </c>
      <c r="AL24" s="76" t="s">
        <v>62</v>
      </c>
      <c r="AM24" s="76" t="s">
        <v>63</v>
      </c>
      <c r="AN24" s="76" t="str">
        <f t="shared" si="26"/>
        <v>C</v>
      </c>
      <c r="AO24" s="76" t="str">
        <f t="shared" si="27"/>
        <v/>
      </c>
      <c r="AP24" s="76" t="str">
        <f t="shared" si="28"/>
        <v/>
      </c>
      <c r="AQ24" s="76" t="str">
        <f t="shared" si="29"/>
        <v>O</v>
      </c>
      <c r="AR24" s="76" t="str">
        <f t="shared" si="30"/>
        <v>O</v>
      </c>
      <c r="AS24" s="76" t="s">
        <v>2</v>
      </c>
      <c r="AT24" s="76" t="str">
        <f t="shared" si="31"/>
        <v>O</v>
      </c>
      <c r="AU24" s="76" t="str">
        <f t="shared" si="32"/>
        <v>O</v>
      </c>
      <c r="AV24" s="76" t="str">
        <f t="shared" si="33"/>
        <v/>
      </c>
    </row>
    <row r="25" spans="1:48" x14ac:dyDescent="0.3">
      <c r="A25" s="9" t="s">
        <v>1471</v>
      </c>
      <c r="B25" s="10" t="s">
        <v>1919</v>
      </c>
      <c r="C25" s="87">
        <v>1230</v>
      </c>
      <c r="D25" s="85">
        <v>54.8</v>
      </c>
      <c r="E25" s="86">
        <v>17</v>
      </c>
      <c r="F25" s="85">
        <v>54.8</v>
      </c>
      <c r="G25" s="17">
        <v>17</v>
      </c>
      <c r="H25" s="87">
        <v>136</v>
      </c>
      <c r="I25" s="88"/>
      <c r="J25" s="88"/>
      <c r="K25" s="88"/>
      <c r="L25" s="88"/>
      <c r="M25" s="89">
        <f t="shared" si="11"/>
        <v>0</v>
      </c>
      <c r="N25" s="4" t="str">
        <f t="shared" si="12"/>
        <v/>
      </c>
      <c r="O25" s="90">
        <f t="shared" si="13"/>
        <v>0</v>
      </c>
      <c r="P25" s="90">
        <f t="shared" si="14"/>
        <v>0</v>
      </c>
      <c r="Q25" s="76">
        <v>3</v>
      </c>
      <c r="R25" s="76">
        <v>1</v>
      </c>
      <c r="S25" s="76" t="s">
        <v>61</v>
      </c>
      <c r="T25" s="5" t="s">
        <v>370</v>
      </c>
      <c r="U25" s="9"/>
      <c r="W25" s="85">
        <f t="shared" si="15"/>
        <v>54.8</v>
      </c>
      <c r="X25" s="86">
        <f t="shared" si="16"/>
        <v>17</v>
      </c>
      <c r="Y25" s="91">
        <f t="shared" si="17"/>
        <v>136</v>
      </c>
      <c r="Z25" s="89">
        <f t="shared" si="18"/>
        <v>0</v>
      </c>
      <c r="AA25" s="89">
        <f t="shared" si="19"/>
        <v>0</v>
      </c>
      <c r="AB25" s="89">
        <f t="shared" si="20"/>
        <v>0</v>
      </c>
      <c r="AC25" s="4" t="str">
        <f t="shared" si="21"/>
        <v/>
      </c>
      <c r="AD25" s="90">
        <f t="shared" si="22"/>
        <v>0</v>
      </c>
      <c r="AE25" s="76" t="str">
        <f t="shared" si="23"/>
        <v>계</v>
      </c>
      <c r="AF25" s="76" t="str">
        <f t="shared" si="24"/>
        <v>3/1</v>
      </c>
      <c r="AH25" s="20" t="str">
        <f t="shared" si="1"/>
        <v>효자주공3단지</v>
      </c>
      <c r="AI25" s="86">
        <f t="shared" si="0"/>
        <v>17</v>
      </c>
      <c r="AJ25" s="76" t="str">
        <f t="shared" si="25"/>
        <v>A-</v>
      </c>
      <c r="AK25" s="76" t="s">
        <v>13</v>
      </c>
      <c r="AL25" s="76" t="s">
        <v>62</v>
      </c>
      <c r="AM25" s="76" t="s">
        <v>63</v>
      </c>
      <c r="AN25" s="76" t="str">
        <f t="shared" si="26"/>
        <v>C</v>
      </c>
      <c r="AO25" s="76" t="str">
        <f t="shared" si="27"/>
        <v/>
      </c>
      <c r="AP25" s="76" t="str">
        <f t="shared" si="28"/>
        <v/>
      </c>
      <c r="AQ25" s="76" t="str">
        <f t="shared" si="29"/>
        <v>O</v>
      </c>
      <c r="AR25" s="76" t="str">
        <f t="shared" si="30"/>
        <v>O</v>
      </c>
      <c r="AS25" s="76" t="s">
        <v>2</v>
      </c>
      <c r="AT25" s="76" t="str">
        <f t="shared" si="31"/>
        <v>O</v>
      </c>
      <c r="AU25" s="76" t="str">
        <f t="shared" si="32"/>
        <v>O</v>
      </c>
      <c r="AV25" s="76" t="str">
        <f t="shared" si="33"/>
        <v/>
      </c>
    </row>
    <row r="26" spans="1:48" x14ac:dyDescent="0.3">
      <c r="A26" s="9" t="s">
        <v>1471</v>
      </c>
      <c r="B26" s="10" t="s">
        <v>1919</v>
      </c>
      <c r="C26" s="87">
        <v>1230</v>
      </c>
      <c r="D26" s="85">
        <v>65.2</v>
      </c>
      <c r="E26" s="86">
        <v>20</v>
      </c>
      <c r="F26" s="85">
        <v>65.2</v>
      </c>
      <c r="G26" s="17">
        <v>20</v>
      </c>
      <c r="H26" s="87">
        <v>185</v>
      </c>
      <c r="I26" s="88"/>
      <c r="J26" s="88"/>
      <c r="K26" s="88"/>
      <c r="L26" s="88"/>
      <c r="M26" s="89">
        <f t="shared" si="11"/>
        <v>0</v>
      </c>
      <c r="N26" s="4" t="str">
        <f t="shared" si="12"/>
        <v/>
      </c>
      <c r="O26" s="90">
        <f t="shared" si="13"/>
        <v>0</v>
      </c>
      <c r="P26" s="90">
        <f t="shared" si="14"/>
        <v>0</v>
      </c>
      <c r="Q26" s="76">
        <v>3</v>
      </c>
      <c r="R26" s="76">
        <v>1</v>
      </c>
      <c r="S26" s="76" t="s">
        <v>61</v>
      </c>
      <c r="T26" s="5" t="s">
        <v>371</v>
      </c>
      <c r="U26" s="9"/>
      <c r="W26" s="85">
        <f t="shared" si="15"/>
        <v>65.2</v>
      </c>
      <c r="X26" s="86">
        <f t="shared" si="16"/>
        <v>20</v>
      </c>
      <c r="Y26" s="91">
        <f t="shared" si="17"/>
        <v>185</v>
      </c>
      <c r="Z26" s="89">
        <f t="shared" si="18"/>
        <v>0</v>
      </c>
      <c r="AA26" s="89">
        <f t="shared" si="19"/>
        <v>0</v>
      </c>
      <c r="AB26" s="89">
        <f t="shared" si="20"/>
        <v>0</v>
      </c>
      <c r="AC26" s="4" t="str">
        <f t="shared" si="21"/>
        <v/>
      </c>
      <c r="AD26" s="90">
        <f t="shared" si="22"/>
        <v>0</v>
      </c>
      <c r="AE26" s="76" t="str">
        <f t="shared" si="23"/>
        <v>계</v>
      </c>
      <c r="AF26" s="76" t="str">
        <f t="shared" si="24"/>
        <v>3/1</v>
      </c>
      <c r="AH26" s="20" t="str">
        <f t="shared" si="1"/>
        <v>효자주공3단지</v>
      </c>
      <c r="AI26" s="86">
        <f t="shared" si="0"/>
        <v>20</v>
      </c>
      <c r="AJ26" s="76" t="str">
        <f t="shared" si="25"/>
        <v>A-</v>
      </c>
      <c r="AK26" s="76" t="s">
        <v>13</v>
      </c>
      <c r="AL26" s="76" t="s">
        <v>62</v>
      </c>
      <c r="AM26" s="76" t="s">
        <v>63</v>
      </c>
      <c r="AN26" s="76" t="str">
        <f t="shared" si="26"/>
        <v>C</v>
      </c>
      <c r="AO26" s="76" t="str">
        <f t="shared" si="27"/>
        <v/>
      </c>
      <c r="AP26" s="76" t="str">
        <f t="shared" si="28"/>
        <v/>
      </c>
      <c r="AQ26" s="76" t="str">
        <f t="shared" si="29"/>
        <v>O</v>
      </c>
      <c r="AR26" s="76" t="str">
        <f t="shared" si="30"/>
        <v>O</v>
      </c>
      <c r="AS26" s="76" t="s">
        <v>2</v>
      </c>
      <c r="AT26" s="76" t="str">
        <f t="shared" si="31"/>
        <v>O</v>
      </c>
      <c r="AU26" s="76" t="str">
        <f t="shared" si="32"/>
        <v>O</v>
      </c>
      <c r="AV26" s="76" t="str">
        <f t="shared" si="33"/>
        <v/>
      </c>
    </row>
    <row r="27" spans="1:48" x14ac:dyDescent="0.3">
      <c r="A27" s="9" t="s">
        <v>1471</v>
      </c>
      <c r="B27" s="10" t="s">
        <v>1919</v>
      </c>
      <c r="C27" s="87">
        <v>1230</v>
      </c>
      <c r="D27" s="85">
        <v>66</v>
      </c>
      <c r="E27" s="86">
        <v>20</v>
      </c>
      <c r="F27" s="85">
        <v>66</v>
      </c>
      <c r="G27" s="17">
        <v>20</v>
      </c>
      <c r="H27" s="87">
        <v>170</v>
      </c>
      <c r="I27" s="88"/>
      <c r="J27" s="88"/>
      <c r="K27" s="88"/>
      <c r="L27" s="88"/>
      <c r="M27" s="89">
        <f t="shared" si="11"/>
        <v>0</v>
      </c>
      <c r="N27" s="4" t="str">
        <f t="shared" si="12"/>
        <v/>
      </c>
      <c r="O27" s="90">
        <f t="shared" si="13"/>
        <v>0</v>
      </c>
      <c r="P27" s="90">
        <f t="shared" si="14"/>
        <v>0</v>
      </c>
      <c r="Q27" s="76">
        <v>3</v>
      </c>
      <c r="R27" s="76">
        <v>1</v>
      </c>
      <c r="S27" s="76" t="s">
        <v>61</v>
      </c>
      <c r="T27" s="5" t="s">
        <v>372</v>
      </c>
      <c r="U27" s="9"/>
      <c r="W27" s="85">
        <f t="shared" si="15"/>
        <v>66</v>
      </c>
      <c r="X27" s="86">
        <f t="shared" si="16"/>
        <v>20</v>
      </c>
      <c r="Y27" s="91">
        <f t="shared" si="17"/>
        <v>170</v>
      </c>
      <c r="Z27" s="89">
        <f t="shared" si="18"/>
        <v>0</v>
      </c>
      <c r="AA27" s="89">
        <f t="shared" si="19"/>
        <v>0</v>
      </c>
      <c r="AB27" s="89">
        <f t="shared" si="20"/>
        <v>0</v>
      </c>
      <c r="AC27" s="4" t="str">
        <f t="shared" si="21"/>
        <v/>
      </c>
      <c r="AD27" s="90">
        <f t="shared" si="22"/>
        <v>0</v>
      </c>
      <c r="AE27" s="76" t="str">
        <f t="shared" si="23"/>
        <v>계</v>
      </c>
      <c r="AF27" s="76" t="str">
        <f t="shared" si="24"/>
        <v>3/1</v>
      </c>
      <c r="AH27" s="20" t="str">
        <f t="shared" si="1"/>
        <v>효자주공3단지</v>
      </c>
      <c r="AI27" s="86">
        <f t="shared" si="0"/>
        <v>20</v>
      </c>
      <c r="AJ27" s="76" t="str">
        <f t="shared" si="25"/>
        <v>A-</v>
      </c>
      <c r="AK27" s="76" t="s">
        <v>13</v>
      </c>
      <c r="AL27" s="76" t="s">
        <v>62</v>
      </c>
      <c r="AM27" s="76" t="s">
        <v>63</v>
      </c>
      <c r="AN27" s="76" t="str">
        <f t="shared" si="26"/>
        <v>C</v>
      </c>
      <c r="AO27" s="76" t="str">
        <f t="shared" si="27"/>
        <v/>
      </c>
      <c r="AP27" s="76" t="str">
        <f t="shared" si="28"/>
        <v/>
      </c>
      <c r="AQ27" s="76" t="str">
        <f t="shared" si="29"/>
        <v>O</v>
      </c>
      <c r="AR27" s="76" t="str">
        <f t="shared" si="30"/>
        <v>O</v>
      </c>
      <c r="AS27" s="76" t="s">
        <v>2</v>
      </c>
      <c r="AT27" s="76" t="str">
        <f t="shared" si="31"/>
        <v>O</v>
      </c>
      <c r="AU27" s="76" t="str">
        <f t="shared" si="32"/>
        <v>O</v>
      </c>
      <c r="AV27" s="76" t="str">
        <f t="shared" si="33"/>
        <v/>
      </c>
    </row>
    <row r="28" spans="1:48" x14ac:dyDescent="0.3">
      <c r="A28" s="9" t="s">
        <v>1471</v>
      </c>
      <c r="B28" s="10" t="s">
        <v>1919</v>
      </c>
      <c r="C28" s="87">
        <v>1230</v>
      </c>
      <c r="D28" s="85">
        <v>75.400000000000006</v>
      </c>
      <c r="E28" s="86">
        <v>23</v>
      </c>
      <c r="F28" s="85">
        <v>75.400000000000006</v>
      </c>
      <c r="G28" s="17">
        <v>23</v>
      </c>
      <c r="H28" s="87">
        <v>60</v>
      </c>
      <c r="I28" s="88"/>
      <c r="J28" s="88"/>
      <c r="K28" s="88"/>
      <c r="L28" s="88"/>
      <c r="M28" s="89">
        <f t="shared" si="11"/>
        <v>0</v>
      </c>
      <c r="N28" s="4" t="str">
        <f t="shared" si="12"/>
        <v/>
      </c>
      <c r="O28" s="90">
        <f t="shared" si="13"/>
        <v>0</v>
      </c>
      <c r="P28" s="90">
        <f t="shared" si="14"/>
        <v>0</v>
      </c>
      <c r="Q28" s="76">
        <v>3</v>
      </c>
      <c r="R28" s="76">
        <v>1</v>
      </c>
      <c r="S28" s="76" t="s">
        <v>61</v>
      </c>
      <c r="T28" s="5">
        <v>75</v>
      </c>
      <c r="U28" s="9"/>
      <c r="W28" s="85">
        <f t="shared" si="15"/>
        <v>75.400000000000006</v>
      </c>
      <c r="X28" s="86">
        <f t="shared" si="16"/>
        <v>23</v>
      </c>
      <c r="Y28" s="91">
        <f t="shared" si="17"/>
        <v>60</v>
      </c>
      <c r="Z28" s="89">
        <f t="shared" si="18"/>
        <v>0</v>
      </c>
      <c r="AA28" s="89">
        <f t="shared" si="19"/>
        <v>0</v>
      </c>
      <c r="AB28" s="89">
        <f t="shared" si="20"/>
        <v>0</v>
      </c>
      <c r="AC28" s="4" t="str">
        <f t="shared" si="21"/>
        <v/>
      </c>
      <c r="AD28" s="90">
        <f t="shared" si="22"/>
        <v>0</v>
      </c>
      <c r="AE28" s="76" t="str">
        <f t="shared" si="23"/>
        <v>계</v>
      </c>
      <c r="AF28" s="76" t="str">
        <f t="shared" si="24"/>
        <v>3/1</v>
      </c>
      <c r="AH28" s="20" t="str">
        <f t="shared" si="1"/>
        <v>효자주공3단지</v>
      </c>
      <c r="AI28" s="86">
        <f t="shared" si="0"/>
        <v>23</v>
      </c>
      <c r="AJ28" s="76" t="str">
        <f t="shared" si="25"/>
        <v>A-</v>
      </c>
      <c r="AK28" s="76" t="s">
        <v>13</v>
      </c>
      <c r="AL28" s="76" t="s">
        <v>62</v>
      </c>
      <c r="AM28" s="76" t="s">
        <v>63</v>
      </c>
      <c r="AN28" s="76" t="str">
        <f t="shared" si="26"/>
        <v>C</v>
      </c>
      <c r="AO28" s="76" t="str">
        <f t="shared" si="27"/>
        <v/>
      </c>
      <c r="AP28" s="76" t="str">
        <f t="shared" si="28"/>
        <v/>
      </c>
      <c r="AQ28" s="76" t="str">
        <f t="shared" si="29"/>
        <v>O</v>
      </c>
      <c r="AR28" s="76" t="str">
        <f t="shared" si="30"/>
        <v>O</v>
      </c>
      <c r="AS28" s="76" t="s">
        <v>2</v>
      </c>
      <c r="AT28" s="76" t="str">
        <f t="shared" si="31"/>
        <v>O</v>
      </c>
      <c r="AU28" s="76" t="str">
        <f t="shared" si="32"/>
        <v>O</v>
      </c>
      <c r="AV28" s="76" t="str">
        <f t="shared" si="33"/>
        <v/>
      </c>
    </row>
    <row r="29" spans="1:48" x14ac:dyDescent="0.3">
      <c r="A29" s="9" t="s">
        <v>1471</v>
      </c>
      <c r="B29" s="10" t="s">
        <v>1919</v>
      </c>
      <c r="C29" s="87">
        <v>1230</v>
      </c>
      <c r="D29" s="85">
        <v>84.3</v>
      </c>
      <c r="E29" s="86">
        <v>26</v>
      </c>
      <c r="F29" s="85">
        <v>84.3</v>
      </c>
      <c r="G29" s="17">
        <v>26</v>
      </c>
      <c r="H29" s="87">
        <v>60</v>
      </c>
      <c r="I29" s="88"/>
      <c r="J29" s="88"/>
      <c r="K29" s="88"/>
      <c r="L29" s="88"/>
      <c r="M29" s="89">
        <f t="shared" si="11"/>
        <v>0</v>
      </c>
      <c r="N29" s="4" t="str">
        <f t="shared" si="12"/>
        <v/>
      </c>
      <c r="O29" s="90">
        <f t="shared" si="13"/>
        <v>0</v>
      </c>
      <c r="P29" s="90">
        <f t="shared" si="14"/>
        <v>0</v>
      </c>
      <c r="Q29" s="76">
        <v>3</v>
      </c>
      <c r="R29" s="76">
        <v>1</v>
      </c>
      <c r="S29" s="76" t="s">
        <v>61</v>
      </c>
      <c r="T29" s="5">
        <v>84</v>
      </c>
      <c r="U29" s="9"/>
      <c r="W29" s="85">
        <f t="shared" si="15"/>
        <v>84.3</v>
      </c>
      <c r="X29" s="86">
        <f t="shared" si="16"/>
        <v>26</v>
      </c>
      <c r="Y29" s="91">
        <f t="shared" si="17"/>
        <v>60</v>
      </c>
      <c r="Z29" s="89">
        <f t="shared" si="18"/>
        <v>0</v>
      </c>
      <c r="AA29" s="89">
        <f t="shared" si="19"/>
        <v>0</v>
      </c>
      <c r="AB29" s="89">
        <f t="shared" si="20"/>
        <v>0</v>
      </c>
      <c r="AC29" s="4" t="str">
        <f t="shared" si="21"/>
        <v/>
      </c>
      <c r="AD29" s="90">
        <f t="shared" si="22"/>
        <v>0</v>
      </c>
      <c r="AE29" s="76" t="str">
        <f t="shared" si="23"/>
        <v>계</v>
      </c>
      <c r="AF29" s="76" t="str">
        <f t="shared" si="24"/>
        <v>3/1</v>
      </c>
      <c r="AH29" s="20" t="str">
        <f t="shared" si="1"/>
        <v>효자주공3단지</v>
      </c>
      <c r="AI29" s="86">
        <f t="shared" si="0"/>
        <v>26</v>
      </c>
      <c r="AJ29" s="76" t="str">
        <f t="shared" si="25"/>
        <v>A-</v>
      </c>
      <c r="AK29" s="76" t="s">
        <v>13</v>
      </c>
      <c r="AL29" s="76" t="s">
        <v>62</v>
      </c>
      <c r="AM29" s="76" t="s">
        <v>63</v>
      </c>
      <c r="AN29" s="76" t="str">
        <f t="shared" si="26"/>
        <v>C</v>
      </c>
      <c r="AO29" s="76" t="str">
        <f t="shared" si="27"/>
        <v/>
      </c>
      <c r="AP29" s="76" t="str">
        <f t="shared" si="28"/>
        <v/>
      </c>
      <c r="AQ29" s="76" t="str">
        <f t="shared" si="29"/>
        <v>O</v>
      </c>
      <c r="AR29" s="76" t="str">
        <f t="shared" si="30"/>
        <v>O</v>
      </c>
      <c r="AS29" s="76" t="s">
        <v>2</v>
      </c>
      <c r="AT29" s="76" t="str">
        <f t="shared" si="31"/>
        <v>O</v>
      </c>
      <c r="AU29" s="76" t="str">
        <f t="shared" si="32"/>
        <v>O</v>
      </c>
      <c r="AV29" s="76" t="str">
        <f t="shared" si="33"/>
        <v/>
      </c>
    </row>
    <row r="30" spans="1:48" x14ac:dyDescent="0.3">
      <c r="A30" s="9"/>
      <c r="B30" s="76"/>
      <c r="C30" s="6"/>
      <c r="D30" s="9"/>
      <c r="E30" s="14"/>
      <c r="F30" s="85"/>
      <c r="G30" s="9"/>
      <c r="H30" s="9"/>
      <c r="I30" s="9"/>
      <c r="J30" s="9"/>
      <c r="K30" s="9"/>
      <c r="L30" s="9"/>
      <c r="M30" s="9"/>
      <c r="N30" s="9"/>
      <c r="O30" s="90"/>
      <c r="P30" s="90"/>
      <c r="Q30" s="86"/>
      <c r="R30" s="86"/>
      <c r="S30" s="9"/>
      <c r="T30" s="47"/>
      <c r="U30" s="9"/>
      <c r="W30" s="67" t="str">
        <f>$A$4&amp;" "&amp;A31&amp;"("&amp;B31&amp;","&amp;C31&amp;"^)"</f>
        <v>효자동1가 삼호('91.11.,343^)</v>
      </c>
      <c r="X30" s="68"/>
      <c r="Y30" s="68"/>
      <c r="Z30" s="68"/>
      <c r="AA30" s="68"/>
      <c r="AB30" s="68"/>
      <c r="AC30" s="68"/>
      <c r="AD30" s="68"/>
      <c r="AE30" s="68"/>
      <c r="AF30" s="69"/>
      <c r="AH30" s="20" t="str">
        <f t="shared" si="1"/>
        <v/>
      </c>
      <c r="AI30" s="108" t="str">
        <f t="shared" si="0"/>
        <v/>
      </c>
      <c r="AJ30" s="76"/>
      <c r="AK30" s="76"/>
      <c r="AL30" s="76"/>
      <c r="AM30" s="76"/>
      <c r="AN30" s="76"/>
      <c r="AO30" s="76"/>
      <c r="AP30" s="76"/>
      <c r="AQ30" s="76"/>
      <c r="AR30" s="76"/>
      <c r="AS30" s="76"/>
      <c r="AT30" s="76"/>
      <c r="AU30" s="76"/>
      <c r="AV30" s="76"/>
    </row>
    <row r="31" spans="1:48" x14ac:dyDescent="0.3">
      <c r="A31" s="9" t="s">
        <v>1476</v>
      </c>
      <c r="B31" s="10" t="s">
        <v>1920</v>
      </c>
      <c r="C31" s="87">
        <v>343</v>
      </c>
      <c r="D31" s="85">
        <v>89.7</v>
      </c>
      <c r="E31" s="86">
        <v>27</v>
      </c>
      <c r="F31" s="85">
        <v>75.2</v>
      </c>
      <c r="G31" s="17">
        <v>23</v>
      </c>
      <c r="H31" s="87">
        <v>65</v>
      </c>
      <c r="I31" s="88">
        <v>15500</v>
      </c>
      <c r="J31" s="88" t="s">
        <v>75</v>
      </c>
      <c r="K31" s="88"/>
      <c r="L31" s="88"/>
      <c r="M31" s="89">
        <f>I31-K31</f>
        <v>15500</v>
      </c>
      <c r="N31" s="4">
        <f>IF(ISERROR(K31/I31),"",K31/I31)</f>
        <v>0</v>
      </c>
      <c r="O31" s="90">
        <f>I31/E31</f>
        <v>574.07407407407402</v>
      </c>
      <c r="P31" s="90">
        <f>K31/E31</f>
        <v>0</v>
      </c>
      <c r="Q31" s="76">
        <v>3</v>
      </c>
      <c r="R31" s="76">
        <v>2</v>
      </c>
      <c r="S31" s="76" t="s">
        <v>61</v>
      </c>
      <c r="T31" s="5">
        <v>89</v>
      </c>
      <c r="U31" s="9"/>
      <c r="W31" s="85">
        <f t="shared" ref="W31:X34" si="34">D31</f>
        <v>89.7</v>
      </c>
      <c r="X31" s="86">
        <f t="shared" si="34"/>
        <v>27</v>
      </c>
      <c r="Y31" s="91">
        <f t="shared" ref="Y31:Z34" si="35">H31</f>
        <v>65</v>
      </c>
      <c r="Z31" s="89">
        <f t="shared" si="35"/>
        <v>15500</v>
      </c>
      <c r="AA31" s="89">
        <f>K31</f>
        <v>0</v>
      </c>
      <c r="AB31" s="89">
        <f t="shared" ref="AB31:AD34" si="36">M31</f>
        <v>15500</v>
      </c>
      <c r="AC31" s="4">
        <f t="shared" si="36"/>
        <v>0</v>
      </c>
      <c r="AD31" s="90">
        <f t="shared" si="36"/>
        <v>574.07407407407402</v>
      </c>
      <c r="AE31" s="76" t="str">
        <f>S31</f>
        <v>계</v>
      </c>
      <c r="AF31" s="76" t="str">
        <f>Q31&amp;"/"&amp;R31</f>
        <v>3/2</v>
      </c>
      <c r="AH31" s="20" t="str">
        <f t="shared" si="1"/>
        <v>삼호</v>
      </c>
      <c r="AI31" s="86">
        <f t="shared" si="0"/>
        <v>27</v>
      </c>
      <c r="AJ31" s="76" t="str">
        <f>IF(AI31="","",$AJ$2)</f>
        <v>A-</v>
      </c>
      <c r="AK31" s="76" t="s">
        <v>13</v>
      </c>
      <c r="AL31" s="76" t="s">
        <v>62</v>
      </c>
      <c r="AM31" s="76" t="s">
        <v>63</v>
      </c>
      <c r="AN31" s="76" t="str">
        <f>IF(AI31="","",$AN$2)</f>
        <v>C</v>
      </c>
      <c r="AO31" s="76" t="str">
        <f>IF(N31="","",IF(N31&gt;=$AO$1/100,"O","X"))</f>
        <v>X</v>
      </c>
      <c r="AP31" s="76" t="str">
        <f>IF(I31="","",IF(I31&lt;=$AP$1,"O","X"))</f>
        <v>O</v>
      </c>
      <c r="AQ31" s="76" t="str">
        <f>IF(O31="","",IF(O31&lt;=$AQ$1,"O","X"))</f>
        <v>O</v>
      </c>
      <c r="AR31" s="76" t="str">
        <f>IF(M31="","",IF(M31&lt;=$AR$1,"O","X"))</f>
        <v>X</v>
      </c>
      <c r="AS31" s="76" t="s">
        <v>2</v>
      </c>
      <c r="AT31" s="76" t="str">
        <f>IF(OR(F31="",AI31=""),"",IF(AND((F31&lt;=85),(AI31&gt;=15)),"O","X"))</f>
        <v>O</v>
      </c>
      <c r="AU31" s="76" t="str">
        <f>IF(C31="","",IF(C31&gt;=$AU$1,"O","X"))</f>
        <v>O</v>
      </c>
      <c r="AV31" s="76" t="str">
        <f>IF(AO31="","",IF(AND(AO31="O",AP31="O",AR31="O",AT31="O",AU31="O"),"후보","X"))</f>
        <v>X</v>
      </c>
    </row>
    <row r="32" spans="1:48" x14ac:dyDescent="0.3">
      <c r="A32" s="9" t="s">
        <v>1476</v>
      </c>
      <c r="B32" s="10" t="s">
        <v>1920</v>
      </c>
      <c r="C32" s="87">
        <v>343</v>
      </c>
      <c r="D32" s="85">
        <v>100.8</v>
      </c>
      <c r="E32" s="86">
        <v>30</v>
      </c>
      <c r="F32" s="85">
        <v>84.9</v>
      </c>
      <c r="G32" s="17">
        <v>26</v>
      </c>
      <c r="H32" s="87">
        <v>52</v>
      </c>
      <c r="I32" s="88"/>
      <c r="J32" s="88"/>
      <c r="K32" s="88"/>
      <c r="L32" s="88"/>
      <c r="M32" s="89">
        <f>I32-K32</f>
        <v>0</v>
      </c>
      <c r="N32" s="4" t="str">
        <f>IF(ISERROR(K32/I32),"",K32/I32)</f>
        <v/>
      </c>
      <c r="O32" s="90">
        <f>I32/E32</f>
        <v>0</v>
      </c>
      <c r="P32" s="90">
        <f>K32/E32</f>
        <v>0</v>
      </c>
      <c r="Q32" s="76">
        <v>3</v>
      </c>
      <c r="R32" s="76">
        <v>2</v>
      </c>
      <c r="S32" s="76" t="s">
        <v>61</v>
      </c>
      <c r="T32" s="5" t="s">
        <v>375</v>
      </c>
      <c r="U32" s="9"/>
      <c r="W32" s="85">
        <f t="shared" si="34"/>
        <v>100.8</v>
      </c>
      <c r="X32" s="86">
        <f t="shared" si="34"/>
        <v>30</v>
      </c>
      <c r="Y32" s="91">
        <f t="shared" si="35"/>
        <v>52</v>
      </c>
      <c r="Z32" s="89">
        <f t="shared" si="35"/>
        <v>0</v>
      </c>
      <c r="AA32" s="89">
        <f>K32</f>
        <v>0</v>
      </c>
      <c r="AB32" s="89">
        <f t="shared" si="36"/>
        <v>0</v>
      </c>
      <c r="AC32" s="4" t="str">
        <f t="shared" si="36"/>
        <v/>
      </c>
      <c r="AD32" s="90">
        <f t="shared" si="36"/>
        <v>0</v>
      </c>
      <c r="AE32" s="76" t="str">
        <f>S32</f>
        <v>계</v>
      </c>
      <c r="AF32" s="76" t="str">
        <f>Q32&amp;"/"&amp;R32</f>
        <v>3/2</v>
      </c>
      <c r="AH32" s="20" t="str">
        <f t="shared" si="1"/>
        <v>삼호</v>
      </c>
      <c r="AI32" s="86">
        <f t="shared" si="0"/>
        <v>30</v>
      </c>
      <c r="AJ32" s="76" t="str">
        <f>IF(AI32="","",$AJ$2)</f>
        <v>A-</v>
      </c>
      <c r="AK32" s="76" t="s">
        <v>13</v>
      </c>
      <c r="AL32" s="76" t="s">
        <v>62</v>
      </c>
      <c r="AM32" s="76" t="s">
        <v>63</v>
      </c>
      <c r="AN32" s="76" t="str">
        <f>IF(AI32="","",$AN$2)</f>
        <v>C</v>
      </c>
      <c r="AO32" s="76" t="str">
        <f>IF(N32="","",IF(N32&gt;=$AO$1/100,"O","X"))</f>
        <v/>
      </c>
      <c r="AP32" s="76" t="str">
        <f>IF(I32="","",IF(I32&lt;=$AP$1,"O","X"))</f>
        <v/>
      </c>
      <c r="AQ32" s="76" t="str">
        <f>IF(O32="","",IF(O32&lt;=$AQ$1,"O","X"))</f>
        <v>O</v>
      </c>
      <c r="AR32" s="76" t="str">
        <f>IF(M32="","",IF(M32&lt;=$AR$1,"O","X"))</f>
        <v>O</v>
      </c>
      <c r="AS32" s="76" t="s">
        <v>2</v>
      </c>
      <c r="AT32" s="76" t="str">
        <f>IF(OR(F32="",AI32=""),"",IF(AND((F32&lt;=85),(AI32&gt;=15)),"O","X"))</f>
        <v>O</v>
      </c>
      <c r="AU32" s="76" t="str">
        <f>IF(C32="","",IF(C32&gt;=$AU$1,"O","X"))</f>
        <v>O</v>
      </c>
      <c r="AV32" s="76" t="str">
        <f>IF(AO32="","",IF(AND(AO32="O",AP32="O",AR32="O",AT32="O",AU32="O"),"후보","X"))</f>
        <v/>
      </c>
    </row>
    <row r="33" spans="1:48" x14ac:dyDescent="0.3">
      <c r="A33" s="9" t="s">
        <v>1476</v>
      </c>
      <c r="B33" s="10" t="s">
        <v>1920</v>
      </c>
      <c r="C33" s="87">
        <v>343</v>
      </c>
      <c r="D33" s="85">
        <v>101.2</v>
      </c>
      <c r="E33" s="86">
        <v>31</v>
      </c>
      <c r="F33" s="85">
        <v>84.9</v>
      </c>
      <c r="G33" s="17">
        <v>26</v>
      </c>
      <c r="H33" s="87">
        <v>167</v>
      </c>
      <c r="I33" s="88">
        <v>17000</v>
      </c>
      <c r="J33" s="88" t="s">
        <v>104</v>
      </c>
      <c r="K33" s="88"/>
      <c r="L33" s="88"/>
      <c r="M33" s="89">
        <f>I33-K33</f>
        <v>17000</v>
      </c>
      <c r="N33" s="4">
        <f>IF(ISERROR(K33/I33),"",K33/I33)</f>
        <v>0</v>
      </c>
      <c r="O33" s="90">
        <f>I33/E33</f>
        <v>548.38709677419354</v>
      </c>
      <c r="P33" s="90">
        <f>K33/E33</f>
        <v>0</v>
      </c>
      <c r="Q33" s="76">
        <v>3</v>
      </c>
      <c r="R33" s="76">
        <v>2</v>
      </c>
      <c r="S33" s="76" t="s">
        <v>61</v>
      </c>
      <c r="T33" s="5">
        <v>101</v>
      </c>
      <c r="U33" s="9"/>
      <c r="W33" s="85">
        <f t="shared" si="34"/>
        <v>101.2</v>
      </c>
      <c r="X33" s="86">
        <f t="shared" si="34"/>
        <v>31</v>
      </c>
      <c r="Y33" s="91">
        <f t="shared" si="35"/>
        <v>167</v>
      </c>
      <c r="Z33" s="89">
        <f t="shared" si="35"/>
        <v>17000</v>
      </c>
      <c r="AA33" s="89">
        <f>K33</f>
        <v>0</v>
      </c>
      <c r="AB33" s="89">
        <f t="shared" si="36"/>
        <v>17000</v>
      </c>
      <c r="AC33" s="4">
        <f t="shared" si="36"/>
        <v>0</v>
      </c>
      <c r="AD33" s="90">
        <f t="shared" si="36"/>
        <v>548.38709677419354</v>
      </c>
      <c r="AE33" s="76" t="str">
        <f>S33</f>
        <v>계</v>
      </c>
      <c r="AF33" s="76" t="str">
        <f>Q33&amp;"/"&amp;R33</f>
        <v>3/2</v>
      </c>
      <c r="AH33" s="20" t="str">
        <f t="shared" si="1"/>
        <v>삼호</v>
      </c>
      <c r="AI33" s="86">
        <f t="shared" si="0"/>
        <v>31</v>
      </c>
      <c r="AJ33" s="76" t="str">
        <f>IF(AI33="","",$AJ$2)</f>
        <v>A-</v>
      </c>
      <c r="AK33" s="76" t="s">
        <v>13</v>
      </c>
      <c r="AL33" s="76" t="s">
        <v>62</v>
      </c>
      <c r="AM33" s="76" t="s">
        <v>63</v>
      </c>
      <c r="AN33" s="76" t="str">
        <f>IF(AI33="","",$AN$2)</f>
        <v>C</v>
      </c>
      <c r="AO33" s="76" t="str">
        <f>IF(N33="","",IF(N33&gt;=$AO$1/100,"O","X"))</f>
        <v>X</v>
      </c>
      <c r="AP33" s="76" t="str">
        <f>IF(I33="","",IF(I33&lt;=$AP$1,"O","X"))</f>
        <v>O</v>
      </c>
      <c r="AQ33" s="76" t="str">
        <f>IF(O33="","",IF(O33&lt;=$AQ$1,"O","X"))</f>
        <v>O</v>
      </c>
      <c r="AR33" s="76" t="str">
        <f>IF(M33="","",IF(M33&lt;=$AR$1,"O","X"))</f>
        <v>X</v>
      </c>
      <c r="AS33" s="76" t="s">
        <v>2</v>
      </c>
      <c r="AT33" s="76" t="str">
        <f>IF(OR(F33="",AI33=""),"",IF(AND((F33&lt;=85),(AI33&gt;=15)),"O","X"))</f>
        <v>O</v>
      </c>
      <c r="AU33" s="76" t="str">
        <f>IF(C33="","",IF(C33&gt;=$AU$1,"O","X"))</f>
        <v>O</v>
      </c>
      <c r="AV33" s="76" t="str">
        <f>IF(AO33="","",IF(AND(AO33="O",AP33="O",AR33="O",AT33="O",AU33="O"),"후보","X"))</f>
        <v>X</v>
      </c>
    </row>
    <row r="34" spans="1:48" x14ac:dyDescent="0.3">
      <c r="A34" s="9" t="s">
        <v>1476</v>
      </c>
      <c r="B34" s="10" t="s">
        <v>1920</v>
      </c>
      <c r="C34" s="87">
        <v>343</v>
      </c>
      <c r="D34" s="85">
        <v>157.4</v>
      </c>
      <c r="E34" s="86">
        <v>48</v>
      </c>
      <c r="F34" s="85">
        <v>132.6</v>
      </c>
      <c r="G34" s="17">
        <v>40</v>
      </c>
      <c r="H34" s="87">
        <v>59</v>
      </c>
      <c r="I34" s="88">
        <v>26500</v>
      </c>
      <c r="J34" s="88" t="s">
        <v>90</v>
      </c>
      <c r="K34" s="88"/>
      <c r="L34" s="88"/>
      <c r="M34" s="89">
        <f>I34-K34</f>
        <v>26500</v>
      </c>
      <c r="N34" s="4">
        <f>IF(ISERROR(K34/I34),"",K34/I34)</f>
        <v>0</v>
      </c>
      <c r="O34" s="90">
        <f>I34/E34</f>
        <v>552.08333333333337</v>
      </c>
      <c r="P34" s="90">
        <f>K34/E34</f>
        <v>0</v>
      </c>
      <c r="Q34" s="76">
        <v>4</v>
      </c>
      <c r="R34" s="76">
        <v>2</v>
      </c>
      <c r="S34" s="76" t="s">
        <v>61</v>
      </c>
      <c r="T34" s="5">
        <v>157</v>
      </c>
      <c r="U34" s="9"/>
      <c r="W34" s="85">
        <f t="shared" si="34"/>
        <v>157.4</v>
      </c>
      <c r="X34" s="86">
        <f t="shared" si="34"/>
        <v>48</v>
      </c>
      <c r="Y34" s="91">
        <f t="shared" si="35"/>
        <v>59</v>
      </c>
      <c r="Z34" s="89">
        <f t="shared" si="35"/>
        <v>26500</v>
      </c>
      <c r="AA34" s="89">
        <f>K34</f>
        <v>0</v>
      </c>
      <c r="AB34" s="89">
        <f t="shared" si="36"/>
        <v>26500</v>
      </c>
      <c r="AC34" s="4">
        <f t="shared" si="36"/>
        <v>0</v>
      </c>
      <c r="AD34" s="90">
        <f t="shared" si="36"/>
        <v>552.08333333333337</v>
      </c>
      <c r="AE34" s="76" t="str">
        <f>S34</f>
        <v>계</v>
      </c>
      <c r="AF34" s="76" t="str">
        <f>Q34&amp;"/"&amp;R34</f>
        <v>4/2</v>
      </c>
      <c r="AH34" s="20" t="str">
        <f t="shared" si="1"/>
        <v>삼호</v>
      </c>
      <c r="AI34" s="86">
        <f t="shared" si="0"/>
        <v>48</v>
      </c>
      <c r="AJ34" s="76" t="str">
        <f>IF(AI34="","",$AJ$2)</f>
        <v>A-</v>
      </c>
      <c r="AK34" s="76" t="s">
        <v>13</v>
      </c>
      <c r="AL34" s="76" t="s">
        <v>62</v>
      </c>
      <c r="AM34" s="76" t="s">
        <v>63</v>
      </c>
      <c r="AN34" s="76" t="str">
        <f>IF(AI34="","",$AN$2)</f>
        <v>C</v>
      </c>
      <c r="AO34" s="76" t="str">
        <f>IF(N34="","",IF(N34&gt;=$AO$1/100,"O","X"))</f>
        <v>X</v>
      </c>
      <c r="AP34" s="76" t="str">
        <f>IF(I34="","",IF(I34&lt;=$AP$1,"O","X"))</f>
        <v>O</v>
      </c>
      <c r="AQ34" s="76" t="str">
        <f>IF(O34="","",IF(O34&lt;=$AQ$1,"O","X"))</f>
        <v>O</v>
      </c>
      <c r="AR34" s="76" t="str">
        <f>IF(M34="","",IF(M34&lt;=$AR$1,"O","X"))</f>
        <v>X</v>
      </c>
      <c r="AS34" s="76" t="s">
        <v>2</v>
      </c>
      <c r="AT34" s="76" t="str">
        <f>IF(OR(F34="",AI34=""),"",IF(AND((F34&lt;=85),(AI34&gt;=15)),"O","X"))</f>
        <v>X</v>
      </c>
      <c r="AU34" s="76" t="str">
        <f>IF(C34="","",IF(C34&gt;=$AU$1,"O","X"))</f>
        <v>O</v>
      </c>
      <c r="AV34" s="76" t="str">
        <f>IF(AO34="","",IF(AND(AO34="O",AP34="O",AR34="O",AT34="O",AU34="O"),"후보","X"))</f>
        <v>X</v>
      </c>
    </row>
    <row r="35" spans="1:48" x14ac:dyDescent="0.3">
      <c r="A35" s="9"/>
      <c r="B35" s="76"/>
      <c r="C35" s="6"/>
      <c r="D35" s="9"/>
      <c r="E35" s="14"/>
      <c r="F35" s="85"/>
      <c r="G35" s="9"/>
      <c r="H35" s="9"/>
      <c r="I35" s="9"/>
      <c r="J35" s="9"/>
      <c r="K35" s="9"/>
      <c r="L35" s="9"/>
      <c r="M35" s="9"/>
      <c r="N35" s="9"/>
      <c r="O35" s="90"/>
      <c r="P35" s="90"/>
      <c r="Q35" s="86"/>
      <c r="R35" s="86"/>
      <c r="S35" s="9"/>
      <c r="T35" s="47"/>
      <c r="U35" s="9"/>
      <c r="W35" s="67" t="str">
        <f>$A$4&amp;" "&amp;A36&amp;"("&amp;B36&amp;","&amp;C36&amp;"^)"</f>
        <v>효자동1가 KJ라미안('03.10.,386^)</v>
      </c>
      <c r="X35" s="68"/>
      <c r="Y35" s="68"/>
      <c r="Z35" s="68"/>
      <c r="AA35" s="68"/>
      <c r="AB35" s="68"/>
      <c r="AC35" s="68"/>
      <c r="AD35" s="68"/>
      <c r="AE35" s="68"/>
      <c r="AF35" s="69"/>
      <c r="AH35" s="20" t="str">
        <f t="shared" si="1"/>
        <v/>
      </c>
      <c r="AI35" s="108" t="str">
        <f t="shared" ref="AI35:AI66" si="37">IF(E35="","",E35)</f>
        <v/>
      </c>
      <c r="AJ35" s="76"/>
      <c r="AK35" s="76"/>
      <c r="AL35" s="76"/>
      <c r="AM35" s="76"/>
      <c r="AN35" s="76"/>
      <c r="AO35" s="76"/>
      <c r="AP35" s="76"/>
      <c r="AQ35" s="76"/>
      <c r="AR35" s="76"/>
      <c r="AS35" s="76"/>
      <c r="AT35" s="76"/>
      <c r="AU35" s="76"/>
      <c r="AV35" s="76"/>
    </row>
    <row r="36" spans="1:48" x14ac:dyDescent="0.3">
      <c r="A36" s="9" t="s">
        <v>1481</v>
      </c>
      <c r="B36" s="10" t="s">
        <v>1885</v>
      </c>
      <c r="C36" s="87">
        <v>386</v>
      </c>
      <c r="D36" s="85">
        <v>108.4</v>
      </c>
      <c r="E36" s="86">
        <v>33</v>
      </c>
      <c r="F36" s="85">
        <v>84.4</v>
      </c>
      <c r="G36" s="17">
        <v>26</v>
      </c>
      <c r="H36" s="87">
        <v>368</v>
      </c>
      <c r="I36" s="88">
        <v>24000</v>
      </c>
      <c r="J36" s="88" t="s">
        <v>104</v>
      </c>
      <c r="K36" s="88"/>
      <c r="L36" s="88"/>
      <c r="M36" s="89">
        <f>I36-K36</f>
        <v>24000</v>
      </c>
      <c r="N36" s="4">
        <f>IF(ISERROR(K36/I36),"",K36/I36)</f>
        <v>0</v>
      </c>
      <c r="O36" s="90">
        <f>I36/E36</f>
        <v>727.27272727272725</v>
      </c>
      <c r="P36" s="90">
        <f>K36/E36</f>
        <v>0</v>
      </c>
      <c r="Q36" s="76">
        <v>3</v>
      </c>
      <c r="R36" s="76">
        <v>2</v>
      </c>
      <c r="S36" s="76" t="s">
        <v>61</v>
      </c>
      <c r="T36" s="5">
        <v>108</v>
      </c>
      <c r="U36" s="9"/>
      <c r="W36" s="85">
        <f>D36</f>
        <v>108.4</v>
      </c>
      <c r="X36" s="86">
        <f>E36</f>
        <v>33</v>
      </c>
      <c r="Y36" s="91">
        <f>H36</f>
        <v>368</v>
      </c>
      <c r="Z36" s="89">
        <f>I36</f>
        <v>24000</v>
      </c>
      <c r="AA36" s="89">
        <f>K36</f>
        <v>0</v>
      </c>
      <c r="AB36" s="89">
        <f t="shared" ref="AB36:AD37" si="38">M36</f>
        <v>24000</v>
      </c>
      <c r="AC36" s="4">
        <f t="shared" si="38"/>
        <v>0</v>
      </c>
      <c r="AD36" s="90">
        <f t="shared" si="38"/>
        <v>727.27272727272725</v>
      </c>
      <c r="AE36" s="76" t="str">
        <f>S36</f>
        <v>계</v>
      </c>
      <c r="AF36" s="76" t="str">
        <f>Q36&amp;"/"&amp;R36</f>
        <v>3/2</v>
      </c>
      <c r="AH36" s="20" t="str">
        <f t="shared" si="1"/>
        <v>KJ라미안</v>
      </c>
      <c r="AI36" s="86">
        <f t="shared" si="37"/>
        <v>33</v>
      </c>
      <c r="AJ36" s="76" t="str">
        <f>IF(AI36="","",$AJ$2)</f>
        <v>A-</v>
      </c>
      <c r="AK36" s="76" t="s">
        <v>13</v>
      </c>
      <c r="AL36" s="76" t="s">
        <v>62</v>
      </c>
      <c r="AM36" s="76" t="s">
        <v>63</v>
      </c>
      <c r="AN36" s="76" t="str">
        <f>IF(AI36="","",$AN$2)</f>
        <v>C</v>
      </c>
      <c r="AO36" s="76" t="str">
        <f>IF(N36="","",IF(N36&gt;=$AO$1/100,"O","X"))</f>
        <v>X</v>
      </c>
      <c r="AP36" s="76" t="str">
        <f>IF(I36="","",IF(I36&lt;=$AP$1,"O","X"))</f>
        <v>O</v>
      </c>
      <c r="AQ36" s="76" t="str">
        <f>IF(O36="","",IF(O36&lt;=$AQ$1,"O","X"))</f>
        <v>O</v>
      </c>
      <c r="AR36" s="76" t="str">
        <f>IF(M36="","",IF(M36&lt;=$AR$1,"O","X"))</f>
        <v>X</v>
      </c>
      <c r="AS36" s="76" t="s">
        <v>2</v>
      </c>
      <c r="AT36" s="76" t="str">
        <f>IF(OR(F36="",AI36=""),"",IF(AND((F36&lt;=85),(AI36&gt;=15)),"O","X"))</f>
        <v>O</v>
      </c>
      <c r="AU36" s="76" t="str">
        <f>IF(C36="","",IF(C36&gt;=$AU$1,"O","X"))</f>
        <v>O</v>
      </c>
      <c r="AV36" s="76" t="str">
        <f>IF(AO36="","",IF(AND(AO36="O",AP36="O",AR36="O",AT36="O",AU36="O"),"후보","X"))</f>
        <v>X</v>
      </c>
    </row>
    <row r="37" spans="1:48" x14ac:dyDescent="0.3">
      <c r="A37" s="9" t="s">
        <v>1481</v>
      </c>
      <c r="B37" s="10" t="s">
        <v>1885</v>
      </c>
      <c r="C37" s="87">
        <v>386</v>
      </c>
      <c r="D37" s="85">
        <v>122.6</v>
      </c>
      <c r="E37" s="86">
        <v>37</v>
      </c>
      <c r="F37" s="85">
        <v>82</v>
      </c>
      <c r="G37" s="17">
        <v>25</v>
      </c>
      <c r="H37" s="87">
        <v>18</v>
      </c>
      <c r="I37" s="88"/>
      <c r="J37" s="88"/>
      <c r="K37" s="88"/>
      <c r="L37" s="88"/>
      <c r="M37" s="89">
        <f>I37-K37</f>
        <v>0</v>
      </c>
      <c r="N37" s="4" t="str">
        <f>IF(ISERROR(K37/I37),"",K37/I37)</f>
        <v/>
      </c>
      <c r="O37" s="90">
        <f>I37/E37</f>
        <v>0</v>
      </c>
      <c r="P37" s="90">
        <f>K37/E37</f>
        <v>0</v>
      </c>
      <c r="Q37" s="76">
        <v>3</v>
      </c>
      <c r="R37" s="76">
        <v>2</v>
      </c>
      <c r="S37" s="76" t="s">
        <v>61</v>
      </c>
      <c r="T37" s="5">
        <v>122</v>
      </c>
      <c r="U37" s="9"/>
      <c r="W37" s="85">
        <f>D37</f>
        <v>122.6</v>
      </c>
      <c r="X37" s="86">
        <f>E37</f>
        <v>37</v>
      </c>
      <c r="Y37" s="91">
        <f>H37</f>
        <v>18</v>
      </c>
      <c r="Z37" s="89">
        <f>I37</f>
        <v>0</v>
      </c>
      <c r="AA37" s="89">
        <f>K37</f>
        <v>0</v>
      </c>
      <c r="AB37" s="89">
        <f t="shared" si="38"/>
        <v>0</v>
      </c>
      <c r="AC37" s="4" t="str">
        <f t="shared" si="38"/>
        <v/>
      </c>
      <c r="AD37" s="90">
        <f t="shared" si="38"/>
        <v>0</v>
      </c>
      <c r="AE37" s="76" t="str">
        <f>S37</f>
        <v>계</v>
      </c>
      <c r="AF37" s="76" t="str">
        <f>Q37&amp;"/"&amp;R37</f>
        <v>3/2</v>
      </c>
      <c r="AH37" s="20" t="str">
        <f t="shared" ref="AH37:AH68" si="39">IF(A37="","",A37)</f>
        <v>KJ라미안</v>
      </c>
      <c r="AI37" s="86">
        <f t="shared" si="37"/>
        <v>37</v>
      </c>
      <c r="AJ37" s="76" t="str">
        <f>IF(AI37="","",$AJ$2)</f>
        <v>A-</v>
      </c>
      <c r="AK37" s="76" t="s">
        <v>13</v>
      </c>
      <c r="AL37" s="76" t="s">
        <v>62</v>
      </c>
      <c r="AM37" s="76" t="s">
        <v>63</v>
      </c>
      <c r="AN37" s="76" t="str">
        <f>IF(AI37="","",$AN$2)</f>
        <v>C</v>
      </c>
      <c r="AO37" s="76" t="str">
        <f>IF(N37="","",IF(N37&gt;=$AO$1/100,"O","X"))</f>
        <v/>
      </c>
      <c r="AP37" s="76" t="str">
        <f>IF(I37="","",IF(I37&lt;=$AP$1,"O","X"))</f>
        <v/>
      </c>
      <c r="AQ37" s="76" t="str">
        <f>IF(O37="","",IF(O37&lt;=$AQ$1,"O","X"))</f>
        <v>O</v>
      </c>
      <c r="AR37" s="76" t="str">
        <f>IF(M37="","",IF(M37&lt;=$AR$1,"O","X"))</f>
        <v>O</v>
      </c>
      <c r="AS37" s="76" t="s">
        <v>2</v>
      </c>
      <c r="AT37" s="76" t="str">
        <f>IF(OR(F37="",AI37=""),"",IF(AND((F37&lt;=85),(AI37&gt;=15)),"O","X"))</f>
        <v>O</v>
      </c>
      <c r="AU37" s="76" t="str">
        <f>IF(C37="","",IF(C37&gt;=$AU$1,"O","X"))</f>
        <v>O</v>
      </c>
      <c r="AV37" s="76" t="str">
        <f>IF(AO37="","",IF(AND(AO37="O",AP37="O",AR37="O",AT37="O",AU37="O"),"후보","X"))</f>
        <v/>
      </c>
    </row>
    <row r="38" spans="1:48" x14ac:dyDescent="0.3">
      <c r="A38" s="9"/>
      <c r="B38" s="76"/>
      <c r="C38" s="6"/>
      <c r="D38" s="9"/>
      <c r="E38" s="14"/>
      <c r="F38" s="85"/>
      <c r="G38" s="9"/>
      <c r="H38" s="9"/>
      <c r="I38" s="9"/>
      <c r="J38" s="9"/>
      <c r="K38" s="9"/>
      <c r="L38" s="9"/>
      <c r="M38" s="9"/>
      <c r="N38" s="9"/>
      <c r="O38" s="90"/>
      <c r="P38" s="90"/>
      <c r="Q38" s="86"/>
      <c r="R38" s="86"/>
      <c r="S38" s="9"/>
      <c r="T38" s="47"/>
      <c r="U38" s="9"/>
      <c r="W38" s="67" t="str">
        <f>$A$4&amp;" "&amp;A39&amp;"("&amp;B39&amp;","&amp;C39&amp;"^)"</f>
        <v>효자동1가 한강('97.04.,498^)</v>
      </c>
      <c r="X38" s="68"/>
      <c r="Y38" s="68"/>
      <c r="Z38" s="68"/>
      <c r="AA38" s="68"/>
      <c r="AB38" s="68"/>
      <c r="AC38" s="68"/>
      <c r="AD38" s="68"/>
      <c r="AE38" s="68"/>
      <c r="AF38" s="69"/>
      <c r="AH38" s="20" t="str">
        <f t="shared" si="39"/>
        <v/>
      </c>
      <c r="AI38" s="108" t="str">
        <f t="shared" si="37"/>
        <v/>
      </c>
      <c r="AJ38" s="76"/>
      <c r="AK38" s="76"/>
      <c r="AL38" s="76"/>
      <c r="AM38" s="76"/>
      <c r="AN38" s="76"/>
      <c r="AO38" s="76"/>
      <c r="AP38" s="76"/>
      <c r="AQ38" s="76"/>
      <c r="AR38" s="76"/>
      <c r="AS38" s="76"/>
      <c r="AT38" s="76"/>
      <c r="AU38" s="76"/>
      <c r="AV38" s="76"/>
    </row>
    <row r="39" spans="1:48" x14ac:dyDescent="0.3">
      <c r="A39" s="9" t="s">
        <v>1485</v>
      </c>
      <c r="B39" s="10" t="s">
        <v>1843</v>
      </c>
      <c r="C39" s="87">
        <v>498</v>
      </c>
      <c r="D39" s="85">
        <v>64.3</v>
      </c>
      <c r="E39" s="86">
        <v>19</v>
      </c>
      <c r="F39" s="85">
        <v>49.5</v>
      </c>
      <c r="G39" s="17">
        <v>15</v>
      </c>
      <c r="H39" s="87">
        <v>50</v>
      </c>
      <c r="I39" s="88">
        <v>10800</v>
      </c>
      <c r="J39" s="88" t="s">
        <v>83</v>
      </c>
      <c r="K39" s="88"/>
      <c r="L39" s="88"/>
      <c r="M39" s="89">
        <f>I39-K39</f>
        <v>10800</v>
      </c>
      <c r="N39" s="4">
        <f>IF(ISERROR(K39/I39),"",K39/I39)</f>
        <v>0</v>
      </c>
      <c r="O39" s="90">
        <f>I39/E39</f>
        <v>568.42105263157896</v>
      </c>
      <c r="P39" s="90">
        <f>K39/E39</f>
        <v>0</v>
      </c>
      <c r="Q39" s="76">
        <v>2</v>
      </c>
      <c r="R39" s="76">
        <v>1</v>
      </c>
      <c r="S39" s="76" t="s">
        <v>61</v>
      </c>
      <c r="T39" s="5">
        <v>64</v>
      </c>
      <c r="U39" s="9"/>
      <c r="W39" s="85">
        <f>D39</f>
        <v>64.3</v>
      </c>
      <c r="X39" s="86">
        <f>E39</f>
        <v>19</v>
      </c>
      <c r="Y39" s="91">
        <f>H39</f>
        <v>50</v>
      </c>
      <c r="Z39" s="89">
        <f>I39</f>
        <v>10800</v>
      </c>
      <c r="AA39" s="89">
        <f>K39</f>
        <v>0</v>
      </c>
      <c r="AB39" s="89">
        <f t="shared" ref="AB39:AD40" si="40">M39</f>
        <v>10800</v>
      </c>
      <c r="AC39" s="4">
        <f t="shared" si="40"/>
        <v>0</v>
      </c>
      <c r="AD39" s="90">
        <f t="shared" si="40"/>
        <v>568.42105263157896</v>
      </c>
      <c r="AE39" s="76" t="str">
        <f>S39</f>
        <v>계</v>
      </c>
      <c r="AF39" s="76" t="str">
        <f>Q39&amp;"/"&amp;R39</f>
        <v>2/1</v>
      </c>
      <c r="AH39" s="20" t="str">
        <f t="shared" si="39"/>
        <v>한강</v>
      </c>
      <c r="AI39" s="86">
        <f t="shared" si="37"/>
        <v>19</v>
      </c>
      <c r="AJ39" s="76" t="str">
        <f>IF(AI39="","",$AJ$2)</f>
        <v>A-</v>
      </c>
      <c r="AK39" s="76" t="s">
        <v>13</v>
      </c>
      <c r="AL39" s="76" t="s">
        <v>62</v>
      </c>
      <c r="AM39" s="76" t="s">
        <v>63</v>
      </c>
      <c r="AN39" s="76" t="str">
        <f>IF(AI39="","",$AN$2)</f>
        <v>C</v>
      </c>
      <c r="AO39" s="76" t="str">
        <f>IF(N39="","",IF(N39&gt;=$AO$1/100,"O","X"))</f>
        <v>X</v>
      </c>
      <c r="AP39" s="76" t="str">
        <f>IF(I39="","",IF(I39&lt;=$AP$1,"O","X"))</f>
        <v>O</v>
      </c>
      <c r="AQ39" s="76" t="str">
        <f>IF(O39="","",IF(O39&lt;=$AQ$1,"O","X"))</f>
        <v>O</v>
      </c>
      <c r="AR39" s="76" t="str">
        <f>IF(M39="","",IF(M39&lt;=$AR$1,"O","X"))</f>
        <v>X</v>
      </c>
      <c r="AS39" s="76" t="s">
        <v>2</v>
      </c>
      <c r="AT39" s="76" t="str">
        <f>IF(OR(F39="",AI39=""),"",IF(AND((F39&lt;=85),(AI39&gt;=15)),"O","X"))</f>
        <v>O</v>
      </c>
      <c r="AU39" s="76" t="str">
        <f>IF(C39="","",IF(C39&gt;=$AU$1,"O","X"))</f>
        <v>O</v>
      </c>
      <c r="AV39" s="76" t="str">
        <f>IF(AO39="","",IF(AND(AO39="O",AP39="O",AR39="O",AT39="O",AU39="O"),"후보","X"))</f>
        <v>X</v>
      </c>
    </row>
    <row r="40" spans="1:48" x14ac:dyDescent="0.3">
      <c r="A40" s="9" t="s">
        <v>1485</v>
      </c>
      <c r="B40" s="10" t="s">
        <v>1843</v>
      </c>
      <c r="C40" s="87">
        <v>498</v>
      </c>
      <c r="D40" s="85">
        <v>77.099999999999994</v>
      </c>
      <c r="E40" s="86">
        <v>23</v>
      </c>
      <c r="F40" s="85">
        <v>59.9</v>
      </c>
      <c r="G40" s="17">
        <v>18</v>
      </c>
      <c r="H40" s="87">
        <v>448</v>
      </c>
      <c r="I40" s="88">
        <v>14000</v>
      </c>
      <c r="J40" s="88" t="s">
        <v>89</v>
      </c>
      <c r="K40" s="88">
        <v>14500</v>
      </c>
      <c r="L40" s="88" t="s">
        <v>84</v>
      </c>
      <c r="M40" s="89">
        <f>I40-K40</f>
        <v>-500</v>
      </c>
      <c r="N40" s="4">
        <f>IF(ISERROR(K40/I40),"",K40/I40)</f>
        <v>1.0357142857142858</v>
      </c>
      <c r="O40" s="90">
        <f>I40/E40</f>
        <v>608.695652173913</v>
      </c>
      <c r="P40" s="90">
        <f>K40/E40</f>
        <v>630.43478260869563</v>
      </c>
      <c r="Q40" s="76">
        <v>3</v>
      </c>
      <c r="R40" s="76">
        <v>1</v>
      </c>
      <c r="S40" s="76" t="s">
        <v>61</v>
      </c>
      <c r="T40" s="5">
        <v>77</v>
      </c>
      <c r="U40" s="9"/>
      <c r="W40" s="85">
        <f>D40</f>
        <v>77.099999999999994</v>
      </c>
      <c r="X40" s="86">
        <f>E40</f>
        <v>23</v>
      </c>
      <c r="Y40" s="91">
        <f>H40</f>
        <v>448</v>
      </c>
      <c r="Z40" s="89">
        <f>I40</f>
        <v>14000</v>
      </c>
      <c r="AA40" s="89">
        <f>K40</f>
        <v>14500</v>
      </c>
      <c r="AB40" s="89">
        <f t="shared" si="40"/>
        <v>-500</v>
      </c>
      <c r="AC40" s="4">
        <f t="shared" si="40"/>
        <v>1.0357142857142858</v>
      </c>
      <c r="AD40" s="90">
        <f t="shared" si="40"/>
        <v>608.695652173913</v>
      </c>
      <c r="AE40" s="76" t="str">
        <f>S40</f>
        <v>계</v>
      </c>
      <c r="AF40" s="76" t="str">
        <f>Q40&amp;"/"&amp;R40</f>
        <v>3/1</v>
      </c>
      <c r="AH40" s="20" t="str">
        <f t="shared" si="39"/>
        <v>한강</v>
      </c>
      <c r="AI40" s="86">
        <f t="shared" si="37"/>
        <v>23</v>
      </c>
      <c r="AJ40" s="76" t="str">
        <f>IF(AI40="","",$AJ$2)</f>
        <v>A-</v>
      </c>
      <c r="AK40" s="76" t="s">
        <v>13</v>
      </c>
      <c r="AL40" s="76" t="s">
        <v>62</v>
      </c>
      <c r="AM40" s="76" t="s">
        <v>63</v>
      </c>
      <c r="AN40" s="76" t="str">
        <f>IF(AI40="","",$AN$2)</f>
        <v>C</v>
      </c>
      <c r="AO40" s="76" t="str">
        <f>IF(N40="","",IF(N40&gt;=$AO$1/100,"O","X"))</f>
        <v>O</v>
      </c>
      <c r="AP40" s="76" t="str">
        <f>IF(I40="","",IF(I40&lt;=$AP$1,"O","X"))</f>
        <v>O</v>
      </c>
      <c r="AQ40" s="76" t="str">
        <f>IF(O40="","",IF(O40&lt;=$AQ$1,"O","X"))</f>
        <v>O</v>
      </c>
      <c r="AR40" s="76" t="str">
        <f>IF(M40="","",IF(M40&lt;=$AR$1,"O","X"))</f>
        <v>O</v>
      </c>
      <c r="AS40" s="76" t="s">
        <v>2</v>
      </c>
      <c r="AT40" s="76" t="str">
        <f>IF(OR(F40="",AI40=""),"",IF(AND((F40&lt;=85),(AI40&gt;=15)),"O","X"))</f>
        <v>O</v>
      </c>
      <c r="AU40" s="76" t="str">
        <f>IF(C40="","",IF(C40&gt;=$AU$1,"O","X"))</f>
        <v>O</v>
      </c>
      <c r="AV40" s="76" t="str">
        <f>IF(AO40="","",IF(AND(AO40="O",AP40="O",AR40="O",AT40="O",AU40="O"),"후보","X"))</f>
        <v>후보</v>
      </c>
    </row>
    <row r="41" spans="1:48" x14ac:dyDescent="0.3">
      <c r="A41" s="9"/>
      <c r="B41" s="76"/>
      <c r="C41" s="6"/>
      <c r="D41" s="9"/>
      <c r="E41" s="14"/>
      <c r="F41" s="85"/>
      <c r="G41" s="9"/>
      <c r="H41" s="9"/>
      <c r="I41" s="9"/>
      <c r="J41" s="9"/>
      <c r="K41" s="9"/>
      <c r="L41" s="9"/>
      <c r="M41" s="9"/>
      <c r="N41" s="9"/>
      <c r="O41" s="90"/>
      <c r="P41" s="90"/>
      <c r="Q41" s="86"/>
      <c r="R41" s="86"/>
      <c r="S41" s="9"/>
      <c r="T41" s="47"/>
      <c r="U41" s="9"/>
      <c r="W41" s="67" t="str">
        <f>$A$4&amp;" "&amp;A42&amp;"("&amp;B42&amp;","&amp;C42&amp;"^)"</f>
        <v>효자동1가 효자한신휴플러스('06.08.,370^)</v>
      </c>
      <c r="X41" s="68"/>
      <c r="Y41" s="68"/>
      <c r="Z41" s="68"/>
      <c r="AA41" s="68"/>
      <c r="AB41" s="68"/>
      <c r="AC41" s="68"/>
      <c r="AD41" s="68"/>
      <c r="AE41" s="68"/>
      <c r="AF41" s="69"/>
      <c r="AH41" s="20" t="str">
        <f t="shared" si="39"/>
        <v/>
      </c>
      <c r="AI41" s="108" t="str">
        <f t="shared" si="37"/>
        <v/>
      </c>
      <c r="AJ41" s="76"/>
      <c r="AK41" s="76"/>
      <c r="AL41" s="76"/>
      <c r="AM41" s="76"/>
      <c r="AN41" s="76"/>
      <c r="AO41" s="76"/>
      <c r="AP41" s="76"/>
      <c r="AQ41" s="76"/>
      <c r="AR41" s="76"/>
      <c r="AS41" s="76"/>
      <c r="AT41" s="76"/>
      <c r="AU41" s="76"/>
      <c r="AV41" s="76"/>
    </row>
    <row r="42" spans="1:48" x14ac:dyDescent="0.3">
      <c r="A42" s="9" t="s">
        <v>1489</v>
      </c>
      <c r="B42" s="10" t="s">
        <v>1921</v>
      </c>
      <c r="C42" s="87">
        <v>370</v>
      </c>
      <c r="D42" s="85">
        <v>91.4</v>
      </c>
      <c r="E42" s="86">
        <v>28</v>
      </c>
      <c r="F42" s="85">
        <v>74.5</v>
      </c>
      <c r="G42" s="17">
        <v>23</v>
      </c>
      <c r="H42" s="87">
        <v>114</v>
      </c>
      <c r="I42" s="88"/>
      <c r="J42" s="88"/>
      <c r="K42" s="88"/>
      <c r="L42" s="88"/>
      <c r="M42" s="89">
        <f>I42-K42</f>
        <v>0</v>
      </c>
      <c r="N42" s="4" t="str">
        <f>IF(ISERROR(K42/I42),"",K42/I42)</f>
        <v/>
      </c>
      <c r="O42" s="90">
        <f>I42/E42</f>
        <v>0</v>
      </c>
      <c r="P42" s="90">
        <f>K42/E42</f>
        <v>0</v>
      </c>
      <c r="Q42" s="76">
        <v>3</v>
      </c>
      <c r="R42" s="76">
        <v>2</v>
      </c>
      <c r="S42" s="76" t="s">
        <v>61</v>
      </c>
      <c r="T42" s="5">
        <v>91</v>
      </c>
      <c r="U42" s="9"/>
      <c r="W42" s="85">
        <f t="shared" ref="W42:X46" si="41">D42</f>
        <v>91.4</v>
      </c>
      <c r="X42" s="86">
        <f t="shared" si="41"/>
        <v>28</v>
      </c>
      <c r="Y42" s="91">
        <f t="shared" ref="Y42:Z46" si="42">H42</f>
        <v>114</v>
      </c>
      <c r="Z42" s="89">
        <f t="shared" si="42"/>
        <v>0</v>
      </c>
      <c r="AA42" s="89">
        <f>K42</f>
        <v>0</v>
      </c>
      <c r="AB42" s="89">
        <f t="shared" ref="AB42:AD46" si="43">M42</f>
        <v>0</v>
      </c>
      <c r="AC42" s="4" t="str">
        <f t="shared" si="43"/>
        <v/>
      </c>
      <c r="AD42" s="90">
        <f t="shared" si="43"/>
        <v>0</v>
      </c>
      <c r="AE42" s="76" t="str">
        <f>S42</f>
        <v>계</v>
      </c>
      <c r="AF42" s="76" t="str">
        <f>Q42&amp;"/"&amp;R42</f>
        <v>3/2</v>
      </c>
      <c r="AH42" s="20" t="str">
        <f t="shared" si="39"/>
        <v>효자한신휴플러스</v>
      </c>
      <c r="AI42" s="86">
        <f t="shared" si="37"/>
        <v>28</v>
      </c>
      <c r="AJ42" s="76" t="str">
        <f>IF(AI42="","",$AJ$2)</f>
        <v>A-</v>
      </c>
      <c r="AK42" s="76" t="s">
        <v>13</v>
      </c>
      <c r="AL42" s="76" t="s">
        <v>62</v>
      </c>
      <c r="AM42" s="76" t="s">
        <v>63</v>
      </c>
      <c r="AN42" s="76" t="str">
        <f>IF(AI42="","",$AN$2)</f>
        <v>C</v>
      </c>
      <c r="AO42" s="76" t="str">
        <f>IF(N42="","",IF(N42&gt;=$AO$1/100,"O","X"))</f>
        <v/>
      </c>
      <c r="AP42" s="76" t="str">
        <f>IF(I42="","",IF(I42&lt;=$AP$1,"O","X"))</f>
        <v/>
      </c>
      <c r="AQ42" s="76" t="str">
        <f>IF(O42="","",IF(O42&lt;=$AQ$1,"O","X"))</f>
        <v>O</v>
      </c>
      <c r="AR42" s="76" t="str">
        <f>IF(M42="","",IF(M42&lt;=$AR$1,"O","X"))</f>
        <v>O</v>
      </c>
      <c r="AS42" s="76" t="s">
        <v>2</v>
      </c>
      <c r="AT42" s="76" t="str">
        <f>IF(OR(F42="",AI42=""),"",IF(AND((F42&lt;=85),(AI42&gt;=15)),"O","X"))</f>
        <v>O</v>
      </c>
      <c r="AU42" s="76" t="str">
        <f>IF(C42="","",IF(C42&gt;=$AU$1,"O","X"))</f>
        <v>O</v>
      </c>
      <c r="AV42" s="76" t="str">
        <f>IF(AO42="","",IF(AND(AO42="O",AP42="O",AR42="O",AT42="O",AU42="O"),"후보","X"))</f>
        <v/>
      </c>
    </row>
    <row r="43" spans="1:48" x14ac:dyDescent="0.3">
      <c r="A43" s="9" t="s">
        <v>1489</v>
      </c>
      <c r="B43" s="10" t="s">
        <v>1921</v>
      </c>
      <c r="C43" s="87">
        <v>370</v>
      </c>
      <c r="D43" s="85">
        <v>103.1</v>
      </c>
      <c r="E43" s="86">
        <v>31</v>
      </c>
      <c r="F43" s="85">
        <v>84.4</v>
      </c>
      <c r="G43" s="17">
        <v>26</v>
      </c>
      <c r="H43" s="87">
        <v>104</v>
      </c>
      <c r="I43" s="88">
        <v>25200</v>
      </c>
      <c r="J43" s="88" t="s">
        <v>75</v>
      </c>
      <c r="K43" s="88"/>
      <c r="L43" s="88"/>
      <c r="M43" s="89">
        <f>I43-K43</f>
        <v>25200</v>
      </c>
      <c r="N43" s="4">
        <f>IF(ISERROR(K43/I43),"",K43/I43)</f>
        <v>0</v>
      </c>
      <c r="O43" s="90">
        <f>I43/E43</f>
        <v>812.90322580645159</v>
      </c>
      <c r="P43" s="90">
        <f>K43/E43</f>
        <v>0</v>
      </c>
      <c r="Q43" s="76">
        <v>3</v>
      </c>
      <c r="R43" s="76">
        <v>2</v>
      </c>
      <c r="S43" s="76" t="s">
        <v>61</v>
      </c>
      <c r="T43" s="5" t="s">
        <v>226</v>
      </c>
      <c r="U43" s="9"/>
      <c r="W43" s="85">
        <f t="shared" si="41"/>
        <v>103.1</v>
      </c>
      <c r="X43" s="86">
        <f t="shared" si="41"/>
        <v>31</v>
      </c>
      <c r="Y43" s="91">
        <f t="shared" si="42"/>
        <v>104</v>
      </c>
      <c r="Z43" s="89">
        <f t="shared" si="42"/>
        <v>25200</v>
      </c>
      <c r="AA43" s="89">
        <f>K43</f>
        <v>0</v>
      </c>
      <c r="AB43" s="89">
        <f t="shared" si="43"/>
        <v>25200</v>
      </c>
      <c r="AC43" s="4">
        <f t="shared" si="43"/>
        <v>0</v>
      </c>
      <c r="AD43" s="90">
        <f t="shared" si="43"/>
        <v>812.90322580645159</v>
      </c>
      <c r="AE43" s="76" t="str">
        <f>S43</f>
        <v>계</v>
      </c>
      <c r="AF43" s="76" t="str">
        <f>Q43&amp;"/"&amp;R43</f>
        <v>3/2</v>
      </c>
      <c r="AH43" s="20" t="str">
        <f t="shared" si="39"/>
        <v>효자한신휴플러스</v>
      </c>
      <c r="AI43" s="86">
        <f t="shared" si="37"/>
        <v>31</v>
      </c>
      <c r="AJ43" s="76" t="str">
        <f>IF(AI43="","",$AJ$2)</f>
        <v>A-</v>
      </c>
      <c r="AK43" s="76" t="s">
        <v>13</v>
      </c>
      <c r="AL43" s="76" t="s">
        <v>62</v>
      </c>
      <c r="AM43" s="76" t="s">
        <v>63</v>
      </c>
      <c r="AN43" s="76" t="str">
        <f>IF(AI43="","",$AN$2)</f>
        <v>C</v>
      </c>
      <c r="AO43" s="76" t="str">
        <f>IF(N43="","",IF(N43&gt;=$AO$1/100,"O","X"))</f>
        <v>X</v>
      </c>
      <c r="AP43" s="76" t="str">
        <f>IF(I43="","",IF(I43&lt;=$AP$1,"O","X"))</f>
        <v>O</v>
      </c>
      <c r="AQ43" s="76" t="str">
        <f>IF(O43="","",IF(O43&lt;=$AQ$1,"O","X"))</f>
        <v>O</v>
      </c>
      <c r="AR43" s="76" t="str">
        <f>IF(M43="","",IF(M43&lt;=$AR$1,"O","X"))</f>
        <v>X</v>
      </c>
      <c r="AS43" s="76" t="s">
        <v>2</v>
      </c>
      <c r="AT43" s="76" t="str">
        <f>IF(OR(F43="",AI43=""),"",IF(AND((F43&lt;=85),(AI43&gt;=15)),"O","X"))</f>
        <v>O</v>
      </c>
      <c r="AU43" s="76" t="str">
        <f>IF(C43="","",IF(C43&gt;=$AU$1,"O","X"))</f>
        <v>O</v>
      </c>
      <c r="AV43" s="76" t="str">
        <f>IF(AO43="","",IF(AND(AO43="O",AP43="O",AR43="O",AT43="O",AU43="O"),"후보","X"))</f>
        <v>X</v>
      </c>
    </row>
    <row r="44" spans="1:48" x14ac:dyDescent="0.3">
      <c r="A44" s="9" t="s">
        <v>1489</v>
      </c>
      <c r="B44" s="10" t="s">
        <v>1921</v>
      </c>
      <c r="C44" s="87">
        <v>370</v>
      </c>
      <c r="D44" s="85">
        <v>103.1</v>
      </c>
      <c r="E44" s="86">
        <v>31</v>
      </c>
      <c r="F44" s="85">
        <v>84.4</v>
      </c>
      <c r="G44" s="17">
        <v>26</v>
      </c>
      <c r="H44" s="87">
        <v>55</v>
      </c>
      <c r="I44" s="88">
        <v>25200</v>
      </c>
      <c r="J44" s="88" t="s">
        <v>75</v>
      </c>
      <c r="K44" s="88"/>
      <c r="L44" s="88"/>
      <c r="M44" s="89">
        <f>I44-K44</f>
        <v>25200</v>
      </c>
      <c r="N44" s="4">
        <f>IF(ISERROR(K44/I44),"",K44/I44)</f>
        <v>0</v>
      </c>
      <c r="O44" s="90">
        <f>I44/E44</f>
        <v>812.90322580645159</v>
      </c>
      <c r="P44" s="90">
        <f>K44/E44</f>
        <v>0</v>
      </c>
      <c r="Q44" s="76">
        <v>3</v>
      </c>
      <c r="R44" s="76">
        <v>2</v>
      </c>
      <c r="S44" s="76" t="s">
        <v>61</v>
      </c>
      <c r="T44" s="5" t="s">
        <v>227</v>
      </c>
      <c r="U44" s="9"/>
      <c r="W44" s="85">
        <f t="shared" si="41"/>
        <v>103.1</v>
      </c>
      <c r="X44" s="86">
        <f t="shared" si="41"/>
        <v>31</v>
      </c>
      <c r="Y44" s="91">
        <f t="shared" si="42"/>
        <v>55</v>
      </c>
      <c r="Z44" s="89">
        <f t="shared" si="42"/>
        <v>25200</v>
      </c>
      <c r="AA44" s="89">
        <f>K44</f>
        <v>0</v>
      </c>
      <c r="AB44" s="89">
        <f t="shared" si="43"/>
        <v>25200</v>
      </c>
      <c r="AC44" s="4">
        <f t="shared" si="43"/>
        <v>0</v>
      </c>
      <c r="AD44" s="90">
        <f t="shared" si="43"/>
        <v>812.90322580645159</v>
      </c>
      <c r="AE44" s="76" t="str">
        <f>S44</f>
        <v>계</v>
      </c>
      <c r="AF44" s="76" t="str">
        <f>Q44&amp;"/"&amp;R44</f>
        <v>3/2</v>
      </c>
      <c r="AH44" s="20" t="str">
        <f t="shared" si="39"/>
        <v>효자한신휴플러스</v>
      </c>
      <c r="AI44" s="86">
        <f t="shared" si="37"/>
        <v>31</v>
      </c>
      <c r="AJ44" s="76" t="str">
        <f>IF(AI44="","",$AJ$2)</f>
        <v>A-</v>
      </c>
      <c r="AK44" s="76" t="s">
        <v>13</v>
      </c>
      <c r="AL44" s="76" t="s">
        <v>62</v>
      </c>
      <c r="AM44" s="76" t="s">
        <v>63</v>
      </c>
      <c r="AN44" s="76" t="str">
        <f>IF(AI44="","",$AN$2)</f>
        <v>C</v>
      </c>
      <c r="AO44" s="76" t="str">
        <f>IF(N44="","",IF(N44&gt;=$AO$1/100,"O","X"))</f>
        <v>X</v>
      </c>
      <c r="AP44" s="76" t="str">
        <f>IF(I44="","",IF(I44&lt;=$AP$1,"O","X"))</f>
        <v>O</v>
      </c>
      <c r="AQ44" s="76" t="str">
        <f>IF(O44="","",IF(O44&lt;=$AQ$1,"O","X"))</f>
        <v>O</v>
      </c>
      <c r="AR44" s="76" t="str">
        <f>IF(M44="","",IF(M44&lt;=$AR$1,"O","X"))</f>
        <v>X</v>
      </c>
      <c r="AS44" s="76" t="s">
        <v>2</v>
      </c>
      <c r="AT44" s="76" t="str">
        <f>IF(OR(F44="",AI44=""),"",IF(AND((F44&lt;=85),(AI44&gt;=15)),"O","X"))</f>
        <v>O</v>
      </c>
      <c r="AU44" s="76" t="str">
        <f>IF(C44="","",IF(C44&gt;=$AU$1,"O","X"))</f>
        <v>O</v>
      </c>
      <c r="AV44" s="76" t="str">
        <f>IF(AO44="","",IF(AND(AO44="O",AP44="O",AR44="O",AT44="O",AU44="O"),"후보","X"))</f>
        <v>X</v>
      </c>
    </row>
    <row r="45" spans="1:48" x14ac:dyDescent="0.3">
      <c r="A45" s="9" t="s">
        <v>1489</v>
      </c>
      <c r="B45" s="10" t="s">
        <v>1921</v>
      </c>
      <c r="C45" s="87">
        <v>370</v>
      </c>
      <c r="D45" s="85">
        <v>104</v>
      </c>
      <c r="E45" s="86">
        <v>31</v>
      </c>
      <c r="F45" s="85">
        <v>84.6</v>
      </c>
      <c r="G45" s="17">
        <v>26</v>
      </c>
      <c r="H45" s="87">
        <v>23</v>
      </c>
      <c r="I45" s="88">
        <v>28000</v>
      </c>
      <c r="J45" s="88" t="s">
        <v>104</v>
      </c>
      <c r="K45" s="88"/>
      <c r="L45" s="88"/>
      <c r="M45" s="89">
        <f>I45-K45</f>
        <v>28000</v>
      </c>
      <c r="N45" s="4">
        <f>IF(ISERROR(K45/I45),"",K45/I45)</f>
        <v>0</v>
      </c>
      <c r="O45" s="90">
        <f>I45/E45</f>
        <v>903.22580645161293</v>
      </c>
      <c r="P45" s="90">
        <f>K45/E45</f>
        <v>0</v>
      </c>
      <c r="Q45" s="76">
        <v>3</v>
      </c>
      <c r="R45" s="76">
        <v>2</v>
      </c>
      <c r="S45" s="76" t="s">
        <v>61</v>
      </c>
      <c r="T45" s="5" t="s">
        <v>380</v>
      </c>
      <c r="U45" s="9"/>
      <c r="W45" s="85">
        <f t="shared" si="41"/>
        <v>104</v>
      </c>
      <c r="X45" s="86">
        <f t="shared" si="41"/>
        <v>31</v>
      </c>
      <c r="Y45" s="91">
        <f t="shared" si="42"/>
        <v>23</v>
      </c>
      <c r="Z45" s="89">
        <f t="shared" si="42"/>
        <v>28000</v>
      </c>
      <c r="AA45" s="89">
        <f>K45</f>
        <v>0</v>
      </c>
      <c r="AB45" s="89">
        <f t="shared" si="43"/>
        <v>28000</v>
      </c>
      <c r="AC45" s="4">
        <f t="shared" si="43"/>
        <v>0</v>
      </c>
      <c r="AD45" s="90">
        <f t="shared" si="43"/>
        <v>903.22580645161293</v>
      </c>
      <c r="AE45" s="76" t="str">
        <f>S45</f>
        <v>계</v>
      </c>
      <c r="AF45" s="76" t="str">
        <f>Q45&amp;"/"&amp;R45</f>
        <v>3/2</v>
      </c>
      <c r="AH45" s="20" t="str">
        <f t="shared" si="39"/>
        <v>효자한신휴플러스</v>
      </c>
      <c r="AI45" s="86">
        <f t="shared" si="37"/>
        <v>31</v>
      </c>
      <c r="AJ45" s="76" t="str">
        <f>IF(AI45="","",$AJ$2)</f>
        <v>A-</v>
      </c>
      <c r="AK45" s="76" t="s">
        <v>13</v>
      </c>
      <c r="AL45" s="76" t="s">
        <v>62</v>
      </c>
      <c r="AM45" s="76" t="s">
        <v>63</v>
      </c>
      <c r="AN45" s="76" t="str">
        <f>IF(AI45="","",$AN$2)</f>
        <v>C</v>
      </c>
      <c r="AO45" s="76" t="str">
        <f>IF(N45="","",IF(N45&gt;=$AO$1/100,"O","X"))</f>
        <v>X</v>
      </c>
      <c r="AP45" s="76" t="str">
        <f>IF(I45="","",IF(I45&lt;=$AP$1,"O","X"))</f>
        <v>O</v>
      </c>
      <c r="AQ45" s="76" t="str">
        <f>IF(O45="","",IF(O45&lt;=$AQ$1,"O","X"))</f>
        <v>O</v>
      </c>
      <c r="AR45" s="76" t="str">
        <f>IF(M45="","",IF(M45&lt;=$AR$1,"O","X"))</f>
        <v>X</v>
      </c>
      <c r="AS45" s="76" t="s">
        <v>2</v>
      </c>
      <c r="AT45" s="76" t="str">
        <f>IF(OR(F45="",AI45=""),"",IF(AND((F45&lt;=85),(AI45&gt;=15)),"O","X"))</f>
        <v>O</v>
      </c>
      <c r="AU45" s="76" t="str">
        <f>IF(C45="","",IF(C45&gt;=$AU$1,"O","X"))</f>
        <v>O</v>
      </c>
      <c r="AV45" s="76" t="str">
        <f>IF(AO45="","",IF(AND(AO45="O",AP45="O",AR45="O",AT45="O",AU45="O"),"후보","X"))</f>
        <v>X</v>
      </c>
    </row>
    <row r="46" spans="1:48" x14ac:dyDescent="0.3">
      <c r="A46" s="9" t="s">
        <v>1489</v>
      </c>
      <c r="B46" s="10" t="s">
        <v>1921</v>
      </c>
      <c r="C46" s="87">
        <v>370</v>
      </c>
      <c r="D46" s="85">
        <v>144.9</v>
      </c>
      <c r="E46" s="86">
        <v>44</v>
      </c>
      <c r="F46" s="85">
        <v>118.7</v>
      </c>
      <c r="G46" s="17">
        <v>36</v>
      </c>
      <c r="H46" s="87">
        <v>74</v>
      </c>
      <c r="I46" s="88">
        <v>37000</v>
      </c>
      <c r="J46" s="88" t="s">
        <v>75</v>
      </c>
      <c r="K46" s="88"/>
      <c r="L46" s="88"/>
      <c r="M46" s="89">
        <f>I46-K46</f>
        <v>37000</v>
      </c>
      <c r="N46" s="4">
        <f>IF(ISERROR(K46/I46),"",K46/I46)</f>
        <v>0</v>
      </c>
      <c r="O46" s="90">
        <f>I46/E46</f>
        <v>840.90909090909088</v>
      </c>
      <c r="P46" s="90">
        <f>K46/E46</f>
        <v>0</v>
      </c>
      <c r="Q46" s="76">
        <v>4</v>
      </c>
      <c r="R46" s="76">
        <v>2</v>
      </c>
      <c r="S46" s="76" t="s">
        <v>61</v>
      </c>
      <c r="T46" s="5">
        <v>144</v>
      </c>
      <c r="U46" s="9"/>
      <c r="W46" s="85">
        <f t="shared" si="41"/>
        <v>144.9</v>
      </c>
      <c r="X46" s="86">
        <f t="shared" si="41"/>
        <v>44</v>
      </c>
      <c r="Y46" s="91">
        <f t="shared" si="42"/>
        <v>74</v>
      </c>
      <c r="Z46" s="89">
        <f t="shared" si="42"/>
        <v>37000</v>
      </c>
      <c r="AA46" s="89">
        <f>K46</f>
        <v>0</v>
      </c>
      <c r="AB46" s="89">
        <f t="shared" si="43"/>
        <v>37000</v>
      </c>
      <c r="AC46" s="4">
        <f t="shared" si="43"/>
        <v>0</v>
      </c>
      <c r="AD46" s="90">
        <f t="shared" si="43"/>
        <v>840.90909090909088</v>
      </c>
      <c r="AE46" s="76" t="str">
        <f>S46</f>
        <v>계</v>
      </c>
      <c r="AF46" s="76" t="str">
        <f>Q46&amp;"/"&amp;R46</f>
        <v>4/2</v>
      </c>
      <c r="AH46" s="20" t="str">
        <f t="shared" si="39"/>
        <v>효자한신휴플러스</v>
      </c>
      <c r="AI46" s="86">
        <f t="shared" si="37"/>
        <v>44</v>
      </c>
      <c r="AJ46" s="76" t="str">
        <f>IF(AI46="","",$AJ$2)</f>
        <v>A-</v>
      </c>
      <c r="AK46" s="76" t="s">
        <v>13</v>
      </c>
      <c r="AL46" s="76" t="s">
        <v>62</v>
      </c>
      <c r="AM46" s="76" t="s">
        <v>63</v>
      </c>
      <c r="AN46" s="76" t="str">
        <f>IF(AI46="","",$AN$2)</f>
        <v>C</v>
      </c>
      <c r="AO46" s="76" t="str">
        <f>IF(N46="","",IF(N46&gt;=$AO$1/100,"O","X"))</f>
        <v>X</v>
      </c>
      <c r="AP46" s="76" t="str">
        <f>IF(I46="","",IF(I46&lt;=$AP$1,"O","X"))</f>
        <v>O</v>
      </c>
      <c r="AQ46" s="76" t="str">
        <f>IF(O46="","",IF(O46&lt;=$AQ$1,"O","X"))</f>
        <v>O</v>
      </c>
      <c r="AR46" s="76" t="str">
        <f>IF(M46="","",IF(M46&lt;=$AR$1,"O","X"))</f>
        <v>X</v>
      </c>
      <c r="AS46" s="76" t="s">
        <v>2</v>
      </c>
      <c r="AT46" s="76" t="str">
        <f>IF(OR(F46="",AI46=""),"",IF(AND((F46&lt;=85),(AI46&gt;=15)),"O","X"))</f>
        <v>X</v>
      </c>
      <c r="AU46" s="76" t="str">
        <f>IF(C46="","",IF(C46&gt;=$AU$1,"O","X"))</f>
        <v>O</v>
      </c>
      <c r="AV46" s="76" t="str">
        <f>IF(AO46="","",IF(AND(AO46="O",AP46="O",AR46="O",AT46="O",AU46="O"),"후보","X"))</f>
        <v>X</v>
      </c>
    </row>
    <row r="47" spans="1:48" x14ac:dyDescent="0.3">
      <c r="A47" s="9"/>
      <c r="B47" s="76"/>
      <c r="C47" s="6"/>
      <c r="D47" s="9"/>
      <c r="E47" s="14"/>
      <c r="F47" s="85"/>
      <c r="G47" s="9"/>
      <c r="H47" s="9"/>
      <c r="I47" s="9"/>
      <c r="J47" s="9"/>
      <c r="K47" s="9"/>
      <c r="L47" s="9"/>
      <c r="M47" s="9"/>
      <c r="N47" s="9"/>
      <c r="O47" s="90"/>
      <c r="P47" s="90"/>
      <c r="Q47" s="86"/>
      <c r="R47" s="86"/>
      <c r="S47" s="9"/>
      <c r="T47" s="47"/>
      <c r="U47" s="9"/>
      <c r="W47" s="67" t="str">
        <f>$A$4&amp;" "&amp;A48&amp;"("&amp;B48&amp;","&amp;C48&amp;"^)"</f>
        <v>효자동1가 효자현대('90.03.,582^)</v>
      </c>
      <c r="X47" s="68"/>
      <c r="Y47" s="68"/>
      <c r="Z47" s="68"/>
      <c r="AA47" s="68"/>
      <c r="AB47" s="68"/>
      <c r="AC47" s="68"/>
      <c r="AD47" s="68"/>
      <c r="AE47" s="68"/>
      <c r="AF47" s="69"/>
      <c r="AH47" s="20" t="str">
        <f t="shared" si="39"/>
        <v/>
      </c>
      <c r="AI47" s="108" t="str">
        <f t="shared" si="37"/>
        <v/>
      </c>
      <c r="AJ47" s="76"/>
      <c r="AK47" s="76"/>
      <c r="AL47" s="76"/>
      <c r="AM47" s="76"/>
      <c r="AN47" s="76"/>
      <c r="AO47" s="76"/>
      <c r="AP47" s="76"/>
      <c r="AQ47" s="76"/>
      <c r="AR47" s="76"/>
      <c r="AS47" s="76"/>
      <c r="AT47" s="76"/>
      <c r="AU47" s="76"/>
      <c r="AV47" s="76"/>
    </row>
    <row r="48" spans="1:48" x14ac:dyDescent="0.3">
      <c r="A48" s="9" t="s">
        <v>1506</v>
      </c>
      <c r="B48" s="10" t="s">
        <v>1922</v>
      </c>
      <c r="C48" s="87">
        <v>582</v>
      </c>
      <c r="D48" s="85">
        <v>86.4</v>
      </c>
      <c r="E48" s="86">
        <v>26</v>
      </c>
      <c r="F48" s="85">
        <v>70.5</v>
      </c>
      <c r="G48" s="17">
        <v>21</v>
      </c>
      <c r="H48" s="87">
        <v>192</v>
      </c>
      <c r="I48" s="88">
        <v>18200</v>
      </c>
      <c r="J48" s="88" t="s">
        <v>89</v>
      </c>
      <c r="K48" s="88">
        <v>18000</v>
      </c>
      <c r="L48" s="88" t="s">
        <v>71</v>
      </c>
      <c r="M48" s="89">
        <f>I48-K48</f>
        <v>200</v>
      </c>
      <c r="N48" s="4">
        <f>IF(ISERROR(K48/I48),"",K48/I48)</f>
        <v>0.98901098901098905</v>
      </c>
      <c r="O48" s="90">
        <f>I48/E48</f>
        <v>700</v>
      </c>
      <c r="P48" s="90">
        <f>K48/E48</f>
        <v>692.30769230769226</v>
      </c>
      <c r="Q48" s="76">
        <v>3</v>
      </c>
      <c r="R48" s="76">
        <v>1</v>
      </c>
      <c r="S48" s="76" t="s">
        <v>61</v>
      </c>
      <c r="T48" s="5" t="s">
        <v>383</v>
      </c>
      <c r="U48" s="9"/>
      <c r="W48" s="85">
        <f t="shared" ref="W48:X50" si="44">D48</f>
        <v>86.4</v>
      </c>
      <c r="X48" s="86">
        <f t="shared" si="44"/>
        <v>26</v>
      </c>
      <c r="Y48" s="91">
        <f t="shared" ref="Y48:Z50" si="45">H48</f>
        <v>192</v>
      </c>
      <c r="Z48" s="89">
        <f t="shared" si="45"/>
        <v>18200</v>
      </c>
      <c r="AA48" s="89">
        <f>K48</f>
        <v>18000</v>
      </c>
      <c r="AB48" s="89">
        <f t="shared" ref="AB48:AD50" si="46">M48</f>
        <v>200</v>
      </c>
      <c r="AC48" s="4">
        <f t="shared" si="46"/>
        <v>0.98901098901098905</v>
      </c>
      <c r="AD48" s="90">
        <f t="shared" si="46"/>
        <v>700</v>
      </c>
      <c r="AE48" s="76" t="str">
        <f>S48</f>
        <v>계</v>
      </c>
      <c r="AF48" s="76" t="str">
        <f>Q48&amp;"/"&amp;R48</f>
        <v>3/1</v>
      </c>
      <c r="AH48" s="20" t="str">
        <f t="shared" si="39"/>
        <v>효자현대</v>
      </c>
      <c r="AI48" s="86">
        <f t="shared" si="37"/>
        <v>26</v>
      </c>
      <c r="AJ48" s="76" t="str">
        <f>IF(AI48="","",$AJ$2)</f>
        <v>A-</v>
      </c>
      <c r="AK48" s="76" t="s">
        <v>13</v>
      </c>
      <c r="AL48" s="76" t="s">
        <v>62</v>
      </c>
      <c r="AM48" s="76" t="s">
        <v>63</v>
      </c>
      <c r="AN48" s="76" t="str">
        <f>IF(AI48="","",$AN$2)</f>
        <v>C</v>
      </c>
      <c r="AO48" s="76" t="str">
        <f>IF(N48="","",IF(N48&gt;=$AO$1/100,"O","X"))</f>
        <v>O</v>
      </c>
      <c r="AP48" s="76" t="str">
        <f>IF(I48="","",IF(I48&lt;=$AP$1,"O","X"))</f>
        <v>O</v>
      </c>
      <c r="AQ48" s="76" t="str">
        <f>IF(O48="","",IF(O48&lt;=$AQ$1,"O","X"))</f>
        <v>O</v>
      </c>
      <c r="AR48" s="76" t="str">
        <f>IF(M48="","",IF(M48&lt;=$AR$1,"O","X"))</f>
        <v>O</v>
      </c>
      <c r="AS48" s="76" t="s">
        <v>2</v>
      </c>
      <c r="AT48" s="76" t="str">
        <f>IF(OR(F48="",AI48=""),"",IF(AND((F48&lt;=85),(AI48&gt;=15)),"O","X"))</f>
        <v>O</v>
      </c>
      <c r="AU48" s="76" t="str">
        <f>IF(C48="","",IF(C48&gt;=$AU$1,"O","X"))</f>
        <v>O</v>
      </c>
      <c r="AV48" s="76" t="str">
        <f>IF(AO48="","",IF(AND(AO48="O",AP48="O",AR48="O",AT48="O",AU48="O"),"후보","X"))</f>
        <v>후보</v>
      </c>
    </row>
    <row r="49" spans="1:48" x14ac:dyDescent="0.3">
      <c r="A49" s="9" t="s">
        <v>1506</v>
      </c>
      <c r="B49" s="10" t="s">
        <v>1922</v>
      </c>
      <c r="C49" s="87">
        <v>582</v>
      </c>
      <c r="D49" s="85">
        <v>87.5</v>
      </c>
      <c r="E49" s="86">
        <v>26</v>
      </c>
      <c r="F49" s="85">
        <v>71.400000000000006</v>
      </c>
      <c r="G49" s="17">
        <v>22</v>
      </c>
      <c r="H49" s="87">
        <v>15</v>
      </c>
      <c r="I49" s="88"/>
      <c r="J49" s="88"/>
      <c r="K49" s="88"/>
      <c r="L49" s="88"/>
      <c r="M49" s="89">
        <f>I49-K49</f>
        <v>0</v>
      </c>
      <c r="N49" s="4" t="str">
        <f>IF(ISERROR(K49/I49),"",K49/I49)</f>
        <v/>
      </c>
      <c r="O49" s="90">
        <f>I49/E49</f>
        <v>0</v>
      </c>
      <c r="P49" s="90">
        <f>K49/E49</f>
        <v>0</v>
      </c>
      <c r="Q49" s="76">
        <v>3</v>
      </c>
      <c r="R49" s="76">
        <v>1</v>
      </c>
      <c r="S49" s="76" t="s">
        <v>61</v>
      </c>
      <c r="T49" s="5" t="s">
        <v>384</v>
      </c>
      <c r="U49" s="9"/>
      <c r="W49" s="85">
        <f t="shared" si="44"/>
        <v>87.5</v>
      </c>
      <c r="X49" s="86">
        <f t="shared" si="44"/>
        <v>26</v>
      </c>
      <c r="Y49" s="91">
        <f t="shared" si="45"/>
        <v>15</v>
      </c>
      <c r="Z49" s="89">
        <f t="shared" si="45"/>
        <v>0</v>
      </c>
      <c r="AA49" s="89">
        <f>K49</f>
        <v>0</v>
      </c>
      <c r="AB49" s="89">
        <f t="shared" si="46"/>
        <v>0</v>
      </c>
      <c r="AC49" s="4" t="str">
        <f t="shared" si="46"/>
        <v/>
      </c>
      <c r="AD49" s="90">
        <f t="shared" si="46"/>
        <v>0</v>
      </c>
      <c r="AE49" s="76" t="str">
        <f>S49</f>
        <v>계</v>
      </c>
      <c r="AF49" s="76" t="str">
        <f>Q49&amp;"/"&amp;R49</f>
        <v>3/1</v>
      </c>
      <c r="AH49" s="20" t="str">
        <f t="shared" si="39"/>
        <v>효자현대</v>
      </c>
      <c r="AI49" s="86">
        <f t="shared" si="37"/>
        <v>26</v>
      </c>
      <c r="AJ49" s="76" t="str">
        <f>IF(AI49="","",$AJ$2)</f>
        <v>A-</v>
      </c>
      <c r="AK49" s="76" t="s">
        <v>13</v>
      </c>
      <c r="AL49" s="76" t="s">
        <v>62</v>
      </c>
      <c r="AM49" s="76" t="s">
        <v>63</v>
      </c>
      <c r="AN49" s="76" t="str">
        <f>IF(AI49="","",$AN$2)</f>
        <v>C</v>
      </c>
      <c r="AO49" s="76" t="str">
        <f>IF(N49="","",IF(N49&gt;=$AO$1/100,"O","X"))</f>
        <v/>
      </c>
      <c r="AP49" s="76" t="str">
        <f>IF(I49="","",IF(I49&lt;=$AP$1,"O","X"))</f>
        <v/>
      </c>
      <c r="AQ49" s="76" t="str">
        <f>IF(O49="","",IF(O49&lt;=$AQ$1,"O","X"))</f>
        <v>O</v>
      </c>
      <c r="AR49" s="76" t="str">
        <f>IF(M49="","",IF(M49&lt;=$AR$1,"O","X"))</f>
        <v>O</v>
      </c>
      <c r="AS49" s="76" t="s">
        <v>2</v>
      </c>
      <c r="AT49" s="76" t="str">
        <f>IF(OR(F49="",AI49=""),"",IF(AND((F49&lt;=85),(AI49&gt;=15)),"O","X"))</f>
        <v>O</v>
      </c>
      <c r="AU49" s="76" t="str">
        <f>IF(C49="","",IF(C49&gt;=$AU$1,"O","X"))</f>
        <v>O</v>
      </c>
      <c r="AV49" s="76" t="str">
        <f>IF(AO49="","",IF(AND(AO49="O",AP49="O",AR49="O",AT49="O",AU49="O"),"후보","X"))</f>
        <v/>
      </c>
    </row>
    <row r="50" spans="1:48" x14ac:dyDescent="0.3">
      <c r="A50" s="9" t="s">
        <v>1506</v>
      </c>
      <c r="B50" s="10" t="s">
        <v>1922</v>
      </c>
      <c r="C50" s="87">
        <v>582</v>
      </c>
      <c r="D50" s="85">
        <v>100.9</v>
      </c>
      <c r="E50" s="86">
        <v>31</v>
      </c>
      <c r="F50" s="85">
        <v>84.4</v>
      </c>
      <c r="G50" s="17">
        <v>26</v>
      </c>
      <c r="H50" s="87">
        <v>375</v>
      </c>
      <c r="I50" s="88"/>
      <c r="J50" s="88"/>
      <c r="K50" s="88"/>
      <c r="L50" s="88"/>
      <c r="M50" s="89">
        <f>I50-K50</f>
        <v>0</v>
      </c>
      <c r="N50" s="4" t="str">
        <f>IF(ISERROR(K50/I50),"",K50/I50)</f>
        <v/>
      </c>
      <c r="O50" s="90">
        <f>I50/E50</f>
        <v>0</v>
      </c>
      <c r="P50" s="90">
        <f>K50/E50</f>
        <v>0</v>
      </c>
      <c r="Q50" s="76">
        <v>3</v>
      </c>
      <c r="R50" s="76">
        <v>2</v>
      </c>
      <c r="S50" s="76" t="s">
        <v>61</v>
      </c>
      <c r="T50" s="5">
        <v>100</v>
      </c>
      <c r="U50" s="9"/>
      <c r="W50" s="85">
        <f t="shared" si="44"/>
        <v>100.9</v>
      </c>
      <c r="X50" s="86">
        <f t="shared" si="44"/>
        <v>31</v>
      </c>
      <c r="Y50" s="91">
        <f t="shared" si="45"/>
        <v>375</v>
      </c>
      <c r="Z50" s="89">
        <f t="shared" si="45"/>
        <v>0</v>
      </c>
      <c r="AA50" s="89">
        <f>K50</f>
        <v>0</v>
      </c>
      <c r="AB50" s="89">
        <f t="shared" si="46"/>
        <v>0</v>
      </c>
      <c r="AC50" s="4" t="str">
        <f t="shared" si="46"/>
        <v/>
      </c>
      <c r="AD50" s="90">
        <f t="shared" si="46"/>
        <v>0</v>
      </c>
      <c r="AE50" s="76" t="str">
        <f>S50</f>
        <v>계</v>
      </c>
      <c r="AF50" s="76" t="str">
        <f>Q50&amp;"/"&amp;R50</f>
        <v>3/2</v>
      </c>
      <c r="AH50" s="20" t="str">
        <f t="shared" si="39"/>
        <v>효자현대</v>
      </c>
      <c r="AI50" s="86">
        <f t="shared" si="37"/>
        <v>31</v>
      </c>
      <c r="AJ50" s="76" t="str">
        <f>IF(AI50="","",$AJ$2)</f>
        <v>A-</v>
      </c>
      <c r="AK50" s="76" t="s">
        <v>13</v>
      </c>
      <c r="AL50" s="76" t="s">
        <v>62</v>
      </c>
      <c r="AM50" s="76" t="s">
        <v>63</v>
      </c>
      <c r="AN50" s="76" t="str">
        <f>IF(AI50="","",$AN$2)</f>
        <v>C</v>
      </c>
      <c r="AO50" s="76" t="str">
        <f>IF(N50="","",IF(N50&gt;=$AO$1/100,"O","X"))</f>
        <v/>
      </c>
      <c r="AP50" s="76" t="str">
        <f>IF(I50="","",IF(I50&lt;=$AP$1,"O","X"))</f>
        <v/>
      </c>
      <c r="AQ50" s="76" t="str">
        <f>IF(O50="","",IF(O50&lt;=$AQ$1,"O","X"))</f>
        <v>O</v>
      </c>
      <c r="AR50" s="76" t="str">
        <f>IF(M50="","",IF(M50&lt;=$AR$1,"O","X"))</f>
        <v>O</v>
      </c>
      <c r="AS50" s="76" t="s">
        <v>2</v>
      </c>
      <c r="AT50" s="76" t="str">
        <f>IF(OR(F50="",AI50=""),"",IF(AND((F50&lt;=85),(AI50&gt;=15)),"O","X"))</f>
        <v>O</v>
      </c>
      <c r="AU50" s="76" t="str">
        <f>IF(C50="","",IF(C50&gt;=$AU$1,"O","X"))</f>
        <v>O</v>
      </c>
      <c r="AV50" s="76" t="str">
        <f>IF(AO50="","",IF(AND(AO50="O",AP50="O",AR50="O",AT50="O",AU50="O"),"후보","X"))</f>
        <v/>
      </c>
    </row>
    <row r="51" spans="1:48" x14ac:dyDescent="0.3">
      <c r="A51" s="9"/>
      <c r="B51" s="76"/>
      <c r="C51" s="6"/>
      <c r="D51" s="9"/>
      <c r="E51" s="14"/>
      <c r="F51" s="85"/>
      <c r="G51" s="9"/>
      <c r="H51" s="9"/>
      <c r="I51" s="9"/>
      <c r="J51" s="9"/>
      <c r="K51" s="9"/>
      <c r="L51" s="9"/>
      <c r="M51" s="9"/>
      <c r="N51" s="9"/>
      <c r="O51" s="90"/>
      <c r="P51" s="90"/>
      <c r="Q51" s="86"/>
      <c r="R51" s="86"/>
      <c r="S51" s="9"/>
      <c r="T51" s="47"/>
      <c r="U51" s="9"/>
      <c r="W51" s="67" t="str">
        <f>$A$4&amp;" "&amp;A52&amp;"("&amp;B52&amp;","&amp;C52&amp;"^)"</f>
        <v>효자동1가 금호('92.03.,720^)</v>
      </c>
      <c r="X51" s="68"/>
      <c r="Y51" s="68"/>
      <c r="Z51" s="68"/>
      <c r="AA51" s="68"/>
      <c r="AB51" s="68"/>
      <c r="AC51" s="68"/>
      <c r="AD51" s="68"/>
      <c r="AE51" s="68"/>
      <c r="AF51" s="69"/>
      <c r="AH51" s="20" t="str">
        <f t="shared" si="39"/>
        <v/>
      </c>
      <c r="AI51" s="108" t="str">
        <f t="shared" si="37"/>
        <v/>
      </c>
      <c r="AJ51" s="76"/>
      <c r="AK51" s="76"/>
      <c r="AL51" s="76"/>
      <c r="AM51" s="76"/>
      <c r="AN51" s="76"/>
      <c r="AO51" s="76"/>
      <c r="AP51" s="76"/>
      <c r="AQ51" s="76"/>
      <c r="AR51" s="76"/>
      <c r="AS51" s="76"/>
      <c r="AT51" s="76"/>
      <c r="AU51" s="76"/>
      <c r="AV51" s="76"/>
    </row>
    <row r="52" spans="1:48" x14ac:dyDescent="0.3">
      <c r="A52" s="9" t="s">
        <v>1527</v>
      </c>
      <c r="B52" s="10" t="s">
        <v>1923</v>
      </c>
      <c r="C52" s="87">
        <v>720</v>
      </c>
      <c r="D52" s="85">
        <v>90.2</v>
      </c>
      <c r="E52" s="86">
        <v>27</v>
      </c>
      <c r="F52" s="85">
        <v>74.099999999999994</v>
      </c>
      <c r="G52" s="17">
        <v>22</v>
      </c>
      <c r="H52" s="87">
        <v>240</v>
      </c>
      <c r="I52" s="88">
        <v>14000</v>
      </c>
      <c r="J52" s="88" t="s">
        <v>104</v>
      </c>
      <c r="K52" s="88"/>
      <c r="L52" s="88"/>
      <c r="M52" s="89">
        <f>I52-K52</f>
        <v>14000</v>
      </c>
      <c r="N52" s="4">
        <f>IF(ISERROR(K52/I52),"",K52/I52)</f>
        <v>0</v>
      </c>
      <c r="O52" s="90">
        <f>I52/E52</f>
        <v>518.51851851851848</v>
      </c>
      <c r="P52" s="90">
        <f>K52/E52</f>
        <v>0</v>
      </c>
      <c r="Q52" s="76">
        <v>3</v>
      </c>
      <c r="R52" s="76">
        <v>2</v>
      </c>
      <c r="S52" s="76" t="s">
        <v>61</v>
      </c>
      <c r="T52" s="5">
        <v>90</v>
      </c>
      <c r="U52" s="9"/>
      <c r="W52" s="85">
        <f t="shared" ref="W52:X54" si="47">D52</f>
        <v>90.2</v>
      </c>
      <c r="X52" s="86">
        <f t="shared" si="47"/>
        <v>27</v>
      </c>
      <c r="Y52" s="91">
        <f t="shared" ref="Y52:Z54" si="48">H52</f>
        <v>240</v>
      </c>
      <c r="Z52" s="89">
        <f t="shared" si="48"/>
        <v>14000</v>
      </c>
      <c r="AA52" s="89">
        <f>K52</f>
        <v>0</v>
      </c>
      <c r="AB52" s="89">
        <f t="shared" ref="AB52:AD54" si="49">M52</f>
        <v>14000</v>
      </c>
      <c r="AC52" s="4">
        <f t="shared" si="49"/>
        <v>0</v>
      </c>
      <c r="AD52" s="90">
        <f t="shared" si="49"/>
        <v>518.51851851851848</v>
      </c>
      <c r="AE52" s="76" t="str">
        <f>S52</f>
        <v>계</v>
      </c>
      <c r="AF52" s="76" t="str">
        <f>Q52&amp;"/"&amp;R52</f>
        <v>3/2</v>
      </c>
      <c r="AH52" s="20" t="str">
        <f t="shared" si="39"/>
        <v>금호</v>
      </c>
      <c r="AI52" s="86">
        <f t="shared" si="37"/>
        <v>27</v>
      </c>
      <c r="AJ52" s="76" t="str">
        <f>IF(AI52="","",$AJ$2)</f>
        <v>A-</v>
      </c>
      <c r="AK52" s="76" t="s">
        <v>13</v>
      </c>
      <c r="AL52" s="76" t="s">
        <v>62</v>
      </c>
      <c r="AM52" s="76" t="s">
        <v>63</v>
      </c>
      <c r="AN52" s="76" t="str">
        <f>IF(AI52="","",$AN$2)</f>
        <v>C</v>
      </c>
      <c r="AO52" s="76" t="str">
        <f>IF(N52="","",IF(N52&gt;=$AO$1/100,"O","X"))</f>
        <v>X</v>
      </c>
      <c r="AP52" s="76" t="str">
        <f>IF(I52="","",IF(I52&lt;=$AP$1,"O","X"))</f>
        <v>O</v>
      </c>
      <c r="AQ52" s="76" t="str">
        <f>IF(O52="","",IF(O52&lt;=$AQ$1,"O","X"))</f>
        <v>O</v>
      </c>
      <c r="AR52" s="76" t="str">
        <f>IF(M52="","",IF(M52&lt;=$AR$1,"O","X"))</f>
        <v>X</v>
      </c>
      <c r="AS52" s="76" t="s">
        <v>2</v>
      </c>
      <c r="AT52" s="76" t="str">
        <f>IF(OR(F52="",AI52=""),"",IF(AND((F52&lt;=85),(AI52&gt;=15)),"O","X"))</f>
        <v>O</v>
      </c>
      <c r="AU52" s="76" t="str">
        <f>IF(C52="","",IF(C52&gt;=$AU$1,"O","X"))</f>
        <v>O</v>
      </c>
      <c r="AV52" s="76" t="str">
        <f>IF(AO52="","",IF(AND(AO52="O",AP52="O",AR52="O",AT52="O",AU52="O"),"후보","X"))</f>
        <v>X</v>
      </c>
    </row>
    <row r="53" spans="1:48" x14ac:dyDescent="0.3">
      <c r="A53" s="9" t="s">
        <v>1527</v>
      </c>
      <c r="B53" s="10" t="s">
        <v>1923</v>
      </c>
      <c r="C53" s="87">
        <v>720</v>
      </c>
      <c r="D53" s="85">
        <v>101.5</v>
      </c>
      <c r="E53" s="86">
        <v>31</v>
      </c>
      <c r="F53" s="85">
        <v>84.7</v>
      </c>
      <c r="G53" s="17">
        <v>26</v>
      </c>
      <c r="H53" s="87">
        <v>360</v>
      </c>
      <c r="I53" s="88"/>
      <c r="J53" s="88"/>
      <c r="K53" s="88"/>
      <c r="L53" s="88"/>
      <c r="M53" s="89">
        <f>I53-K53</f>
        <v>0</v>
      </c>
      <c r="N53" s="4" t="str">
        <f>IF(ISERROR(K53/I53),"",K53/I53)</f>
        <v/>
      </c>
      <c r="O53" s="90">
        <f>I53/E53</f>
        <v>0</v>
      </c>
      <c r="P53" s="90">
        <f>K53/E53</f>
        <v>0</v>
      </c>
      <c r="Q53" s="76">
        <v>3</v>
      </c>
      <c r="R53" s="76">
        <v>2</v>
      </c>
      <c r="S53" s="76" t="s">
        <v>61</v>
      </c>
      <c r="T53" s="5">
        <v>101</v>
      </c>
      <c r="U53" s="9"/>
      <c r="W53" s="85">
        <f t="shared" si="47"/>
        <v>101.5</v>
      </c>
      <c r="X53" s="86">
        <f t="shared" si="47"/>
        <v>31</v>
      </c>
      <c r="Y53" s="91">
        <f t="shared" si="48"/>
        <v>360</v>
      </c>
      <c r="Z53" s="89">
        <f t="shared" si="48"/>
        <v>0</v>
      </c>
      <c r="AA53" s="89">
        <f>K53</f>
        <v>0</v>
      </c>
      <c r="AB53" s="89">
        <f t="shared" si="49"/>
        <v>0</v>
      </c>
      <c r="AC53" s="4" t="str">
        <f t="shared" si="49"/>
        <v/>
      </c>
      <c r="AD53" s="90">
        <f t="shared" si="49"/>
        <v>0</v>
      </c>
      <c r="AE53" s="76" t="str">
        <f>S53</f>
        <v>계</v>
      </c>
      <c r="AF53" s="76" t="str">
        <f>Q53&amp;"/"&amp;R53</f>
        <v>3/2</v>
      </c>
      <c r="AH53" s="20" t="str">
        <f t="shared" si="39"/>
        <v>금호</v>
      </c>
      <c r="AI53" s="86">
        <f t="shared" si="37"/>
        <v>31</v>
      </c>
      <c r="AJ53" s="76" t="str">
        <f>IF(AI53="","",$AJ$2)</f>
        <v>A-</v>
      </c>
      <c r="AK53" s="76" t="s">
        <v>13</v>
      </c>
      <c r="AL53" s="76" t="s">
        <v>62</v>
      </c>
      <c r="AM53" s="76" t="s">
        <v>63</v>
      </c>
      <c r="AN53" s="76" t="str">
        <f>IF(AI53="","",$AN$2)</f>
        <v>C</v>
      </c>
      <c r="AO53" s="76" t="str">
        <f>IF(N53="","",IF(N53&gt;=$AO$1/100,"O","X"))</f>
        <v/>
      </c>
      <c r="AP53" s="76" t="str">
        <f>IF(I53="","",IF(I53&lt;=$AP$1,"O","X"))</f>
        <v/>
      </c>
      <c r="AQ53" s="76" t="str">
        <f>IF(O53="","",IF(O53&lt;=$AQ$1,"O","X"))</f>
        <v>O</v>
      </c>
      <c r="AR53" s="76" t="str">
        <f>IF(M53="","",IF(M53&lt;=$AR$1,"O","X"))</f>
        <v>O</v>
      </c>
      <c r="AS53" s="76" t="s">
        <v>2</v>
      </c>
      <c r="AT53" s="76" t="str">
        <f>IF(OR(F53="",AI53=""),"",IF(AND((F53&lt;=85),(AI53&gt;=15)),"O","X"))</f>
        <v>O</v>
      </c>
      <c r="AU53" s="76" t="str">
        <f>IF(C53="","",IF(C53&gt;=$AU$1,"O","X"))</f>
        <v>O</v>
      </c>
      <c r="AV53" s="76" t="str">
        <f>IF(AO53="","",IF(AND(AO53="O",AP53="O",AR53="O",AT53="O",AU53="O"),"후보","X"))</f>
        <v/>
      </c>
    </row>
    <row r="54" spans="1:48" x14ac:dyDescent="0.3">
      <c r="A54" s="9" t="s">
        <v>1527</v>
      </c>
      <c r="B54" s="10" t="s">
        <v>1923</v>
      </c>
      <c r="C54" s="87">
        <v>720</v>
      </c>
      <c r="D54" s="85">
        <v>142.1</v>
      </c>
      <c r="E54" s="86">
        <v>43</v>
      </c>
      <c r="F54" s="85">
        <v>123</v>
      </c>
      <c r="G54" s="17">
        <v>37</v>
      </c>
      <c r="H54" s="87">
        <v>120</v>
      </c>
      <c r="I54" s="88">
        <v>24000</v>
      </c>
      <c r="J54" s="88" t="s">
        <v>83</v>
      </c>
      <c r="K54" s="88"/>
      <c r="L54" s="88"/>
      <c r="M54" s="89">
        <f>I54-K54</f>
        <v>24000</v>
      </c>
      <c r="N54" s="4">
        <f>IF(ISERROR(K54/I54),"",K54/I54)</f>
        <v>0</v>
      </c>
      <c r="O54" s="90">
        <f>I54/E54</f>
        <v>558.1395348837209</v>
      </c>
      <c r="P54" s="90">
        <f>K54/E54</f>
        <v>0</v>
      </c>
      <c r="Q54" s="76">
        <v>4</v>
      </c>
      <c r="R54" s="76">
        <v>2</v>
      </c>
      <c r="S54" s="76" t="s">
        <v>61</v>
      </c>
      <c r="T54" s="5">
        <v>142</v>
      </c>
      <c r="U54" s="9"/>
      <c r="W54" s="85">
        <f t="shared" si="47"/>
        <v>142.1</v>
      </c>
      <c r="X54" s="86">
        <f t="shared" si="47"/>
        <v>43</v>
      </c>
      <c r="Y54" s="91">
        <f t="shared" si="48"/>
        <v>120</v>
      </c>
      <c r="Z54" s="89">
        <f t="shared" si="48"/>
        <v>24000</v>
      </c>
      <c r="AA54" s="89">
        <f>K54</f>
        <v>0</v>
      </c>
      <c r="AB54" s="89">
        <f t="shared" si="49"/>
        <v>24000</v>
      </c>
      <c r="AC54" s="4">
        <f t="shared" si="49"/>
        <v>0</v>
      </c>
      <c r="AD54" s="90">
        <f t="shared" si="49"/>
        <v>558.1395348837209</v>
      </c>
      <c r="AE54" s="76" t="str">
        <f>S54</f>
        <v>계</v>
      </c>
      <c r="AF54" s="76" t="str">
        <f>Q54&amp;"/"&amp;R54</f>
        <v>4/2</v>
      </c>
      <c r="AH54" s="20" t="str">
        <f t="shared" si="39"/>
        <v>금호</v>
      </c>
      <c r="AI54" s="86">
        <f t="shared" si="37"/>
        <v>43</v>
      </c>
      <c r="AJ54" s="76" t="str">
        <f>IF(AI54="","",$AJ$2)</f>
        <v>A-</v>
      </c>
      <c r="AK54" s="76" t="s">
        <v>13</v>
      </c>
      <c r="AL54" s="76" t="s">
        <v>62</v>
      </c>
      <c r="AM54" s="76" t="s">
        <v>63</v>
      </c>
      <c r="AN54" s="76" t="str">
        <f>IF(AI54="","",$AN$2)</f>
        <v>C</v>
      </c>
      <c r="AO54" s="76" t="str">
        <f>IF(N54="","",IF(N54&gt;=$AO$1/100,"O","X"))</f>
        <v>X</v>
      </c>
      <c r="AP54" s="76" t="str">
        <f>IF(I54="","",IF(I54&lt;=$AP$1,"O","X"))</f>
        <v>O</v>
      </c>
      <c r="AQ54" s="76" t="str">
        <f>IF(O54="","",IF(O54&lt;=$AQ$1,"O","X"))</f>
        <v>O</v>
      </c>
      <c r="AR54" s="76" t="str">
        <f>IF(M54="","",IF(M54&lt;=$AR$1,"O","X"))</f>
        <v>X</v>
      </c>
      <c r="AS54" s="76" t="s">
        <v>2</v>
      </c>
      <c r="AT54" s="76" t="str">
        <f>IF(OR(F54="",AI54=""),"",IF(AND((F54&lt;=85),(AI54&gt;=15)),"O","X"))</f>
        <v>X</v>
      </c>
      <c r="AU54" s="76" t="str">
        <f>IF(C54="","",IF(C54&gt;=$AU$1,"O","X"))</f>
        <v>O</v>
      </c>
      <c r="AV54" s="76" t="str">
        <f>IF(AO54="","",IF(AND(AO54="O",AP54="O",AR54="O",AT54="O",AU54="O"),"후보","X"))</f>
        <v>X</v>
      </c>
    </row>
    <row r="55" spans="1:48" x14ac:dyDescent="0.3">
      <c r="A55" s="9"/>
      <c r="B55" s="76"/>
      <c r="C55" s="6"/>
      <c r="D55" s="9"/>
      <c r="E55" s="14"/>
      <c r="F55" s="85"/>
      <c r="G55" s="9"/>
      <c r="H55" s="9"/>
      <c r="I55" s="9"/>
      <c r="J55" s="9"/>
      <c r="K55" s="9"/>
      <c r="L55" s="9"/>
      <c r="M55" s="9"/>
      <c r="N55" s="9"/>
      <c r="O55" s="90"/>
      <c r="P55" s="90"/>
      <c r="Q55" s="86"/>
      <c r="R55" s="86"/>
      <c r="S55" s="9"/>
      <c r="T55" s="47"/>
      <c r="U55" s="9"/>
      <c r="W55" s="67" t="str">
        <f>$A$4&amp;" "&amp;A56&amp;"("&amp;B56&amp;","&amp;C56&amp;"^)"</f>
        <v>효자동1가 신일('90.12.,230^)</v>
      </c>
      <c r="X55" s="68"/>
      <c r="Y55" s="68"/>
      <c r="Z55" s="68"/>
      <c r="AA55" s="68"/>
      <c r="AB55" s="68"/>
      <c r="AC55" s="68"/>
      <c r="AD55" s="68"/>
      <c r="AE55" s="68"/>
      <c r="AF55" s="69"/>
      <c r="AH55" s="20" t="str">
        <f t="shared" si="39"/>
        <v/>
      </c>
      <c r="AI55" s="108" t="str">
        <f t="shared" si="37"/>
        <v/>
      </c>
      <c r="AJ55" s="76"/>
      <c r="AK55" s="76"/>
      <c r="AL55" s="76"/>
      <c r="AM55" s="76"/>
      <c r="AN55" s="76"/>
      <c r="AO55" s="76"/>
      <c r="AP55" s="76"/>
      <c r="AQ55" s="76"/>
      <c r="AR55" s="76"/>
      <c r="AS55" s="76"/>
      <c r="AT55" s="76"/>
      <c r="AU55" s="76"/>
      <c r="AV55" s="76"/>
    </row>
    <row r="56" spans="1:48" x14ac:dyDescent="0.3">
      <c r="A56" s="9" t="s">
        <v>590</v>
      </c>
      <c r="B56" s="10" t="s">
        <v>1924</v>
      </c>
      <c r="C56" s="87">
        <v>230</v>
      </c>
      <c r="D56" s="85">
        <v>71.3</v>
      </c>
      <c r="E56" s="86">
        <v>22</v>
      </c>
      <c r="F56" s="85">
        <v>59.9</v>
      </c>
      <c r="G56" s="17">
        <v>18</v>
      </c>
      <c r="H56" s="87">
        <v>230</v>
      </c>
      <c r="I56" s="88"/>
      <c r="J56" s="88"/>
      <c r="K56" s="88"/>
      <c r="L56" s="88"/>
      <c r="M56" s="89">
        <f>I56-K56</f>
        <v>0</v>
      </c>
      <c r="N56" s="4" t="str">
        <f>IF(ISERROR(K56/I56),"",K56/I56)</f>
        <v/>
      </c>
      <c r="O56" s="90">
        <f>I56/E56</f>
        <v>0</v>
      </c>
      <c r="P56" s="90">
        <f>K56/E56</f>
        <v>0</v>
      </c>
      <c r="Q56" s="76">
        <v>3</v>
      </c>
      <c r="R56" s="76">
        <v>1</v>
      </c>
      <c r="S56" s="76" t="s">
        <v>61</v>
      </c>
      <c r="T56" s="5">
        <v>71</v>
      </c>
      <c r="U56" s="9"/>
      <c r="W56" s="85">
        <f>D56</f>
        <v>71.3</v>
      </c>
      <c r="X56" s="86">
        <f>E56</f>
        <v>22</v>
      </c>
      <c r="Y56" s="91">
        <f>H56</f>
        <v>230</v>
      </c>
      <c r="Z56" s="89">
        <f>I56</f>
        <v>0</v>
      </c>
      <c r="AA56" s="89">
        <f>K56</f>
        <v>0</v>
      </c>
      <c r="AB56" s="89">
        <f>M56</f>
        <v>0</v>
      </c>
      <c r="AC56" s="4" t="str">
        <f>N56</f>
        <v/>
      </c>
      <c r="AD56" s="90">
        <f>O56</f>
        <v>0</v>
      </c>
      <c r="AE56" s="76" t="str">
        <f>S56</f>
        <v>계</v>
      </c>
      <c r="AF56" s="76" t="str">
        <f>Q56&amp;"/"&amp;R56</f>
        <v>3/1</v>
      </c>
      <c r="AH56" s="20" t="str">
        <f t="shared" si="39"/>
        <v>신일</v>
      </c>
      <c r="AI56" s="86">
        <f t="shared" si="37"/>
        <v>22</v>
      </c>
      <c r="AJ56" s="76" t="str">
        <f>IF(AI56="","",$AJ$2)</f>
        <v>A-</v>
      </c>
      <c r="AK56" s="76" t="s">
        <v>13</v>
      </c>
      <c r="AL56" s="76" t="s">
        <v>62</v>
      </c>
      <c r="AM56" s="76" t="s">
        <v>63</v>
      </c>
      <c r="AN56" s="76" t="str">
        <f>IF(AI56="","",$AN$2)</f>
        <v>C</v>
      </c>
      <c r="AO56" s="76" t="str">
        <f>IF(N56="","",IF(N56&gt;=$AO$1/100,"O","X"))</f>
        <v/>
      </c>
      <c r="AP56" s="76" t="str">
        <f>IF(I56="","",IF(I56&lt;=$AP$1,"O","X"))</f>
        <v/>
      </c>
      <c r="AQ56" s="76" t="str">
        <f>IF(O56="","",IF(O56&lt;=$AQ$1,"O","X"))</f>
        <v>O</v>
      </c>
      <c r="AR56" s="76" t="str">
        <f>IF(M56="","",IF(M56&lt;=$AR$1,"O","X"))</f>
        <v>O</v>
      </c>
      <c r="AS56" s="76" t="s">
        <v>2</v>
      </c>
      <c r="AT56" s="76" t="str">
        <f>IF(OR(F56="",AI56=""),"",IF(AND((F56&lt;=85),(AI56&gt;=15)),"O","X"))</f>
        <v>O</v>
      </c>
      <c r="AU56" s="76" t="str">
        <f>IF(C56="","",IF(C56&gt;=$AU$1,"O","X"))</f>
        <v>X</v>
      </c>
      <c r="AV56" s="76" t="str">
        <f>IF(AO56="","",IF(AND(AO56="O",AP56="O",AR56="O",AT56="O",AU56="O"),"후보","X"))</f>
        <v/>
      </c>
    </row>
    <row r="57" spans="1:48" x14ac:dyDescent="0.3">
      <c r="A57" s="9"/>
      <c r="B57" s="76"/>
      <c r="C57" s="6"/>
      <c r="D57" s="9"/>
      <c r="E57" s="14"/>
      <c r="F57" s="85"/>
      <c r="G57" s="9"/>
      <c r="H57" s="9"/>
      <c r="I57" s="9"/>
      <c r="J57" s="9"/>
      <c r="K57" s="9"/>
      <c r="L57" s="9"/>
      <c r="M57" s="9"/>
      <c r="N57" s="9"/>
      <c r="O57" s="90"/>
      <c r="P57" s="90"/>
      <c r="Q57" s="86"/>
      <c r="R57" s="86"/>
      <c r="S57" s="9"/>
      <c r="T57" s="47"/>
      <c r="U57" s="9"/>
      <c r="W57" s="67" t="str">
        <f>$A$4&amp;" "&amp;A58&amp;"("&amp;B58&amp;","&amp;C58&amp;"^)"</f>
        <v>효자동1가 제일효자타운('93.09.,360^)</v>
      </c>
      <c r="X57" s="68"/>
      <c r="Y57" s="68"/>
      <c r="Z57" s="68"/>
      <c r="AA57" s="68"/>
      <c r="AB57" s="68"/>
      <c r="AC57" s="68"/>
      <c r="AD57" s="68"/>
      <c r="AE57" s="68"/>
      <c r="AF57" s="69"/>
      <c r="AH57" s="20" t="str">
        <f t="shared" si="39"/>
        <v/>
      </c>
      <c r="AI57" s="108" t="str">
        <f t="shared" si="37"/>
        <v/>
      </c>
      <c r="AJ57" s="76"/>
      <c r="AK57" s="76"/>
      <c r="AL57" s="76"/>
      <c r="AM57" s="76"/>
      <c r="AN57" s="76"/>
      <c r="AO57" s="76"/>
      <c r="AP57" s="76"/>
      <c r="AQ57" s="76"/>
      <c r="AR57" s="76"/>
      <c r="AS57" s="76"/>
      <c r="AT57" s="76"/>
      <c r="AU57" s="76"/>
      <c r="AV57" s="76"/>
    </row>
    <row r="58" spans="1:48" x14ac:dyDescent="0.3">
      <c r="A58" s="9" t="s">
        <v>1535</v>
      </c>
      <c r="B58" s="10" t="s">
        <v>1878</v>
      </c>
      <c r="C58" s="87">
        <v>360</v>
      </c>
      <c r="D58" s="85">
        <v>76</v>
      </c>
      <c r="E58" s="86">
        <v>23</v>
      </c>
      <c r="F58" s="85">
        <v>60</v>
      </c>
      <c r="G58" s="17">
        <v>18</v>
      </c>
      <c r="H58" s="87">
        <v>180</v>
      </c>
      <c r="I58" s="88">
        <v>14300</v>
      </c>
      <c r="J58" s="88" t="s">
        <v>71</v>
      </c>
      <c r="K58" s="88">
        <v>15000</v>
      </c>
      <c r="L58" s="88" t="s">
        <v>83</v>
      </c>
      <c r="M58" s="89">
        <f>I58-K58</f>
        <v>-700</v>
      </c>
      <c r="N58" s="4">
        <f>IF(ISERROR(K58/I58),"",K58/I58)</f>
        <v>1.048951048951049</v>
      </c>
      <c r="O58" s="90">
        <f>I58/E58</f>
        <v>621.73913043478262</v>
      </c>
      <c r="P58" s="90">
        <f>K58/E58</f>
        <v>652.17391304347825</v>
      </c>
      <c r="Q58" s="76">
        <v>3</v>
      </c>
      <c r="R58" s="76">
        <v>1</v>
      </c>
      <c r="S58" s="76" t="s">
        <v>61</v>
      </c>
      <c r="T58" s="5">
        <v>75</v>
      </c>
      <c r="U58" s="9"/>
      <c r="W58" s="85">
        <f>D58</f>
        <v>76</v>
      </c>
      <c r="X58" s="86">
        <f>E58</f>
        <v>23</v>
      </c>
      <c r="Y58" s="91">
        <f>H58</f>
        <v>180</v>
      </c>
      <c r="Z58" s="89">
        <f>I58</f>
        <v>14300</v>
      </c>
      <c r="AA58" s="89">
        <f>K58</f>
        <v>15000</v>
      </c>
      <c r="AB58" s="89">
        <f t="shared" ref="AB58:AD59" si="50">M58</f>
        <v>-700</v>
      </c>
      <c r="AC58" s="4">
        <f t="shared" si="50"/>
        <v>1.048951048951049</v>
      </c>
      <c r="AD58" s="90">
        <f t="shared" si="50"/>
        <v>621.73913043478262</v>
      </c>
      <c r="AE58" s="76" t="str">
        <f>S58</f>
        <v>계</v>
      </c>
      <c r="AF58" s="76" t="str">
        <f>Q58&amp;"/"&amp;R58</f>
        <v>3/1</v>
      </c>
      <c r="AH58" s="20" t="str">
        <f t="shared" si="39"/>
        <v>제일효자타운</v>
      </c>
      <c r="AI58" s="86">
        <f t="shared" si="37"/>
        <v>23</v>
      </c>
      <c r="AJ58" s="76" t="str">
        <f>IF(AI58="","",$AJ$2)</f>
        <v>A-</v>
      </c>
      <c r="AK58" s="76" t="s">
        <v>13</v>
      </c>
      <c r="AL58" s="76" t="s">
        <v>62</v>
      </c>
      <c r="AM58" s="76" t="s">
        <v>63</v>
      </c>
      <c r="AN58" s="76" t="str">
        <f>IF(AI58="","",$AN$2)</f>
        <v>C</v>
      </c>
      <c r="AO58" s="76" t="str">
        <f>IF(N58="","",IF(N58&gt;=$AO$1/100,"O","X"))</f>
        <v>O</v>
      </c>
      <c r="AP58" s="76" t="str">
        <f>IF(I58="","",IF(I58&lt;=$AP$1,"O","X"))</f>
        <v>O</v>
      </c>
      <c r="AQ58" s="76" t="str">
        <f>IF(O58="","",IF(O58&lt;=$AQ$1,"O","X"))</f>
        <v>O</v>
      </c>
      <c r="AR58" s="76" t="str">
        <f>IF(M58="","",IF(M58&lt;=$AR$1,"O","X"))</f>
        <v>O</v>
      </c>
      <c r="AS58" s="76" t="s">
        <v>2</v>
      </c>
      <c r="AT58" s="76" t="str">
        <f>IF(OR(F58="",AI58=""),"",IF(AND((F58&lt;=85),(AI58&gt;=15)),"O","X"))</f>
        <v>O</v>
      </c>
      <c r="AU58" s="76" t="str">
        <f>IF(C58="","",IF(C58&gt;=$AU$1,"O","X"))</f>
        <v>O</v>
      </c>
      <c r="AV58" s="76" t="str">
        <f>IF(AO58="","",IF(AND(AO58="O",AP58="O",AR58="O",AT58="O",AU58="O"),"후보","X"))</f>
        <v>후보</v>
      </c>
    </row>
    <row r="59" spans="1:48" x14ac:dyDescent="0.3">
      <c r="A59" s="9" t="s">
        <v>1535</v>
      </c>
      <c r="B59" s="10" t="s">
        <v>1878</v>
      </c>
      <c r="C59" s="87">
        <v>360</v>
      </c>
      <c r="D59" s="85">
        <v>104.9</v>
      </c>
      <c r="E59" s="86">
        <v>32</v>
      </c>
      <c r="F59" s="85">
        <v>84.9</v>
      </c>
      <c r="G59" s="17">
        <v>26</v>
      </c>
      <c r="H59" s="87">
        <v>180</v>
      </c>
      <c r="I59" s="88">
        <v>23500</v>
      </c>
      <c r="J59" s="88" t="s">
        <v>89</v>
      </c>
      <c r="K59" s="88"/>
      <c r="L59" s="88"/>
      <c r="M59" s="89">
        <f>I59-K59</f>
        <v>23500</v>
      </c>
      <c r="N59" s="4">
        <f>IF(ISERROR(K59/I59),"",K59/I59)</f>
        <v>0</v>
      </c>
      <c r="O59" s="90">
        <f>I59/E59</f>
        <v>734.375</v>
      </c>
      <c r="P59" s="90">
        <f>K59/E59</f>
        <v>0</v>
      </c>
      <c r="Q59" s="76">
        <v>3</v>
      </c>
      <c r="R59" s="76">
        <v>2</v>
      </c>
      <c r="S59" s="76" t="s">
        <v>61</v>
      </c>
      <c r="T59" s="5">
        <v>104</v>
      </c>
      <c r="U59" s="9"/>
      <c r="W59" s="85">
        <f>D59</f>
        <v>104.9</v>
      </c>
      <c r="X59" s="86">
        <f>E59</f>
        <v>32</v>
      </c>
      <c r="Y59" s="91">
        <f>H59</f>
        <v>180</v>
      </c>
      <c r="Z59" s="89">
        <f>I59</f>
        <v>23500</v>
      </c>
      <c r="AA59" s="89">
        <f>K59</f>
        <v>0</v>
      </c>
      <c r="AB59" s="89">
        <f t="shared" si="50"/>
        <v>23500</v>
      </c>
      <c r="AC59" s="4">
        <f t="shared" si="50"/>
        <v>0</v>
      </c>
      <c r="AD59" s="90">
        <f t="shared" si="50"/>
        <v>734.375</v>
      </c>
      <c r="AE59" s="76" t="str">
        <f>S59</f>
        <v>계</v>
      </c>
      <c r="AF59" s="76" t="str">
        <f>Q59&amp;"/"&amp;R59</f>
        <v>3/2</v>
      </c>
      <c r="AH59" s="20" t="str">
        <f t="shared" si="39"/>
        <v>제일효자타운</v>
      </c>
      <c r="AI59" s="86">
        <f t="shared" si="37"/>
        <v>32</v>
      </c>
      <c r="AJ59" s="76" t="str">
        <f>IF(AI59="","",$AJ$2)</f>
        <v>A-</v>
      </c>
      <c r="AK59" s="76" t="s">
        <v>13</v>
      </c>
      <c r="AL59" s="76" t="s">
        <v>62</v>
      </c>
      <c r="AM59" s="76" t="s">
        <v>63</v>
      </c>
      <c r="AN59" s="76" t="str">
        <f>IF(AI59="","",$AN$2)</f>
        <v>C</v>
      </c>
      <c r="AO59" s="76" t="str">
        <f>IF(N59="","",IF(N59&gt;=$AO$1/100,"O","X"))</f>
        <v>X</v>
      </c>
      <c r="AP59" s="76" t="str">
        <f>IF(I59="","",IF(I59&lt;=$AP$1,"O","X"))</f>
        <v>O</v>
      </c>
      <c r="AQ59" s="76" t="str">
        <f>IF(O59="","",IF(O59&lt;=$AQ$1,"O","X"))</f>
        <v>O</v>
      </c>
      <c r="AR59" s="76" t="str">
        <f>IF(M59="","",IF(M59&lt;=$AR$1,"O","X"))</f>
        <v>X</v>
      </c>
      <c r="AS59" s="76" t="s">
        <v>2</v>
      </c>
      <c r="AT59" s="76" t="str">
        <f>IF(OR(F59="",AI59=""),"",IF(AND((F59&lt;=85),(AI59&gt;=15)),"O","X"))</f>
        <v>O</v>
      </c>
      <c r="AU59" s="76" t="str">
        <f>IF(C59="","",IF(C59&gt;=$AU$1,"O","X"))</f>
        <v>O</v>
      </c>
      <c r="AV59" s="76" t="str">
        <f>IF(AO59="","",IF(AND(AO59="O",AP59="O",AR59="O",AT59="O",AU59="O"),"후보","X"))</f>
        <v>X</v>
      </c>
    </row>
    <row r="60" spans="1:48" x14ac:dyDescent="0.3">
      <c r="A60" s="9"/>
      <c r="B60" s="76"/>
      <c r="C60" s="6"/>
      <c r="D60" s="9"/>
      <c r="E60" s="14"/>
      <c r="F60" s="85"/>
      <c r="G60" s="9"/>
      <c r="H60" s="9"/>
      <c r="I60" s="9"/>
      <c r="J60" s="9"/>
      <c r="K60" s="9"/>
      <c r="L60" s="9"/>
      <c r="M60" s="9"/>
      <c r="N60" s="9"/>
      <c r="O60" s="90"/>
      <c r="P60" s="90"/>
      <c r="Q60" s="86"/>
      <c r="R60" s="86"/>
      <c r="S60" s="9"/>
      <c r="T60" s="47"/>
      <c r="U60" s="9"/>
      <c r="W60" s="67" t="str">
        <f>$A$4&amp;" "&amp;A61&amp;"("&amp;B61&amp;","&amp;C61&amp;"^)"</f>
        <v>효자동1가 남양황실('92.06.,200^)</v>
      </c>
      <c r="X60" s="68"/>
      <c r="Y60" s="68"/>
      <c r="Z60" s="68"/>
      <c r="AA60" s="68"/>
      <c r="AB60" s="68"/>
      <c r="AC60" s="68"/>
      <c r="AD60" s="68"/>
      <c r="AE60" s="68"/>
      <c r="AF60" s="69"/>
      <c r="AH60" s="20" t="str">
        <f t="shared" si="39"/>
        <v/>
      </c>
      <c r="AI60" s="108" t="str">
        <f t="shared" si="37"/>
        <v/>
      </c>
      <c r="AJ60" s="76"/>
      <c r="AK60" s="76"/>
      <c r="AL60" s="76"/>
      <c r="AM60" s="76"/>
      <c r="AN60" s="76"/>
      <c r="AO60" s="76"/>
      <c r="AP60" s="76"/>
      <c r="AQ60" s="76"/>
      <c r="AR60" s="76"/>
      <c r="AS60" s="76"/>
      <c r="AT60" s="76"/>
      <c r="AU60" s="76"/>
      <c r="AV60" s="76"/>
    </row>
    <row r="61" spans="1:48" x14ac:dyDescent="0.3">
      <c r="A61" s="9" t="s">
        <v>1549</v>
      </c>
      <c r="B61" s="10" t="s">
        <v>1886</v>
      </c>
      <c r="C61" s="87">
        <v>200</v>
      </c>
      <c r="D61" s="85">
        <v>165.3</v>
      </c>
      <c r="E61" s="86">
        <v>50</v>
      </c>
      <c r="F61" s="85">
        <v>131.9</v>
      </c>
      <c r="G61" s="17">
        <v>40</v>
      </c>
      <c r="H61" s="87">
        <v>160</v>
      </c>
      <c r="I61" s="88"/>
      <c r="J61" s="88"/>
      <c r="K61" s="88"/>
      <c r="L61" s="88"/>
      <c r="M61" s="89">
        <f>I61-K61</f>
        <v>0</v>
      </c>
      <c r="N61" s="4" t="str">
        <f>IF(ISERROR(K61/I61),"",K61/I61)</f>
        <v/>
      </c>
      <c r="O61" s="90">
        <f>I61/E61</f>
        <v>0</v>
      </c>
      <c r="P61" s="90">
        <f>K61/E61</f>
        <v>0</v>
      </c>
      <c r="Q61" s="76">
        <v>4</v>
      </c>
      <c r="R61" s="76">
        <v>2</v>
      </c>
      <c r="S61" s="76" t="s">
        <v>61</v>
      </c>
      <c r="T61" s="5">
        <v>165</v>
      </c>
      <c r="U61" s="9"/>
      <c r="W61" s="85">
        <f>D61</f>
        <v>165.3</v>
      </c>
      <c r="X61" s="86">
        <f>E61</f>
        <v>50</v>
      </c>
      <c r="Y61" s="91">
        <f>H61</f>
        <v>160</v>
      </c>
      <c r="Z61" s="89">
        <f>I61</f>
        <v>0</v>
      </c>
      <c r="AA61" s="89">
        <f>K61</f>
        <v>0</v>
      </c>
      <c r="AB61" s="89">
        <f t="shared" ref="AB61:AD62" si="51">M61</f>
        <v>0</v>
      </c>
      <c r="AC61" s="4" t="str">
        <f t="shared" si="51"/>
        <v/>
      </c>
      <c r="AD61" s="90">
        <f t="shared" si="51"/>
        <v>0</v>
      </c>
      <c r="AE61" s="76" t="str">
        <f>S61</f>
        <v>계</v>
      </c>
      <c r="AF61" s="76" t="str">
        <f>Q61&amp;"/"&amp;R61</f>
        <v>4/2</v>
      </c>
      <c r="AH61" s="20" t="str">
        <f t="shared" si="39"/>
        <v>남양황실</v>
      </c>
      <c r="AI61" s="86">
        <f t="shared" si="37"/>
        <v>50</v>
      </c>
      <c r="AJ61" s="76" t="str">
        <f>IF(AI61="","",$AJ$2)</f>
        <v>A-</v>
      </c>
      <c r="AK61" s="76" t="s">
        <v>13</v>
      </c>
      <c r="AL61" s="76" t="s">
        <v>62</v>
      </c>
      <c r="AM61" s="76" t="s">
        <v>63</v>
      </c>
      <c r="AN61" s="76" t="str">
        <f>IF(AI61="","",$AN$2)</f>
        <v>C</v>
      </c>
      <c r="AO61" s="76" t="str">
        <f>IF(N61="","",IF(N61&gt;=$AO$1/100,"O","X"))</f>
        <v/>
      </c>
      <c r="AP61" s="76" t="str">
        <f>IF(I61="","",IF(I61&lt;=$AP$1,"O","X"))</f>
        <v/>
      </c>
      <c r="AQ61" s="76" t="str">
        <f>IF(O61="","",IF(O61&lt;=$AQ$1,"O","X"))</f>
        <v>O</v>
      </c>
      <c r="AR61" s="76" t="str">
        <f>IF(M61="","",IF(M61&lt;=$AR$1,"O","X"))</f>
        <v>O</v>
      </c>
      <c r="AS61" s="76" t="s">
        <v>2</v>
      </c>
      <c r="AT61" s="76" t="str">
        <f>IF(OR(F61="",AI61=""),"",IF(AND((F61&lt;=85),(AI61&gt;=15)),"O","X"))</f>
        <v>X</v>
      </c>
      <c r="AU61" s="76" t="str">
        <f>IF(C61="","",IF(C61&gt;=$AU$1,"O","X"))</f>
        <v>X</v>
      </c>
      <c r="AV61" s="76" t="str">
        <f>IF(AO61="","",IF(AND(AO61="O",AP61="O",AR61="O",AT61="O",AU61="O"),"후보","X"))</f>
        <v/>
      </c>
    </row>
    <row r="62" spans="1:48" x14ac:dyDescent="0.3">
      <c r="A62" s="9" t="s">
        <v>1549</v>
      </c>
      <c r="B62" s="10" t="s">
        <v>1886</v>
      </c>
      <c r="C62" s="87">
        <v>200</v>
      </c>
      <c r="D62" s="85">
        <v>192.6</v>
      </c>
      <c r="E62" s="86">
        <v>58</v>
      </c>
      <c r="F62" s="85">
        <v>154.5</v>
      </c>
      <c r="G62" s="17">
        <v>47</v>
      </c>
      <c r="H62" s="87">
        <v>40</v>
      </c>
      <c r="I62" s="88"/>
      <c r="J62" s="88"/>
      <c r="K62" s="88"/>
      <c r="L62" s="88"/>
      <c r="M62" s="89">
        <f>I62-K62</f>
        <v>0</v>
      </c>
      <c r="N62" s="4" t="str">
        <f>IF(ISERROR(K62/I62),"",K62/I62)</f>
        <v/>
      </c>
      <c r="O62" s="90">
        <f>I62/E62</f>
        <v>0</v>
      </c>
      <c r="P62" s="90">
        <f>K62/E62</f>
        <v>0</v>
      </c>
      <c r="Q62" s="76">
        <v>4</v>
      </c>
      <c r="R62" s="76">
        <v>2</v>
      </c>
      <c r="S62" s="76" t="s">
        <v>61</v>
      </c>
      <c r="T62" s="5">
        <v>192</v>
      </c>
      <c r="U62" s="9"/>
      <c r="W62" s="85">
        <f>D62</f>
        <v>192.6</v>
      </c>
      <c r="X62" s="86">
        <f>E62</f>
        <v>58</v>
      </c>
      <c r="Y62" s="91">
        <f>H62</f>
        <v>40</v>
      </c>
      <c r="Z62" s="89">
        <f>I62</f>
        <v>0</v>
      </c>
      <c r="AA62" s="89">
        <f>K62</f>
        <v>0</v>
      </c>
      <c r="AB62" s="89">
        <f t="shared" si="51"/>
        <v>0</v>
      </c>
      <c r="AC62" s="4" t="str">
        <f t="shared" si="51"/>
        <v/>
      </c>
      <c r="AD62" s="90">
        <f t="shared" si="51"/>
        <v>0</v>
      </c>
      <c r="AE62" s="76" t="str">
        <f>S62</f>
        <v>계</v>
      </c>
      <c r="AF62" s="76" t="str">
        <f>Q62&amp;"/"&amp;R62</f>
        <v>4/2</v>
      </c>
      <c r="AH62" s="20" t="str">
        <f t="shared" si="39"/>
        <v>남양황실</v>
      </c>
      <c r="AI62" s="86">
        <f t="shared" si="37"/>
        <v>58</v>
      </c>
      <c r="AJ62" s="76" t="str">
        <f>IF(AI62="","",$AJ$2)</f>
        <v>A-</v>
      </c>
      <c r="AK62" s="76" t="s">
        <v>13</v>
      </c>
      <c r="AL62" s="76" t="s">
        <v>62</v>
      </c>
      <c r="AM62" s="76" t="s">
        <v>63</v>
      </c>
      <c r="AN62" s="76" t="str">
        <f>IF(AI62="","",$AN$2)</f>
        <v>C</v>
      </c>
      <c r="AO62" s="76" t="str">
        <f>IF(N62="","",IF(N62&gt;=$AO$1/100,"O","X"))</f>
        <v/>
      </c>
      <c r="AP62" s="76" t="str">
        <f>IF(I62="","",IF(I62&lt;=$AP$1,"O","X"))</f>
        <v/>
      </c>
      <c r="AQ62" s="76" t="str">
        <f>IF(O62="","",IF(O62&lt;=$AQ$1,"O","X"))</f>
        <v>O</v>
      </c>
      <c r="AR62" s="76" t="str">
        <f>IF(M62="","",IF(M62&lt;=$AR$1,"O","X"))</f>
        <v>O</v>
      </c>
      <c r="AS62" s="76" t="s">
        <v>2</v>
      </c>
      <c r="AT62" s="76" t="str">
        <f>IF(OR(F62="",AI62=""),"",IF(AND((F62&lt;=85),(AI62&gt;=15)),"O","X"))</f>
        <v>X</v>
      </c>
      <c r="AU62" s="76" t="str">
        <f>IF(C62="","",IF(C62&gt;=$AU$1,"O","X"))</f>
        <v>X</v>
      </c>
      <c r="AV62" s="76" t="str">
        <f>IF(AO62="","",IF(AND(AO62="O",AP62="O",AR62="O",AT62="O",AU62="O"),"후보","X"))</f>
        <v/>
      </c>
    </row>
    <row r="63" spans="1:48" x14ac:dyDescent="0.3">
      <c r="A63" s="9"/>
      <c r="B63" s="76"/>
      <c r="C63" s="6"/>
      <c r="D63" s="9"/>
      <c r="E63" s="14"/>
      <c r="F63" s="85"/>
      <c r="G63" s="9"/>
      <c r="H63" s="9"/>
      <c r="I63" s="9"/>
      <c r="J63" s="9"/>
      <c r="K63" s="9"/>
      <c r="L63" s="9"/>
      <c r="M63" s="9"/>
      <c r="N63" s="9"/>
      <c r="O63" s="90"/>
      <c r="P63" s="90"/>
      <c r="Q63" s="86"/>
      <c r="R63" s="86"/>
      <c r="S63" s="9"/>
      <c r="T63" s="47"/>
      <c r="U63" s="9"/>
      <c r="W63" s="67" t="str">
        <f>$A$4&amp;" "&amp;A64&amp;"("&amp;B64&amp;","&amp;C64&amp;"^)"</f>
        <v>효자동1가 제일('90.12.,240^)</v>
      </c>
      <c r="X63" s="68"/>
      <c r="Y63" s="68"/>
      <c r="Z63" s="68"/>
      <c r="AA63" s="68"/>
      <c r="AB63" s="68"/>
      <c r="AC63" s="68"/>
      <c r="AD63" s="68"/>
      <c r="AE63" s="68"/>
      <c r="AF63" s="69"/>
      <c r="AH63" s="20" t="str">
        <f t="shared" si="39"/>
        <v/>
      </c>
      <c r="AI63" s="108" t="str">
        <f t="shared" si="37"/>
        <v/>
      </c>
      <c r="AJ63" s="76"/>
      <c r="AK63" s="76"/>
      <c r="AL63" s="76"/>
      <c r="AM63" s="76"/>
      <c r="AN63" s="76"/>
      <c r="AO63" s="76"/>
      <c r="AP63" s="76"/>
      <c r="AQ63" s="76"/>
      <c r="AR63" s="76"/>
      <c r="AS63" s="76"/>
      <c r="AT63" s="76"/>
      <c r="AU63" s="76"/>
      <c r="AV63" s="76"/>
    </row>
    <row r="64" spans="1:48" x14ac:dyDescent="0.3">
      <c r="A64" s="9" t="s">
        <v>1566</v>
      </c>
      <c r="B64" s="10" t="s">
        <v>1924</v>
      </c>
      <c r="C64" s="87">
        <v>240</v>
      </c>
      <c r="D64" s="85">
        <v>102.6</v>
      </c>
      <c r="E64" s="86">
        <v>31</v>
      </c>
      <c r="F64" s="85">
        <v>85</v>
      </c>
      <c r="G64" s="17">
        <v>26</v>
      </c>
      <c r="H64" s="87">
        <v>240</v>
      </c>
      <c r="I64" s="88"/>
      <c r="J64" s="88"/>
      <c r="K64" s="88"/>
      <c r="L64" s="88"/>
      <c r="M64" s="89">
        <f>I64-K64</f>
        <v>0</v>
      </c>
      <c r="N64" s="4" t="str">
        <f>IF(ISERROR(K64/I64),"",K64/I64)</f>
        <v/>
      </c>
      <c r="O64" s="90">
        <f>I64/E64</f>
        <v>0</v>
      </c>
      <c r="P64" s="90">
        <f>K64/E64</f>
        <v>0</v>
      </c>
      <c r="Q64" s="76">
        <v>3</v>
      </c>
      <c r="R64" s="76">
        <v>2</v>
      </c>
      <c r="S64" s="76" t="s">
        <v>61</v>
      </c>
      <c r="T64" s="5">
        <v>102</v>
      </c>
      <c r="U64" s="9"/>
      <c r="W64" s="85">
        <f>D64</f>
        <v>102.6</v>
      </c>
      <c r="X64" s="86">
        <f>E64</f>
        <v>31</v>
      </c>
      <c r="Y64" s="91">
        <f>H64</f>
        <v>240</v>
      </c>
      <c r="Z64" s="89">
        <f>I64</f>
        <v>0</v>
      </c>
      <c r="AA64" s="89">
        <f>K64</f>
        <v>0</v>
      </c>
      <c r="AB64" s="89">
        <f>M64</f>
        <v>0</v>
      </c>
      <c r="AC64" s="4" t="str">
        <f>N64</f>
        <v/>
      </c>
      <c r="AD64" s="90">
        <f>O64</f>
        <v>0</v>
      </c>
      <c r="AE64" s="76" t="str">
        <f>S64</f>
        <v>계</v>
      </c>
      <c r="AF64" s="76" t="str">
        <f>Q64&amp;"/"&amp;R64</f>
        <v>3/2</v>
      </c>
      <c r="AH64" s="20" t="str">
        <f t="shared" si="39"/>
        <v>제일</v>
      </c>
      <c r="AI64" s="86">
        <f t="shared" si="37"/>
        <v>31</v>
      </c>
      <c r="AJ64" s="76" t="str">
        <f>IF(AI64="","",$AJ$2)</f>
        <v>A-</v>
      </c>
      <c r="AK64" s="76" t="s">
        <v>13</v>
      </c>
      <c r="AL64" s="76" t="s">
        <v>62</v>
      </c>
      <c r="AM64" s="76" t="s">
        <v>63</v>
      </c>
      <c r="AN64" s="76" t="str">
        <f>IF(AI64="","",$AN$2)</f>
        <v>C</v>
      </c>
      <c r="AO64" s="76" t="str">
        <f>IF(N64="","",IF(N64&gt;=$AO$1/100,"O","X"))</f>
        <v/>
      </c>
      <c r="AP64" s="76" t="str">
        <f>IF(I64="","",IF(I64&lt;=$AP$1,"O","X"))</f>
        <v/>
      </c>
      <c r="AQ64" s="76" t="str">
        <f>IF(O64="","",IF(O64&lt;=$AQ$1,"O","X"))</f>
        <v>O</v>
      </c>
      <c r="AR64" s="76" t="str">
        <f>IF(M64="","",IF(M64&lt;=$AR$1,"O","X"))</f>
        <v>O</v>
      </c>
      <c r="AS64" s="76" t="s">
        <v>2</v>
      </c>
      <c r="AT64" s="76" t="str">
        <f>IF(OR(F64="",AI64=""),"",IF(AND((F64&lt;=85),(AI64&gt;=15)),"O","X"))</f>
        <v>O</v>
      </c>
      <c r="AU64" s="76" t="str">
        <f>IF(C64="","",IF(C64&gt;=$AU$1,"O","X"))</f>
        <v>X</v>
      </c>
      <c r="AV64" s="76" t="str">
        <f>IF(AO64="","",IF(AND(AO64="O",AP64="O",AR64="O",AT64="O",AU64="O"),"후보","X"))</f>
        <v/>
      </c>
    </row>
    <row r="65" spans="1:48" x14ac:dyDescent="0.3">
      <c r="A65" s="9"/>
      <c r="B65" s="76"/>
      <c r="C65" s="6"/>
      <c r="D65" s="9"/>
      <c r="E65" s="14"/>
      <c r="F65" s="85"/>
      <c r="G65" s="9"/>
      <c r="H65" s="9"/>
      <c r="I65" s="9"/>
      <c r="J65" s="9"/>
      <c r="K65" s="9"/>
      <c r="L65" s="9"/>
      <c r="M65" s="9"/>
      <c r="N65" s="9"/>
      <c r="O65" s="90"/>
      <c r="P65" s="90"/>
      <c r="Q65" s="86"/>
      <c r="R65" s="86"/>
      <c r="S65" s="9"/>
      <c r="T65" s="47"/>
      <c r="U65" s="9"/>
      <c r="W65" s="67" t="str">
        <f>$A$4&amp;" "&amp;A66&amp;"("&amp;B66&amp;","&amp;C66&amp;"^)"</f>
        <v>효자동1가 쌍용모악파크('94.03.,345^)</v>
      </c>
      <c r="X65" s="68"/>
      <c r="Y65" s="68"/>
      <c r="Z65" s="68"/>
      <c r="AA65" s="68"/>
      <c r="AB65" s="68"/>
      <c r="AC65" s="68"/>
      <c r="AD65" s="68"/>
      <c r="AE65" s="68"/>
      <c r="AF65" s="69"/>
      <c r="AH65" s="20" t="str">
        <f t="shared" si="39"/>
        <v/>
      </c>
      <c r="AI65" s="108" t="str">
        <f t="shared" si="37"/>
        <v/>
      </c>
      <c r="AJ65" s="76"/>
      <c r="AK65" s="76"/>
      <c r="AL65" s="76"/>
      <c r="AM65" s="76"/>
      <c r="AN65" s="76"/>
      <c r="AO65" s="76"/>
      <c r="AP65" s="76"/>
      <c r="AQ65" s="76"/>
      <c r="AR65" s="76"/>
      <c r="AS65" s="76"/>
      <c r="AT65" s="76"/>
      <c r="AU65" s="76"/>
      <c r="AV65" s="76"/>
    </row>
    <row r="66" spans="1:48" x14ac:dyDescent="0.3">
      <c r="A66" s="9" t="s">
        <v>1575</v>
      </c>
      <c r="B66" s="10" t="s">
        <v>1925</v>
      </c>
      <c r="C66" s="87">
        <v>345</v>
      </c>
      <c r="D66" s="85">
        <v>74.3</v>
      </c>
      <c r="E66" s="86">
        <v>22</v>
      </c>
      <c r="F66" s="85">
        <v>59.8</v>
      </c>
      <c r="G66" s="17">
        <v>18</v>
      </c>
      <c r="H66" s="87">
        <v>180</v>
      </c>
      <c r="I66" s="88">
        <v>14000</v>
      </c>
      <c r="J66" s="88" t="s">
        <v>71</v>
      </c>
      <c r="K66" s="88"/>
      <c r="L66" s="88"/>
      <c r="M66" s="89">
        <f>I66-K66</f>
        <v>14000</v>
      </c>
      <c r="N66" s="4">
        <f>IF(ISERROR(K66/I66),"",K66/I66)</f>
        <v>0</v>
      </c>
      <c r="O66" s="90">
        <f>I66/E66</f>
        <v>636.36363636363637</v>
      </c>
      <c r="P66" s="90">
        <f>K66/E66</f>
        <v>0</v>
      </c>
      <c r="Q66" s="76">
        <v>3</v>
      </c>
      <c r="R66" s="76">
        <v>1</v>
      </c>
      <c r="S66" s="76" t="s">
        <v>61</v>
      </c>
      <c r="T66" s="5">
        <v>74</v>
      </c>
      <c r="U66" s="9"/>
      <c r="W66" s="85">
        <f>D66</f>
        <v>74.3</v>
      </c>
      <c r="X66" s="86">
        <f>E66</f>
        <v>22</v>
      </c>
      <c r="Y66" s="91">
        <f>H66</f>
        <v>180</v>
      </c>
      <c r="Z66" s="89">
        <f>I66</f>
        <v>14000</v>
      </c>
      <c r="AA66" s="89">
        <f>K66</f>
        <v>0</v>
      </c>
      <c r="AB66" s="89">
        <f t="shared" ref="AB66:AD67" si="52">M66</f>
        <v>14000</v>
      </c>
      <c r="AC66" s="4">
        <f t="shared" si="52"/>
        <v>0</v>
      </c>
      <c r="AD66" s="90">
        <f t="shared" si="52"/>
        <v>636.36363636363637</v>
      </c>
      <c r="AE66" s="76" t="str">
        <f>S66</f>
        <v>계</v>
      </c>
      <c r="AF66" s="76" t="str">
        <f>Q66&amp;"/"&amp;R66</f>
        <v>3/1</v>
      </c>
      <c r="AH66" s="20" t="str">
        <f t="shared" si="39"/>
        <v>쌍용모악파크</v>
      </c>
      <c r="AI66" s="86">
        <f t="shared" si="37"/>
        <v>22</v>
      </c>
      <c r="AJ66" s="76" t="str">
        <f>IF(AI66="","",$AJ$2)</f>
        <v>A-</v>
      </c>
      <c r="AK66" s="76" t="s">
        <v>13</v>
      </c>
      <c r="AL66" s="76" t="s">
        <v>62</v>
      </c>
      <c r="AM66" s="76" t="s">
        <v>63</v>
      </c>
      <c r="AN66" s="76" t="str">
        <f>IF(AI66="","",$AN$2)</f>
        <v>C</v>
      </c>
      <c r="AO66" s="76" t="str">
        <f>IF(N66="","",IF(N66&gt;=$AO$1/100,"O","X"))</f>
        <v>X</v>
      </c>
      <c r="AP66" s="76" t="str">
        <f>IF(I66="","",IF(I66&lt;=$AP$1,"O","X"))</f>
        <v>O</v>
      </c>
      <c r="AQ66" s="76" t="str">
        <f>IF(O66="","",IF(O66&lt;=$AQ$1,"O","X"))</f>
        <v>O</v>
      </c>
      <c r="AR66" s="76" t="str">
        <f>IF(M66="","",IF(M66&lt;=$AR$1,"O","X"))</f>
        <v>X</v>
      </c>
      <c r="AS66" s="76" t="s">
        <v>2</v>
      </c>
      <c r="AT66" s="76" t="str">
        <f>IF(OR(F66="",AI66=""),"",IF(AND((F66&lt;=85),(AI66&gt;=15)),"O","X"))</f>
        <v>O</v>
      </c>
      <c r="AU66" s="76" t="str">
        <f>IF(C66="","",IF(C66&gt;=$AU$1,"O","X"))</f>
        <v>O</v>
      </c>
      <c r="AV66" s="76" t="str">
        <f>IF(AO66="","",IF(AND(AO66="O",AP66="O",AR66="O",AT66="O",AU66="O"),"후보","X"))</f>
        <v>X</v>
      </c>
    </row>
    <row r="67" spans="1:48" x14ac:dyDescent="0.3">
      <c r="A67" s="9" t="s">
        <v>1575</v>
      </c>
      <c r="B67" s="10" t="s">
        <v>1925</v>
      </c>
      <c r="C67" s="87">
        <v>345</v>
      </c>
      <c r="D67" s="85">
        <v>103.7</v>
      </c>
      <c r="E67" s="86">
        <v>31</v>
      </c>
      <c r="F67" s="85">
        <v>84.8</v>
      </c>
      <c r="G67" s="17">
        <v>26</v>
      </c>
      <c r="H67" s="87">
        <v>165</v>
      </c>
      <c r="I67" s="88">
        <v>21000</v>
      </c>
      <c r="J67" s="88" t="s">
        <v>85</v>
      </c>
      <c r="K67" s="88"/>
      <c r="L67" s="88"/>
      <c r="M67" s="89">
        <f>I67-K67</f>
        <v>21000</v>
      </c>
      <c r="N67" s="4">
        <f>IF(ISERROR(K67/I67),"",K67/I67)</f>
        <v>0</v>
      </c>
      <c r="O67" s="90">
        <f>I67/E67</f>
        <v>677.41935483870964</v>
      </c>
      <c r="P67" s="90">
        <f>K67/E67</f>
        <v>0</v>
      </c>
      <c r="Q67" s="76">
        <v>3</v>
      </c>
      <c r="R67" s="76">
        <v>2</v>
      </c>
      <c r="S67" s="76" t="s">
        <v>61</v>
      </c>
      <c r="T67" s="5">
        <v>103</v>
      </c>
      <c r="U67" s="9"/>
      <c r="W67" s="85">
        <f>D67</f>
        <v>103.7</v>
      </c>
      <c r="X67" s="86">
        <f>E67</f>
        <v>31</v>
      </c>
      <c r="Y67" s="91">
        <f>H67</f>
        <v>165</v>
      </c>
      <c r="Z67" s="89">
        <f>I67</f>
        <v>21000</v>
      </c>
      <c r="AA67" s="89">
        <f>K67</f>
        <v>0</v>
      </c>
      <c r="AB67" s="89">
        <f t="shared" si="52"/>
        <v>21000</v>
      </c>
      <c r="AC67" s="4">
        <f t="shared" si="52"/>
        <v>0</v>
      </c>
      <c r="AD67" s="90">
        <f t="shared" si="52"/>
        <v>677.41935483870964</v>
      </c>
      <c r="AE67" s="76" t="str">
        <f>S67</f>
        <v>계</v>
      </c>
      <c r="AF67" s="76" t="str">
        <f>Q67&amp;"/"&amp;R67</f>
        <v>3/2</v>
      </c>
      <c r="AH67" s="20" t="str">
        <f t="shared" si="39"/>
        <v>쌍용모악파크</v>
      </c>
      <c r="AI67" s="86">
        <f t="shared" ref="AI67:AI103" si="53">IF(E67="","",E67)</f>
        <v>31</v>
      </c>
      <c r="AJ67" s="76" t="str">
        <f>IF(AI67="","",$AJ$2)</f>
        <v>A-</v>
      </c>
      <c r="AK67" s="76" t="s">
        <v>13</v>
      </c>
      <c r="AL67" s="76" t="s">
        <v>62</v>
      </c>
      <c r="AM67" s="76" t="s">
        <v>63</v>
      </c>
      <c r="AN67" s="76" t="str">
        <f>IF(AI67="","",$AN$2)</f>
        <v>C</v>
      </c>
      <c r="AO67" s="76" t="str">
        <f>IF(N67="","",IF(N67&gt;=$AO$1/100,"O","X"))</f>
        <v>X</v>
      </c>
      <c r="AP67" s="76" t="str">
        <f>IF(I67="","",IF(I67&lt;=$AP$1,"O","X"))</f>
        <v>O</v>
      </c>
      <c r="AQ67" s="76" t="str">
        <f>IF(O67="","",IF(O67&lt;=$AQ$1,"O","X"))</f>
        <v>O</v>
      </c>
      <c r="AR67" s="76" t="str">
        <f>IF(M67="","",IF(M67&lt;=$AR$1,"O","X"))</f>
        <v>X</v>
      </c>
      <c r="AS67" s="76" t="s">
        <v>2</v>
      </c>
      <c r="AT67" s="76" t="str">
        <f>IF(OR(F67="",AI67=""),"",IF(AND((F67&lt;=85),(AI67&gt;=15)),"O","X"))</f>
        <v>O</v>
      </c>
      <c r="AU67" s="76" t="str">
        <f>IF(C67="","",IF(C67&gt;=$AU$1,"O","X"))</f>
        <v>O</v>
      </c>
      <c r="AV67" s="76" t="str">
        <f>IF(AO67="","",IF(AND(AO67="O",AP67="O",AR67="O",AT67="O",AU67="O"),"후보","X"))</f>
        <v>X</v>
      </c>
    </row>
    <row r="68" spans="1:48" x14ac:dyDescent="0.3">
      <c r="A68" s="9"/>
      <c r="B68" s="76"/>
      <c r="C68" s="6"/>
      <c r="D68" s="9"/>
      <c r="E68" s="14"/>
      <c r="F68" s="85"/>
      <c r="G68" s="9"/>
      <c r="H68" s="9"/>
      <c r="I68" s="9"/>
      <c r="J68" s="9"/>
      <c r="K68" s="9"/>
      <c r="L68" s="9"/>
      <c r="M68" s="9"/>
      <c r="N68" s="9"/>
      <c r="O68" s="90"/>
      <c r="P68" s="90"/>
      <c r="Q68" s="86"/>
      <c r="R68" s="86"/>
      <c r="S68" s="9"/>
      <c r="T68" s="47"/>
      <c r="U68" s="9"/>
      <c r="W68" s="67" t="str">
        <f>$A$4&amp;" "&amp;A69&amp;"("&amp;B69&amp;","&amp;C69&amp;"^)"</f>
        <v>효자동1가 한양운남('91.08.,224^)</v>
      </c>
      <c r="X68" s="68"/>
      <c r="Y68" s="68"/>
      <c r="Z68" s="68"/>
      <c r="AA68" s="68"/>
      <c r="AB68" s="68"/>
      <c r="AC68" s="68"/>
      <c r="AD68" s="68"/>
      <c r="AE68" s="68"/>
      <c r="AF68" s="69"/>
      <c r="AH68" s="20" t="str">
        <f t="shared" si="39"/>
        <v/>
      </c>
      <c r="AI68" s="108" t="str">
        <f t="shared" si="53"/>
        <v/>
      </c>
      <c r="AJ68" s="76"/>
      <c r="AK68" s="76"/>
      <c r="AL68" s="76"/>
      <c r="AM68" s="76"/>
      <c r="AN68" s="76"/>
      <c r="AO68" s="76"/>
      <c r="AP68" s="76"/>
      <c r="AQ68" s="76"/>
      <c r="AR68" s="76"/>
      <c r="AS68" s="76"/>
      <c r="AT68" s="76"/>
      <c r="AU68" s="76"/>
      <c r="AV68" s="76"/>
    </row>
    <row r="69" spans="1:48" x14ac:dyDescent="0.3">
      <c r="A69" s="9" t="s">
        <v>1580</v>
      </c>
      <c r="B69" s="10" t="s">
        <v>1833</v>
      </c>
      <c r="C69" s="87">
        <v>224</v>
      </c>
      <c r="D69" s="85">
        <v>84.4</v>
      </c>
      <c r="E69" s="86">
        <v>26</v>
      </c>
      <c r="F69" s="85">
        <v>59.9</v>
      </c>
      <c r="G69" s="17">
        <v>18</v>
      </c>
      <c r="H69" s="87">
        <v>224</v>
      </c>
      <c r="I69" s="88"/>
      <c r="J69" s="88"/>
      <c r="K69" s="88"/>
      <c r="L69" s="88"/>
      <c r="M69" s="89">
        <f>I69-K69</f>
        <v>0</v>
      </c>
      <c r="N69" s="4" t="str">
        <f>IF(ISERROR(K69/I69),"",K69/I69)</f>
        <v/>
      </c>
      <c r="O69" s="90">
        <f>I69/E69</f>
        <v>0</v>
      </c>
      <c r="P69" s="90">
        <f>K69/E69</f>
        <v>0</v>
      </c>
      <c r="Q69" s="76">
        <v>3</v>
      </c>
      <c r="R69" s="76">
        <v>1</v>
      </c>
      <c r="S69" s="76" t="s">
        <v>61</v>
      </c>
      <c r="T69" s="5">
        <v>84</v>
      </c>
      <c r="U69" s="9"/>
      <c r="W69" s="85">
        <f>D69</f>
        <v>84.4</v>
      </c>
      <c r="X69" s="86">
        <f>E69</f>
        <v>26</v>
      </c>
      <c r="Y69" s="91">
        <f>H69</f>
        <v>224</v>
      </c>
      <c r="Z69" s="89">
        <f>I69</f>
        <v>0</v>
      </c>
      <c r="AA69" s="89">
        <f>K69</f>
        <v>0</v>
      </c>
      <c r="AB69" s="89">
        <f>M69</f>
        <v>0</v>
      </c>
      <c r="AC69" s="4" t="str">
        <f>N69</f>
        <v/>
      </c>
      <c r="AD69" s="90">
        <f>O69</f>
        <v>0</v>
      </c>
      <c r="AE69" s="76" t="str">
        <f>S69</f>
        <v>계</v>
      </c>
      <c r="AF69" s="76" t="str">
        <f>Q69&amp;"/"&amp;R69</f>
        <v>3/1</v>
      </c>
      <c r="AH69" s="20" t="str">
        <f t="shared" ref="AH69:AH103" si="54">IF(A69="","",A69)</f>
        <v>한양운남</v>
      </c>
      <c r="AI69" s="86">
        <f t="shared" si="53"/>
        <v>26</v>
      </c>
      <c r="AJ69" s="76" t="str">
        <f>IF(AI69="","",$AJ$2)</f>
        <v>A-</v>
      </c>
      <c r="AK69" s="76" t="s">
        <v>13</v>
      </c>
      <c r="AL69" s="76" t="s">
        <v>62</v>
      </c>
      <c r="AM69" s="76" t="s">
        <v>63</v>
      </c>
      <c r="AN69" s="76" t="str">
        <f>IF(AI69="","",$AN$2)</f>
        <v>C</v>
      </c>
      <c r="AO69" s="76" t="str">
        <f>IF(N69="","",IF(N69&gt;=$AO$1/100,"O","X"))</f>
        <v/>
      </c>
      <c r="AP69" s="76" t="str">
        <f>IF(I69="","",IF(I69&lt;=$AP$1,"O","X"))</f>
        <v/>
      </c>
      <c r="AQ69" s="76" t="str">
        <f>IF(O69="","",IF(O69&lt;=$AQ$1,"O","X"))</f>
        <v>O</v>
      </c>
      <c r="AR69" s="76" t="str">
        <f>IF(M69="","",IF(M69&lt;=$AR$1,"O","X"))</f>
        <v>O</v>
      </c>
      <c r="AS69" s="76" t="s">
        <v>2</v>
      </c>
      <c r="AT69" s="76" t="str">
        <f>IF(OR(F69="",AI69=""),"",IF(AND((F69&lt;=85),(AI69&gt;=15)),"O","X"))</f>
        <v>O</v>
      </c>
      <c r="AU69" s="76" t="str">
        <f>IF(C69="","",IF(C69&gt;=$AU$1,"O","X"))</f>
        <v>X</v>
      </c>
      <c r="AV69" s="76" t="str">
        <f>IF(AO69="","",IF(AND(AO69="O",AP69="O",AR69="O",AT69="O",AU69="O"),"후보","X"))</f>
        <v/>
      </c>
    </row>
    <row r="70" spans="1:48" x14ac:dyDescent="0.3">
      <c r="A70" s="9"/>
      <c r="B70" s="76"/>
      <c r="C70" s="6"/>
      <c r="D70" s="9"/>
      <c r="E70" s="14"/>
      <c r="F70" s="85"/>
      <c r="G70" s="9"/>
      <c r="H70" s="9"/>
      <c r="I70" s="9"/>
      <c r="J70" s="9"/>
      <c r="K70" s="9"/>
      <c r="L70" s="9"/>
      <c r="M70" s="9"/>
      <c r="N70" s="9"/>
      <c r="O70" s="90"/>
      <c r="P70" s="90"/>
      <c r="Q70" s="86"/>
      <c r="R70" s="86"/>
      <c r="S70" s="9"/>
      <c r="T70" s="47"/>
      <c r="U70" s="9"/>
      <c r="W70" s="67" t="str">
        <f>$A$4&amp;" "&amp;A71&amp;"("&amp;B71&amp;","&amp;C71&amp;"^)"</f>
        <v>효자동1가 효자롯데('90.12.,666^)</v>
      </c>
      <c r="X70" s="68"/>
      <c r="Y70" s="68"/>
      <c r="Z70" s="68"/>
      <c r="AA70" s="68"/>
      <c r="AB70" s="68"/>
      <c r="AC70" s="68"/>
      <c r="AD70" s="68"/>
      <c r="AE70" s="68"/>
      <c r="AF70" s="69"/>
      <c r="AH70" s="20" t="str">
        <f t="shared" si="54"/>
        <v/>
      </c>
      <c r="AI70" s="108" t="str">
        <f t="shared" si="53"/>
        <v/>
      </c>
      <c r="AJ70" s="76"/>
      <c r="AK70" s="76"/>
      <c r="AL70" s="76"/>
      <c r="AM70" s="76"/>
      <c r="AN70" s="76"/>
      <c r="AO70" s="76"/>
      <c r="AP70" s="76"/>
      <c r="AQ70" s="76"/>
      <c r="AR70" s="76"/>
      <c r="AS70" s="76"/>
      <c r="AT70" s="76"/>
      <c r="AU70" s="76"/>
      <c r="AV70" s="76"/>
    </row>
    <row r="71" spans="1:48" x14ac:dyDescent="0.3">
      <c r="A71" s="9" t="s">
        <v>1584</v>
      </c>
      <c r="B71" s="10" t="s">
        <v>1924</v>
      </c>
      <c r="C71" s="87">
        <v>666</v>
      </c>
      <c r="D71" s="85">
        <v>86.7</v>
      </c>
      <c r="E71" s="86">
        <v>26</v>
      </c>
      <c r="F71" s="85">
        <v>70.8</v>
      </c>
      <c r="G71" s="17">
        <v>21</v>
      </c>
      <c r="H71" s="87">
        <v>228</v>
      </c>
      <c r="I71" s="88">
        <v>19000</v>
      </c>
      <c r="J71" s="88" t="s">
        <v>90</v>
      </c>
      <c r="K71" s="88">
        <v>17500</v>
      </c>
      <c r="L71" s="88" t="s">
        <v>90</v>
      </c>
      <c r="M71" s="89">
        <f>I71-K71</f>
        <v>1500</v>
      </c>
      <c r="N71" s="4">
        <f>IF(ISERROR(K71/I71),"",K71/I71)</f>
        <v>0.92105263157894735</v>
      </c>
      <c r="O71" s="90">
        <f>I71/E71</f>
        <v>730.76923076923072</v>
      </c>
      <c r="P71" s="90">
        <f>K71/E71</f>
        <v>673.07692307692309</v>
      </c>
      <c r="Q71" s="76">
        <v>3</v>
      </c>
      <c r="R71" s="76">
        <v>1</v>
      </c>
      <c r="S71" s="76" t="s">
        <v>68</v>
      </c>
      <c r="T71" s="5">
        <v>86</v>
      </c>
      <c r="U71" s="9"/>
      <c r="W71" s="85">
        <f t="shared" ref="W71:X73" si="55">D71</f>
        <v>86.7</v>
      </c>
      <c r="X71" s="86">
        <f t="shared" si="55"/>
        <v>26</v>
      </c>
      <c r="Y71" s="91">
        <f t="shared" ref="Y71:Z73" si="56">H71</f>
        <v>228</v>
      </c>
      <c r="Z71" s="89">
        <f t="shared" si="56"/>
        <v>19000</v>
      </c>
      <c r="AA71" s="89">
        <f>K71</f>
        <v>17500</v>
      </c>
      <c r="AB71" s="89">
        <f t="shared" ref="AB71:AD73" si="57">M71</f>
        <v>1500</v>
      </c>
      <c r="AC71" s="4">
        <f t="shared" si="57"/>
        <v>0.92105263157894735</v>
      </c>
      <c r="AD71" s="90">
        <f t="shared" si="57"/>
        <v>730.76923076923072</v>
      </c>
      <c r="AE71" s="76" t="str">
        <f>S71</f>
        <v>복</v>
      </c>
      <c r="AF71" s="76" t="str">
        <f>Q71&amp;"/"&amp;R71</f>
        <v>3/1</v>
      </c>
      <c r="AH71" s="20" t="str">
        <f t="shared" si="54"/>
        <v>효자롯데</v>
      </c>
      <c r="AI71" s="86">
        <f t="shared" si="53"/>
        <v>26</v>
      </c>
      <c r="AJ71" s="76" t="str">
        <f>IF(AI71="","",$AJ$2)</f>
        <v>A-</v>
      </c>
      <c r="AK71" s="76" t="s">
        <v>13</v>
      </c>
      <c r="AL71" s="76" t="s">
        <v>62</v>
      </c>
      <c r="AM71" s="76" t="s">
        <v>63</v>
      </c>
      <c r="AN71" s="76" t="str">
        <f>IF(AI71="","",$AN$2)</f>
        <v>C</v>
      </c>
      <c r="AO71" s="76" t="str">
        <f>IF(N71="","",IF(N71&gt;=$AO$1/100,"O","X"))</f>
        <v>O</v>
      </c>
      <c r="AP71" s="76" t="str">
        <f>IF(I71="","",IF(I71&lt;=$AP$1,"O","X"))</f>
        <v>O</v>
      </c>
      <c r="AQ71" s="76" t="str">
        <f>IF(O71="","",IF(O71&lt;=$AQ$1,"O","X"))</f>
        <v>O</v>
      </c>
      <c r="AR71" s="76" t="str">
        <f>IF(M71="","",IF(M71&lt;=$AR$1,"O","X"))</f>
        <v>O</v>
      </c>
      <c r="AS71" s="76" t="s">
        <v>2</v>
      </c>
      <c r="AT71" s="76" t="str">
        <f>IF(OR(F71="",AI71=""),"",IF(AND((F71&lt;=85),(AI71&gt;=15)),"O","X"))</f>
        <v>O</v>
      </c>
      <c r="AU71" s="76" t="str">
        <f>IF(C71="","",IF(C71&gt;=$AU$1,"O","X"))</f>
        <v>O</v>
      </c>
      <c r="AV71" s="76" t="str">
        <f>IF(AO71="","",IF(AND(AO71="O",AP71="O",AR71="O",AT71="O",AU71="O"),"후보","X"))</f>
        <v>후보</v>
      </c>
    </row>
    <row r="72" spans="1:48" x14ac:dyDescent="0.3">
      <c r="A72" s="9" t="s">
        <v>1584</v>
      </c>
      <c r="B72" s="10" t="s">
        <v>1924</v>
      </c>
      <c r="C72" s="87">
        <v>666</v>
      </c>
      <c r="D72" s="85">
        <v>102</v>
      </c>
      <c r="E72" s="86">
        <v>31</v>
      </c>
      <c r="F72" s="85">
        <v>84.9</v>
      </c>
      <c r="G72" s="17">
        <v>26</v>
      </c>
      <c r="H72" s="87">
        <v>264</v>
      </c>
      <c r="I72" s="88">
        <v>23000</v>
      </c>
      <c r="J72" s="88" t="s">
        <v>131</v>
      </c>
      <c r="K72" s="88"/>
      <c r="L72" s="88"/>
      <c r="M72" s="89">
        <f>I72-K72</f>
        <v>23000</v>
      </c>
      <c r="N72" s="4">
        <f>IF(ISERROR(K72/I72),"",K72/I72)</f>
        <v>0</v>
      </c>
      <c r="O72" s="90">
        <f>I72/E72</f>
        <v>741.93548387096769</v>
      </c>
      <c r="P72" s="90">
        <f>K72/E72</f>
        <v>0</v>
      </c>
      <c r="Q72" s="76">
        <v>3</v>
      </c>
      <c r="R72" s="76">
        <v>2</v>
      </c>
      <c r="S72" s="76" t="s">
        <v>61</v>
      </c>
      <c r="T72" s="5">
        <v>101</v>
      </c>
      <c r="U72" s="9"/>
      <c r="W72" s="85">
        <f t="shared" si="55"/>
        <v>102</v>
      </c>
      <c r="X72" s="86">
        <f t="shared" si="55"/>
        <v>31</v>
      </c>
      <c r="Y72" s="91">
        <f t="shared" si="56"/>
        <v>264</v>
      </c>
      <c r="Z72" s="89">
        <f t="shared" si="56"/>
        <v>23000</v>
      </c>
      <c r="AA72" s="89">
        <f>K72</f>
        <v>0</v>
      </c>
      <c r="AB72" s="89">
        <f t="shared" si="57"/>
        <v>23000</v>
      </c>
      <c r="AC72" s="4">
        <f t="shared" si="57"/>
        <v>0</v>
      </c>
      <c r="AD72" s="90">
        <f t="shared" si="57"/>
        <v>741.93548387096769</v>
      </c>
      <c r="AE72" s="76" t="str">
        <f>S72</f>
        <v>계</v>
      </c>
      <c r="AF72" s="76" t="str">
        <f>Q72&amp;"/"&amp;R72</f>
        <v>3/2</v>
      </c>
      <c r="AH72" s="20" t="str">
        <f t="shared" si="54"/>
        <v>효자롯데</v>
      </c>
      <c r="AI72" s="86">
        <f t="shared" si="53"/>
        <v>31</v>
      </c>
      <c r="AJ72" s="76" t="str">
        <f>IF(AI72="","",$AJ$2)</f>
        <v>A-</v>
      </c>
      <c r="AK72" s="76" t="s">
        <v>13</v>
      </c>
      <c r="AL72" s="76" t="s">
        <v>62</v>
      </c>
      <c r="AM72" s="76" t="s">
        <v>63</v>
      </c>
      <c r="AN72" s="76" t="str">
        <f>IF(AI72="","",$AN$2)</f>
        <v>C</v>
      </c>
      <c r="AO72" s="76" t="str">
        <f>IF(N72="","",IF(N72&gt;=$AO$1/100,"O","X"))</f>
        <v>X</v>
      </c>
      <c r="AP72" s="76" t="str">
        <f>IF(I72="","",IF(I72&lt;=$AP$1,"O","X"))</f>
        <v>O</v>
      </c>
      <c r="AQ72" s="76" t="str">
        <f>IF(O72="","",IF(O72&lt;=$AQ$1,"O","X"))</f>
        <v>O</v>
      </c>
      <c r="AR72" s="76" t="str">
        <f>IF(M72="","",IF(M72&lt;=$AR$1,"O","X"))</f>
        <v>X</v>
      </c>
      <c r="AS72" s="76" t="s">
        <v>2</v>
      </c>
      <c r="AT72" s="76" t="str">
        <f>IF(OR(F72="",AI72=""),"",IF(AND((F72&lt;=85),(AI72&gt;=15)),"O","X"))</f>
        <v>O</v>
      </c>
      <c r="AU72" s="76" t="str">
        <f>IF(C72="","",IF(C72&gt;=$AU$1,"O","X"))</f>
        <v>O</v>
      </c>
      <c r="AV72" s="76" t="str">
        <f>IF(AO72="","",IF(AND(AO72="O",AP72="O",AR72="O",AT72="O",AU72="O"),"후보","X"))</f>
        <v>X</v>
      </c>
    </row>
    <row r="73" spans="1:48" x14ac:dyDescent="0.3">
      <c r="A73" s="9" t="s">
        <v>1584</v>
      </c>
      <c r="B73" s="10" t="s">
        <v>1924</v>
      </c>
      <c r="C73" s="87">
        <v>666</v>
      </c>
      <c r="D73" s="85">
        <v>148.6</v>
      </c>
      <c r="E73" s="86">
        <v>45</v>
      </c>
      <c r="F73" s="85">
        <v>128.6</v>
      </c>
      <c r="G73" s="17">
        <v>39</v>
      </c>
      <c r="H73" s="87">
        <v>174</v>
      </c>
      <c r="I73" s="88">
        <v>30000</v>
      </c>
      <c r="J73" s="88" t="s">
        <v>104</v>
      </c>
      <c r="K73" s="88"/>
      <c r="L73" s="88"/>
      <c r="M73" s="89">
        <f>I73-K73</f>
        <v>30000</v>
      </c>
      <c r="N73" s="4">
        <f>IF(ISERROR(K73/I73),"",K73/I73)</f>
        <v>0</v>
      </c>
      <c r="O73" s="90">
        <f>I73/E73</f>
        <v>666.66666666666663</v>
      </c>
      <c r="P73" s="90">
        <f>K73/E73</f>
        <v>0</v>
      </c>
      <c r="Q73" s="76">
        <v>4</v>
      </c>
      <c r="R73" s="76">
        <v>2</v>
      </c>
      <c r="S73" s="76" t="s">
        <v>61</v>
      </c>
      <c r="T73" s="5">
        <v>148</v>
      </c>
      <c r="U73" s="9"/>
      <c r="W73" s="85">
        <f t="shared" si="55"/>
        <v>148.6</v>
      </c>
      <c r="X73" s="86">
        <f t="shared" si="55"/>
        <v>45</v>
      </c>
      <c r="Y73" s="91">
        <f t="shared" si="56"/>
        <v>174</v>
      </c>
      <c r="Z73" s="89">
        <f t="shared" si="56"/>
        <v>30000</v>
      </c>
      <c r="AA73" s="89">
        <f>K73</f>
        <v>0</v>
      </c>
      <c r="AB73" s="89">
        <f t="shared" si="57"/>
        <v>30000</v>
      </c>
      <c r="AC73" s="4">
        <f t="shared" si="57"/>
        <v>0</v>
      </c>
      <c r="AD73" s="90">
        <f t="shared" si="57"/>
        <v>666.66666666666663</v>
      </c>
      <c r="AE73" s="76" t="str">
        <f>S73</f>
        <v>계</v>
      </c>
      <c r="AF73" s="76" t="str">
        <f>Q73&amp;"/"&amp;R73</f>
        <v>4/2</v>
      </c>
      <c r="AH73" s="20" t="str">
        <f t="shared" si="54"/>
        <v>효자롯데</v>
      </c>
      <c r="AI73" s="86">
        <f t="shared" si="53"/>
        <v>45</v>
      </c>
      <c r="AJ73" s="76" t="str">
        <f>IF(AI73="","",$AJ$2)</f>
        <v>A-</v>
      </c>
      <c r="AK73" s="76" t="s">
        <v>13</v>
      </c>
      <c r="AL73" s="76" t="s">
        <v>62</v>
      </c>
      <c r="AM73" s="76" t="s">
        <v>63</v>
      </c>
      <c r="AN73" s="76" t="str">
        <f>IF(AI73="","",$AN$2)</f>
        <v>C</v>
      </c>
      <c r="AO73" s="76" t="str">
        <f>IF(N73="","",IF(N73&gt;=$AO$1/100,"O","X"))</f>
        <v>X</v>
      </c>
      <c r="AP73" s="76" t="str">
        <f>IF(I73="","",IF(I73&lt;=$AP$1,"O","X"))</f>
        <v>O</v>
      </c>
      <c r="AQ73" s="76" t="str">
        <f>IF(O73="","",IF(O73&lt;=$AQ$1,"O","X"))</f>
        <v>O</v>
      </c>
      <c r="AR73" s="76" t="str">
        <f>IF(M73="","",IF(M73&lt;=$AR$1,"O","X"))</f>
        <v>X</v>
      </c>
      <c r="AS73" s="76" t="s">
        <v>2</v>
      </c>
      <c r="AT73" s="76" t="str">
        <f>IF(OR(F73="",AI73=""),"",IF(AND((F73&lt;=85),(AI73&gt;=15)),"O","X"))</f>
        <v>X</v>
      </c>
      <c r="AU73" s="76" t="str">
        <f>IF(C73="","",IF(C73&gt;=$AU$1,"O","X"))</f>
        <v>O</v>
      </c>
      <c r="AV73" s="76" t="str">
        <f>IF(AO73="","",IF(AND(AO73="O",AP73="O",AR73="O",AT73="O",AU73="O"),"후보","X"))</f>
        <v>X</v>
      </c>
    </row>
    <row r="74" spans="1:48" x14ac:dyDescent="0.3">
      <c r="A74" s="9"/>
      <c r="B74" s="76"/>
      <c r="C74" s="6"/>
      <c r="D74" s="9"/>
      <c r="E74" s="14"/>
      <c r="F74" s="85"/>
      <c r="G74" s="9"/>
      <c r="H74" s="9"/>
      <c r="I74" s="9"/>
      <c r="J74" s="9"/>
      <c r="K74" s="9"/>
      <c r="L74" s="9"/>
      <c r="M74" s="9"/>
      <c r="N74" s="9"/>
      <c r="O74" s="90"/>
      <c r="P74" s="90"/>
      <c r="Q74" s="86"/>
      <c r="R74" s="86"/>
      <c r="S74" s="9"/>
      <c r="T74" s="47"/>
      <c r="U74" s="9"/>
      <c r="W74" s="67" t="str">
        <f>$A$4&amp;" "&amp;A75&amp;"("&amp;B75&amp;","&amp;C75&amp;"^)"</f>
        <v>효자동1가 효자성원맨션('98.07.,235^)</v>
      </c>
      <c r="X74" s="68"/>
      <c r="Y74" s="68"/>
      <c r="Z74" s="68"/>
      <c r="AA74" s="68"/>
      <c r="AB74" s="68"/>
      <c r="AC74" s="68"/>
      <c r="AD74" s="68"/>
      <c r="AE74" s="68"/>
      <c r="AF74" s="69"/>
      <c r="AH74" s="20" t="str">
        <f t="shared" si="54"/>
        <v/>
      </c>
      <c r="AI74" s="108" t="str">
        <f t="shared" si="53"/>
        <v/>
      </c>
      <c r="AJ74" s="76"/>
      <c r="AK74" s="76"/>
      <c r="AL74" s="76"/>
      <c r="AM74" s="76"/>
      <c r="AN74" s="76"/>
      <c r="AO74" s="76"/>
      <c r="AP74" s="76"/>
      <c r="AQ74" s="76"/>
      <c r="AR74" s="76"/>
      <c r="AS74" s="76"/>
      <c r="AT74" s="76"/>
      <c r="AU74" s="76"/>
      <c r="AV74" s="76"/>
    </row>
    <row r="75" spans="1:48" x14ac:dyDescent="0.3">
      <c r="A75" s="9" t="s">
        <v>1593</v>
      </c>
      <c r="B75" s="10" t="s">
        <v>1857</v>
      </c>
      <c r="C75" s="87">
        <v>235</v>
      </c>
      <c r="D75" s="85">
        <v>73</v>
      </c>
      <c r="E75" s="86">
        <v>22</v>
      </c>
      <c r="F75" s="85">
        <v>59.5</v>
      </c>
      <c r="G75" s="17">
        <v>18</v>
      </c>
      <c r="H75" s="87">
        <v>85</v>
      </c>
      <c r="I75" s="88"/>
      <c r="J75" s="88"/>
      <c r="K75" s="88"/>
      <c r="L75" s="88"/>
      <c r="M75" s="89">
        <f>I75-K75</f>
        <v>0</v>
      </c>
      <c r="N75" s="4" t="str">
        <f>IF(ISERROR(K75/I75),"",K75/I75)</f>
        <v/>
      </c>
      <c r="O75" s="90">
        <f>I75/E75</f>
        <v>0</v>
      </c>
      <c r="P75" s="90">
        <f>K75/E75</f>
        <v>0</v>
      </c>
      <c r="Q75" s="76">
        <v>2</v>
      </c>
      <c r="R75" s="76">
        <v>1</v>
      </c>
      <c r="S75" s="76" t="s">
        <v>68</v>
      </c>
      <c r="T75" s="5">
        <v>72</v>
      </c>
      <c r="U75" s="9"/>
      <c r="W75" s="85">
        <f t="shared" ref="W75:X79" si="58">D75</f>
        <v>73</v>
      </c>
      <c r="X75" s="86">
        <f t="shared" si="58"/>
        <v>22</v>
      </c>
      <c r="Y75" s="91">
        <f t="shared" ref="Y75:Z79" si="59">H75</f>
        <v>85</v>
      </c>
      <c r="Z75" s="89">
        <f t="shared" si="59"/>
        <v>0</v>
      </c>
      <c r="AA75" s="89">
        <f>K75</f>
        <v>0</v>
      </c>
      <c r="AB75" s="89">
        <f t="shared" ref="AB75:AD79" si="60">M75</f>
        <v>0</v>
      </c>
      <c r="AC75" s="4" t="str">
        <f t="shared" si="60"/>
        <v/>
      </c>
      <c r="AD75" s="90">
        <f t="shared" si="60"/>
        <v>0</v>
      </c>
      <c r="AE75" s="76" t="str">
        <f>S75</f>
        <v>복</v>
      </c>
      <c r="AF75" s="76" t="str">
        <f>Q75&amp;"/"&amp;R75</f>
        <v>2/1</v>
      </c>
      <c r="AH75" s="20" t="str">
        <f t="shared" si="54"/>
        <v>효자성원맨션</v>
      </c>
      <c r="AI75" s="86">
        <f t="shared" si="53"/>
        <v>22</v>
      </c>
      <c r="AJ75" s="76" t="str">
        <f>IF(AI75="","",$AJ$2)</f>
        <v>A-</v>
      </c>
      <c r="AK75" s="76" t="s">
        <v>13</v>
      </c>
      <c r="AL75" s="76" t="s">
        <v>62</v>
      </c>
      <c r="AM75" s="76" t="s">
        <v>63</v>
      </c>
      <c r="AN75" s="76" t="str">
        <f>IF(AI75="","",$AN$2)</f>
        <v>C</v>
      </c>
      <c r="AO75" s="76" t="str">
        <f>IF(N75="","",IF(N75&gt;=$AO$1/100,"O","X"))</f>
        <v/>
      </c>
      <c r="AP75" s="76" t="str">
        <f>IF(I75="","",IF(I75&lt;=$AP$1,"O","X"))</f>
        <v/>
      </c>
      <c r="AQ75" s="76" t="str">
        <f>IF(O75="","",IF(O75&lt;=$AQ$1,"O","X"))</f>
        <v>O</v>
      </c>
      <c r="AR75" s="76" t="str">
        <f>IF(M75="","",IF(M75&lt;=$AR$1,"O","X"))</f>
        <v>O</v>
      </c>
      <c r="AS75" s="76" t="s">
        <v>2</v>
      </c>
      <c r="AT75" s="76" t="str">
        <f>IF(OR(F75="",AI75=""),"",IF(AND((F75&lt;=85),(AI75&gt;=15)),"O","X"))</f>
        <v>O</v>
      </c>
      <c r="AU75" s="76" t="str">
        <f>IF(C75="","",IF(C75&gt;=$AU$1,"O","X"))</f>
        <v>X</v>
      </c>
      <c r="AV75" s="76" t="str">
        <f>IF(AO75="","",IF(AND(AO75="O",AP75="O",AR75="O",AT75="O",AU75="O"),"후보","X"))</f>
        <v/>
      </c>
    </row>
    <row r="76" spans="1:48" x14ac:dyDescent="0.3">
      <c r="A76" s="9" t="s">
        <v>1593</v>
      </c>
      <c r="B76" s="10" t="s">
        <v>1857</v>
      </c>
      <c r="C76" s="87">
        <v>235</v>
      </c>
      <c r="D76" s="85">
        <v>102</v>
      </c>
      <c r="E76" s="86">
        <v>31</v>
      </c>
      <c r="F76" s="85">
        <v>83.1</v>
      </c>
      <c r="G76" s="17">
        <v>25</v>
      </c>
      <c r="H76" s="87">
        <v>74</v>
      </c>
      <c r="I76" s="88"/>
      <c r="J76" s="88"/>
      <c r="K76" s="88"/>
      <c r="L76" s="88"/>
      <c r="M76" s="89">
        <f>I76-K76</f>
        <v>0</v>
      </c>
      <c r="N76" s="4" t="str">
        <f>IF(ISERROR(K76/I76),"",K76/I76)</f>
        <v/>
      </c>
      <c r="O76" s="90">
        <f>I76/E76</f>
        <v>0</v>
      </c>
      <c r="P76" s="90">
        <f>K76/E76</f>
        <v>0</v>
      </c>
      <c r="Q76" s="76">
        <v>3</v>
      </c>
      <c r="R76" s="76">
        <v>2</v>
      </c>
      <c r="S76" s="76" t="s">
        <v>61</v>
      </c>
      <c r="T76" s="5">
        <v>102</v>
      </c>
      <c r="U76" s="9"/>
      <c r="W76" s="85">
        <f t="shared" si="58"/>
        <v>102</v>
      </c>
      <c r="X76" s="86">
        <f t="shared" si="58"/>
        <v>31</v>
      </c>
      <c r="Y76" s="91">
        <f t="shared" si="59"/>
        <v>74</v>
      </c>
      <c r="Z76" s="89">
        <f t="shared" si="59"/>
        <v>0</v>
      </c>
      <c r="AA76" s="89">
        <f>K76</f>
        <v>0</v>
      </c>
      <c r="AB76" s="89">
        <f t="shared" si="60"/>
        <v>0</v>
      </c>
      <c r="AC76" s="4" t="str">
        <f t="shared" si="60"/>
        <v/>
      </c>
      <c r="AD76" s="90">
        <f t="shared" si="60"/>
        <v>0</v>
      </c>
      <c r="AE76" s="76" t="str">
        <f>S76</f>
        <v>계</v>
      </c>
      <c r="AF76" s="76" t="str">
        <f>Q76&amp;"/"&amp;R76</f>
        <v>3/2</v>
      </c>
      <c r="AH76" s="20" t="str">
        <f t="shared" si="54"/>
        <v>효자성원맨션</v>
      </c>
      <c r="AI76" s="86">
        <f t="shared" si="53"/>
        <v>31</v>
      </c>
      <c r="AJ76" s="76" t="str">
        <f>IF(AI76="","",$AJ$2)</f>
        <v>A-</v>
      </c>
      <c r="AK76" s="76" t="s">
        <v>13</v>
      </c>
      <c r="AL76" s="76" t="s">
        <v>62</v>
      </c>
      <c r="AM76" s="76" t="s">
        <v>63</v>
      </c>
      <c r="AN76" s="76" t="str">
        <f>IF(AI76="","",$AN$2)</f>
        <v>C</v>
      </c>
      <c r="AO76" s="76" t="str">
        <f>IF(N76="","",IF(N76&gt;=$AO$1/100,"O","X"))</f>
        <v/>
      </c>
      <c r="AP76" s="76" t="str">
        <f>IF(I76="","",IF(I76&lt;=$AP$1,"O","X"))</f>
        <v/>
      </c>
      <c r="AQ76" s="76" t="str">
        <f>IF(O76="","",IF(O76&lt;=$AQ$1,"O","X"))</f>
        <v>O</v>
      </c>
      <c r="AR76" s="76" t="str">
        <f>IF(M76="","",IF(M76&lt;=$AR$1,"O","X"))</f>
        <v>O</v>
      </c>
      <c r="AS76" s="76" t="s">
        <v>2</v>
      </c>
      <c r="AT76" s="76" t="str">
        <f>IF(OR(F76="",AI76=""),"",IF(AND((F76&lt;=85),(AI76&gt;=15)),"O","X"))</f>
        <v>O</v>
      </c>
      <c r="AU76" s="76" t="str">
        <f>IF(C76="","",IF(C76&gt;=$AU$1,"O","X"))</f>
        <v>X</v>
      </c>
      <c r="AV76" s="76" t="str">
        <f>IF(AO76="","",IF(AND(AO76="O",AP76="O",AR76="O",AT76="O",AU76="O"),"후보","X"))</f>
        <v/>
      </c>
    </row>
    <row r="77" spans="1:48" x14ac:dyDescent="0.3">
      <c r="A77" s="9" t="s">
        <v>1593</v>
      </c>
      <c r="B77" s="10" t="s">
        <v>1857</v>
      </c>
      <c r="C77" s="87">
        <v>235</v>
      </c>
      <c r="D77" s="85">
        <v>104.2</v>
      </c>
      <c r="E77" s="86">
        <v>32</v>
      </c>
      <c r="F77" s="85">
        <v>84.9</v>
      </c>
      <c r="G77" s="17">
        <v>26</v>
      </c>
      <c r="H77" s="87">
        <v>9</v>
      </c>
      <c r="I77" s="88"/>
      <c r="J77" s="88"/>
      <c r="K77" s="88"/>
      <c r="L77" s="88"/>
      <c r="M77" s="89">
        <f>I77-K77</f>
        <v>0</v>
      </c>
      <c r="N77" s="4" t="str">
        <f>IF(ISERROR(K77/I77),"",K77/I77)</f>
        <v/>
      </c>
      <c r="O77" s="90">
        <f>I77/E77</f>
        <v>0</v>
      </c>
      <c r="P77" s="90">
        <f>K77/E77</f>
        <v>0</v>
      </c>
      <c r="Q77" s="76">
        <v>3</v>
      </c>
      <c r="R77" s="76">
        <v>2</v>
      </c>
      <c r="S77" s="76" t="s">
        <v>61</v>
      </c>
      <c r="T77" s="5">
        <v>104</v>
      </c>
      <c r="U77" s="9"/>
      <c r="W77" s="85">
        <f t="shared" si="58"/>
        <v>104.2</v>
      </c>
      <c r="X77" s="86">
        <f t="shared" si="58"/>
        <v>32</v>
      </c>
      <c r="Y77" s="91">
        <f t="shared" si="59"/>
        <v>9</v>
      </c>
      <c r="Z77" s="89">
        <f t="shared" si="59"/>
        <v>0</v>
      </c>
      <c r="AA77" s="89">
        <f>K77</f>
        <v>0</v>
      </c>
      <c r="AB77" s="89">
        <f t="shared" si="60"/>
        <v>0</v>
      </c>
      <c r="AC77" s="4" t="str">
        <f t="shared" si="60"/>
        <v/>
      </c>
      <c r="AD77" s="90">
        <f t="shared" si="60"/>
        <v>0</v>
      </c>
      <c r="AE77" s="76" t="str">
        <f>S77</f>
        <v>계</v>
      </c>
      <c r="AF77" s="76" t="str">
        <f>Q77&amp;"/"&amp;R77</f>
        <v>3/2</v>
      </c>
      <c r="AH77" s="20" t="str">
        <f t="shared" si="54"/>
        <v>효자성원맨션</v>
      </c>
      <c r="AI77" s="86">
        <f t="shared" si="53"/>
        <v>32</v>
      </c>
      <c r="AJ77" s="76" t="str">
        <f>IF(AI77="","",$AJ$2)</f>
        <v>A-</v>
      </c>
      <c r="AK77" s="76" t="s">
        <v>13</v>
      </c>
      <c r="AL77" s="76" t="s">
        <v>62</v>
      </c>
      <c r="AM77" s="76" t="s">
        <v>63</v>
      </c>
      <c r="AN77" s="76" t="str">
        <f>IF(AI77="","",$AN$2)</f>
        <v>C</v>
      </c>
      <c r="AO77" s="76" t="str">
        <f>IF(N77="","",IF(N77&gt;=$AO$1/100,"O","X"))</f>
        <v/>
      </c>
      <c r="AP77" s="76" t="str">
        <f>IF(I77="","",IF(I77&lt;=$AP$1,"O","X"))</f>
        <v/>
      </c>
      <c r="AQ77" s="76" t="str">
        <f>IF(O77="","",IF(O77&lt;=$AQ$1,"O","X"))</f>
        <v>O</v>
      </c>
      <c r="AR77" s="76" t="str">
        <f>IF(M77="","",IF(M77&lt;=$AR$1,"O","X"))</f>
        <v>O</v>
      </c>
      <c r="AS77" s="76" t="s">
        <v>2</v>
      </c>
      <c r="AT77" s="76" t="str">
        <f>IF(OR(F77="",AI77=""),"",IF(AND((F77&lt;=85),(AI77&gt;=15)),"O","X"))</f>
        <v>O</v>
      </c>
      <c r="AU77" s="76" t="str">
        <f>IF(C77="","",IF(C77&gt;=$AU$1,"O","X"))</f>
        <v>X</v>
      </c>
      <c r="AV77" s="76" t="str">
        <f>IF(AO77="","",IF(AND(AO77="O",AP77="O",AR77="O",AT77="O",AU77="O"),"후보","X"))</f>
        <v/>
      </c>
    </row>
    <row r="78" spans="1:48" x14ac:dyDescent="0.3">
      <c r="A78" s="9" t="s">
        <v>1593</v>
      </c>
      <c r="B78" s="10" t="s">
        <v>1857</v>
      </c>
      <c r="C78" s="87">
        <v>235</v>
      </c>
      <c r="D78" s="85">
        <v>140.80000000000001</v>
      </c>
      <c r="E78" s="86">
        <v>43</v>
      </c>
      <c r="F78" s="85">
        <v>114.7</v>
      </c>
      <c r="G78" s="17">
        <v>35</v>
      </c>
      <c r="H78" s="87">
        <v>57</v>
      </c>
      <c r="I78" s="88"/>
      <c r="J78" s="88"/>
      <c r="K78" s="88"/>
      <c r="L78" s="88"/>
      <c r="M78" s="89">
        <f>I78-K78</f>
        <v>0</v>
      </c>
      <c r="N78" s="4" t="str">
        <f>IF(ISERROR(K78/I78),"",K78/I78)</f>
        <v/>
      </c>
      <c r="O78" s="90">
        <f>I78/E78</f>
        <v>0</v>
      </c>
      <c r="P78" s="90">
        <f>K78/E78</f>
        <v>0</v>
      </c>
      <c r="Q78" s="76">
        <v>4</v>
      </c>
      <c r="R78" s="76">
        <v>2</v>
      </c>
      <c r="S78" s="76" t="s">
        <v>61</v>
      </c>
      <c r="T78" s="5">
        <v>140</v>
      </c>
      <c r="U78" s="9"/>
      <c r="W78" s="85">
        <f t="shared" si="58"/>
        <v>140.80000000000001</v>
      </c>
      <c r="X78" s="86">
        <f t="shared" si="58"/>
        <v>43</v>
      </c>
      <c r="Y78" s="91">
        <f t="shared" si="59"/>
        <v>57</v>
      </c>
      <c r="Z78" s="89">
        <f t="shared" si="59"/>
        <v>0</v>
      </c>
      <c r="AA78" s="89">
        <f>K78</f>
        <v>0</v>
      </c>
      <c r="AB78" s="89">
        <f t="shared" si="60"/>
        <v>0</v>
      </c>
      <c r="AC78" s="4" t="str">
        <f t="shared" si="60"/>
        <v/>
      </c>
      <c r="AD78" s="90">
        <f t="shared" si="60"/>
        <v>0</v>
      </c>
      <c r="AE78" s="76" t="str">
        <f>S78</f>
        <v>계</v>
      </c>
      <c r="AF78" s="76" t="str">
        <f>Q78&amp;"/"&amp;R78</f>
        <v>4/2</v>
      </c>
      <c r="AH78" s="20" t="str">
        <f t="shared" si="54"/>
        <v>효자성원맨션</v>
      </c>
      <c r="AI78" s="86">
        <f t="shared" si="53"/>
        <v>43</v>
      </c>
      <c r="AJ78" s="76" t="str">
        <f>IF(AI78="","",$AJ$2)</f>
        <v>A-</v>
      </c>
      <c r="AK78" s="76" t="s">
        <v>13</v>
      </c>
      <c r="AL78" s="76" t="s">
        <v>62</v>
      </c>
      <c r="AM78" s="76" t="s">
        <v>63</v>
      </c>
      <c r="AN78" s="76" t="str">
        <f>IF(AI78="","",$AN$2)</f>
        <v>C</v>
      </c>
      <c r="AO78" s="76" t="str">
        <f>IF(N78="","",IF(N78&gt;=$AO$1/100,"O","X"))</f>
        <v/>
      </c>
      <c r="AP78" s="76" t="str">
        <f>IF(I78="","",IF(I78&lt;=$AP$1,"O","X"))</f>
        <v/>
      </c>
      <c r="AQ78" s="76" t="str">
        <f>IF(O78="","",IF(O78&lt;=$AQ$1,"O","X"))</f>
        <v>O</v>
      </c>
      <c r="AR78" s="76" t="str">
        <f>IF(M78="","",IF(M78&lt;=$AR$1,"O","X"))</f>
        <v>O</v>
      </c>
      <c r="AS78" s="76" t="s">
        <v>2</v>
      </c>
      <c r="AT78" s="76" t="str">
        <f>IF(OR(F78="",AI78=""),"",IF(AND((F78&lt;=85),(AI78&gt;=15)),"O","X"))</f>
        <v>X</v>
      </c>
      <c r="AU78" s="76" t="str">
        <f>IF(C78="","",IF(C78&gt;=$AU$1,"O","X"))</f>
        <v>X</v>
      </c>
      <c r="AV78" s="76" t="str">
        <f>IF(AO78="","",IF(AND(AO78="O",AP78="O",AR78="O",AT78="O",AU78="O"),"후보","X"))</f>
        <v/>
      </c>
    </row>
    <row r="79" spans="1:48" x14ac:dyDescent="0.3">
      <c r="A79" s="9" t="s">
        <v>1593</v>
      </c>
      <c r="B79" s="10" t="s">
        <v>1857</v>
      </c>
      <c r="C79" s="87">
        <v>235</v>
      </c>
      <c r="D79" s="85">
        <v>162.80000000000001</v>
      </c>
      <c r="E79" s="86">
        <v>49</v>
      </c>
      <c r="F79" s="85">
        <v>132.6</v>
      </c>
      <c r="G79" s="17">
        <v>40</v>
      </c>
      <c r="H79" s="87">
        <v>10</v>
      </c>
      <c r="I79" s="88"/>
      <c r="J79" s="88"/>
      <c r="K79" s="88"/>
      <c r="L79" s="88"/>
      <c r="M79" s="89">
        <f>I79-K79</f>
        <v>0</v>
      </c>
      <c r="N79" s="4" t="str">
        <f>IF(ISERROR(K79/I79),"",K79/I79)</f>
        <v/>
      </c>
      <c r="O79" s="90">
        <f>I79/E79</f>
        <v>0</v>
      </c>
      <c r="P79" s="90">
        <f>K79/E79</f>
        <v>0</v>
      </c>
      <c r="Q79" s="76">
        <v>4</v>
      </c>
      <c r="R79" s="76">
        <v>2</v>
      </c>
      <c r="S79" s="76" t="s">
        <v>61</v>
      </c>
      <c r="T79" s="5">
        <v>162</v>
      </c>
      <c r="U79" s="9"/>
      <c r="W79" s="85">
        <f t="shared" si="58"/>
        <v>162.80000000000001</v>
      </c>
      <c r="X79" s="86">
        <f t="shared" si="58"/>
        <v>49</v>
      </c>
      <c r="Y79" s="91">
        <f t="shared" si="59"/>
        <v>10</v>
      </c>
      <c r="Z79" s="89">
        <f t="shared" si="59"/>
        <v>0</v>
      </c>
      <c r="AA79" s="89">
        <f>K79</f>
        <v>0</v>
      </c>
      <c r="AB79" s="89">
        <f t="shared" si="60"/>
        <v>0</v>
      </c>
      <c r="AC79" s="4" t="str">
        <f t="shared" si="60"/>
        <v/>
      </c>
      <c r="AD79" s="90">
        <f t="shared" si="60"/>
        <v>0</v>
      </c>
      <c r="AE79" s="76" t="str">
        <f>S79</f>
        <v>계</v>
      </c>
      <c r="AF79" s="76" t="str">
        <f>Q79&amp;"/"&amp;R79</f>
        <v>4/2</v>
      </c>
      <c r="AH79" s="20" t="str">
        <f t="shared" si="54"/>
        <v>효자성원맨션</v>
      </c>
      <c r="AI79" s="86">
        <f t="shared" si="53"/>
        <v>49</v>
      </c>
      <c r="AJ79" s="76" t="str">
        <f>IF(AI79="","",$AJ$2)</f>
        <v>A-</v>
      </c>
      <c r="AK79" s="76" t="s">
        <v>13</v>
      </c>
      <c r="AL79" s="76" t="s">
        <v>62</v>
      </c>
      <c r="AM79" s="76" t="s">
        <v>63</v>
      </c>
      <c r="AN79" s="76" t="str">
        <f>IF(AI79="","",$AN$2)</f>
        <v>C</v>
      </c>
      <c r="AO79" s="76" t="str">
        <f>IF(N79="","",IF(N79&gt;=$AO$1/100,"O","X"))</f>
        <v/>
      </c>
      <c r="AP79" s="76" t="str">
        <f>IF(I79="","",IF(I79&lt;=$AP$1,"O","X"))</f>
        <v/>
      </c>
      <c r="AQ79" s="76" t="str">
        <f>IF(O79="","",IF(O79&lt;=$AQ$1,"O","X"))</f>
        <v>O</v>
      </c>
      <c r="AR79" s="76" t="str">
        <f>IF(M79="","",IF(M79&lt;=$AR$1,"O","X"))</f>
        <v>O</v>
      </c>
      <c r="AS79" s="76" t="s">
        <v>2</v>
      </c>
      <c r="AT79" s="76" t="str">
        <f>IF(OR(F79="",AI79=""),"",IF(AND((F79&lt;=85),(AI79&gt;=15)),"O","X"))</f>
        <v>X</v>
      </c>
      <c r="AU79" s="76" t="str">
        <f>IF(C79="","",IF(C79&gt;=$AU$1,"O","X"))</f>
        <v>X</v>
      </c>
      <c r="AV79" s="76" t="str">
        <f>IF(AO79="","",IF(AND(AO79="O",AP79="O",AR79="O",AT79="O",AU79="O"),"후보","X"))</f>
        <v/>
      </c>
    </row>
    <row r="80" spans="1:48" x14ac:dyDescent="0.3">
      <c r="A80" s="9"/>
      <c r="B80" s="76"/>
      <c r="C80" s="6"/>
      <c r="D80" s="9"/>
      <c r="E80" s="14"/>
      <c r="F80" s="85"/>
      <c r="G80" s="9"/>
      <c r="H80" s="9"/>
      <c r="I80" s="9"/>
      <c r="J80" s="9"/>
      <c r="K80" s="9"/>
      <c r="L80" s="9"/>
      <c r="M80" s="9"/>
      <c r="N80" s="9"/>
      <c r="O80" s="90"/>
      <c r="P80" s="90"/>
      <c r="Q80" s="86"/>
      <c r="R80" s="86"/>
      <c r="S80" s="9"/>
      <c r="T80" s="47"/>
      <c r="U80" s="9"/>
      <c r="W80" s="67" t="str">
        <f>$A$4&amp;" "&amp;A81&amp;"("&amp;B81&amp;","&amp;C81&amp;"^)"</f>
        <v>효자동1가 힐스테이트어울림효자('22.06.,1248^)</v>
      </c>
      <c r="X80" s="68"/>
      <c r="Y80" s="68"/>
      <c r="Z80" s="68"/>
      <c r="AA80" s="68"/>
      <c r="AB80" s="68"/>
      <c r="AC80" s="68"/>
      <c r="AD80" s="68"/>
      <c r="AE80" s="68"/>
      <c r="AF80" s="69"/>
      <c r="AH80" s="20" t="str">
        <f t="shared" si="54"/>
        <v/>
      </c>
      <c r="AI80" s="108" t="str">
        <f t="shared" si="53"/>
        <v/>
      </c>
      <c r="AJ80" s="76"/>
      <c r="AK80" s="76"/>
      <c r="AL80" s="76"/>
      <c r="AM80" s="76"/>
      <c r="AN80" s="76"/>
      <c r="AO80" s="76"/>
      <c r="AP80" s="76"/>
      <c r="AQ80" s="76"/>
      <c r="AR80" s="76"/>
      <c r="AS80" s="76"/>
      <c r="AT80" s="76"/>
      <c r="AU80" s="76"/>
      <c r="AV80" s="76"/>
    </row>
    <row r="81" spans="1:48" x14ac:dyDescent="0.3">
      <c r="A81" s="9" t="s">
        <v>1597</v>
      </c>
      <c r="B81" s="10" t="s">
        <v>1926</v>
      </c>
      <c r="C81" s="87">
        <v>1248</v>
      </c>
      <c r="D81" s="85">
        <v>78.400000000000006</v>
      </c>
      <c r="E81" s="86">
        <v>24</v>
      </c>
      <c r="F81" s="85">
        <v>59.9</v>
      </c>
      <c r="G81" s="17">
        <v>18</v>
      </c>
      <c r="H81" s="87">
        <v>98</v>
      </c>
      <c r="I81" s="88"/>
      <c r="J81" s="88"/>
      <c r="K81" s="88"/>
      <c r="L81" s="88"/>
      <c r="M81" s="89">
        <f t="shared" ref="M81:M89" si="61">I81-K81</f>
        <v>0</v>
      </c>
      <c r="N81" s="4" t="str">
        <f t="shared" ref="N81:N89" si="62">IF(ISERROR(K81/I81),"",K81/I81)</f>
        <v/>
      </c>
      <c r="O81" s="90">
        <f t="shared" ref="O81:O89" si="63">I81/E81</f>
        <v>0</v>
      </c>
      <c r="P81" s="90">
        <f t="shared" ref="P81:P89" si="64">K81/E81</f>
        <v>0</v>
      </c>
      <c r="Q81" s="76">
        <v>3</v>
      </c>
      <c r="R81" s="76">
        <v>2</v>
      </c>
      <c r="S81" s="76" t="s">
        <v>61</v>
      </c>
      <c r="T81" s="5">
        <v>78</v>
      </c>
      <c r="U81" s="9"/>
      <c r="W81" s="85">
        <f t="shared" ref="W81:W89" si="65">D81</f>
        <v>78.400000000000006</v>
      </c>
      <c r="X81" s="86">
        <f t="shared" ref="X81:X89" si="66">E81</f>
        <v>24</v>
      </c>
      <c r="Y81" s="91">
        <f t="shared" ref="Y81:Y89" si="67">H81</f>
        <v>98</v>
      </c>
      <c r="Z81" s="89">
        <f t="shared" ref="Z81:Z89" si="68">I81</f>
        <v>0</v>
      </c>
      <c r="AA81" s="89">
        <f t="shared" ref="AA81:AA89" si="69">K81</f>
        <v>0</v>
      </c>
      <c r="AB81" s="89">
        <f t="shared" ref="AB81:AB89" si="70">M81</f>
        <v>0</v>
      </c>
      <c r="AC81" s="4" t="str">
        <f t="shared" ref="AC81:AC89" si="71">N81</f>
        <v/>
      </c>
      <c r="AD81" s="90">
        <f t="shared" ref="AD81:AD89" si="72">O81</f>
        <v>0</v>
      </c>
      <c r="AE81" s="76" t="str">
        <f t="shared" ref="AE81:AE89" si="73">S81</f>
        <v>계</v>
      </c>
      <c r="AF81" s="76" t="str">
        <f t="shared" ref="AF81:AF89" si="74">Q81&amp;"/"&amp;R81</f>
        <v>3/2</v>
      </c>
      <c r="AH81" s="20" t="str">
        <f t="shared" si="54"/>
        <v>힐스테이트어울림효자</v>
      </c>
      <c r="AI81" s="86">
        <f t="shared" si="53"/>
        <v>24</v>
      </c>
      <c r="AJ81" s="76" t="str">
        <f t="shared" ref="AJ81:AJ89" si="75">IF(AI81="","",$AJ$2)</f>
        <v>A-</v>
      </c>
      <c r="AK81" s="76" t="s">
        <v>13</v>
      </c>
      <c r="AL81" s="76" t="s">
        <v>62</v>
      </c>
      <c r="AM81" s="76" t="s">
        <v>63</v>
      </c>
      <c r="AN81" s="76" t="str">
        <f t="shared" ref="AN81:AN89" si="76">IF(AI81="","",$AN$2)</f>
        <v>C</v>
      </c>
      <c r="AO81" s="76" t="str">
        <f t="shared" ref="AO81:AO89" si="77">IF(N81="","",IF(N81&gt;=$AO$1/100,"O","X"))</f>
        <v/>
      </c>
      <c r="AP81" s="76" t="str">
        <f t="shared" ref="AP81:AP89" si="78">IF(I81="","",IF(I81&lt;=$AP$1,"O","X"))</f>
        <v/>
      </c>
      <c r="AQ81" s="76" t="str">
        <f t="shared" ref="AQ81:AQ89" si="79">IF(O81="","",IF(O81&lt;=$AQ$1,"O","X"))</f>
        <v>O</v>
      </c>
      <c r="AR81" s="76" t="str">
        <f t="shared" ref="AR81:AR89" si="80">IF(M81="","",IF(M81&lt;=$AR$1,"O","X"))</f>
        <v>O</v>
      </c>
      <c r="AS81" s="76" t="s">
        <v>2</v>
      </c>
      <c r="AT81" s="76" t="str">
        <f t="shared" ref="AT81:AT89" si="81">IF(OR(F81="",AI81=""),"",IF(AND((F81&lt;=85),(AI81&gt;=15)),"O","X"))</f>
        <v>O</v>
      </c>
      <c r="AU81" s="76" t="str">
        <f t="shared" ref="AU81:AU89" si="82">IF(C81="","",IF(C81&gt;=$AU$1,"O","X"))</f>
        <v>O</v>
      </c>
      <c r="AV81" s="76" t="str">
        <f t="shared" ref="AV81:AV89" si="83">IF(AO81="","",IF(AND(AO81="O",AP81="O",AR81="O",AT81="O",AU81="O"),"후보","X"))</f>
        <v/>
      </c>
    </row>
    <row r="82" spans="1:48" x14ac:dyDescent="0.3">
      <c r="A82" s="9" t="s">
        <v>1597</v>
      </c>
      <c r="B82" s="10" t="s">
        <v>1926</v>
      </c>
      <c r="C82" s="87">
        <v>1248</v>
      </c>
      <c r="D82" s="85">
        <v>91.1</v>
      </c>
      <c r="E82" s="86">
        <v>28</v>
      </c>
      <c r="F82" s="85">
        <v>70.599999999999994</v>
      </c>
      <c r="G82" s="17">
        <v>21</v>
      </c>
      <c r="H82" s="87">
        <v>170</v>
      </c>
      <c r="I82" s="88"/>
      <c r="J82" s="88"/>
      <c r="K82" s="88"/>
      <c r="L82" s="88"/>
      <c r="M82" s="89">
        <f t="shared" si="61"/>
        <v>0</v>
      </c>
      <c r="N82" s="4" t="str">
        <f t="shared" si="62"/>
        <v/>
      </c>
      <c r="O82" s="90">
        <f t="shared" si="63"/>
        <v>0</v>
      </c>
      <c r="P82" s="90">
        <f t="shared" si="64"/>
        <v>0</v>
      </c>
      <c r="Q82" s="76">
        <v>3</v>
      </c>
      <c r="R82" s="76">
        <v>2</v>
      </c>
      <c r="S82" s="76" t="s">
        <v>61</v>
      </c>
      <c r="T82" s="5">
        <v>91</v>
      </c>
      <c r="U82" s="9"/>
      <c r="W82" s="85">
        <f t="shared" si="65"/>
        <v>91.1</v>
      </c>
      <c r="X82" s="86">
        <f t="shared" si="66"/>
        <v>28</v>
      </c>
      <c r="Y82" s="91">
        <f t="shared" si="67"/>
        <v>170</v>
      </c>
      <c r="Z82" s="89">
        <f t="shared" si="68"/>
        <v>0</v>
      </c>
      <c r="AA82" s="89">
        <f t="shared" si="69"/>
        <v>0</v>
      </c>
      <c r="AB82" s="89">
        <f t="shared" si="70"/>
        <v>0</v>
      </c>
      <c r="AC82" s="4" t="str">
        <f t="shared" si="71"/>
        <v/>
      </c>
      <c r="AD82" s="90">
        <f t="shared" si="72"/>
        <v>0</v>
      </c>
      <c r="AE82" s="76" t="str">
        <f t="shared" si="73"/>
        <v>계</v>
      </c>
      <c r="AF82" s="76" t="str">
        <f t="shared" si="74"/>
        <v>3/2</v>
      </c>
      <c r="AH82" s="20" t="str">
        <f t="shared" si="54"/>
        <v>힐스테이트어울림효자</v>
      </c>
      <c r="AI82" s="86">
        <f t="shared" si="53"/>
        <v>28</v>
      </c>
      <c r="AJ82" s="76" t="str">
        <f t="shared" si="75"/>
        <v>A-</v>
      </c>
      <c r="AK82" s="76" t="s">
        <v>13</v>
      </c>
      <c r="AL82" s="76" t="s">
        <v>62</v>
      </c>
      <c r="AM82" s="76" t="s">
        <v>63</v>
      </c>
      <c r="AN82" s="76" t="str">
        <f t="shared" si="76"/>
        <v>C</v>
      </c>
      <c r="AO82" s="76" t="str">
        <f t="shared" si="77"/>
        <v/>
      </c>
      <c r="AP82" s="76" t="str">
        <f t="shared" si="78"/>
        <v/>
      </c>
      <c r="AQ82" s="76" t="str">
        <f t="shared" si="79"/>
        <v>O</v>
      </c>
      <c r="AR82" s="76" t="str">
        <f t="shared" si="80"/>
        <v>O</v>
      </c>
      <c r="AS82" s="76" t="s">
        <v>2</v>
      </c>
      <c r="AT82" s="76" t="str">
        <f t="shared" si="81"/>
        <v>O</v>
      </c>
      <c r="AU82" s="76" t="str">
        <f t="shared" si="82"/>
        <v>O</v>
      </c>
      <c r="AV82" s="76" t="str">
        <f t="shared" si="83"/>
        <v/>
      </c>
    </row>
    <row r="83" spans="1:48" x14ac:dyDescent="0.3">
      <c r="A83" s="9" t="s">
        <v>1597</v>
      </c>
      <c r="B83" s="10" t="s">
        <v>1926</v>
      </c>
      <c r="C83" s="87">
        <v>1248</v>
      </c>
      <c r="D83" s="85">
        <v>101.8</v>
      </c>
      <c r="E83" s="86">
        <v>31</v>
      </c>
      <c r="F83" s="85">
        <v>78.599999999999994</v>
      </c>
      <c r="G83" s="17">
        <v>24</v>
      </c>
      <c r="H83" s="87">
        <v>183</v>
      </c>
      <c r="I83" s="88"/>
      <c r="J83" s="88"/>
      <c r="K83" s="88"/>
      <c r="L83" s="88"/>
      <c r="M83" s="89">
        <f t="shared" si="61"/>
        <v>0</v>
      </c>
      <c r="N83" s="4" t="str">
        <f t="shared" si="62"/>
        <v/>
      </c>
      <c r="O83" s="90">
        <f t="shared" si="63"/>
        <v>0</v>
      </c>
      <c r="P83" s="90">
        <f t="shared" si="64"/>
        <v>0</v>
      </c>
      <c r="Q83" s="76">
        <v>3</v>
      </c>
      <c r="R83" s="76">
        <v>2</v>
      </c>
      <c r="S83" s="76" t="s">
        <v>61</v>
      </c>
      <c r="T83" s="5" t="s">
        <v>399</v>
      </c>
      <c r="U83" s="9"/>
      <c r="W83" s="85">
        <f t="shared" si="65"/>
        <v>101.8</v>
      </c>
      <c r="X83" s="86">
        <f t="shared" si="66"/>
        <v>31</v>
      </c>
      <c r="Y83" s="91">
        <f t="shared" si="67"/>
        <v>183</v>
      </c>
      <c r="Z83" s="89">
        <f t="shared" si="68"/>
        <v>0</v>
      </c>
      <c r="AA83" s="89">
        <f t="shared" si="69"/>
        <v>0</v>
      </c>
      <c r="AB83" s="89">
        <f t="shared" si="70"/>
        <v>0</v>
      </c>
      <c r="AC83" s="4" t="str">
        <f t="shared" si="71"/>
        <v/>
      </c>
      <c r="AD83" s="90">
        <f t="shared" si="72"/>
        <v>0</v>
      </c>
      <c r="AE83" s="76" t="str">
        <f t="shared" si="73"/>
        <v>계</v>
      </c>
      <c r="AF83" s="76" t="str">
        <f t="shared" si="74"/>
        <v>3/2</v>
      </c>
      <c r="AH83" s="20" t="str">
        <f t="shared" si="54"/>
        <v>힐스테이트어울림효자</v>
      </c>
      <c r="AI83" s="86">
        <f t="shared" si="53"/>
        <v>31</v>
      </c>
      <c r="AJ83" s="76" t="str">
        <f t="shared" si="75"/>
        <v>A-</v>
      </c>
      <c r="AK83" s="76" t="s">
        <v>13</v>
      </c>
      <c r="AL83" s="76" t="s">
        <v>62</v>
      </c>
      <c r="AM83" s="76" t="s">
        <v>63</v>
      </c>
      <c r="AN83" s="76" t="str">
        <f t="shared" si="76"/>
        <v>C</v>
      </c>
      <c r="AO83" s="76" t="str">
        <f t="shared" si="77"/>
        <v/>
      </c>
      <c r="AP83" s="76" t="str">
        <f t="shared" si="78"/>
        <v/>
      </c>
      <c r="AQ83" s="76" t="str">
        <f t="shared" si="79"/>
        <v>O</v>
      </c>
      <c r="AR83" s="76" t="str">
        <f t="shared" si="80"/>
        <v>O</v>
      </c>
      <c r="AS83" s="76" t="s">
        <v>2</v>
      </c>
      <c r="AT83" s="76" t="str">
        <f t="shared" si="81"/>
        <v>O</v>
      </c>
      <c r="AU83" s="76" t="str">
        <f t="shared" si="82"/>
        <v>O</v>
      </c>
      <c r="AV83" s="76" t="str">
        <f t="shared" si="83"/>
        <v/>
      </c>
    </row>
    <row r="84" spans="1:48" x14ac:dyDescent="0.3">
      <c r="A84" s="9" t="s">
        <v>1597</v>
      </c>
      <c r="B84" s="10" t="s">
        <v>1926</v>
      </c>
      <c r="C84" s="87">
        <v>1248</v>
      </c>
      <c r="D84" s="85">
        <v>102.9</v>
      </c>
      <c r="E84" s="86">
        <v>31</v>
      </c>
      <c r="F84" s="85">
        <v>79</v>
      </c>
      <c r="G84" s="17">
        <v>24</v>
      </c>
      <c r="H84" s="87">
        <v>128</v>
      </c>
      <c r="I84" s="88"/>
      <c r="J84" s="88"/>
      <c r="K84" s="88"/>
      <c r="L84" s="88"/>
      <c r="M84" s="89">
        <f t="shared" si="61"/>
        <v>0</v>
      </c>
      <c r="N84" s="4" t="str">
        <f t="shared" si="62"/>
        <v/>
      </c>
      <c r="O84" s="90">
        <f t="shared" si="63"/>
        <v>0</v>
      </c>
      <c r="P84" s="90">
        <f t="shared" si="64"/>
        <v>0</v>
      </c>
      <c r="Q84" s="76">
        <v>3</v>
      </c>
      <c r="R84" s="76">
        <v>2</v>
      </c>
      <c r="S84" s="76" t="s">
        <v>61</v>
      </c>
      <c r="T84" s="5" t="s">
        <v>400</v>
      </c>
      <c r="U84" s="9"/>
      <c r="W84" s="85">
        <f t="shared" si="65"/>
        <v>102.9</v>
      </c>
      <c r="X84" s="86">
        <f t="shared" si="66"/>
        <v>31</v>
      </c>
      <c r="Y84" s="91">
        <f t="shared" si="67"/>
        <v>128</v>
      </c>
      <c r="Z84" s="89">
        <f t="shared" si="68"/>
        <v>0</v>
      </c>
      <c r="AA84" s="89">
        <f t="shared" si="69"/>
        <v>0</v>
      </c>
      <c r="AB84" s="89">
        <f t="shared" si="70"/>
        <v>0</v>
      </c>
      <c r="AC84" s="4" t="str">
        <f t="shared" si="71"/>
        <v/>
      </c>
      <c r="AD84" s="90">
        <f t="shared" si="72"/>
        <v>0</v>
      </c>
      <c r="AE84" s="76" t="str">
        <f t="shared" si="73"/>
        <v>계</v>
      </c>
      <c r="AF84" s="76" t="str">
        <f t="shared" si="74"/>
        <v>3/2</v>
      </c>
      <c r="AH84" s="20" t="str">
        <f t="shared" si="54"/>
        <v>힐스테이트어울림효자</v>
      </c>
      <c r="AI84" s="86">
        <f t="shared" si="53"/>
        <v>31</v>
      </c>
      <c r="AJ84" s="76" t="str">
        <f t="shared" si="75"/>
        <v>A-</v>
      </c>
      <c r="AK84" s="76" t="s">
        <v>13</v>
      </c>
      <c r="AL84" s="76" t="s">
        <v>62</v>
      </c>
      <c r="AM84" s="76" t="s">
        <v>63</v>
      </c>
      <c r="AN84" s="76" t="str">
        <f t="shared" si="76"/>
        <v>C</v>
      </c>
      <c r="AO84" s="76" t="str">
        <f t="shared" si="77"/>
        <v/>
      </c>
      <c r="AP84" s="76" t="str">
        <f t="shared" si="78"/>
        <v/>
      </c>
      <c r="AQ84" s="76" t="str">
        <f t="shared" si="79"/>
        <v>O</v>
      </c>
      <c r="AR84" s="76" t="str">
        <f t="shared" si="80"/>
        <v>O</v>
      </c>
      <c r="AS84" s="76" t="s">
        <v>2</v>
      </c>
      <c r="AT84" s="76" t="str">
        <f t="shared" si="81"/>
        <v>O</v>
      </c>
      <c r="AU84" s="76" t="str">
        <f t="shared" si="82"/>
        <v>O</v>
      </c>
      <c r="AV84" s="76" t="str">
        <f t="shared" si="83"/>
        <v/>
      </c>
    </row>
    <row r="85" spans="1:48" x14ac:dyDescent="0.3">
      <c r="A85" s="9" t="s">
        <v>1597</v>
      </c>
      <c r="B85" s="10" t="s">
        <v>1926</v>
      </c>
      <c r="C85" s="87">
        <v>1248</v>
      </c>
      <c r="D85" s="85">
        <v>102.3</v>
      </c>
      <c r="E85" s="86">
        <v>31</v>
      </c>
      <c r="F85" s="85">
        <v>79</v>
      </c>
      <c r="G85" s="17">
        <v>24</v>
      </c>
      <c r="H85" s="87">
        <v>91</v>
      </c>
      <c r="I85" s="88"/>
      <c r="J85" s="88"/>
      <c r="K85" s="88"/>
      <c r="L85" s="88"/>
      <c r="M85" s="89">
        <f t="shared" si="61"/>
        <v>0</v>
      </c>
      <c r="N85" s="4" t="str">
        <f t="shared" si="62"/>
        <v/>
      </c>
      <c r="O85" s="90">
        <f t="shared" si="63"/>
        <v>0</v>
      </c>
      <c r="P85" s="90">
        <f t="shared" si="64"/>
        <v>0</v>
      </c>
      <c r="Q85" s="76">
        <v>4</v>
      </c>
      <c r="R85" s="76">
        <v>2</v>
      </c>
      <c r="S85" s="76" t="s">
        <v>61</v>
      </c>
      <c r="T85" s="5" t="s">
        <v>401</v>
      </c>
      <c r="U85" s="9"/>
      <c r="W85" s="85">
        <f t="shared" si="65"/>
        <v>102.3</v>
      </c>
      <c r="X85" s="86">
        <f t="shared" si="66"/>
        <v>31</v>
      </c>
      <c r="Y85" s="91">
        <f t="shared" si="67"/>
        <v>91</v>
      </c>
      <c r="Z85" s="89">
        <f t="shared" si="68"/>
        <v>0</v>
      </c>
      <c r="AA85" s="89">
        <f t="shared" si="69"/>
        <v>0</v>
      </c>
      <c r="AB85" s="89">
        <f t="shared" si="70"/>
        <v>0</v>
      </c>
      <c r="AC85" s="4" t="str">
        <f t="shared" si="71"/>
        <v/>
      </c>
      <c r="AD85" s="90">
        <f t="shared" si="72"/>
        <v>0</v>
      </c>
      <c r="AE85" s="76" t="str">
        <f t="shared" si="73"/>
        <v>계</v>
      </c>
      <c r="AF85" s="76" t="str">
        <f t="shared" si="74"/>
        <v>4/2</v>
      </c>
      <c r="AH85" s="20" t="str">
        <f t="shared" si="54"/>
        <v>힐스테이트어울림효자</v>
      </c>
      <c r="AI85" s="86">
        <f t="shared" si="53"/>
        <v>31</v>
      </c>
      <c r="AJ85" s="76" t="str">
        <f t="shared" si="75"/>
        <v>A-</v>
      </c>
      <c r="AK85" s="76" t="s">
        <v>13</v>
      </c>
      <c r="AL85" s="76" t="s">
        <v>62</v>
      </c>
      <c r="AM85" s="76" t="s">
        <v>63</v>
      </c>
      <c r="AN85" s="76" t="str">
        <f t="shared" si="76"/>
        <v>C</v>
      </c>
      <c r="AO85" s="76" t="str">
        <f t="shared" si="77"/>
        <v/>
      </c>
      <c r="AP85" s="76" t="str">
        <f t="shared" si="78"/>
        <v/>
      </c>
      <c r="AQ85" s="76" t="str">
        <f t="shared" si="79"/>
        <v>O</v>
      </c>
      <c r="AR85" s="76" t="str">
        <f t="shared" si="80"/>
        <v>O</v>
      </c>
      <c r="AS85" s="76" t="s">
        <v>2</v>
      </c>
      <c r="AT85" s="76" t="str">
        <f t="shared" si="81"/>
        <v>O</v>
      </c>
      <c r="AU85" s="76" t="str">
        <f t="shared" si="82"/>
        <v>O</v>
      </c>
      <c r="AV85" s="76" t="str">
        <f t="shared" si="83"/>
        <v/>
      </c>
    </row>
    <row r="86" spans="1:48" x14ac:dyDescent="0.3">
      <c r="A86" s="9" t="s">
        <v>1597</v>
      </c>
      <c r="B86" s="10" t="s">
        <v>1926</v>
      </c>
      <c r="C86" s="87">
        <v>1248</v>
      </c>
      <c r="D86" s="85">
        <v>110.1</v>
      </c>
      <c r="E86" s="86">
        <v>33</v>
      </c>
      <c r="F86" s="85">
        <v>85</v>
      </c>
      <c r="G86" s="17">
        <v>26</v>
      </c>
      <c r="H86" s="87">
        <v>329</v>
      </c>
      <c r="I86" s="88"/>
      <c r="J86" s="88"/>
      <c r="K86" s="88"/>
      <c r="L86" s="88"/>
      <c r="M86" s="89">
        <f t="shared" si="61"/>
        <v>0</v>
      </c>
      <c r="N86" s="4" t="str">
        <f t="shared" si="62"/>
        <v/>
      </c>
      <c r="O86" s="90">
        <f t="shared" si="63"/>
        <v>0</v>
      </c>
      <c r="P86" s="90">
        <f t="shared" si="64"/>
        <v>0</v>
      </c>
      <c r="Q86" s="76">
        <v>4</v>
      </c>
      <c r="R86" s="76">
        <v>2</v>
      </c>
      <c r="S86" s="76" t="s">
        <v>61</v>
      </c>
      <c r="T86" s="5" t="s">
        <v>292</v>
      </c>
      <c r="U86" s="9"/>
      <c r="W86" s="85">
        <f t="shared" si="65"/>
        <v>110.1</v>
      </c>
      <c r="X86" s="86">
        <f t="shared" si="66"/>
        <v>33</v>
      </c>
      <c r="Y86" s="91">
        <f t="shared" si="67"/>
        <v>329</v>
      </c>
      <c r="Z86" s="89">
        <f t="shared" si="68"/>
        <v>0</v>
      </c>
      <c r="AA86" s="89">
        <f t="shared" si="69"/>
        <v>0</v>
      </c>
      <c r="AB86" s="89">
        <f t="shared" si="70"/>
        <v>0</v>
      </c>
      <c r="AC86" s="4" t="str">
        <f t="shared" si="71"/>
        <v/>
      </c>
      <c r="AD86" s="90">
        <f t="shared" si="72"/>
        <v>0</v>
      </c>
      <c r="AE86" s="76" t="str">
        <f t="shared" si="73"/>
        <v>계</v>
      </c>
      <c r="AF86" s="76" t="str">
        <f t="shared" si="74"/>
        <v>4/2</v>
      </c>
      <c r="AH86" s="20" t="str">
        <f t="shared" si="54"/>
        <v>힐스테이트어울림효자</v>
      </c>
      <c r="AI86" s="86">
        <f t="shared" si="53"/>
        <v>33</v>
      </c>
      <c r="AJ86" s="76" t="str">
        <f t="shared" si="75"/>
        <v>A-</v>
      </c>
      <c r="AK86" s="76" t="s">
        <v>13</v>
      </c>
      <c r="AL86" s="76" t="s">
        <v>62</v>
      </c>
      <c r="AM86" s="76" t="s">
        <v>63</v>
      </c>
      <c r="AN86" s="76" t="str">
        <f t="shared" si="76"/>
        <v>C</v>
      </c>
      <c r="AO86" s="76" t="str">
        <f t="shared" si="77"/>
        <v/>
      </c>
      <c r="AP86" s="76" t="str">
        <f t="shared" si="78"/>
        <v/>
      </c>
      <c r="AQ86" s="76" t="str">
        <f t="shared" si="79"/>
        <v>O</v>
      </c>
      <c r="AR86" s="76" t="str">
        <f t="shared" si="80"/>
        <v>O</v>
      </c>
      <c r="AS86" s="76" t="s">
        <v>2</v>
      </c>
      <c r="AT86" s="76" t="str">
        <f t="shared" si="81"/>
        <v>O</v>
      </c>
      <c r="AU86" s="76" t="str">
        <f t="shared" si="82"/>
        <v>O</v>
      </c>
      <c r="AV86" s="76" t="str">
        <f t="shared" si="83"/>
        <v/>
      </c>
    </row>
    <row r="87" spans="1:48" x14ac:dyDescent="0.3">
      <c r="A87" s="9" t="s">
        <v>1597</v>
      </c>
      <c r="B87" s="10" t="s">
        <v>1926</v>
      </c>
      <c r="C87" s="87">
        <v>1248</v>
      </c>
      <c r="D87" s="85">
        <v>110.5</v>
      </c>
      <c r="E87" s="86">
        <v>33</v>
      </c>
      <c r="F87" s="85">
        <v>84.9</v>
      </c>
      <c r="G87" s="17">
        <v>26</v>
      </c>
      <c r="H87" s="87">
        <v>148</v>
      </c>
      <c r="I87" s="88"/>
      <c r="J87" s="88"/>
      <c r="K87" s="88"/>
      <c r="L87" s="88"/>
      <c r="M87" s="89">
        <f t="shared" si="61"/>
        <v>0</v>
      </c>
      <c r="N87" s="4" t="str">
        <f t="shared" si="62"/>
        <v/>
      </c>
      <c r="O87" s="90">
        <f t="shared" si="63"/>
        <v>0</v>
      </c>
      <c r="P87" s="90">
        <f t="shared" si="64"/>
        <v>0</v>
      </c>
      <c r="Q87" s="76">
        <v>4</v>
      </c>
      <c r="R87" s="76">
        <v>2</v>
      </c>
      <c r="S87" s="76" t="s">
        <v>61</v>
      </c>
      <c r="T87" s="5" t="s">
        <v>125</v>
      </c>
      <c r="U87" s="9"/>
      <c r="W87" s="85">
        <f t="shared" si="65"/>
        <v>110.5</v>
      </c>
      <c r="X87" s="86">
        <f t="shared" si="66"/>
        <v>33</v>
      </c>
      <c r="Y87" s="91">
        <f t="shared" si="67"/>
        <v>148</v>
      </c>
      <c r="Z87" s="89">
        <f t="shared" si="68"/>
        <v>0</v>
      </c>
      <c r="AA87" s="89">
        <f t="shared" si="69"/>
        <v>0</v>
      </c>
      <c r="AB87" s="89">
        <f t="shared" si="70"/>
        <v>0</v>
      </c>
      <c r="AC87" s="4" t="str">
        <f t="shared" si="71"/>
        <v/>
      </c>
      <c r="AD87" s="90">
        <f t="shared" si="72"/>
        <v>0</v>
      </c>
      <c r="AE87" s="76" t="str">
        <f t="shared" si="73"/>
        <v>계</v>
      </c>
      <c r="AF87" s="76" t="str">
        <f t="shared" si="74"/>
        <v>4/2</v>
      </c>
      <c r="AH87" s="20" t="str">
        <f t="shared" si="54"/>
        <v>힐스테이트어울림효자</v>
      </c>
      <c r="AI87" s="86">
        <f t="shared" si="53"/>
        <v>33</v>
      </c>
      <c r="AJ87" s="76" t="str">
        <f t="shared" si="75"/>
        <v>A-</v>
      </c>
      <c r="AK87" s="76" t="s">
        <v>13</v>
      </c>
      <c r="AL87" s="76" t="s">
        <v>62</v>
      </c>
      <c r="AM87" s="76" t="s">
        <v>63</v>
      </c>
      <c r="AN87" s="76" t="str">
        <f t="shared" si="76"/>
        <v>C</v>
      </c>
      <c r="AO87" s="76" t="str">
        <f t="shared" si="77"/>
        <v/>
      </c>
      <c r="AP87" s="76" t="str">
        <f t="shared" si="78"/>
        <v/>
      </c>
      <c r="AQ87" s="76" t="str">
        <f t="shared" si="79"/>
        <v>O</v>
      </c>
      <c r="AR87" s="76" t="str">
        <f t="shared" si="80"/>
        <v>O</v>
      </c>
      <c r="AS87" s="76" t="s">
        <v>2</v>
      </c>
      <c r="AT87" s="76" t="str">
        <f t="shared" si="81"/>
        <v>O</v>
      </c>
      <c r="AU87" s="76" t="str">
        <f t="shared" si="82"/>
        <v>O</v>
      </c>
      <c r="AV87" s="76" t="str">
        <f t="shared" si="83"/>
        <v/>
      </c>
    </row>
    <row r="88" spans="1:48" x14ac:dyDescent="0.3">
      <c r="A88" s="9" t="s">
        <v>1597</v>
      </c>
      <c r="B88" s="10" t="s">
        <v>1926</v>
      </c>
      <c r="C88" s="87">
        <v>1248</v>
      </c>
      <c r="D88" s="85">
        <v>131.9</v>
      </c>
      <c r="E88" s="86">
        <v>40</v>
      </c>
      <c r="F88" s="85">
        <v>101.9</v>
      </c>
      <c r="G88" s="17">
        <v>31</v>
      </c>
      <c r="H88" s="87">
        <v>34</v>
      </c>
      <c r="I88" s="88"/>
      <c r="J88" s="88"/>
      <c r="K88" s="88"/>
      <c r="L88" s="88"/>
      <c r="M88" s="89">
        <f t="shared" si="61"/>
        <v>0</v>
      </c>
      <c r="N88" s="4" t="str">
        <f t="shared" si="62"/>
        <v/>
      </c>
      <c r="O88" s="90">
        <f t="shared" si="63"/>
        <v>0</v>
      </c>
      <c r="P88" s="90">
        <f t="shared" si="64"/>
        <v>0</v>
      </c>
      <c r="Q88" s="76">
        <v>4</v>
      </c>
      <c r="R88" s="76">
        <v>2</v>
      </c>
      <c r="S88" s="76" t="s">
        <v>61</v>
      </c>
      <c r="T88" s="5" t="s">
        <v>402</v>
      </c>
      <c r="U88" s="9"/>
      <c r="W88" s="85">
        <f t="shared" si="65"/>
        <v>131.9</v>
      </c>
      <c r="X88" s="86">
        <f t="shared" si="66"/>
        <v>40</v>
      </c>
      <c r="Y88" s="91">
        <f t="shared" si="67"/>
        <v>34</v>
      </c>
      <c r="Z88" s="89">
        <f t="shared" si="68"/>
        <v>0</v>
      </c>
      <c r="AA88" s="89">
        <f t="shared" si="69"/>
        <v>0</v>
      </c>
      <c r="AB88" s="89">
        <f t="shared" si="70"/>
        <v>0</v>
      </c>
      <c r="AC88" s="4" t="str">
        <f t="shared" si="71"/>
        <v/>
      </c>
      <c r="AD88" s="90">
        <f t="shared" si="72"/>
        <v>0</v>
      </c>
      <c r="AE88" s="76" t="str">
        <f t="shared" si="73"/>
        <v>계</v>
      </c>
      <c r="AF88" s="76" t="str">
        <f t="shared" si="74"/>
        <v>4/2</v>
      </c>
      <c r="AH88" s="20" t="str">
        <f t="shared" si="54"/>
        <v>힐스테이트어울림효자</v>
      </c>
      <c r="AI88" s="86">
        <f t="shared" si="53"/>
        <v>40</v>
      </c>
      <c r="AJ88" s="76" t="str">
        <f t="shared" si="75"/>
        <v>A-</v>
      </c>
      <c r="AK88" s="76" t="s">
        <v>13</v>
      </c>
      <c r="AL88" s="76" t="s">
        <v>62</v>
      </c>
      <c r="AM88" s="76" t="s">
        <v>63</v>
      </c>
      <c r="AN88" s="76" t="str">
        <f t="shared" si="76"/>
        <v>C</v>
      </c>
      <c r="AO88" s="76" t="str">
        <f t="shared" si="77"/>
        <v/>
      </c>
      <c r="AP88" s="76" t="str">
        <f t="shared" si="78"/>
        <v/>
      </c>
      <c r="AQ88" s="76" t="str">
        <f t="shared" si="79"/>
        <v>O</v>
      </c>
      <c r="AR88" s="76" t="str">
        <f t="shared" si="80"/>
        <v>O</v>
      </c>
      <c r="AS88" s="76" t="s">
        <v>2</v>
      </c>
      <c r="AT88" s="76" t="str">
        <f t="shared" si="81"/>
        <v>X</v>
      </c>
      <c r="AU88" s="76" t="str">
        <f t="shared" si="82"/>
        <v>O</v>
      </c>
      <c r="AV88" s="76" t="str">
        <f t="shared" si="83"/>
        <v/>
      </c>
    </row>
    <row r="89" spans="1:48" x14ac:dyDescent="0.3">
      <c r="A89" s="9" t="s">
        <v>1597</v>
      </c>
      <c r="B89" s="10" t="s">
        <v>1926</v>
      </c>
      <c r="C89" s="87">
        <v>1248</v>
      </c>
      <c r="D89" s="85">
        <v>131.19999999999999</v>
      </c>
      <c r="E89" s="86">
        <v>40</v>
      </c>
      <c r="F89" s="85">
        <v>101.7</v>
      </c>
      <c r="G89" s="17">
        <v>31</v>
      </c>
      <c r="H89" s="87">
        <v>34</v>
      </c>
      <c r="I89" s="88"/>
      <c r="J89" s="88"/>
      <c r="K89" s="88"/>
      <c r="L89" s="88"/>
      <c r="M89" s="89">
        <f t="shared" si="61"/>
        <v>0</v>
      </c>
      <c r="N89" s="4" t="str">
        <f t="shared" si="62"/>
        <v/>
      </c>
      <c r="O89" s="90">
        <f t="shared" si="63"/>
        <v>0</v>
      </c>
      <c r="P89" s="90">
        <f t="shared" si="64"/>
        <v>0</v>
      </c>
      <c r="Q89" s="76">
        <v>3</v>
      </c>
      <c r="R89" s="76">
        <v>2</v>
      </c>
      <c r="S89" s="76" t="s">
        <v>61</v>
      </c>
      <c r="T89" s="5" t="s">
        <v>403</v>
      </c>
      <c r="U89" s="9"/>
      <c r="W89" s="85">
        <f t="shared" si="65"/>
        <v>131.19999999999999</v>
      </c>
      <c r="X89" s="86">
        <f t="shared" si="66"/>
        <v>40</v>
      </c>
      <c r="Y89" s="91">
        <f t="shared" si="67"/>
        <v>34</v>
      </c>
      <c r="Z89" s="89">
        <f t="shared" si="68"/>
        <v>0</v>
      </c>
      <c r="AA89" s="89">
        <f t="shared" si="69"/>
        <v>0</v>
      </c>
      <c r="AB89" s="89">
        <f t="shared" si="70"/>
        <v>0</v>
      </c>
      <c r="AC89" s="4" t="str">
        <f t="shared" si="71"/>
        <v/>
      </c>
      <c r="AD89" s="90">
        <f t="shared" si="72"/>
        <v>0</v>
      </c>
      <c r="AE89" s="76" t="str">
        <f t="shared" si="73"/>
        <v>계</v>
      </c>
      <c r="AF89" s="76" t="str">
        <f t="shared" si="74"/>
        <v>3/2</v>
      </c>
      <c r="AH89" s="20" t="str">
        <f t="shared" si="54"/>
        <v>힐스테이트어울림효자</v>
      </c>
      <c r="AI89" s="86">
        <f t="shared" si="53"/>
        <v>40</v>
      </c>
      <c r="AJ89" s="76" t="str">
        <f t="shared" si="75"/>
        <v>A-</v>
      </c>
      <c r="AK89" s="76" t="s">
        <v>13</v>
      </c>
      <c r="AL89" s="76" t="s">
        <v>62</v>
      </c>
      <c r="AM89" s="76" t="s">
        <v>63</v>
      </c>
      <c r="AN89" s="76" t="str">
        <f t="shared" si="76"/>
        <v>C</v>
      </c>
      <c r="AO89" s="76" t="str">
        <f t="shared" si="77"/>
        <v/>
      </c>
      <c r="AP89" s="76" t="str">
        <f t="shared" si="78"/>
        <v/>
      </c>
      <c r="AQ89" s="76" t="str">
        <f t="shared" si="79"/>
        <v>O</v>
      </c>
      <c r="AR89" s="76" t="str">
        <f t="shared" si="80"/>
        <v>O</v>
      </c>
      <c r="AS89" s="76" t="s">
        <v>2</v>
      </c>
      <c r="AT89" s="76" t="str">
        <f t="shared" si="81"/>
        <v>X</v>
      </c>
      <c r="AU89" s="76" t="str">
        <f t="shared" si="82"/>
        <v>O</v>
      </c>
      <c r="AV89" s="76" t="str">
        <f t="shared" si="83"/>
        <v/>
      </c>
    </row>
    <row r="90" spans="1:48" x14ac:dyDescent="0.3">
      <c r="A90" s="9"/>
      <c r="B90" s="76"/>
      <c r="C90" s="6"/>
      <c r="D90" s="9"/>
      <c r="E90" s="14"/>
      <c r="F90" s="85"/>
      <c r="G90" s="9"/>
      <c r="H90" s="9"/>
      <c r="I90" s="9"/>
      <c r="J90" s="9"/>
      <c r="K90" s="9"/>
      <c r="L90" s="9"/>
      <c r="M90" s="9"/>
      <c r="N90" s="9"/>
      <c r="O90" s="90"/>
      <c r="P90" s="90"/>
      <c r="Q90" s="86"/>
      <c r="R90" s="86"/>
      <c r="S90" s="9"/>
      <c r="T90" s="47"/>
      <c r="U90" s="9"/>
      <c r="W90" s="67" t="str">
        <f>$A$4&amp;" "&amp;A91&amp;"("&amp;B91&amp;","&amp;C91&amp;"^)"</f>
        <v>효자동1가 효자대림('02.11.,626^)</v>
      </c>
      <c r="X90" s="68"/>
      <c r="Y90" s="68"/>
      <c r="Z90" s="68"/>
      <c r="AA90" s="68"/>
      <c r="AB90" s="68"/>
      <c r="AC90" s="68"/>
      <c r="AD90" s="68"/>
      <c r="AE90" s="68"/>
      <c r="AF90" s="69"/>
      <c r="AH90" s="20" t="str">
        <f t="shared" si="54"/>
        <v/>
      </c>
      <c r="AI90" s="108" t="str">
        <f t="shared" si="53"/>
        <v/>
      </c>
      <c r="AJ90" s="76"/>
      <c r="AK90" s="76"/>
      <c r="AL90" s="76"/>
      <c r="AM90" s="76"/>
      <c r="AN90" s="76"/>
      <c r="AO90" s="76"/>
      <c r="AP90" s="76"/>
      <c r="AQ90" s="76"/>
      <c r="AR90" s="76"/>
      <c r="AS90" s="76"/>
      <c r="AT90" s="76"/>
      <c r="AU90" s="76"/>
      <c r="AV90" s="76"/>
    </row>
    <row r="91" spans="1:48" x14ac:dyDescent="0.3">
      <c r="A91" s="9" t="s">
        <v>1612</v>
      </c>
      <c r="B91" s="10" t="s">
        <v>1927</v>
      </c>
      <c r="C91" s="87">
        <v>626</v>
      </c>
      <c r="D91" s="85">
        <v>80.099999999999994</v>
      </c>
      <c r="E91" s="86">
        <v>24</v>
      </c>
      <c r="F91" s="85">
        <v>59.9</v>
      </c>
      <c r="G91" s="17">
        <v>18</v>
      </c>
      <c r="H91" s="87">
        <v>141</v>
      </c>
      <c r="I91" s="88"/>
      <c r="J91" s="88"/>
      <c r="K91" s="88"/>
      <c r="L91" s="88"/>
      <c r="M91" s="89">
        <f>I91-K91</f>
        <v>0</v>
      </c>
      <c r="N91" s="4" t="str">
        <f>IF(ISERROR(K91/I91),"",K91/I91)</f>
        <v/>
      </c>
      <c r="O91" s="90">
        <f>I91/E91</f>
        <v>0</v>
      </c>
      <c r="P91" s="90">
        <f>K91/E91</f>
        <v>0</v>
      </c>
      <c r="Q91" s="76">
        <v>3</v>
      </c>
      <c r="R91" s="76">
        <v>1</v>
      </c>
      <c r="S91" s="76" t="s">
        <v>61</v>
      </c>
      <c r="T91" s="5">
        <v>80</v>
      </c>
      <c r="U91" s="9"/>
      <c r="W91" s="85">
        <f t="shared" ref="W91:X93" si="84">D91</f>
        <v>80.099999999999994</v>
      </c>
      <c r="X91" s="86">
        <f t="shared" si="84"/>
        <v>24</v>
      </c>
      <c r="Y91" s="91">
        <f t="shared" ref="Y91:Z93" si="85">H91</f>
        <v>141</v>
      </c>
      <c r="Z91" s="89">
        <f t="shared" si="85"/>
        <v>0</v>
      </c>
      <c r="AA91" s="89">
        <f>K91</f>
        <v>0</v>
      </c>
      <c r="AB91" s="89">
        <f t="shared" ref="AB91:AD93" si="86">M91</f>
        <v>0</v>
      </c>
      <c r="AC91" s="4" t="str">
        <f t="shared" si="86"/>
        <v/>
      </c>
      <c r="AD91" s="90">
        <f t="shared" si="86"/>
        <v>0</v>
      </c>
      <c r="AE91" s="76" t="str">
        <f>S91</f>
        <v>계</v>
      </c>
      <c r="AF91" s="76" t="str">
        <f>Q91&amp;"/"&amp;R91</f>
        <v>3/1</v>
      </c>
      <c r="AH91" s="20" t="str">
        <f t="shared" si="54"/>
        <v>효자대림</v>
      </c>
      <c r="AI91" s="86">
        <f t="shared" si="53"/>
        <v>24</v>
      </c>
      <c r="AJ91" s="76" t="str">
        <f>IF(AI91="","",$AJ$2)</f>
        <v>A-</v>
      </c>
      <c r="AK91" s="76" t="s">
        <v>13</v>
      </c>
      <c r="AL91" s="76" t="s">
        <v>62</v>
      </c>
      <c r="AM91" s="76" t="s">
        <v>63</v>
      </c>
      <c r="AN91" s="76" t="str">
        <f>IF(AI91="","",$AN$2)</f>
        <v>C</v>
      </c>
      <c r="AO91" s="76" t="str">
        <f>IF(N91="","",IF(N91&gt;=$AO$1/100,"O","X"))</f>
        <v/>
      </c>
      <c r="AP91" s="76" t="str">
        <f>IF(I91="","",IF(I91&lt;=$AP$1,"O","X"))</f>
        <v/>
      </c>
      <c r="AQ91" s="76" t="str">
        <f>IF(O91="","",IF(O91&lt;=$AQ$1,"O","X"))</f>
        <v>O</v>
      </c>
      <c r="AR91" s="76" t="str">
        <f>IF(M91="","",IF(M91&lt;=$AR$1,"O","X"))</f>
        <v>O</v>
      </c>
      <c r="AS91" s="76" t="s">
        <v>2</v>
      </c>
      <c r="AT91" s="76" t="str">
        <f>IF(OR(F91="",AI91=""),"",IF(AND((F91&lt;=85),(AI91&gt;=15)),"O","X"))</f>
        <v>O</v>
      </c>
      <c r="AU91" s="76" t="str">
        <f>IF(C91="","",IF(C91&gt;=$AU$1,"O","X"))</f>
        <v>O</v>
      </c>
      <c r="AV91" s="76" t="str">
        <f>IF(AO91="","",IF(AND(AO91="O",AP91="O",AR91="O",AT91="O",AU91="O"),"후보","X"))</f>
        <v/>
      </c>
    </row>
    <row r="92" spans="1:48" x14ac:dyDescent="0.3">
      <c r="A92" s="9" t="s">
        <v>1612</v>
      </c>
      <c r="B92" s="10" t="s">
        <v>1927</v>
      </c>
      <c r="C92" s="87">
        <v>626</v>
      </c>
      <c r="D92" s="85">
        <v>109</v>
      </c>
      <c r="E92" s="86">
        <v>33</v>
      </c>
      <c r="F92" s="85">
        <v>85</v>
      </c>
      <c r="G92" s="17">
        <v>26</v>
      </c>
      <c r="H92" s="87">
        <v>362</v>
      </c>
      <c r="I92" s="88">
        <v>19000</v>
      </c>
      <c r="J92" s="88" t="s">
        <v>84</v>
      </c>
      <c r="K92" s="88"/>
      <c r="L92" s="88"/>
      <c r="M92" s="89">
        <f>I92-K92</f>
        <v>19000</v>
      </c>
      <c r="N92" s="4">
        <f>IF(ISERROR(K92/I92),"",K92/I92)</f>
        <v>0</v>
      </c>
      <c r="O92" s="90">
        <f>I92/E92</f>
        <v>575.75757575757575</v>
      </c>
      <c r="P92" s="90">
        <f>K92/E92</f>
        <v>0</v>
      </c>
      <c r="Q92" s="76">
        <v>3</v>
      </c>
      <c r="R92" s="76">
        <v>2</v>
      </c>
      <c r="S92" s="76" t="s">
        <v>61</v>
      </c>
      <c r="T92" s="5">
        <v>108</v>
      </c>
      <c r="U92" s="9"/>
      <c r="W92" s="85">
        <f t="shared" si="84"/>
        <v>109</v>
      </c>
      <c r="X92" s="86">
        <f t="shared" si="84"/>
        <v>33</v>
      </c>
      <c r="Y92" s="91">
        <f t="shared" si="85"/>
        <v>362</v>
      </c>
      <c r="Z92" s="89">
        <f t="shared" si="85"/>
        <v>19000</v>
      </c>
      <c r="AA92" s="89">
        <f>K92</f>
        <v>0</v>
      </c>
      <c r="AB92" s="89">
        <f t="shared" si="86"/>
        <v>19000</v>
      </c>
      <c r="AC92" s="4">
        <f t="shared" si="86"/>
        <v>0</v>
      </c>
      <c r="AD92" s="90">
        <f t="shared" si="86"/>
        <v>575.75757575757575</v>
      </c>
      <c r="AE92" s="76" t="str">
        <f>S92</f>
        <v>계</v>
      </c>
      <c r="AF92" s="76" t="str">
        <f>Q92&amp;"/"&amp;R92</f>
        <v>3/2</v>
      </c>
      <c r="AH92" s="20" t="str">
        <f t="shared" si="54"/>
        <v>효자대림</v>
      </c>
      <c r="AI92" s="86">
        <f t="shared" si="53"/>
        <v>33</v>
      </c>
      <c r="AJ92" s="76" t="str">
        <f>IF(AI92="","",$AJ$2)</f>
        <v>A-</v>
      </c>
      <c r="AK92" s="76" t="s">
        <v>13</v>
      </c>
      <c r="AL92" s="76" t="s">
        <v>62</v>
      </c>
      <c r="AM92" s="76" t="s">
        <v>63</v>
      </c>
      <c r="AN92" s="76" t="str">
        <f>IF(AI92="","",$AN$2)</f>
        <v>C</v>
      </c>
      <c r="AO92" s="76" t="str">
        <f>IF(N92="","",IF(N92&gt;=$AO$1/100,"O","X"))</f>
        <v>X</v>
      </c>
      <c r="AP92" s="76" t="str">
        <f>IF(I92="","",IF(I92&lt;=$AP$1,"O","X"))</f>
        <v>O</v>
      </c>
      <c r="AQ92" s="76" t="str">
        <f>IF(O92="","",IF(O92&lt;=$AQ$1,"O","X"))</f>
        <v>O</v>
      </c>
      <c r="AR92" s="76" t="str">
        <f>IF(M92="","",IF(M92&lt;=$AR$1,"O","X"))</f>
        <v>X</v>
      </c>
      <c r="AS92" s="76" t="s">
        <v>2</v>
      </c>
      <c r="AT92" s="76" t="str">
        <f>IF(OR(F92="",AI92=""),"",IF(AND((F92&lt;=85),(AI92&gt;=15)),"O","X"))</f>
        <v>O</v>
      </c>
      <c r="AU92" s="76" t="str">
        <f>IF(C92="","",IF(C92&gt;=$AU$1,"O","X"))</f>
        <v>O</v>
      </c>
      <c r="AV92" s="76" t="str">
        <f>IF(AO92="","",IF(AND(AO92="O",AP92="O",AR92="O",AT92="O",AU92="O"),"후보","X"))</f>
        <v>X</v>
      </c>
    </row>
    <row r="93" spans="1:48" x14ac:dyDescent="0.3">
      <c r="A93" s="9" t="s">
        <v>1612</v>
      </c>
      <c r="B93" s="10" t="s">
        <v>1927</v>
      </c>
      <c r="C93" s="87">
        <v>626</v>
      </c>
      <c r="D93" s="85">
        <v>129.69999999999999</v>
      </c>
      <c r="E93" s="86">
        <v>39</v>
      </c>
      <c r="F93" s="85">
        <v>105.4</v>
      </c>
      <c r="G93" s="17">
        <v>32</v>
      </c>
      <c r="H93" s="87">
        <v>123</v>
      </c>
      <c r="I93" s="88">
        <v>21000</v>
      </c>
      <c r="J93" s="88" t="s">
        <v>71</v>
      </c>
      <c r="K93" s="88"/>
      <c r="L93" s="88"/>
      <c r="M93" s="89">
        <f>I93-K93</f>
        <v>21000</v>
      </c>
      <c r="N93" s="4">
        <f>IF(ISERROR(K93/I93),"",K93/I93)</f>
        <v>0</v>
      </c>
      <c r="O93" s="90">
        <f>I93/E93</f>
        <v>538.46153846153845</v>
      </c>
      <c r="P93" s="90">
        <f>K93/E93</f>
        <v>0</v>
      </c>
      <c r="Q93" s="76">
        <v>4</v>
      </c>
      <c r="R93" s="76">
        <v>2</v>
      </c>
      <c r="S93" s="76" t="s">
        <v>61</v>
      </c>
      <c r="T93" s="5">
        <v>129</v>
      </c>
      <c r="U93" s="9"/>
      <c r="W93" s="85">
        <f t="shared" si="84"/>
        <v>129.69999999999999</v>
      </c>
      <c r="X93" s="86">
        <f t="shared" si="84"/>
        <v>39</v>
      </c>
      <c r="Y93" s="91">
        <f t="shared" si="85"/>
        <v>123</v>
      </c>
      <c r="Z93" s="89">
        <f t="shared" si="85"/>
        <v>21000</v>
      </c>
      <c r="AA93" s="89">
        <f>K93</f>
        <v>0</v>
      </c>
      <c r="AB93" s="89">
        <f t="shared" si="86"/>
        <v>21000</v>
      </c>
      <c r="AC93" s="4">
        <f t="shared" si="86"/>
        <v>0</v>
      </c>
      <c r="AD93" s="90">
        <f t="shared" si="86"/>
        <v>538.46153846153845</v>
      </c>
      <c r="AE93" s="76" t="str">
        <f>S93</f>
        <v>계</v>
      </c>
      <c r="AF93" s="76" t="str">
        <f>Q93&amp;"/"&amp;R93</f>
        <v>4/2</v>
      </c>
      <c r="AH93" s="20" t="str">
        <f t="shared" si="54"/>
        <v>효자대림</v>
      </c>
      <c r="AI93" s="86">
        <f t="shared" si="53"/>
        <v>39</v>
      </c>
      <c r="AJ93" s="76" t="str">
        <f>IF(AI93="","",$AJ$2)</f>
        <v>A-</v>
      </c>
      <c r="AK93" s="76" t="s">
        <v>13</v>
      </c>
      <c r="AL93" s="76" t="s">
        <v>62</v>
      </c>
      <c r="AM93" s="76" t="s">
        <v>63</v>
      </c>
      <c r="AN93" s="76" t="str">
        <f>IF(AI93="","",$AN$2)</f>
        <v>C</v>
      </c>
      <c r="AO93" s="76" t="str">
        <f>IF(N93="","",IF(N93&gt;=$AO$1/100,"O","X"))</f>
        <v>X</v>
      </c>
      <c r="AP93" s="76" t="str">
        <f>IF(I93="","",IF(I93&lt;=$AP$1,"O","X"))</f>
        <v>O</v>
      </c>
      <c r="AQ93" s="76" t="str">
        <f>IF(O93="","",IF(O93&lt;=$AQ$1,"O","X"))</f>
        <v>O</v>
      </c>
      <c r="AR93" s="76" t="str">
        <f>IF(M93="","",IF(M93&lt;=$AR$1,"O","X"))</f>
        <v>X</v>
      </c>
      <c r="AS93" s="76" t="s">
        <v>2</v>
      </c>
      <c r="AT93" s="76" t="str">
        <f>IF(OR(F93="",AI93=""),"",IF(AND((F93&lt;=85),(AI93&gt;=15)),"O","X"))</f>
        <v>X</v>
      </c>
      <c r="AU93" s="76" t="str">
        <f>IF(C93="","",IF(C93&gt;=$AU$1,"O","X"))</f>
        <v>O</v>
      </c>
      <c r="AV93" s="76" t="str">
        <f>IF(AO93="","",IF(AND(AO93="O",AP93="O",AR93="O",AT93="O",AU93="O"),"후보","X"))</f>
        <v>X</v>
      </c>
    </row>
    <row r="94" spans="1:48" x14ac:dyDescent="0.3">
      <c r="A94" s="9"/>
      <c r="B94" s="76"/>
      <c r="C94" s="6"/>
      <c r="D94" s="9"/>
      <c r="E94" s="14"/>
      <c r="F94" s="85"/>
      <c r="G94" s="9"/>
      <c r="H94" s="9"/>
      <c r="I94" s="9"/>
      <c r="J94" s="9"/>
      <c r="K94" s="9"/>
      <c r="L94" s="9"/>
      <c r="M94" s="9"/>
      <c r="N94" s="9"/>
      <c r="O94" s="90"/>
      <c r="P94" s="90"/>
      <c r="Q94" s="86"/>
      <c r="R94" s="86"/>
      <c r="S94" s="9"/>
      <c r="T94" s="47"/>
      <c r="U94" s="9"/>
      <c r="W94" s="67" t="str">
        <f>$A$4&amp;" "&amp;A95&amp;"("&amp;B95&amp;","&amp;C95&amp;"^)"</f>
        <v>효자동1가 남양아이좋은집('06.05.,260^)</v>
      </c>
      <c r="X94" s="68"/>
      <c r="Y94" s="68"/>
      <c r="Z94" s="68"/>
      <c r="AA94" s="68"/>
      <c r="AB94" s="68"/>
      <c r="AC94" s="68"/>
      <c r="AD94" s="68"/>
      <c r="AE94" s="68"/>
      <c r="AF94" s="69"/>
      <c r="AH94" s="20" t="str">
        <f t="shared" si="54"/>
        <v/>
      </c>
      <c r="AI94" s="108" t="str">
        <f t="shared" si="53"/>
        <v/>
      </c>
      <c r="AJ94" s="76"/>
      <c r="AK94" s="76"/>
      <c r="AL94" s="76"/>
      <c r="AM94" s="76"/>
      <c r="AN94" s="76"/>
      <c r="AO94" s="76"/>
      <c r="AP94" s="76"/>
      <c r="AQ94" s="76"/>
      <c r="AR94" s="76"/>
      <c r="AS94" s="76"/>
      <c r="AT94" s="76"/>
      <c r="AU94" s="76"/>
      <c r="AV94" s="76"/>
    </row>
    <row r="95" spans="1:48" x14ac:dyDescent="0.3">
      <c r="A95" s="9" t="s">
        <v>1622</v>
      </c>
      <c r="B95" s="10" t="s">
        <v>1928</v>
      </c>
      <c r="C95" s="87">
        <v>260</v>
      </c>
      <c r="D95" s="85">
        <v>100.5</v>
      </c>
      <c r="E95" s="86">
        <v>30</v>
      </c>
      <c r="F95" s="85">
        <v>78.3</v>
      </c>
      <c r="G95" s="17">
        <v>24</v>
      </c>
      <c r="H95" s="87">
        <v>36</v>
      </c>
      <c r="I95" s="88"/>
      <c r="J95" s="88"/>
      <c r="K95" s="88"/>
      <c r="L95" s="88"/>
      <c r="M95" s="89">
        <f>I95-K95</f>
        <v>0</v>
      </c>
      <c r="N95" s="4" t="str">
        <f>IF(ISERROR(K95/I95),"",K95/I95)</f>
        <v/>
      </c>
      <c r="O95" s="90">
        <f>I95/E95</f>
        <v>0</v>
      </c>
      <c r="P95" s="90">
        <f>K95/E95</f>
        <v>0</v>
      </c>
      <c r="Q95" s="76">
        <v>3</v>
      </c>
      <c r="R95" s="76">
        <v>2</v>
      </c>
      <c r="S95" s="76" t="s">
        <v>61</v>
      </c>
      <c r="T95" s="5">
        <v>100</v>
      </c>
      <c r="U95" s="9"/>
      <c r="W95" s="85">
        <f t="shared" ref="W95:X98" si="87">D95</f>
        <v>100.5</v>
      </c>
      <c r="X95" s="86">
        <f t="shared" si="87"/>
        <v>30</v>
      </c>
      <c r="Y95" s="91">
        <f t="shared" ref="Y95:Z98" si="88">H95</f>
        <v>36</v>
      </c>
      <c r="Z95" s="89">
        <f t="shared" si="88"/>
        <v>0</v>
      </c>
      <c r="AA95" s="89">
        <f>K95</f>
        <v>0</v>
      </c>
      <c r="AB95" s="89">
        <f t="shared" ref="AB95:AD98" si="89">M95</f>
        <v>0</v>
      </c>
      <c r="AC95" s="4" t="str">
        <f t="shared" si="89"/>
        <v/>
      </c>
      <c r="AD95" s="90">
        <f t="shared" si="89"/>
        <v>0</v>
      </c>
      <c r="AE95" s="76" t="str">
        <f>S95</f>
        <v>계</v>
      </c>
      <c r="AF95" s="76" t="str">
        <f>Q95&amp;"/"&amp;R95</f>
        <v>3/2</v>
      </c>
      <c r="AH95" s="20" t="str">
        <f t="shared" si="54"/>
        <v>남양아이좋은집</v>
      </c>
      <c r="AI95" s="86">
        <f t="shared" si="53"/>
        <v>30</v>
      </c>
      <c r="AJ95" s="76" t="str">
        <f>IF(AI95="","",$AJ$2)</f>
        <v>A-</v>
      </c>
      <c r="AK95" s="76" t="s">
        <v>13</v>
      </c>
      <c r="AL95" s="76" t="s">
        <v>62</v>
      </c>
      <c r="AM95" s="76" t="s">
        <v>63</v>
      </c>
      <c r="AN95" s="76" t="str">
        <f>IF(AI95="","",$AN$2)</f>
        <v>C</v>
      </c>
      <c r="AO95" s="76" t="str">
        <f>IF(N95="","",IF(N95&gt;=$AO$1/100,"O","X"))</f>
        <v/>
      </c>
      <c r="AP95" s="76" t="str">
        <f>IF(I95="","",IF(I95&lt;=$AP$1,"O","X"))</f>
        <v/>
      </c>
      <c r="AQ95" s="76" t="str">
        <f>IF(O95="","",IF(O95&lt;=$AQ$1,"O","X"))</f>
        <v>O</v>
      </c>
      <c r="AR95" s="76" t="str">
        <f>IF(M95="","",IF(M95&lt;=$AR$1,"O","X"))</f>
        <v>O</v>
      </c>
      <c r="AS95" s="76" t="s">
        <v>2</v>
      </c>
      <c r="AT95" s="76" t="str">
        <f>IF(OR(F95="",AI95=""),"",IF(AND((F95&lt;=85),(AI95&gt;=15)),"O","X"))</f>
        <v>O</v>
      </c>
      <c r="AU95" s="76" t="str">
        <f>IF(C95="","",IF(C95&gt;=$AU$1,"O","X"))</f>
        <v>X</v>
      </c>
      <c r="AV95" s="76" t="str">
        <f>IF(AO95="","",IF(AND(AO95="O",AP95="O",AR95="O",AT95="O",AU95="O"),"후보","X"))</f>
        <v/>
      </c>
    </row>
    <row r="96" spans="1:48" x14ac:dyDescent="0.3">
      <c r="A96" s="9" t="s">
        <v>1622</v>
      </c>
      <c r="B96" s="10" t="s">
        <v>1928</v>
      </c>
      <c r="C96" s="87">
        <v>260</v>
      </c>
      <c r="D96" s="85">
        <v>109.8</v>
      </c>
      <c r="E96" s="86">
        <v>33</v>
      </c>
      <c r="F96" s="85">
        <v>85</v>
      </c>
      <c r="G96" s="17">
        <v>26</v>
      </c>
      <c r="H96" s="87">
        <v>155</v>
      </c>
      <c r="I96" s="88"/>
      <c r="J96" s="88"/>
      <c r="K96" s="88"/>
      <c r="L96" s="88"/>
      <c r="M96" s="89">
        <f>I96-K96</f>
        <v>0</v>
      </c>
      <c r="N96" s="4" t="str">
        <f>IF(ISERROR(K96/I96),"",K96/I96)</f>
        <v/>
      </c>
      <c r="O96" s="90">
        <f>I96/E96</f>
        <v>0</v>
      </c>
      <c r="P96" s="90">
        <f>K96/E96</f>
        <v>0</v>
      </c>
      <c r="Q96" s="76">
        <v>3</v>
      </c>
      <c r="R96" s="76">
        <v>2</v>
      </c>
      <c r="S96" s="76" t="s">
        <v>61</v>
      </c>
      <c r="T96" s="5" t="s">
        <v>124</v>
      </c>
      <c r="U96" s="9"/>
      <c r="W96" s="85">
        <f t="shared" si="87"/>
        <v>109.8</v>
      </c>
      <c r="X96" s="86">
        <f t="shared" si="87"/>
        <v>33</v>
      </c>
      <c r="Y96" s="91">
        <f t="shared" si="88"/>
        <v>155</v>
      </c>
      <c r="Z96" s="89">
        <f t="shared" si="88"/>
        <v>0</v>
      </c>
      <c r="AA96" s="89">
        <f>K96</f>
        <v>0</v>
      </c>
      <c r="AB96" s="89">
        <f t="shared" si="89"/>
        <v>0</v>
      </c>
      <c r="AC96" s="4" t="str">
        <f t="shared" si="89"/>
        <v/>
      </c>
      <c r="AD96" s="90">
        <f t="shared" si="89"/>
        <v>0</v>
      </c>
      <c r="AE96" s="76" t="str">
        <f>S96</f>
        <v>계</v>
      </c>
      <c r="AF96" s="76" t="str">
        <f>Q96&amp;"/"&amp;R96</f>
        <v>3/2</v>
      </c>
      <c r="AH96" s="20" t="str">
        <f t="shared" si="54"/>
        <v>남양아이좋은집</v>
      </c>
      <c r="AI96" s="86">
        <f t="shared" si="53"/>
        <v>33</v>
      </c>
      <c r="AJ96" s="76" t="str">
        <f>IF(AI96="","",$AJ$2)</f>
        <v>A-</v>
      </c>
      <c r="AK96" s="76" t="s">
        <v>13</v>
      </c>
      <c r="AL96" s="76" t="s">
        <v>62</v>
      </c>
      <c r="AM96" s="76" t="s">
        <v>63</v>
      </c>
      <c r="AN96" s="76" t="str">
        <f>IF(AI96="","",$AN$2)</f>
        <v>C</v>
      </c>
      <c r="AO96" s="76" t="str">
        <f>IF(N96="","",IF(N96&gt;=$AO$1/100,"O","X"))</f>
        <v/>
      </c>
      <c r="AP96" s="76" t="str">
        <f>IF(I96="","",IF(I96&lt;=$AP$1,"O","X"))</f>
        <v/>
      </c>
      <c r="AQ96" s="76" t="str">
        <f>IF(O96="","",IF(O96&lt;=$AQ$1,"O","X"))</f>
        <v>O</v>
      </c>
      <c r="AR96" s="76" t="str">
        <f>IF(M96="","",IF(M96&lt;=$AR$1,"O","X"))</f>
        <v>O</v>
      </c>
      <c r="AS96" s="76" t="s">
        <v>2</v>
      </c>
      <c r="AT96" s="76" t="str">
        <f>IF(OR(F96="",AI96=""),"",IF(AND((F96&lt;=85),(AI96&gt;=15)),"O","X"))</f>
        <v>O</v>
      </c>
      <c r="AU96" s="76" t="str">
        <f>IF(C96="","",IF(C96&gt;=$AU$1,"O","X"))</f>
        <v>X</v>
      </c>
      <c r="AV96" s="76" t="str">
        <f>IF(AO96="","",IF(AND(AO96="O",AP96="O",AR96="O",AT96="O",AU96="O"),"후보","X"))</f>
        <v/>
      </c>
    </row>
    <row r="97" spans="1:48" x14ac:dyDescent="0.3">
      <c r="A97" s="9" t="s">
        <v>1622</v>
      </c>
      <c r="B97" s="10" t="s">
        <v>1928</v>
      </c>
      <c r="C97" s="87">
        <v>260</v>
      </c>
      <c r="D97" s="85">
        <v>109.6</v>
      </c>
      <c r="E97" s="86">
        <v>33</v>
      </c>
      <c r="F97" s="85">
        <v>84.7</v>
      </c>
      <c r="G97" s="17">
        <v>26</v>
      </c>
      <c r="H97" s="87">
        <v>21</v>
      </c>
      <c r="I97" s="88"/>
      <c r="J97" s="88"/>
      <c r="K97" s="88"/>
      <c r="L97" s="88"/>
      <c r="M97" s="89">
        <f>I97-K97</f>
        <v>0</v>
      </c>
      <c r="N97" s="4" t="str">
        <f>IF(ISERROR(K97/I97),"",K97/I97)</f>
        <v/>
      </c>
      <c r="O97" s="90">
        <f>I97/E97</f>
        <v>0</v>
      </c>
      <c r="P97" s="90">
        <f>K97/E97</f>
        <v>0</v>
      </c>
      <c r="Q97" s="76">
        <v>3</v>
      </c>
      <c r="R97" s="76">
        <v>2</v>
      </c>
      <c r="S97" s="76" t="s">
        <v>61</v>
      </c>
      <c r="T97" s="5" t="s">
        <v>192</v>
      </c>
      <c r="U97" s="9"/>
      <c r="W97" s="85">
        <f t="shared" si="87"/>
        <v>109.6</v>
      </c>
      <c r="X97" s="86">
        <f t="shared" si="87"/>
        <v>33</v>
      </c>
      <c r="Y97" s="91">
        <f t="shared" si="88"/>
        <v>21</v>
      </c>
      <c r="Z97" s="89">
        <f t="shared" si="88"/>
        <v>0</v>
      </c>
      <c r="AA97" s="89">
        <f>K97</f>
        <v>0</v>
      </c>
      <c r="AB97" s="89">
        <f t="shared" si="89"/>
        <v>0</v>
      </c>
      <c r="AC97" s="4" t="str">
        <f t="shared" si="89"/>
        <v/>
      </c>
      <c r="AD97" s="90">
        <f t="shared" si="89"/>
        <v>0</v>
      </c>
      <c r="AE97" s="76" t="str">
        <f>S97</f>
        <v>계</v>
      </c>
      <c r="AF97" s="76" t="str">
        <f>Q97&amp;"/"&amp;R97</f>
        <v>3/2</v>
      </c>
      <c r="AH97" s="20" t="str">
        <f t="shared" si="54"/>
        <v>남양아이좋은집</v>
      </c>
      <c r="AI97" s="86">
        <f t="shared" si="53"/>
        <v>33</v>
      </c>
      <c r="AJ97" s="76" t="str">
        <f>IF(AI97="","",$AJ$2)</f>
        <v>A-</v>
      </c>
      <c r="AK97" s="76" t="s">
        <v>13</v>
      </c>
      <c r="AL97" s="76" t="s">
        <v>62</v>
      </c>
      <c r="AM97" s="76" t="s">
        <v>63</v>
      </c>
      <c r="AN97" s="76" t="str">
        <f>IF(AI97="","",$AN$2)</f>
        <v>C</v>
      </c>
      <c r="AO97" s="76" t="str">
        <f>IF(N97="","",IF(N97&gt;=$AO$1/100,"O","X"))</f>
        <v/>
      </c>
      <c r="AP97" s="76" t="str">
        <f>IF(I97="","",IF(I97&lt;=$AP$1,"O","X"))</f>
        <v/>
      </c>
      <c r="AQ97" s="76" t="str">
        <f>IF(O97="","",IF(O97&lt;=$AQ$1,"O","X"))</f>
        <v>O</v>
      </c>
      <c r="AR97" s="76" t="str">
        <f>IF(M97="","",IF(M97&lt;=$AR$1,"O","X"))</f>
        <v>O</v>
      </c>
      <c r="AS97" s="76" t="s">
        <v>2</v>
      </c>
      <c r="AT97" s="76" t="str">
        <f>IF(OR(F97="",AI97=""),"",IF(AND((F97&lt;=85),(AI97&gt;=15)),"O","X"))</f>
        <v>O</v>
      </c>
      <c r="AU97" s="76" t="str">
        <f>IF(C97="","",IF(C97&gt;=$AU$1,"O","X"))</f>
        <v>X</v>
      </c>
      <c r="AV97" s="76" t="str">
        <f>IF(AO97="","",IF(AND(AO97="O",AP97="O",AR97="O",AT97="O",AU97="O"),"후보","X"))</f>
        <v/>
      </c>
    </row>
    <row r="98" spans="1:48" x14ac:dyDescent="0.3">
      <c r="A98" s="9" t="s">
        <v>1622</v>
      </c>
      <c r="B98" s="10" t="s">
        <v>1928</v>
      </c>
      <c r="C98" s="87">
        <v>260</v>
      </c>
      <c r="D98" s="85">
        <v>153</v>
      </c>
      <c r="E98" s="86">
        <v>46</v>
      </c>
      <c r="F98" s="85">
        <v>118.9</v>
      </c>
      <c r="G98" s="17">
        <v>36</v>
      </c>
      <c r="H98" s="87">
        <v>48</v>
      </c>
      <c r="I98" s="88"/>
      <c r="J98" s="88"/>
      <c r="K98" s="88"/>
      <c r="L98" s="88"/>
      <c r="M98" s="89">
        <f>I98-K98</f>
        <v>0</v>
      </c>
      <c r="N98" s="4" t="str">
        <f>IF(ISERROR(K98/I98),"",K98/I98)</f>
        <v/>
      </c>
      <c r="O98" s="90">
        <f>I98/E98</f>
        <v>0</v>
      </c>
      <c r="P98" s="90">
        <f>K98/E98</f>
        <v>0</v>
      </c>
      <c r="Q98" s="76">
        <v>4</v>
      </c>
      <c r="R98" s="76">
        <v>2</v>
      </c>
      <c r="S98" s="76" t="s">
        <v>61</v>
      </c>
      <c r="T98" s="5">
        <v>153</v>
      </c>
      <c r="U98" s="9"/>
      <c r="W98" s="85">
        <f t="shared" si="87"/>
        <v>153</v>
      </c>
      <c r="X98" s="86">
        <f t="shared" si="87"/>
        <v>46</v>
      </c>
      <c r="Y98" s="91">
        <f t="shared" si="88"/>
        <v>48</v>
      </c>
      <c r="Z98" s="89">
        <f t="shared" si="88"/>
        <v>0</v>
      </c>
      <c r="AA98" s="89">
        <f>K98</f>
        <v>0</v>
      </c>
      <c r="AB98" s="89">
        <f t="shared" si="89"/>
        <v>0</v>
      </c>
      <c r="AC98" s="4" t="str">
        <f t="shared" si="89"/>
        <v/>
      </c>
      <c r="AD98" s="90">
        <f t="shared" si="89"/>
        <v>0</v>
      </c>
      <c r="AE98" s="76" t="str">
        <f>S98</f>
        <v>계</v>
      </c>
      <c r="AF98" s="76" t="str">
        <f>Q98&amp;"/"&amp;R98</f>
        <v>4/2</v>
      </c>
      <c r="AH98" s="20" t="str">
        <f t="shared" si="54"/>
        <v>남양아이좋은집</v>
      </c>
      <c r="AI98" s="86">
        <f t="shared" si="53"/>
        <v>46</v>
      </c>
      <c r="AJ98" s="76" t="str">
        <f>IF(AI98="","",$AJ$2)</f>
        <v>A-</v>
      </c>
      <c r="AK98" s="76" t="s">
        <v>13</v>
      </c>
      <c r="AL98" s="76" t="s">
        <v>62</v>
      </c>
      <c r="AM98" s="76" t="s">
        <v>63</v>
      </c>
      <c r="AN98" s="76" t="str">
        <f>IF(AI98="","",$AN$2)</f>
        <v>C</v>
      </c>
      <c r="AO98" s="76" t="str">
        <f>IF(N98="","",IF(N98&gt;=$AO$1/100,"O","X"))</f>
        <v/>
      </c>
      <c r="AP98" s="76" t="str">
        <f>IF(I98="","",IF(I98&lt;=$AP$1,"O","X"))</f>
        <v/>
      </c>
      <c r="AQ98" s="76" t="str">
        <f>IF(O98="","",IF(O98&lt;=$AQ$1,"O","X"))</f>
        <v>O</v>
      </c>
      <c r="AR98" s="76" t="str">
        <f>IF(M98="","",IF(M98&lt;=$AR$1,"O","X"))</f>
        <v>O</v>
      </c>
      <c r="AS98" s="76" t="s">
        <v>2</v>
      </c>
      <c r="AT98" s="76" t="str">
        <f>IF(OR(F98="",AI98=""),"",IF(AND((F98&lt;=85),(AI98&gt;=15)),"O","X"))</f>
        <v>X</v>
      </c>
      <c r="AU98" s="76" t="str">
        <f>IF(C98="","",IF(C98&gt;=$AU$1,"O","X"))</f>
        <v>X</v>
      </c>
      <c r="AV98" s="76" t="str">
        <f>IF(AO98="","",IF(AND(AO98="O",AP98="O",AR98="O",AT98="O",AU98="O"),"후보","X"))</f>
        <v/>
      </c>
    </row>
    <row r="99" spans="1:48" x14ac:dyDescent="0.3">
      <c r="A99" s="9"/>
      <c r="B99" s="76"/>
      <c r="C99" s="6"/>
      <c r="D99" s="9"/>
      <c r="E99" s="14"/>
      <c r="F99" s="85"/>
      <c r="G99" s="9"/>
      <c r="H99" s="9"/>
      <c r="I99" s="9"/>
      <c r="J99" s="9"/>
      <c r="K99" s="9"/>
      <c r="L99" s="9"/>
      <c r="M99" s="9"/>
      <c r="N99" s="9"/>
      <c r="O99" s="90"/>
      <c r="P99" s="90"/>
      <c r="Q99" s="86"/>
      <c r="R99" s="86"/>
      <c r="S99" s="9"/>
      <c r="T99" s="47"/>
      <c r="U99" s="9"/>
      <c r="W99" s="67" t="str">
        <f>$A$4&amp;" "&amp;A100&amp;"("&amp;B100&amp;","&amp;C100&amp;"^)"</f>
        <v>효자동1가 비사벌('92.01.,240^)</v>
      </c>
      <c r="X99" s="68"/>
      <c r="Y99" s="68"/>
      <c r="Z99" s="68"/>
      <c r="AA99" s="68"/>
      <c r="AB99" s="68"/>
      <c r="AC99" s="68"/>
      <c r="AD99" s="68"/>
      <c r="AE99" s="68"/>
      <c r="AF99" s="69"/>
      <c r="AH99" s="20" t="str">
        <f t="shared" si="54"/>
        <v/>
      </c>
      <c r="AI99" s="108" t="str">
        <f t="shared" si="53"/>
        <v/>
      </c>
      <c r="AJ99" s="76"/>
      <c r="AK99" s="76"/>
      <c r="AL99" s="76"/>
      <c r="AM99" s="76"/>
      <c r="AN99" s="76"/>
      <c r="AO99" s="76"/>
      <c r="AP99" s="76"/>
      <c r="AQ99" s="76"/>
      <c r="AR99" s="76"/>
      <c r="AS99" s="76"/>
      <c r="AT99" s="76"/>
      <c r="AU99" s="76"/>
      <c r="AV99" s="76"/>
    </row>
    <row r="100" spans="1:48" x14ac:dyDescent="0.3">
      <c r="A100" s="9" t="s">
        <v>915</v>
      </c>
      <c r="B100" s="10" t="s">
        <v>1929</v>
      </c>
      <c r="C100" s="87">
        <v>240</v>
      </c>
      <c r="D100" s="85">
        <v>69.900000000000006</v>
      </c>
      <c r="E100" s="86">
        <v>21</v>
      </c>
      <c r="F100" s="85">
        <v>59.8</v>
      </c>
      <c r="G100" s="17">
        <v>18</v>
      </c>
      <c r="H100" s="87">
        <v>240</v>
      </c>
      <c r="I100" s="88"/>
      <c r="J100" s="88"/>
      <c r="K100" s="88"/>
      <c r="L100" s="88"/>
      <c r="M100" s="89">
        <f>I100-K100</f>
        <v>0</v>
      </c>
      <c r="N100" s="4" t="str">
        <f>IF(ISERROR(K100/I100),"",K100/I100)</f>
        <v/>
      </c>
      <c r="O100" s="90">
        <f>I100/E100</f>
        <v>0</v>
      </c>
      <c r="P100" s="90">
        <f>K100/E100</f>
        <v>0</v>
      </c>
      <c r="Q100" s="76">
        <v>3</v>
      </c>
      <c r="R100" s="76">
        <v>1</v>
      </c>
      <c r="S100" s="76" t="s">
        <v>61</v>
      </c>
      <c r="T100" s="5">
        <v>69</v>
      </c>
      <c r="U100" s="9"/>
      <c r="W100" s="85">
        <f>D100</f>
        <v>69.900000000000006</v>
      </c>
      <c r="X100" s="86">
        <f>E100</f>
        <v>21</v>
      </c>
      <c r="Y100" s="91">
        <f>H100</f>
        <v>240</v>
      </c>
      <c r="Z100" s="89">
        <f>I100</f>
        <v>0</v>
      </c>
      <c r="AA100" s="89">
        <f>K100</f>
        <v>0</v>
      </c>
      <c r="AB100" s="89">
        <f>M100</f>
        <v>0</v>
      </c>
      <c r="AC100" s="4" t="str">
        <f>N100</f>
        <v/>
      </c>
      <c r="AD100" s="90">
        <f>O100</f>
        <v>0</v>
      </c>
      <c r="AE100" s="76" t="str">
        <f>S100</f>
        <v>계</v>
      </c>
      <c r="AF100" s="76" t="str">
        <f>Q100&amp;"/"&amp;R100</f>
        <v>3/1</v>
      </c>
      <c r="AH100" s="20" t="str">
        <f t="shared" si="54"/>
        <v>비사벌</v>
      </c>
      <c r="AI100" s="86">
        <f t="shared" si="53"/>
        <v>21</v>
      </c>
      <c r="AJ100" s="76" t="str">
        <f>IF(AI100="","",$AJ$2)</f>
        <v>A-</v>
      </c>
      <c r="AK100" s="76" t="s">
        <v>13</v>
      </c>
      <c r="AL100" s="76" t="s">
        <v>62</v>
      </c>
      <c r="AM100" s="76" t="s">
        <v>63</v>
      </c>
      <c r="AN100" s="76" t="str">
        <f>IF(AI100="","",$AN$2)</f>
        <v>C</v>
      </c>
      <c r="AO100" s="76" t="str">
        <f>IF(N100="","",IF(N100&gt;=$AO$1/100,"O","X"))</f>
        <v/>
      </c>
      <c r="AP100" s="76" t="str">
        <f>IF(I100="","",IF(I100&lt;=$AP$1,"O","X"))</f>
        <v/>
      </c>
      <c r="AQ100" s="76" t="str">
        <f>IF(O100="","",IF(O100&lt;=$AQ$1,"O","X"))</f>
        <v>O</v>
      </c>
      <c r="AR100" s="76" t="str">
        <f>IF(M100="","",IF(M100&lt;=$AR$1,"O","X"))</f>
        <v>O</v>
      </c>
      <c r="AS100" s="76" t="s">
        <v>2</v>
      </c>
      <c r="AT100" s="76" t="str">
        <f>IF(OR(F100="",AI100=""),"",IF(AND((F100&lt;=85),(AI100&gt;=15)),"O","X"))</f>
        <v>O</v>
      </c>
      <c r="AU100" s="76" t="str">
        <f>IF(C100="","",IF(C100&gt;=$AU$1,"O","X"))</f>
        <v>X</v>
      </c>
      <c r="AV100" s="76" t="str">
        <f>IF(AO100="","",IF(AND(AO100="O",AP100="O",AR100="O",AT100="O",AU100="O"),"후보","X"))</f>
        <v/>
      </c>
    </row>
    <row r="101" spans="1:48" x14ac:dyDescent="0.3">
      <c r="A101" s="9"/>
      <c r="B101" s="76"/>
      <c r="C101" s="6"/>
      <c r="D101" s="9"/>
      <c r="E101" s="14"/>
      <c r="F101" s="85"/>
      <c r="G101" s="9"/>
      <c r="H101" s="9"/>
      <c r="I101" s="9"/>
      <c r="J101" s="9"/>
      <c r="K101" s="9"/>
      <c r="L101" s="9"/>
      <c r="M101" s="9"/>
      <c r="N101" s="9"/>
      <c r="O101" s="90"/>
      <c r="P101" s="90"/>
      <c r="Q101" s="86"/>
      <c r="R101" s="86"/>
      <c r="S101" s="9"/>
      <c r="T101" s="47"/>
      <c r="U101" s="9"/>
      <c r="W101" s="67" t="str">
        <f>$A$4&amp;" "&amp;A102&amp;"("&amp;B102&amp;","&amp;C102&amp;"^)"</f>
        <v>효자동1가 대명까치맨션('93.05.,499^)</v>
      </c>
      <c r="X101" s="68"/>
      <c r="Y101" s="68"/>
      <c r="Z101" s="68"/>
      <c r="AA101" s="68"/>
      <c r="AB101" s="68"/>
      <c r="AC101" s="68"/>
      <c r="AD101" s="68"/>
      <c r="AE101" s="68"/>
      <c r="AF101" s="69"/>
      <c r="AH101" s="20" t="str">
        <f t="shared" si="54"/>
        <v/>
      </c>
      <c r="AI101" s="108" t="str">
        <f t="shared" si="53"/>
        <v/>
      </c>
      <c r="AJ101" s="76"/>
      <c r="AK101" s="76"/>
      <c r="AL101" s="76"/>
      <c r="AM101" s="76"/>
      <c r="AN101" s="76"/>
      <c r="AO101" s="76"/>
      <c r="AP101" s="76"/>
      <c r="AQ101" s="76"/>
      <c r="AR101" s="76"/>
      <c r="AS101" s="76"/>
      <c r="AT101" s="76"/>
      <c r="AU101" s="76"/>
      <c r="AV101" s="76"/>
    </row>
    <row r="102" spans="1:48" x14ac:dyDescent="0.3">
      <c r="A102" s="9" t="s">
        <v>1642</v>
      </c>
      <c r="B102" s="10" t="s">
        <v>1930</v>
      </c>
      <c r="C102" s="87">
        <v>499</v>
      </c>
      <c r="D102" s="85">
        <v>80</v>
      </c>
      <c r="E102" s="86">
        <v>24</v>
      </c>
      <c r="F102" s="85">
        <v>59.9</v>
      </c>
      <c r="G102" s="17">
        <v>18</v>
      </c>
      <c r="H102" s="87">
        <v>322</v>
      </c>
      <c r="I102" s="88">
        <v>7500</v>
      </c>
      <c r="J102" s="88" t="s">
        <v>181</v>
      </c>
      <c r="K102" s="88"/>
      <c r="L102" s="88"/>
      <c r="M102" s="89">
        <f>I102-K102</f>
        <v>7500</v>
      </c>
      <c r="N102" s="4">
        <f>IF(ISERROR(K102/I102),"",K102/I102)</f>
        <v>0</v>
      </c>
      <c r="O102" s="90">
        <f>I102/E102</f>
        <v>312.5</v>
      </c>
      <c r="P102" s="90">
        <f>K102/E102</f>
        <v>0</v>
      </c>
      <c r="Q102" s="76">
        <v>3</v>
      </c>
      <c r="R102" s="76">
        <v>1</v>
      </c>
      <c r="S102" s="76" t="s">
        <v>68</v>
      </c>
      <c r="T102" s="5">
        <v>79</v>
      </c>
      <c r="U102" s="9"/>
      <c r="W102" s="85">
        <f>D102</f>
        <v>80</v>
      </c>
      <c r="X102" s="86">
        <f>E102</f>
        <v>24</v>
      </c>
      <c r="Y102" s="91">
        <f>H102</f>
        <v>322</v>
      </c>
      <c r="Z102" s="89">
        <f>I102</f>
        <v>7500</v>
      </c>
      <c r="AA102" s="89">
        <f>K102</f>
        <v>0</v>
      </c>
      <c r="AB102" s="89">
        <f t="shared" ref="AB102:AD103" si="90">M102</f>
        <v>7500</v>
      </c>
      <c r="AC102" s="4">
        <f t="shared" si="90"/>
        <v>0</v>
      </c>
      <c r="AD102" s="90">
        <f t="shared" si="90"/>
        <v>312.5</v>
      </c>
      <c r="AE102" s="76" t="str">
        <f>S102</f>
        <v>복</v>
      </c>
      <c r="AF102" s="76" t="str">
        <f>Q102&amp;"/"&amp;R102</f>
        <v>3/1</v>
      </c>
      <c r="AH102" s="20" t="str">
        <f t="shared" si="54"/>
        <v>대명까치맨션</v>
      </c>
      <c r="AI102" s="86">
        <f t="shared" si="53"/>
        <v>24</v>
      </c>
      <c r="AJ102" s="76" t="str">
        <f>IF(AI102="","",$AJ$2)</f>
        <v>A-</v>
      </c>
      <c r="AK102" s="76" t="s">
        <v>13</v>
      </c>
      <c r="AL102" s="76" t="s">
        <v>62</v>
      </c>
      <c r="AM102" s="76" t="s">
        <v>63</v>
      </c>
      <c r="AN102" s="76" t="str">
        <f>IF(AI102="","",$AN$2)</f>
        <v>C</v>
      </c>
      <c r="AO102" s="76" t="str">
        <f>IF(N102="","",IF(N102&gt;=$AO$1/100,"O","X"))</f>
        <v>X</v>
      </c>
      <c r="AP102" s="76" t="str">
        <f>IF(I102="","",IF(I102&lt;=$AP$1,"O","X"))</f>
        <v>O</v>
      </c>
      <c r="AQ102" s="76" t="str">
        <f>IF(O102="","",IF(O102&lt;=$AQ$1,"O","X"))</f>
        <v>O</v>
      </c>
      <c r="AR102" s="76" t="str">
        <f>IF(M102="","",IF(M102&lt;=$AR$1,"O","X"))</f>
        <v>X</v>
      </c>
      <c r="AS102" s="76" t="s">
        <v>2</v>
      </c>
      <c r="AT102" s="76" t="str">
        <f>IF(OR(F102="",AI102=""),"",IF(AND((F102&lt;=85),(AI102&gt;=15)),"O","X"))</f>
        <v>O</v>
      </c>
      <c r="AU102" s="76" t="str">
        <f>IF(C102="","",IF(C102&gt;=$AU$1,"O","X"))</f>
        <v>O</v>
      </c>
      <c r="AV102" s="76" t="str">
        <f>IF(AO102="","",IF(AND(AO102="O",AP102="O",AR102="O",AT102="O",AU102="O"),"후보","X"))</f>
        <v>X</v>
      </c>
    </row>
    <row r="103" spans="1:48" x14ac:dyDescent="0.3">
      <c r="A103" s="9" t="s">
        <v>1642</v>
      </c>
      <c r="B103" s="10" t="s">
        <v>1930</v>
      </c>
      <c r="C103" s="87">
        <v>499</v>
      </c>
      <c r="D103" s="85">
        <v>113</v>
      </c>
      <c r="E103" s="86">
        <v>34</v>
      </c>
      <c r="F103" s="85">
        <v>84.7</v>
      </c>
      <c r="G103" s="17">
        <v>26</v>
      </c>
      <c r="H103" s="87">
        <v>177</v>
      </c>
      <c r="I103" s="88">
        <v>10500</v>
      </c>
      <c r="J103" s="88" t="s">
        <v>83</v>
      </c>
      <c r="K103" s="88">
        <v>10000</v>
      </c>
      <c r="L103" s="88" t="s">
        <v>181</v>
      </c>
      <c r="M103" s="89">
        <f>I103-K103</f>
        <v>500</v>
      </c>
      <c r="N103" s="4">
        <f>IF(ISERROR(K103/I103),"",K103/I103)</f>
        <v>0.95238095238095233</v>
      </c>
      <c r="O103" s="90">
        <f>I103/E103</f>
        <v>308.8235294117647</v>
      </c>
      <c r="P103" s="90">
        <f>K103/E103</f>
        <v>294.11764705882354</v>
      </c>
      <c r="Q103" s="76">
        <v>3</v>
      </c>
      <c r="R103" s="76">
        <v>2</v>
      </c>
      <c r="S103" s="76" t="s">
        <v>68</v>
      </c>
      <c r="T103" s="5">
        <v>112</v>
      </c>
      <c r="U103" s="9"/>
      <c r="W103" s="85">
        <f>D103</f>
        <v>113</v>
      </c>
      <c r="X103" s="86">
        <f>E103</f>
        <v>34</v>
      </c>
      <c r="Y103" s="91">
        <f>H103</f>
        <v>177</v>
      </c>
      <c r="Z103" s="89">
        <f>I103</f>
        <v>10500</v>
      </c>
      <c r="AA103" s="89">
        <f>K103</f>
        <v>10000</v>
      </c>
      <c r="AB103" s="89">
        <f t="shared" si="90"/>
        <v>500</v>
      </c>
      <c r="AC103" s="4">
        <f t="shared" si="90"/>
        <v>0.95238095238095233</v>
      </c>
      <c r="AD103" s="90">
        <f t="shared" si="90"/>
        <v>308.8235294117647</v>
      </c>
      <c r="AE103" s="76" t="str">
        <f>S103</f>
        <v>복</v>
      </c>
      <c r="AF103" s="76" t="str">
        <f>Q103&amp;"/"&amp;R103</f>
        <v>3/2</v>
      </c>
      <c r="AH103" s="20" t="str">
        <f t="shared" si="54"/>
        <v>대명까치맨션</v>
      </c>
      <c r="AI103" s="86">
        <f t="shared" si="53"/>
        <v>34</v>
      </c>
      <c r="AJ103" s="76" t="str">
        <f>IF(AI103="","",$AJ$2)</f>
        <v>A-</v>
      </c>
      <c r="AK103" s="76" t="s">
        <v>13</v>
      </c>
      <c r="AL103" s="76" t="s">
        <v>62</v>
      </c>
      <c r="AM103" s="76" t="s">
        <v>63</v>
      </c>
      <c r="AN103" s="76" t="str">
        <f>IF(AI103="","",$AN$2)</f>
        <v>C</v>
      </c>
      <c r="AO103" s="76" t="str">
        <f>IF(N103="","",IF(N103&gt;=$AO$1/100,"O","X"))</f>
        <v>O</v>
      </c>
      <c r="AP103" s="76" t="str">
        <f>IF(I103="","",IF(I103&lt;=$AP$1,"O","X"))</f>
        <v>O</v>
      </c>
      <c r="AQ103" s="76" t="str">
        <f>IF(O103="","",IF(O103&lt;=$AQ$1,"O","X"))</f>
        <v>O</v>
      </c>
      <c r="AR103" s="76" t="str">
        <f>IF(M103="","",IF(M103&lt;=$AR$1,"O","X"))</f>
        <v>O</v>
      </c>
      <c r="AS103" s="76" t="s">
        <v>2</v>
      </c>
      <c r="AT103" s="76" t="str">
        <f>IF(OR(F103="",AI103=""),"",IF(AND((F103&lt;=85),(AI103&gt;=15)),"O","X"))</f>
        <v>O</v>
      </c>
      <c r="AU103" s="76" t="str">
        <f>IF(C103="","",IF(C103&gt;=$AU$1,"O","X"))</f>
        <v>O</v>
      </c>
      <c r="AV103" s="76" t="str">
        <f>IF(AO103="","",IF(AND(AO103="O",AP103="O",AR103="O",AT103="O",AU103="O"),"후보","X"))</f>
        <v>후보</v>
      </c>
    </row>
  </sheetData>
  <mergeCells count="1">
    <mergeCell ref="AJ1:AN1"/>
  </mergeCells>
  <phoneticPr fontId="2" type="noConversion"/>
  <conditionalFormatting sqref="AV4:AV6">
    <cfRule type="expression" dxfId="14155" priority="1555">
      <formula>AV4="X"</formula>
    </cfRule>
    <cfRule type="expression" dxfId="14154" priority="1556">
      <formula>AV4="후보"</formula>
    </cfRule>
  </conditionalFormatting>
  <conditionalFormatting sqref="AC1:AC2 AC4:AC6 N4:N5">
    <cfRule type="cellIs" dxfId="14153" priority="1552" operator="greaterThan">
      <formula>0.9</formula>
    </cfRule>
    <cfRule type="cellIs" dxfId="14152" priority="1553" operator="greaterThan">
      <formula>0.85</formula>
    </cfRule>
  </conditionalFormatting>
  <conditionalFormatting sqref="N1:N2">
    <cfRule type="cellIs" dxfId="14151" priority="1550" operator="greaterThan">
      <formula>0.9</formula>
    </cfRule>
    <cfRule type="cellIs" dxfId="14150" priority="1551" operator="greaterThan">
      <formula>0.85</formula>
    </cfRule>
  </conditionalFormatting>
  <conditionalFormatting sqref="N6">
    <cfRule type="cellIs" dxfId="14149" priority="1548" operator="greaterThan">
      <formula>0.9</formula>
    </cfRule>
    <cfRule type="cellIs" dxfId="14148" priority="1549" operator="greaterThan">
      <formula>0.85</formula>
    </cfRule>
  </conditionalFormatting>
  <conditionalFormatting sqref="E6">
    <cfRule type="expression" dxfId="14147" priority="1544">
      <formula>AND(IF(OR($Q6=1,$Q6=2),1,0),IF($X6&lt;=20,1,0))</formula>
    </cfRule>
    <cfRule type="expression" dxfId="14146" priority="1545">
      <formula>AND(IF($Q6=2,1,0),IF($X6&lt;30,1,0))</formula>
    </cfRule>
    <cfRule type="expression" dxfId="14145" priority="1546">
      <formula>AND(IF($Q6=3,1,0),IF($X6&lt;30,1,0))</formula>
    </cfRule>
    <cfRule type="expression" dxfId="14144" priority="1547">
      <formula>AND(IF($Q6=3,1,IF($Q6=4,1,0)),IF($F6&lt;=85,1,0))</formula>
    </cfRule>
  </conditionalFormatting>
  <conditionalFormatting sqref="X6">
    <cfRule type="expression" dxfId="14143" priority="1540">
      <formula>AND(IF(OR($Q6=1,$Q6=2),1,0),IF($X6&lt;=20,1,0))</formula>
    </cfRule>
    <cfRule type="expression" dxfId="14142" priority="1541">
      <formula>AND(IF($Q6=2,1,0),IF($X6&lt;30,1,0))</formula>
    </cfRule>
    <cfRule type="expression" dxfId="14141" priority="1542">
      <formula>AND(IF($Q6=3,1,0),IF($X6&lt;30,1,0))</formula>
    </cfRule>
    <cfRule type="expression" dxfId="14140" priority="1543">
      <formula>AND(IF($Q6=3,1,IF($Q6=4,1,0)),IF($F6&lt;=85,1,0))</formula>
    </cfRule>
  </conditionalFormatting>
  <conditionalFormatting sqref="AI6">
    <cfRule type="expression" dxfId="14139" priority="1536">
      <formula>AND(IF(OR($Q6=1,$Q6=2),1,0),IF($X6&lt;=20,1,0))</formula>
    </cfRule>
    <cfRule type="expression" dxfId="14138" priority="1537">
      <formula>AND(IF($Q6=2,1,0),IF($X6&lt;30,1,0))</formula>
    </cfRule>
    <cfRule type="expression" dxfId="14137" priority="1538">
      <formula>AND(IF($Q6=3,1,0),IF($X6&lt;30,1,0))</formula>
    </cfRule>
    <cfRule type="expression" dxfId="14136" priority="1539">
      <formula>AND(IF($Q6=3,1,IF($Q6=4,1,0)),IF($F6&lt;=85,1,0))</formula>
    </cfRule>
  </conditionalFormatting>
  <conditionalFormatting sqref="AV7">
    <cfRule type="expression" dxfId="14135" priority="1534">
      <formula>AV7="X"</formula>
    </cfRule>
    <cfRule type="expression" dxfId="14134" priority="1535">
      <formula>AV7="후보"</formula>
    </cfRule>
  </conditionalFormatting>
  <conditionalFormatting sqref="AC7">
    <cfRule type="cellIs" dxfId="14133" priority="1531" operator="greaterThan">
      <formula>0.9</formula>
    </cfRule>
    <cfRule type="cellIs" dxfId="14132" priority="1532" operator="greaterThan">
      <formula>0.85</formula>
    </cfRule>
  </conditionalFormatting>
  <conditionalFormatting sqref="N7">
    <cfRule type="cellIs" dxfId="14131" priority="1529" operator="greaterThan">
      <formula>0.9</formula>
    </cfRule>
    <cfRule type="cellIs" dxfId="14130" priority="1530" operator="greaterThan">
      <formula>0.85</formula>
    </cfRule>
  </conditionalFormatting>
  <conditionalFormatting sqref="E7">
    <cfRule type="expression" dxfId="14129" priority="1525">
      <formula>AND(IF(OR($Q7=1,$Q7=2),1,0),IF($X7&lt;=20,1,0))</formula>
    </cfRule>
    <cfRule type="expression" dxfId="14128" priority="1526">
      <formula>AND(IF($Q7=2,1,0),IF($X7&lt;30,1,0))</formula>
    </cfRule>
    <cfRule type="expression" dxfId="14127" priority="1527">
      <formula>AND(IF($Q7=3,1,0),IF($X7&lt;30,1,0))</formula>
    </cfRule>
    <cfRule type="expression" dxfId="14126" priority="1528">
      <formula>AND(IF($Q7=3,1,IF($Q7=4,1,0)),IF($F7&lt;=85,1,0))</formula>
    </cfRule>
  </conditionalFormatting>
  <conditionalFormatting sqref="X7">
    <cfRule type="expression" dxfId="14125" priority="1521">
      <formula>AND(IF(OR($Q7=1,$Q7=2),1,0),IF($X7&lt;=20,1,0))</formula>
    </cfRule>
    <cfRule type="expression" dxfId="14124" priority="1522">
      <formula>AND(IF($Q7=2,1,0),IF($X7&lt;30,1,0))</formula>
    </cfRule>
    <cfRule type="expression" dxfId="14123" priority="1523">
      <formula>AND(IF($Q7=3,1,0),IF($X7&lt;30,1,0))</formula>
    </cfRule>
    <cfRule type="expression" dxfId="14122" priority="1524">
      <formula>AND(IF($Q7=3,1,IF($Q7=4,1,0)),IF($F7&lt;=85,1,0))</formula>
    </cfRule>
  </conditionalFormatting>
  <conditionalFormatting sqref="AI7">
    <cfRule type="expression" dxfId="14121" priority="1517">
      <formula>AND(IF(OR($Q7=1,$Q7=2),1,0),IF($X7&lt;=20,1,0))</formula>
    </cfRule>
    <cfRule type="expression" dxfId="14120" priority="1518">
      <formula>AND(IF($Q7=2,1,0),IF($X7&lt;30,1,0))</formula>
    </cfRule>
    <cfRule type="expression" dxfId="14119" priority="1519">
      <formula>AND(IF($Q7=3,1,0),IF($X7&lt;30,1,0))</formula>
    </cfRule>
    <cfRule type="expression" dxfId="14118" priority="1520">
      <formula>AND(IF($Q7=3,1,IF($Q7=4,1,0)),IF($F7&lt;=85,1,0))</formula>
    </cfRule>
  </conditionalFormatting>
  <conditionalFormatting sqref="AV8">
    <cfRule type="expression" dxfId="14117" priority="1515">
      <formula>AV8="X"</formula>
    </cfRule>
    <cfRule type="expression" dxfId="14116" priority="1516">
      <formula>AV8="후보"</formula>
    </cfRule>
  </conditionalFormatting>
  <conditionalFormatting sqref="AC8">
    <cfRule type="cellIs" dxfId="14115" priority="1512" operator="greaterThan">
      <formula>0.9</formula>
    </cfRule>
    <cfRule type="cellIs" dxfId="14114" priority="1513" operator="greaterThan">
      <formula>0.85</formula>
    </cfRule>
  </conditionalFormatting>
  <conditionalFormatting sqref="N8">
    <cfRule type="cellIs" dxfId="14113" priority="1510" operator="greaterThan">
      <formula>0.9</formula>
    </cfRule>
    <cfRule type="cellIs" dxfId="14112" priority="1511" operator="greaterThan">
      <formula>0.85</formula>
    </cfRule>
  </conditionalFormatting>
  <conditionalFormatting sqref="E8">
    <cfRule type="expression" dxfId="14111" priority="1506">
      <formula>AND(IF(OR($Q8=1,$Q8=2),1,0),IF($X8&lt;=20,1,0))</formula>
    </cfRule>
    <cfRule type="expression" dxfId="14110" priority="1507">
      <formula>AND(IF($Q8=2,1,0),IF($X8&lt;30,1,0))</formula>
    </cfRule>
    <cfRule type="expression" dxfId="14109" priority="1508">
      <formula>AND(IF($Q8=3,1,0),IF($X8&lt;30,1,0))</formula>
    </cfRule>
    <cfRule type="expression" dxfId="14108" priority="1509">
      <formula>AND(IF($Q8=3,1,IF($Q8=4,1,0)),IF($F8&lt;=85,1,0))</formula>
    </cfRule>
  </conditionalFormatting>
  <conditionalFormatting sqref="X8">
    <cfRule type="expression" dxfId="14107" priority="1502">
      <formula>AND(IF(OR($Q8=1,$Q8=2),1,0),IF($X8&lt;=20,1,0))</formula>
    </cfRule>
    <cfRule type="expression" dxfId="14106" priority="1503">
      <formula>AND(IF($Q8=2,1,0),IF($X8&lt;30,1,0))</formula>
    </cfRule>
    <cfRule type="expression" dxfId="14105" priority="1504">
      <formula>AND(IF($Q8=3,1,0),IF($X8&lt;30,1,0))</formula>
    </cfRule>
    <cfRule type="expression" dxfId="14104" priority="1505">
      <formula>AND(IF($Q8=3,1,IF($Q8=4,1,0)),IF($F8&lt;=85,1,0))</formula>
    </cfRule>
  </conditionalFormatting>
  <conditionalFormatting sqref="AI8">
    <cfRule type="expression" dxfId="14103" priority="1498">
      <formula>AND(IF(OR($Q8=1,$Q8=2),1,0),IF($X8&lt;=20,1,0))</formula>
    </cfRule>
    <cfRule type="expression" dxfId="14102" priority="1499">
      <formula>AND(IF($Q8=2,1,0),IF($X8&lt;30,1,0))</formula>
    </cfRule>
    <cfRule type="expression" dxfId="14101" priority="1500">
      <formula>AND(IF($Q8=3,1,0),IF($X8&lt;30,1,0))</formula>
    </cfRule>
    <cfRule type="expression" dxfId="14100" priority="1501">
      <formula>AND(IF($Q8=3,1,IF($Q8=4,1,0)),IF($F8&lt;=85,1,0))</formula>
    </cfRule>
  </conditionalFormatting>
  <conditionalFormatting sqref="AV9">
    <cfRule type="expression" dxfId="14099" priority="1496">
      <formula>AV9="X"</formula>
    </cfRule>
    <cfRule type="expression" dxfId="14098" priority="1497">
      <formula>AV9="후보"</formula>
    </cfRule>
  </conditionalFormatting>
  <conditionalFormatting sqref="AC9">
    <cfRule type="cellIs" dxfId="14097" priority="1493" operator="greaterThan">
      <formula>0.9</formula>
    </cfRule>
    <cfRule type="cellIs" dxfId="14096" priority="1494" operator="greaterThan">
      <formula>0.85</formula>
    </cfRule>
  </conditionalFormatting>
  <conditionalFormatting sqref="N9">
    <cfRule type="cellIs" dxfId="14095" priority="1491" operator="greaterThan">
      <formula>0.9</formula>
    </cfRule>
    <cfRule type="cellIs" dxfId="14094" priority="1492" operator="greaterThan">
      <formula>0.85</formula>
    </cfRule>
  </conditionalFormatting>
  <conditionalFormatting sqref="E9">
    <cfRule type="expression" dxfId="14093" priority="1487">
      <formula>AND(IF(OR($Q9=1,$Q9=2),1,0),IF($X9&lt;=20,1,0))</formula>
    </cfRule>
    <cfRule type="expression" dxfId="14092" priority="1488">
      <formula>AND(IF($Q9=2,1,0),IF($X9&lt;30,1,0))</formula>
    </cfRule>
    <cfRule type="expression" dxfId="14091" priority="1489">
      <formula>AND(IF($Q9=3,1,0),IF($X9&lt;30,1,0))</formula>
    </cfRule>
    <cfRule type="expression" dxfId="14090" priority="1490">
      <formula>AND(IF($Q9=3,1,IF($Q9=4,1,0)),IF($F9&lt;=85,1,0))</formula>
    </cfRule>
  </conditionalFormatting>
  <conditionalFormatting sqref="X9">
    <cfRule type="expression" dxfId="14089" priority="1483">
      <formula>AND(IF(OR($Q9=1,$Q9=2),1,0),IF($X9&lt;=20,1,0))</formula>
    </cfRule>
    <cfRule type="expression" dxfId="14088" priority="1484">
      <formula>AND(IF($Q9=2,1,0),IF($X9&lt;30,1,0))</formula>
    </cfRule>
    <cfRule type="expression" dxfId="14087" priority="1485">
      <formula>AND(IF($Q9=3,1,0),IF($X9&lt;30,1,0))</formula>
    </cfRule>
    <cfRule type="expression" dxfId="14086" priority="1486">
      <formula>AND(IF($Q9=3,1,IF($Q9=4,1,0)),IF($F9&lt;=85,1,0))</formula>
    </cfRule>
  </conditionalFormatting>
  <conditionalFormatting sqref="AI9">
    <cfRule type="expression" dxfId="14085" priority="1479">
      <formula>AND(IF(OR($Q9=1,$Q9=2),1,0),IF($X9&lt;=20,1,0))</formula>
    </cfRule>
    <cfRule type="expression" dxfId="14084" priority="1480">
      <formula>AND(IF($Q9=2,1,0),IF($X9&lt;30,1,0))</formula>
    </cfRule>
    <cfRule type="expression" dxfId="14083" priority="1481">
      <formula>AND(IF($Q9=3,1,0),IF($X9&lt;30,1,0))</formula>
    </cfRule>
    <cfRule type="expression" dxfId="14082" priority="1482">
      <formula>AND(IF($Q9=3,1,IF($Q9=4,1,0)),IF($F9&lt;=85,1,0))</formula>
    </cfRule>
  </conditionalFormatting>
  <conditionalFormatting sqref="AV10">
    <cfRule type="expression" dxfId="14081" priority="1477">
      <formula>AV10="X"</formula>
    </cfRule>
    <cfRule type="expression" dxfId="14080" priority="1478">
      <formula>AV10="후보"</formula>
    </cfRule>
  </conditionalFormatting>
  <conditionalFormatting sqref="AC10 N10">
    <cfRule type="cellIs" dxfId="14079" priority="1474" operator="greaterThan">
      <formula>0.9</formula>
    </cfRule>
    <cfRule type="cellIs" dxfId="14078" priority="1475" operator="greaterThan">
      <formula>0.85</formula>
    </cfRule>
  </conditionalFormatting>
  <conditionalFormatting sqref="AV11">
    <cfRule type="expression" dxfId="14077" priority="1472">
      <formula>AV11="X"</formula>
    </cfRule>
    <cfRule type="expression" dxfId="14076" priority="1473">
      <formula>AV11="후보"</formula>
    </cfRule>
  </conditionalFormatting>
  <conditionalFormatting sqref="AC11">
    <cfRule type="cellIs" dxfId="14075" priority="1469" operator="greaterThan">
      <formula>0.9</formula>
    </cfRule>
    <cfRule type="cellIs" dxfId="14074" priority="1470" operator="greaterThan">
      <formula>0.85</formula>
    </cfRule>
  </conditionalFormatting>
  <conditionalFormatting sqref="N11">
    <cfRule type="cellIs" dxfId="14073" priority="1467" operator="greaterThan">
      <formula>0.9</formula>
    </cfRule>
    <cfRule type="cellIs" dxfId="14072" priority="1468" operator="greaterThan">
      <formula>0.85</formula>
    </cfRule>
  </conditionalFormatting>
  <conditionalFormatting sqref="E11">
    <cfRule type="expression" dxfId="14071" priority="1463">
      <formula>AND(IF(OR($Q11=1,$Q11=2),1,0),IF($X11&lt;=20,1,0))</formula>
    </cfRule>
    <cfRule type="expression" dxfId="14070" priority="1464">
      <formula>AND(IF($Q11=2,1,0),IF($X11&lt;30,1,0))</formula>
    </cfRule>
    <cfRule type="expression" dxfId="14069" priority="1465">
      <formula>AND(IF($Q11=3,1,0),IF($X11&lt;30,1,0))</formula>
    </cfRule>
    <cfRule type="expression" dxfId="14068" priority="1466">
      <formula>AND(IF($Q11=3,1,IF($Q11=4,1,0)),IF($F11&lt;=85,1,0))</formula>
    </cfRule>
  </conditionalFormatting>
  <conditionalFormatting sqref="X11">
    <cfRule type="expression" dxfId="14067" priority="1459">
      <formula>AND(IF(OR($Q11=1,$Q11=2),1,0),IF($X11&lt;=20,1,0))</formula>
    </cfRule>
    <cfRule type="expression" dxfId="14066" priority="1460">
      <formula>AND(IF($Q11=2,1,0),IF($X11&lt;30,1,0))</formula>
    </cfRule>
    <cfRule type="expression" dxfId="14065" priority="1461">
      <formula>AND(IF($Q11=3,1,0),IF($X11&lt;30,1,0))</formula>
    </cfRule>
    <cfRule type="expression" dxfId="14064" priority="1462">
      <formula>AND(IF($Q11=3,1,IF($Q11=4,1,0)),IF($F11&lt;=85,1,0))</formula>
    </cfRule>
  </conditionalFormatting>
  <conditionalFormatting sqref="AI11">
    <cfRule type="expression" dxfId="14063" priority="1455">
      <formula>AND(IF(OR($Q11=1,$Q11=2),1,0),IF($X11&lt;=20,1,0))</formula>
    </cfRule>
    <cfRule type="expression" dxfId="14062" priority="1456">
      <formula>AND(IF($Q11=2,1,0),IF($X11&lt;30,1,0))</formula>
    </cfRule>
    <cfRule type="expression" dxfId="14061" priority="1457">
      <formula>AND(IF($Q11=3,1,0),IF($X11&lt;30,1,0))</formula>
    </cfRule>
    <cfRule type="expression" dxfId="14060" priority="1458">
      <formula>AND(IF($Q11=3,1,IF($Q11=4,1,0)),IF($F11&lt;=85,1,0))</formula>
    </cfRule>
  </conditionalFormatting>
  <conditionalFormatting sqref="AV12">
    <cfRule type="expression" dxfId="14059" priority="1453">
      <formula>AV12="X"</formula>
    </cfRule>
    <cfRule type="expression" dxfId="14058" priority="1454">
      <formula>AV12="후보"</formula>
    </cfRule>
  </conditionalFormatting>
  <conditionalFormatting sqref="AC12">
    <cfRule type="cellIs" dxfId="14057" priority="1450" operator="greaterThan">
      <formula>0.9</formula>
    </cfRule>
    <cfRule type="cellIs" dxfId="14056" priority="1451" operator="greaterThan">
      <formula>0.85</formula>
    </cfRule>
  </conditionalFormatting>
  <conditionalFormatting sqref="N12">
    <cfRule type="cellIs" dxfId="14055" priority="1448" operator="greaterThan">
      <formula>0.9</formula>
    </cfRule>
    <cfRule type="cellIs" dxfId="14054" priority="1449" operator="greaterThan">
      <formula>0.85</formula>
    </cfRule>
  </conditionalFormatting>
  <conditionalFormatting sqref="E12">
    <cfRule type="expression" dxfId="14053" priority="1444">
      <formula>AND(IF(OR($Q12=1,$Q12=2),1,0),IF($X12&lt;=20,1,0))</formula>
    </cfRule>
    <cfRule type="expression" dxfId="14052" priority="1445">
      <formula>AND(IF($Q12=2,1,0),IF($X12&lt;30,1,0))</formula>
    </cfRule>
    <cfRule type="expression" dxfId="14051" priority="1446">
      <formula>AND(IF($Q12=3,1,0),IF($X12&lt;30,1,0))</formula>
    </cfRule>
    <cfRule type="expression" dxfId="14050" priority="1447">
      <formula>AND(IF($Q12=3,1,IF($Q12=4,1,0)),IF($F12&lt;=85,1,0))</formula>
    </cfRule>
  </conditionalFormatting>
  <conditionalFormatting sqref="X12">
    <cfRule type="expression" dxfId="14049" priority="1440">
      <formula>AND(IF(OR($Q12=1,$Q12=2),1,0),IF($X12&lt;=20,1,0))</formula>
    </cfRule>
    <cfRule type="expression" dxfId="14048" priority="1441">
      <formula>AND(IF($Q12=2,1,0),IF($X12&lt;30,1,0))</formula>
    </cfRule>
    <cfRule type="expression" dxfId="14047" priority="1442">
      <formula>AND(IF($Q12=3,1,0),IF($X12&lt;30,1,0))</formula>
    </cfRule>
    <cfRule type="expression" dxfId="14046" priority="1443">
      <formula>AND(IF($Q12=3,1,IF($Q12=4,1,0)),IF($F12&lt;=85,1,0))</formula>
    </cfRule>
  </conditionalFormatting>
  <conditionalFormatting sqref="AI12">
    <cfRule type="expression" dxfId="14045" priority="1436">
      <formula>AND(IF(OR($Q12=1,$Q12=2),1,0),IF($X12&lt;=20,1,0))</formula>
    </cfRule>
    <cfRule type="expression" dxfId="14044" priority="1437">
      <formula>AND(IF($Q12=2,1,0),IF($X12&lt;30,1,0))</formula>
    </cfRule>
    <cfRule type="expression" dxfId="14043" priority="1438">
      <formula>AND(IF($Q12=3,1,0),IF($X12&lt;30,1,0))</formula>
    </cfRule>
    <cfRule type="expression" dxfId="14042" priority="1439">
      <formula>AND(IF($Q12=3,1,IF($Q12=4,1,0)),IF($F12&lt;=85,1,0))</formula>
    </cfRule>
  </conditionalFormatting>
  <conditionalFormatting sqref="AV13">
    <cfRule type="expression" dxfId="14041" priority="1434">
      <formula>AV13="X"</formula>
    </cfRule>
    <cfRule type="expression" dxfId="14040" priority="1435">
      <formula>AV13="후보"</formula>
    </cfRule>
  </conditionalFormatting>
  <conditionalFormatting sqref="AC13">
    <cfRule type="cellIs" dxfId="14039" priority="1431" operator="greaterThan">
      <formula>0.9</formula>
    </cfRule>
    <cfRule type="cellIs" dxfId="14038" priority="1432" operator="greaterThan">
      <formula>0.85</formula>
    </cfRule>
  </conditionalFormatting>
  <conditionalFormatting sqref="N13">
    <cfRule type="cellIs" dxfId="14037" priority="1429" operator="greaterThan">
      <formula>0.9</formula>
    </cfRule>
    <cfRule type="cellIs" dxfId="14036" priority="1430" operator="greaterThan">
      <formula>0.85</formula>
    </cfRule>
  </conditionalFormatting>
  <conditionalFormatting sqref="E13">
    <cfRule type="expression" dxfId="14035" priority="1425">
      <formula>AND(IF(OR($Q13=1,$Q13=2),1,0),IF($X13&lt;=20,1,0))</formula>
    </cfRule>
    <cfRule type="expression" dxfId="14034" priority="1426">
      <formula>AND(IF($Q13=2,1,0),IF($X13&lt;30,1,0))</formula>
    </cfRule>
    <cfRule type="expression" dxfId="14033" priority="1427">
      <formula>AND(IF($Q13=3,1,0),IF($X13&lt;30,1,0))</formula>
    </cfRule>
    <cfRule type="expression" dxfId="14032" priority="1428">
      <formula>AND(IF($Q13=3,1,IF($Q13=4,1,0)),IF($F13&lt;=85,1,0))</formula>
    </cfRule>
  </conditionalFormatting>
  <conditionalFormatting sqref="X13">
    <cfRule type="expression" dxfId="14031" priority="1421">
      <formula>AND(IF(OR($Q13=1,$Q13=2),1,0),IF($X13&lt;=20,1,0))</formula>
    </cfRule>
    <cfRule type="expression" dxfId="14030" priority="1422">
      <formula>AND(IF($Q13=2,1,0),IF($X13&lt;30,1,0))</formula>
    </cfRule>
    <cfRule type="expression" dxfId="14029" priority="1423">
      <formula>AND(IF($Q13=3,1,0),IF($X13&lt;30,1,0))</formula>
    </cfRule>
    <cfRule type="expression" dxfId="14028" priority="1424">
      <formula>AND(IF($Q13=3,1,IF($Q13=4,1,0)),IF($F13&lt;=85,1,0))</formula>
    </cfRule>
  </conditionalFormatting>
  <conditionalFormatting sqref="AI13">
    <cfRule type="expression" dxfId="14027" priority="1417">
      <formula>AND(IF(OR($Q13=1,$Q13=2),1,0),IF($X13&lt;=20,1,0))</formula>
    </cfRule>
    <cfRule type="expression" dxfId="14026" priority="1418">
      <formula>AND(IF($Q13=2,1,0),IF($X13&lt;30,1,0))</formula>
    </cfRule>
    <cfRule type="expression" dxfId="14025" priority="1419">
      <formula>AND(IF($Q13=3,1,0),IF($X13&lt;30,1,0))</formula>
    </cfRule>
    <cfRule type="expression" dxfId="14024" priority="1420">
      <formula>AND(IF($Q13=3,1,IF($Q13=4,1,0)),IF($F13&lt;=85,1,0))</formula>
    </cfRule>
  </conditionalFormatting>
  <conditionalFormatting sqref="AV14">
    <cfRule type="expression" dxfId="14023" priority="1415">
      <formula>AV14="X"</formula>
    </cfRule>
    <cfRule type="expression" dxfId="14022" priority="1416">
      <formula>AV14="후보"</formula>
    </cfRule>
  </conditionalFormatting>
  <conditionalFormatting sqref="AC14 N14">
    <cfRule type="cellIs" dxfId="14021" priority="1412" operator="greaterThan">
      <formula>0.9</formula>
    </cfRule>
    <cfRule type="cellIs" dxfId="14020" priority="1413" operator="greaterThan">
      <formula>0.85</formula>
    </cfRule>
  </conditionalFormatting>
  <conditionalFormatting sqref="AV15">
    <cfRule type="expression" dxfId="14019" priority="1410">
      <formula>AV15="X"</formula>
    </cfRule>
    <cfRule type="expression" dxfId="14018" priority="1411">
      <formula>AV15="후보"</formula>
    </cfRule>
  </conditionalFormatting>
  <conditionalFormatting sqref="AC15">
    <cfRule type="cellIs" dxfId="14017" priority="1407" operator="greaterThan">
      <formula>0.9</formula>
    </cfRule>
    <cfRule type="cellIs" dxfId="14016" priority="1408" operator="greaterThan">
      <formula>0.85</formula>
    </cfRule>
  </conditionalFormatting>
  <conditionalFormatting sqref="N15">
    <cfRule type="cellIs" dxfId="14015" priority="1405" operator="greaterThan">
      <formula>0.9</formula>
    </cfRule>
    <cfRule type="cellIs" dxfId="14014" priority="1406" operator="greaterThan">
      <formula>0.85</formula>
    </cfRule>
  </conditionalFormatting>
  <conditionalFormatting sqref="E15">
    <cfRule type="expression" dxfId="14013" priority="1401">
      <formula>AND(IF(OR($Q15=1,$Q15=2),1,0),IF($X15&lt;=20,1,0))</formula>
    </cfRule>
    <cfRule type="expression" dxfId="14012" priority="1402">
      <formula>AND(IF($Q15=2,1,0),IF($X15&lt;30,1,0))</formula>
    </cfRule>
    <cfRule type="expression" dxfId="14011" priority="1403">
      <formula>AND(IF($Q15=3,1,0),IF($X15&lt;30,1,0))</formula>
    </cfRule>
    <cfRule type="expression" dxfId="14010" priority="1404">
      <formula>AND(IF($Q15=3,1,IF($Q15=4,1,0)),IF($F15&lt;=85,1,0))</formula>
    </cfRule>
  </conditionalFormatting>
  <conditionalFormatting sqref="X15">
    <cfRule type="expression" dxfId="14009" priority="1397">
      <formula>AND(IF(OR($Q15=1,$Q15=2),1,0),IF($X15&lt;=20,1,0))</formula>
    </cfRule>
    <cfRule type="expression" dxfId="14008" priority="1398">
      <formula>AND(IF($Q15=2,1,0),IF($X15&lt;30,1,0))</formula>
    </cfRule>
    <cfRule type="expression" dxfId="14007" priority="1399">
      <formula>AND(IF($Q15=3,1,0),IF($X15&lt;30,1,0))</formula>
    </cfRule>
    <cfRule type="expression" dxfId="14006" priority="1400">
      <formula>AND(IF($Q15=3,1,IF($Q15=4,1,0)),IF($F15&lt;=85,1,0))</formula>
    </cfRule>
  </conditionalFormatting>
  <conditionalFormatting sqref="AI15">
    <cfRule type="expression" dxfId="14005" priority="1393">
      <formula>AND(IF(OR($Q15=1,$Q15=2),1,0),IF($X15&lt;=20,1,0))</formula>
    </cfRule>
    <cfRule type="expression" dxfId="14004" priority="1394">
      <formula>AND(IF($Q15=2,1,0),IF($X15&lt;30,1,0))</formula>
    </cfRule>
    <cfRule type="expression" dxfId="14003" priority="1395">
      <formula>AND(IF($Q15=3,1,0),IF($X15&lt;30,1,0))</formula>
    </cfRule>
    <cfRule type="expression" dxfId="14002" priority="1396">
      <formula>AND(IF($Q15=3,1,IF($Q15=4,1,0)),IF($F15&lt;=85,1,0))</formula>
    </cfRule>
  </conditionalFormatting>
  <conditionalFormatting sqref="AV16">
    <cfRule type="expression" dxfId="14001" priority="1391">
      <formula>AV16="X"</formula>
    </cfRule>
    <cfRule type="expression" dxfId="14000" priority="1392">
      <formula>AV16="후보"</formula>
    </cfRule>
  </conditionalFormatting>
  <conditionalFormatting sqref="AC16">
    <cfRule type="cellIs" dxfId="13999" priority="1388" operator="greaterThan">
      <formula>0.9</formula>
    </cfRule>
    <cfRule type="cellIs" dxfId="13998" priority="1389" operator="greaterThan">
      <formula>0.85</formula>
    </cfRule>
  </conditionalFormatting>
  <conditionalFormatting sqref="N16">
    <cfRule type="cellIs" dxfId="13997" priority="1386" operator="greaterThan">
      <formula>0.9</formula>
    </cfRule>
    <cfRule type="cellIs" dxfId="13996" priority="1387" operator="greaterThan">
      <formula>0.85</formula>
    </cfRule>
  </conditionalFormatting>
  <conditionalFormatting sqref="E16">
    <cfRule type="expression" dxfId="13995" priority="1382">
      <formula>AND(IF(OR($Q16=1,$Q16=2),1,0),IF($X16&lt;=20,1,0))</formula>
    </cfRule>
    <cfRule type="expression" dxfId="13994" priority="1383">
      <formula>AND(IF($Q16=2,1,0),IF($X16&lt;30,1,0))</formula>
    </cfRule>
    <cfRule type="expression" dxfId="13993" priority="1384">
      <formula>AND(IF($Q16=3,1,0),IF($X16&lt;30,1,0))</formula>
    </cfRule>
    <cfRule type="expression" dxfId="13992" priority="1385">
      <formula>AND(IF($Q16=3,1,IF($Q16=4,1,0)),IF($F16&lt;=85,1,0))</formula>
    </cfRule>
  </conditionalFormatting>
  <conditionalFormatting sqref="X16">
    <cfRule type="expression" dxfId="13991" priority="1378">
      <formula>AND(IF(OR($Q16=1,$Q16=2),1,0),IF($X16&lt;=20,1,0))</formula>
    </cfRule>
    <cfRule type="expression" dxfId="13990" priority="1379">
      <formula>AND(IF($Q16=2,1,0),IF($X16&lt;30,1,0))</formula>
    </cfRule>
    <cfRule type="expression" dxfId="13989" priority="1380">
      <formula>AND(IF($Q16=3,1,0),IF($X16&lt;30,1,0))</formula>
    </cfRule>
    <cfRule type="expression" dxfId="13988" priority="1381">
      <formula>AND(IF($Q16=3,1,IF($Q16=4,1,0)),IF($F16&lt;=85,1,0))</formula>
    </cfRule>
  </conditionalFormatting>
  <conditionalFormatting sqref="AI16">
    <cfRule type="expression" dxfId="13987" priority="1374">
      <formula>AND(IF(OR($Q16=1,$Q16=2),1,0),IF($X16&lt;=20,1,0))</formula>
    </cfRule>
    <cfRule type="expression" dxfId="13986" priority="1375">
      <formula>AND(IF($Q16=2,1,0),IF($X16&lt;30,1,0))</formula>
    </cfRule>
    <cfRule type="expression" dxfId="13985" priority="1376">
      <formula>AND(IF($Q16=3,1,0),IF($X16&lt;30,1,0))</formula>
    </cfRule>
    <cfRule type="expression" dxfId="13984" priority="1377">
      <formula>AND(IF($Q16=3,1,IF($Q16=4,1,0)),IF($F16&lt;=85,1,0))</formula>
    </cfRule>
  </conditionalFormatting>
  <conditionalFormatting sqref="AV17">
    <cfRule type="expression" dxfId="13983" priority="1372">
      <formula>AV17="X"</formula>
    </cfRule>
    <cfRule type="expression" dxfId="13982" priority="1373">
      <formula>AV17="후보"</formula>
    </cfRule>
  </conditionalFormatting>
  <conditionalFormatting sqref="AC17">
    <cfRule type="cellIs" dxfId="13981" priority="1369" operator="greaterThan">
      <formula>0.9</formula>
    </cfRule>
    <cfRule type="cellIs" dxfId="13980" priority="1370" operator="greaterThan">
      <formula>0.85</formula>
    </cfRule>
  </conditionalFormatting>
  <conditionalFormatting sqref="N17">
    <cfRule type="cellIs" dxfId="13979" priority="1367" operator="greaterThan">
      <formula>0.9</formula>
    </cfRule>
    <cfRule type="cellIs" dxfId="13978" priority="1368" operator="greaterThan">
      <formula>0.85</formula>
    </cfRule>
  </conditionalFormatting>
  <conditionalFormatting sqref="E17">
    <cfRule type="expression" dxfId="13977" priority="1363">
      <formula>AND(IF(OR($Q17=1,$Q17=2),1,0),IF($X17&lt;=20,1,0))</formula>
    </cfRule>
    <cfRule type="expression" dxfId="13976" priority="1364">
      <formula>AND(IF($Q17=2,1,0),IF($X17&lt;30,1,0))</formula>
    </cfRule>
    <cfRule type="expression" dxfId="13975" priority="1365">
      <formula>AND(IF($Q17=3,1,0),IF($X17&lt;30,1,0))</formula>
    </cfRule>
    <cfRule type="expression" dxfId="13974" priority="1366">
      <formula>AND(IF($Q17=3,1,IF($Q17=4,1,0)),IF($F17&lt;=85,1,0))</formula>
    </cfRule>
  </conditionalFormatting>
  <conditionalFormatting sqref="X17">
    <cfRule type="expression" dxfId="13973" priority="1359">
      <formula>AND(IF(OR($Q17=1,$Q17=2),1,0),IF($X17&lt;=20,1,0))</formula>
    </cfRule>
    <cfRule type="expression" dxfId="13972" priority="1360">
      <formula>AND(IF($Q17=2,1,0),IF($X17&lt;30,1,0))</formula>
    </cfRule>
    <cfRule type="expression" dxfId="13971" priority="1361">
      <formula>AND(IF($Q17=3,1,0),IF($X17&lt;30,1,0))</formula>
    </cfRule>
    <cfRule type="expression" dxfId="13970" priority="1362">
      <formula>AND(IF($Q17=3,1,IF($Q17=4,1,0)),IF($F17&lt;=85,1,0))</formula>
    </cfRule>
  </conditionalFormatting>
  <conditionalFormatting sqref="AI17">
    <cfRule type="expression" dxfId="13969" priority="1355">
      <formula>AND(IF(OR($Q17=1,$Q17=2),1,0),IF($X17&lt;=20,1,0))</formula>
    </cfRule>
    <cfRule type="expression" dxfId="13968" priority="1356">
      <formula>AND(IF($Q17=2,1,0),IF($X17&lt;30,1,0))</formula>
    </cfRule>
    <cfRule type="expression" dxfId="13967" priority="1357">
      <formula>AND(IF($Q17=3,1,0),IF($X17&lt;30,1,0))</formula>
    </cfRule>
    <cfRule type="expression" dxfId="13966" priority="1358">
      <formula>AND(IF($Q17=3,1,IF($Q17=4,1,0)),IF($F17&lt;=85,1,0))</formula>
    </cfRule>
  </conditionalFormatting>
  <conditionalFormatting sqref="AV18">
    <cfRule type="expression" dxfId="13965" priority="1353">
      <formula>AV18="X"</formula>
    </cfRule>
    <cfRule type="expression" dxfId="13964" priority="1354">
      <formula>AV18="후보"</formula>
    </cfRule>
  </conditionalFormatting>
  <conditionalFormatting sqref="AC18 N18">
    <cfRule type="cellIs" dxfId="13963" priority="1350" operator="greaterThan">
      <formula>0.9</formula>
    </cfRule>
    <cfRule type="cellIs" dxfId="13962" priority="1351" operator="greaterThan">
      <formula>0.85</formula>
    </cfRule>
  </conditionalFormatting>
  <conditionalFormatting sqref="AV19">
    <cfRule type="expression" dxfId="13961" priority="1348">
      <formula>AV19="X"</formula>
    </cfRule>
    <cfRule type="expression" dxfId="13960" priority="1349">
      <formula>AV19="후보"</formula>
    </cfRule>
  </conditionalFormatting>
  <conditionalFormatting sqref="AC19">
    <cfRule type="cellIs" dxfId="13959" priority="1345" operator="greaterThan">
      <formula>0.9</formula>
    </cfRule>
    <cfRule type="cellIs" dxfId="13958" priority="1346" operator="greaterThan">
      <formula>0.85</formula>
    </cfRule>
  </conditionalFormatting>
  <conditionalFormatting sqref="N19">
    <cfRule type="cellIs" dxfId="13957" priority="1343" operator="greaterThan">
      <formula>0.9</formula>
    </cfRule>
    <cfRule type="cellIs" dxfId="13956" priority="1344" operator="greaterThan">
      <formula>0.85</formula>
    </cfRule>
  </conditionalFormatting>
  <conditionalFormatting sqref="E19">
    <cfRule type="expression" dxfId="13955" priority="1339">
      <formula>AND(IF(OR($Q19=1,$Q19=2),1,0),IF($X19&lt;=20,1,0))</formula>
    </cfRule>
    <cfRule type="expression" dxfId="13954" priority="1340">
      <formula>AND(IF($Q19=2,1,0),IF($X19&lt;30,1,0))</formula>
    </cfRule>
    <cfRule type="expression" dxfId="13953" priority="1341">
      <formula>AND(IF($Q19=3,1,0),IF($X19&lt;30,1,0))</formula>
    </cfRule>
    <cfRule type="expression" dxfId="13952" priority="1342">
      <formula>AND(IF($Q19=3,1,IF($Q19=4,1,0)),IF($F19&lt;=85,1,0))</formula>
    </cfRule>
  </conditionalFormatting>
  <conditionalFormatting sqref="X19">
    <cfRule type="expression" dxfId="13951" priority="1335">
      <formula>AND(IF(OR($Q19=1,$Q19=2),1,0),IF($X19&lt;=20,1,0))</formula>
    </cfRule>
    <cfRule type="expression" dxfId="13950" priority="1336">
      <formula>AND(IF($Q19=2,1,0),IF($X19&lt;30,1,0))</formula>
    </cfRule>
    <cfRule type="expression" dxfId="13949" priority="1337">
      <formula>AND(IF($Q19=3,1,0),IF($X19&lt;30,1,0))</formula>
    </cfRule>
    <cfRule type="expression" dxfId="13948" priority="1338">
      <formula>AND(IF($Q19=3,1,IF($Q19=4,1,0)),IF($F19&lt;=85,1,0))</formula>
    </cfRule>
  </conditionalFormatting>
  <conditionalFormatting sqref="AI19">
    <cfRule type="expression" dxfId="13947" priority="1331">
      <formula>AND(IF(OR($Q19=1,$Q19=2),1,0),IF($X19&lt;=20,1,0))</formula>
    </cfRule>
    <cfRule type="expression" dxfId="13946" priority="1332">
      <formula>AND(IF($Q19=2,1,0),IF($X19&lt;30,1,0))</formula>
    </cfRule>
    <cfRule type="expression" dxfId="13945" priority="1333">
      <formula>AND(IF($Q19=3,1,0),IF($X19&lt;30,1,0))</formula>
    </cfRule>
    <cfRule type="expression" dxfId="13944" priority="1334">
      <formula>AND(IF($Q19=3,1,IF($Q19=4,1,0)),IF($F19&lt;=85,1,0))</formula>
    </cfRule>
  </conditionalFormatting>
  <conditionalFormatting sqref="AV20">
    <cfRule type="expression" dxfId="13943" priority="1329">
      <formula>AV20="X"</formula>
    </cfRule>
    <cfRule type="expression" dxfId="13942" priority="1330">
      <formula>AV20="후보"</formula>
    </cfRule>
  </conditionalFormatting>
  <conditionalFormatting sqref="AC20">
    <cfRule type="cellIs" dxfId="13941" priority="1326" operator="greaterThan">
      <formula>0.9</formula>
    </cfRule>
    <cfRule type="cellIs" dxfId="13940" priority="1327" operator="greaterThan">
      <formula>0.85</formula>
    </cfRule>
  </conditionalFormatting>
  <conditionalFormatting sqref="N20">
    <cfRule type="cellIs" dxfId="13939" priority="1324" operator="greaterThan">
      <formula>0.9</formula>
    </cfRule>
    <cfRule type="cellIs" dxfId="13938" priority="1325" operator="greaterThan">
      <formula>0.85</formula>
    </cfRule>
  </conditionalFormatting>
  <conditionalFormatting sqref="E20">
    <cfRule type="expression" dxfId="13937" priority="1320">
      <formula>AND(IF(OR($Q20=1,$Q20=2),1,0),IF($X20&lt;=20,1,0))</formula>
    </cfRule>
    <cfRule type="expression" dxfId="13936" priority="1321">
      <formula>AND(IF($Q20=2,1,0),IF($X20&lt;30,1,0))</formula>
    </cfRule>
    <cfRule type="expression" dxfId="13935" priority="1322">
      <formula>AND(IF($Q20=3,1,0),IF($X20&lt;30,1,0))</formula>
    </cfRule>
    <cfRule type="expression" dxfId="13934" priority="1323">
      <formula>AND(IF($Q20=3,1,IF($Q20=4,1,0)),IF($F20&lt;=85,1,0))</formula>
    </cfRule>
  </conditionalFormatting>
  <conditionalFormatting sqref="X20">
    <cfRule type="expression" dxfId="13933" priority="1316">
      <formula>AND(IF(OR($Q20=1,$Q20=2),1,0),IF($X20&lt;=20,1,0))</formula>
    </cfRule>
    <cfRule type="expression" dxfId="13932" priority="1317">
      <formula>AND(IF($Q20=2,1,0),IF($X20&lt;30,1,0))</formula>
    </cfRule>
    <cfRule type="expression" dxfId="13931" priority="1318">
      <formula>AND(IF($Q20=3,1,0),IF($X20&lt;30,1,0))</formula>
    </cfRule>
    <cfRule type="expression" dxfId="13930" priority="1319">
      <formula>AND(IF($Q20=3,1,IF($Q20=4,1,0)),IF($F20&lt;=85,1,0))</formula>
    </cfRule>
  </conditionalFormatting>
  <conditionalFormatting sqref="AI20">
    <cfRule type="expression" dxfId="13929" priority="1312">
      <formula>AND(IF(OR($Q20=1,$Q20=2),1,0),IF($X20&lt;=20,1,0))</formula>
    </cfRule>
    <cfRule type="expression" dxfId="13928" priority="1313">
      <formula>AND(IF($Q20=2,1,0),IF($X20&lt;30,1,0))</formula>
    </cfRule>
    <cfRule type="expression" dxfId="13927" priority="1314">
      <formula>AND(IF($Q20=3,1,0),IF($X20&lt;30,1,0))</formula>
    </cfRule>
    <cfRule type="expression" dxfId="13926" priority="1315">
      <formula>AND(IF($Q20=3,1,IF($Q20=4,1,0)),IF($F20&lt;=85,1,0))</formula>
    </cfRule>
  </conditionalFormatting>
  <conditionalFormatting sqref="AV21">
    <cfRule type="expression" dxfId="13925" priority="1310">
      <formula>AV21="X"</formula>
    </cfRule>
    <cfRule type="expression" dxfId="13924" priority="1311">
      <formula>AV21="후보"</formula>
    </cfRule>
  </conditionalFormatting>
  <conditionalFormatting sqref="AC21">
    <cfRule type="cellIs" dxfId="13923" priority="1307" operator="greaterThan">
      <formula>0.9</formula>
    </cfRule>
    <cfRule type="cellIs" dxfId="13922" priority="1308" operator="greaterThan">
      <formula>0.85</formula>
    </cfRule>
  </conditionalFormatting>
  <conditionalFormatting sqref="N21">
    <cfRule type="cellIs" dxfId="13921" priority="1305" operator="greaterThan">
      <formula>0.9</formula>
    </cfRule>
    <cfRule type="cellIs" dxfId="13920" priority="1306" operator="greaterThan">
      <formula>0.85</formula>
    </cfRule>
  </conditionalFormatting>
  <conditionalFormatting sqref="E21">
    <cfRule type="expression" dxfId="13919" priority="1301">
      <formula>AND(IF(OR($Q21=1,$Q21=2),1,0),IF($X21&lt;=20,1,0))</formula>
    </cfRule>
    <cfRule type="expression" dxfId="13918" priority="1302">
      <formula>AND(IF($Q21=2,1,0),IF($X21&lt;30,1,0))</formula>
    </cfRule>
    <cfRule type="expression" dxfId="13917" priority="1303">
      <formula>AND(IF($Q21=3,1,0),IF($X21&lt;30,1,0))</formula>
    </cfRule>
    <cfRule type="expression" dxfId="13916" priority="1304">
      <formula>AND(IF($Q21=3,1,IF($Q21=4,1,0)),IF($F21&lt;=85,1,0))</formula>
    </cfRule>
  </conditionalFormatting>
  <conditionalFormatting sqref="X21">
    <cfRule type="expression" dxfId="13915" priority="1297">
      <formula>AND(IF(OR($Q21=1,$Q21=2),1,0),IF($X21&lt;=20,1,0))</formula>
    </cfRule>
    <cfRule type="expression" dxfId="13914" priority="1298">
      <formula>AND(IF($Q21=2,1,0),IF($X21&lt;30,1,0))</formula>
    </cfRule>
    <cfRule type="expression" dxfId="13913" priority="1299">
      <formula>AND(IF($Q21=3,1,0),IF($X21&lt;30,1,0))</formula>
    </cfRule>
    <cfRule type="expression" dxfId="13912" priority="1300">
      <formula>AND(IF($Q21=3,1,IF($Q21=4,1,0)),IF($F21&lt;=85,1,0))</formula>
    </cfRule>
  </conditionalFormatting>
  <conditionalFormatting sqref="AI21">
    <cfRule type="expression" dxfId="13911" priority="1293">
      <formula>AND(IF(OR($Q21=1,$Q21=2),1,0),IF($X21&lt;=20,1,0))</formula>
    </cfRule>
    <cfRule type="expression" dxfId="13910" priority="1294">
      <formula>AND(IF($Q21=2,1,0),IF($X21&lt;30,1,0))</formula>
    </cfRule>
    <cfRule type="expression" dxfId="13909" priority="1295">
      <formula>AND(IF($Q21=3,1,0),IF($X21&lt;30,1,0))</formula>
    </cfRule>
    <cfRule type="expression" dxfId="13908" priority="1296">
      <formula>AND(IF($Q21=3,1,IF($Q21=4,1,0)),IF($F21&lt;=85,1,0))</formula>
    </cfRule>
  </conditionalFormatting>
  <conditionalFormatting sqref="AV22">
    <cfRule type="expression" dxfId="13907" priority="1291">
      <formula>AV22="X"</formula>
    </cfRule>
    <cfRule type="expression" dxfId="13906" priority="1292">
      <formula>AV22="후보"</formula>
    </cfRule>
  </conditionalFormatting>
  <conditionalFormatting sqref="AC22">
    <cfRule type="cellIs" dxfId="13905" priority="1288" operator="greaterThan">
      <formula>0.9</formula>
    </cfRule>
    <cfRule type="cellIs" dxfId="13904" priority="1289" operator="greaterThan">
      <formula>0.85</formula>
    </cfRule>
  </conditionalFormatting>
  <conditionalFormatting sqref="N22">
    <cfRule type="cellIs" dxfId="13903" priority="1286" operator="greaterThan">
      <formula>0.9</formula>
    </cfRule>
    <cfRule type="cellIs" dxfId="13902" priority="1287" operator="greaterThan">
      <formula>0.85</formula>
    </cfRule>
  </conditionalFormatting>
  <conditionalFormatting sqref="E22">
    <cfRule type="expression" dxfId="13901" priority="1282">
      <formula>AND(IF(OR($Q22=1,$Q22=2),1,0),IF($X22&lt;=20,1,0))</formula>
    </cfRule>
    <cfRule type="expression" dxfId="13900" priority="1283">
      <formula>AND(IF($Q22=2,1,0),IF($X22&lt;30,1,0))</formula>
    </cfRule>
    <cfRule type="expression" dxfId="13899" priority="1284">
      <formula>AND(IF($Q22=3,1,0),IF($X22&lt;30,1,0))</formula>
    </cfRule>
    <cfRule type="expression" dxfId="13898" priority="1285">
      <formula>AND(IF($Q22=3,1,IF($Q22=4,1,0)),IF($F22&lt;=85,1,0))</formula>
    </cfRule>
  </conditionalFormatting>
  <conditionalFormatting sqref="X22">
    <cfRule type="expression" dxfId="13897" priority="1278">
      <formula>AND(IF(OR($Q22=1,$Q22=2),1,0),IF($X22&lt;=20,1,0))</formula>
    </cfRule>
    <cfRule type="expression" dxfId="13896" priority="1279">
      <formula>AND(IF($Q22=2,1,0),IF($X22&lt;30,1,0))</formula>
    </cfRule>
    <cfRule type="expression" dxfId="13895" priority="1280">
      <formula>AND(IF($Q22=3,1,0),IF($X22&lt;30,1,0))</formula>
    </cfRule>
    <cfRule type="expression" dxfId="13894" priority="1281">
      <formula>AND(IF($Q22=3,1,IF($Q22=4,1,0)),IF($F22&lt;=85,1,0))</formula>
    </cfRule>
  </conditionalFormatting>
  <conditionalFormatting sqref="AI22">
    <cfRule type="expression" dxfId="13893" priority="1274">
      <formula>AND(IF(OR($Q22=1,$Q22=2),1,0),IF($X22&lt;=20,1,0))</formula>
    </cfRule>
    <cfRule type="expression" dxfId="13892" priority="1275">
      <formula>AND(IF($Q22=2,1,0),IF($X22&lt;30,1,0))</formula>
    </cfRule>
    <cfRule type="expression" dxfId="13891" priority="1276">
      <formula>AND(IF($Q22=3,1,0),IF($X22&lt;30,1,0))</formula>
    </cfRule>
    <cfRule type="expression" dxfId="13890" priority="1277">
      <formula>AND(IF($Q22=3,1,IF($Q22=4,1,0)),IF($F22&lt;=85,1,0))</formula>
    </cfRule>
  </conditionalFormatting>
  <conditionalFormatting sqref="AV23">
    <cfRule type="expression" dxfId="13889" priority="1272">
      <formula>AV23="X"</formula>
    </cfRule>
    <cfRule type="expression" dxfId="13888" priority="1273">
      <formula>AV23="후보"</formula>
    </cfRule>
  </conditionalFormatting>
  <conditionalFormatting sqref="AC23">
    <cfRule type="cellIs" dxfId="13887" priority="1269" operator="greaterThan">
      <formula>0.9</formula>
    </cfRule>
    <cfRule type="cellIs" dxfId="13886" priority="1270" operator="greaterThan">
      <formula>0.85</formula>
    </cfRule>
  </conditionalFormatting>
  <conditionalFormatting sqref="N23">
    <cfRule type="cellIs" dxfId="13885" priority="1267" operator="greaterThan">
      <formula>0.9</formula>
    </cfRule>
    <cfRule type="cellIs" dxfId="13884" priority="1268" operator="greaterThan">
      <formula>0.85</formula>
    </cfRule>
  </conditionalFormatting>
  <conditionalFormatting sqref="E23">
    <cfRule type="expression" dxfId="13883" priority="1263">
      <formula>AND(IF(OR($Q23=1,$Q23=2),1,0),IF($X23&lt;=20,1,0))</formula>
    </cfRule>
    <cfRule type="expression" dxfId="13882" priority="1264">
      <formula>AND(IF($Q23=2,1,0),IF($X23&lt;30,1,0))</formula>
    </cfRule>
    <cfRule type="expression" dxfId="13881" priority="1265">
      <formula>AND(IF($Q23=3,1,0),IF($X23&lt;30,1,0))</formula>
    </cfRule>
    <cfRule type="expression" dxfId="13880" priority="1266">
      <formula>AND(IF($Q23=3,1,IF($Q23=4,1,0)),IF($F23&lt;=85,1,0))</formula>
    </cfRule>
  </conditionalFormatting>
  <conditionalFormatting sqref="X23">
    <cfRule type="expression" dxfId="13879" priority="1259">
      <formula>AND(IF(OR($Q23=1,$Q23=2),1,0),IF($X23&lt;=20,1,0))</formula>
    </cfRule>
    <cfRule type="expression" dxfId="13878" priority="1260">
      <formula>AND(IF($Q23=2,1,0),IF($X23&lt;30,1,0))</formula>
    </cfRule>
    <cfRule type="expression" dxfId="13877" priority="1261">
      <formula>AND(IF($Q23=3,1,0),IF($X23&lt;30,1,0))</formula>
    </cfRule>
    <cfRule type="expression" dxfId="13876" priority="1262">
      <formula>AND(IF($Q23=3,1,IF($Q23=4,1,0)),IF($F23&lt;=85,1,0))</formula>
    </cfRule>
  </conditionalFormatting>
  <conditionalFormatting sqref="AI23">
    <cfRule type="expression" dxfId="13875" priority="1255">
      <formula>AND(IF(OR($Q23=1,$Q23=2),1,0),IF($X23&lt;=20,1,0))</formula>
    </cfRule>
    <cfRule type="expression" dxfId="13874" priority="1256">
      <formula>AND(IF($Q23=2,1,0),IF($X23&lt;30,1,0))</formula>
    </cfRule>
    <cfRule type="expression" dxfId="13873" priority="1257">
      <formula>AND(IF($Q23=3,1,0),IF($X23&lt;30,1,0))</formula>
    </cfRule>
    <cfRule type="expression" dxfId="13872" priority="1258">
      <formula>AND(IF($Q23=3,1,IF($Q23=4,1,0)),IF($F23&lt;=85,1,0))</formula>
    </cfRule>
  </conditionalFormatting>
  <conditionalFormatting sqref="AV24">
    <cfRule type="expression" dxfId="13871" priority="1253">
      <formula>AV24="X"</formula>
    </cfRule>
    <cfRule type="expression" dxfId="13870" priority="1254">
      <formula>AV24="후보"</formula>
    </cfRule>
  </conditionalFormatting>
  <conditionalFormatting sqref="AC24">
    <cfRule type="cellIs" dxfId="13869" priority="1250" operator="greaterThan">
      <formula>0.9</formula>
    </cfRule>
    <cfRule type="cellIs" dxfId="13868" priority="1251" operator="greaterThan">
      <formula>0.85</formula>
    </cfRule>
  </conditionalFormatting>
  <conditionalFormatting sqref="N24">
    <cfRule type="cellIs" dxfId="13867" priority="1248" operator="greaterThan">
      <formula>0.9</formula>
    </cfRule>
    <cfRule type="cellIs" dxfId="13866" priority="1249" operator="greaterThan">
      <formula>0.85</formula>
    </cfRule>
  </conditionalFormatting>
  <conditionalFormatting sqref="E24">
    <cfRule type="expression" dxfId="13865" priority="1244">
      <formula>AND(IF(OR($Q24=1,$Q24=2),1,0),IF($X24&lt;=20,1,0))</formula>
    </cfRule>
    <cfRule type="expression" dxfId="13864" priority="1245">
      <formula>AND(IF($Q24=2,1,0),IF($X24&lt;30,1,0))</formula>
    </cfRule>
    <cfRule type="expression" dxfId="13863" priority="1246">
      <formula>AND(IF($Q24=3,1,0),IF($X24&lt;30,1,0))</formula>
    </cfRule>
    <cfRule type="expression" dxfId="13862" priority="1247">
      <formula>AND(IF($Q24=3,1,IF($Q24=4,1,0)),IF($F24&lt;=85,1,0))</formula>
    </cfRule>
  </conditionalFormatting>
  <conditionalFormatting sqref="X24">
    <cfRule type="expression" dxfId="13861" priority="1240">
      <formula>AND(IF(OR($Q24=1,$Q24=2),1,0),IF($X24&lt;=20,1,0))</formula>
    </cfRule>
    <cfRule type="expression" dxfId="13860" priority="1241">
      <formula>AND(IF($Q24=2,1,0),IF($X24&lt;30,1,0))</formula>
    </cfRule>
    <cfRule type="expression" dxfId="13859" priority="1242">
      <formula>AND(IF($Q24=3,1,0),IF($X24&lt;30,1,0))</formula>
    </cfRule>
    <cfRule type="expression" dxfId="13858" priority="1243">
      <formula>AND(IF($Q24=3,1,IF($Q24=4,1,0)),IF($F24&lt;=85,1,0))</formula>
    </cfRule>
  </conditionalFormatting>
  <conditionalFormatting sqref="AI24">
    <cfRule type="expression" dxfId="13857" priority="1236">
      <formula>AND(IF(OR($Q24=1,$Q24=2),1,0),IF($X24&lt;=20,1,0))</formula>
    </cfRule>
    <cfRule type="expression" dxfId="13856" priority="1237">
      <formula>AND(IF($Q24=2,1,0),IF($X24&lt;30,1,0))</formula>
    </cfRule>
    <cfRule type="expression" dxfId="13855" priority="1238">
      <formula>AND(IF($Q24=3,1,0),IF($X24&lt;30,1,0))</formula>
    </cfRule>
    <cfRule type="expression" dxfId="13854" priority="1239">
      <formula>AND(IF($Q24=3,1,IF($Q24=4,1,0)),IF($F24&lt;=85,1,0))</formula>
    </cfRule>
  </conditionalFormatting>
  <conditionalFormatting sqref="AV25">
    <cfRule type="expression" dxfId="13853" priority="1234">
      <formula>AV25="X"</formula>
    </cfRule>
    <cfRule type="expression" dxfId="13852" priority="1235">
      <formula>AV25="후보"</formula>
    </cfRule>
  </conditionalFormatting>
  <conditionalFormatting sqref="AC25">
    <cfRule type="cellIs" dxfId="13851" priority="1231" operator="greaterThan">
      <formula>0.9</formula>
    </cfRule>
    <cfRule type="cellIs" dxfId="13850" priority="1232" operator="greaterThan">
      <formula>0.85</formula>
    </cfRule>
  </conditionalFormatting>
  <conditionalFormatting sqref="N25">
    <cfRule type="cellIs" dxfId="13849" priority="1229" operator="greaterThan">
      <formula>0.9</formula>
    </cfRule>
    <cfRule type="cellIs" dxfId="13848" priority="1230" operator="greaterThan">
      <formula>0.85</formula>
    </cfRule>
  </conditionalFormatting>
  <conditionalFormatting sqref="E25">
    <cfRule type="expression" dxfId="13847" priority="1225">
      <formula>AND(IF(OR($Q25=1,$Q25=2),1,0),IF($X25&lt;=20,1,0))</formula>
    </cfRule>
    <cfRule type="expression" dxfId="13846" priority="1226">
      <formula>AND(IF($Q25=2,1,0),IF($X25&lt;30,1,0))</formula>
    </cfRule>
    <cfRule type="expression" dxfId="13845" priority="1227">
      <formula>AND(IF($Q25=3,1,0),IF($X25&lt;30,1,0))</formula>
    </cfRule>
    <cfRule type="expression" dxfId="13844" priority="1228">
      <formula>AND(IF($Q25=3,1,IF($Q25=4,1,0)),IF($F25&lt;=85,1,0))</formula>
    </cfRule>
  </conditionalFormatting>
  <conditionalFormatting sqref="X25">
    <cfRule type="expression" dxfId="13843" priority="1221">
      <formula>AND(IF(OR($Q25=1,$Q25=2),1,0),IF($X25&lt;=20,1,0))</formula>
    </cfRule>
    <cfRule type="expression" dxfId="13842" priority="1222">
      <formula>AND(IF($Q25=2,1,0),IF($X25&lt;30,1,0))</formula>
    </cfRule>
    <cfRule type="expression" dxfId="13841" priority="1223">
      <formula>AND(IF($Q25=3,1,0),IF($X25&lt;30,1,0))</formula>
    </cfRule>
    <cfRule type="expression" dxfId="13840" priority="1224">
      <formula>AND(IF($Q25=3,1,IF($Q25=4,1,0)),IF($F25&lt;=85,1,0))</formula>
    </cfRule>
  </conditionalFormatting>
  <conditionalFormatting sqref="AI25">
    <cfRule type="expression" dxfId="13839" priority="1217">
      <formula>AND(IF(OR($Q25=1,$Q25=2),1,0),IF($X25&lt;=20,1,0))</formula>
    </cfRule>
    <cfRule type="expression" dxfId="13838" priority="1218">
      <formula>AND(IF($Q25=2,1,0),IF($X25&lt;30,1,0))</formula>
    </cfRule>
    <cfRule type="expression" dxfId="13837" priority="1219">
      <formula>AND(IF($Q25=3,1,0),IF($X25&lt;30,1,0))</formula>
    </cfRule>
    <cfRule type="expression" dxfId="13836" priority="1220">
      <formula>AND(IF($Q25=3,1,IF($Q25=4,1,0)),IF($F25&lt;=85,1,0))</formula>
    </cfRule>
  </conditionalFormatting>
  <conditionalFormatting sqref="AV26">
    <cfRule type="expression" dxfId="13835" priority="1215">
      <formula>AV26="X"</formula>
    </cfRule>
    <cfRule type="expression" dxfId="13834" priority="1216">
      <formula>AV26="후보"</formula>
    </cfRule>
  </conditionalFormatting>
  <conditionalFormatting sqref="AC26">
    <cfRule type="cellIs" dxfId="13833" priority="1212" operator="greaterThan">
      <formula>0.9</formula>
    </cfRule>
    <cfRule type="cellIs" dxfId="13832" priority="1213" operator="greaterThan">
      <formula>0.85</formula>
    </cfRule>
  </conditionalFormatting>
  <conditionalFormatting sqref="N26">
    <cfRule type="cellIs" dxfId="13831" priority="1210" operator="greaterThan">
      <formula>0.9</formula>
    </cfRule>
    <cfRule type="cellIs" dxfId="13830" priority="1211" operator="greaterThan">
      <formula>0.85</formula>
    </cfRule>
  </conditionalFormatting>
  <conditionalFormatting sqref="E26">
    <cfRule type="expression" dxfId="13829" priority="1206">
      <formula>AND(IF(OR($Q26=1,$Q26=2),1,0),IF($X26&lt;=20,1,0))</formula>
    </cfRule>
    <cfRule type="expression" dxfId="13828" priority="1207">
      <formula>AND(IF($Q26=2,1,0),IF($X26&lt;30,1,0))</formula>
    </cfRule>
    <cfRule type="expression" dxfId="13827" priority="1208">
      <formula>AND(IF($Q26=3,1,0),IF($X26&lt;30,1,0))</formula>
    </cfRule>
    <cfRule type="expression" dxfId="13826" priority="1209">
      <formula>AND(IF($Q26=3,1,IF($Q26=4,1,0)),IF($F26&lt;=85,1,0))</formula>
    </cfRule>
  </conditionalFormatting>
  <conditionalFormatting sqref="X26">
    <cfRule type="expression" dxfId="13825" priority="1202">
      <formula>AND(IF(OR($Q26=1,$Q26=2),1,0),IF($X26&lt;=20,1,0))</formula>
    </cfRule>
    <cfRule type="expression" dxfId="13824" priority="1203">
      <formula>AND(IF($Q26=2,1,0),IF($X26&lt;30,1,0))</formula>
    </cfRule>
    <cfRule type="expression" dxfId="13823" priority="1204">
      <formula>AND(IF($Q26=3,1,0),IF($X26&lt;30,1,0))</formula>
    </cfRule>
    <cfRule type="expression" dxfId="13822" priority="1205">
      <formula>AND(IF($Q26=3,1,IF($Q26=4,1,0)),IF($F26&lt;=85,1,0))</formula>
    </cfRule>
  </conditionalFormatting>
  <conditionalFormatting sqref="AI26">
    <cfRule type="expression" dxfId="13821" priority="1198">
      <formula>AND(IF(OR($Q26=1,$Q26=2),1,0),IF($X26&lt;=20,1,0))</formula>
    </cfRule>
    <cfRule type="expression" dxfId="13820" priority="1199">
      <formula>AND(IF($Q26=2,1,0),IF($X26&lt;30,1,0))</formula>
    </cfRule>
    <cfRule type="expression" dxfId="13819" priority="1200">
      <formula>AND(IF($Q26=3,1,0),IF($X26&lt;30,1,0))</formula>
    </cfRule>
    <cfRule type="expression" dxfId="13818" priority="1201">
      <formula>AND(IF($Q26=3,1,IF($Q26=4,1,0)),IF($F26&lt;=85,1,0))</formula>
    </cfRule>
  </conditionalFormatting>
  <conditionalFormatting sqref="AV27">
    <cfRule type="expression" dxfId="13817" priority="1196">
      <formula>AV27="X"</formula>
    </cfRule>
    <cfRule type="expression" dxfId="13816" priority="1197">
      <formula>AV27="후보"</formula>
    </cfRule>
  </conditionalFormatting>
  <conditionalFormatting sqref="AC27">
    <cfRule type="cellIs" dxfId="13815" priority="1193" operator="greaterThan">
      <formula>0.9</formula>
    </cfRule>
    <cfRule type="cellIs" dxfId="13814" priority="1194" operator="greaterThan">
      <formula>0.85</formula>
    </cfRule>
  </conditionalFormatting>
  <conditionalFormatting sqref="N27">
    <cfRule type="cellIs" dxfId="13813" priority="1191" operator="greaterThan">
      <formula>0.9</formula>
    </cfRule>
    <cfRule type="cellIs" dxfId="13812" priority="1192" operator="greaterThan">
      <formula>0.85</formula>
    </cfRule>
  </conditionalFormatting>
  <conditionalFormatting sqref="E27">
    <cfRule type="expression" dxfId="13811" priority="1187">
      <formula>AND(IF(OR($Q27=1,$Q27=2),1,0),IF($X27&lt;=20,1,0))</formula>
    </cfRule>
    <cfRule type="expression" dxfId="13810" priority="1188">
      <formula>AND(IF($Q27=2,1,0),IF($X27&lt;30,1,0))</formula>
    </cfRule>
    <cfRule type="expression" dxfId="13809" priority="1189">
      <formula>AND(IF($Q27=3,1,0),IF($X27&lt;30,1,0))</formula>
    </cfRule>
    <cfRule type="expression" dxfId="13808" priority="1190">
      <formula>AND(IF($Q27=3,1,IF($Q27=4,1,0)),IF($F27&lt;=85,1,0))</formula>
    </cfRule>
  </conditionalFormatting>
  <conditionalFormatting sqref="X27">
    <cfRule type="expression" dxfId="13807" priority="1183">
      <formula>AND(IF(OR($Q27=1,$Q27=2),1,0),IF($X27&lt;=20,1,0))</formula>
    </cfRule>
    <cfRule type="expression" dxfId="13806" priority="1184">
      <formula>AND(IF($Q27=2,1,0),IF($X27&lt;30,1,0))</formula>
    </cfRule>
    <cfRule type="expression" dxfId="13805" priority="1185">
      <formula>AND(IF($Q27=3,1,0),IF($X27&lt;30,1,0))</formula>
    </cfRule>
    <cfRule type="expression" dxfId="13804" priority="1186">
      <formula>AND(IF($Q27=3,1,IF($Q27=4,1,0)),IF($F27&lt;=85,1,0))</formula>
    </cfRule>
  </conditionalFormatting>
  <conditionalFormatting sqref="AI27">
    <cfRule type="expression" dxfId="13803" priority="1179">
      <formula>AND(IF(OR($Q27=1,$Q27=2),1,0),IF($X27&lt;=20,1,0))</formula>
    </cfRule>
    <cfRule type="expression" dxfId="13802" priority="1180">
      <formula>AND(IF($Q27=2,1,0),IF($X27&lt;30,1,0))</formula>
    </cfRule>
    <cfRule type="expression" dxfId="13801" priority="1181">
      <formula>AND(IF($Q27=3,1,0),IF($X27&lt;30,1,0))</formula>
    </cfRule>
    <cfRule type="expression" dxfId="13800" priority="1182">
      <formula>AND(IF($Q27=3,1,IF($Q27=4,1,0)),IF($F27&lt;=85,1,0))</formula>
    </cfRule>
  </conditionalFormatting>
  <conditionalFormatting sqref="AV28">
    <cfRule type="expression" dxfId="13799" priority="1177">
      <formula>AV28="X"</formula>
    </cfRule>
    <cfRule type="expression" dxfId="13798" priority="1178">
      <formula>AV28="후보"</formula>
    </cfRule>
  </conditionalFormatting>
  <conditionalFormatting sqref="AC28">
    <cfRule type="cellIs" dxfId="13797" priority="1174" operator="greaterThan">
      <formula>0.9</formula>
    </cfRule>
    <cfRule type="cellIs" dxfId="13796" priority="1175" operator="greaterThan">
      <formula>0.85</formula>
    </cfRule>
  </conditionalFormatting>
  <conditionalFormatting sqref="N28">
    <cfRule type="cellIs" dxfId="13795" priority="1172" operator="greaterThan">
      <formula>0.9</formula>
    </cfRule>
    <cfRule type="cellIs" dxfId="13794" priority="1173" operator="greaterThan">
      <formula>0.85</formula>
    </cfRule>
  </conditionalFormatting>
  <conditionalFormatting sqref="E28">
    <cfRule type="expression" dxfId="13793" priority="1168">
      <formula>AND(IF(OR($Q28=1,$Q28=2),1,0),IF($X28&lt;=20,1,0))</formula>
    </cfRule>
    <cfRule type="expression" dxfId="13792" priority="1169">
      <formula>AND(IF($Q28=2,1,0),IF($X28&lt;30,1,0))</formula>
    </cfRule>
    <cfRule type="expression" dxfId="13791" priority="1170">
      <formula>AND(IF($Q28=3,1,0),IF($X28&lt;30,1,0))</formula>
    </cfRule>
    <cfRule type="expression" dxfId="13790" priority="1171">
      <formula>AND(IF($Q28=3,1,IF($Q28=4,1,0)),IF($F28&lt;=85,1,0))</formula>
    </cfRule>
  </conditionalFormatting>
  <conditionalFormatting sqref="X28">
    <cfRule type="expression" dxfId="13789" priority="1164">
      <formula>AND(IF(OR($Q28=1,$Q28=2),1,0),IF($X28&lt;=20,1,0))</formula>
    </cfRule>
    <cfRule type="expression" dxfId="13788" priority="1165">
      <formula>AND(IF($Q28=2,1,0),IF($X28&lt;30,1,0))</formula>
    </cfRule>
    <cfRule type="expression" dxfId="13787" priority="1166">
      <formula>AND(IF($Q28=3,1,0),IF($X28&lt;30,1,0))</formula>
    </cfRule>
    <cfRule type="expression" dxfId="13786" priority="1167">
      <formula>AND(IF($Q28=3,1,IF($Q28=4,1,0)),IF($F28&lt;=85,1,0))</formula>
    </cfRule>
  </conditionalFormatting>
  <conditionalFormatting sqref="AI28">
    <cfRule type="expression" dxfId="13785" priority="1160">
      <formula>AND(IF(OR($Q28=1,$Q28=2),1,0),IF($X28&lt;=20,1,0))</formula>
    </cfRule>
    <cfRule type="expression" dxfId="13784" priority="1161">
      <formula>AND(IF($Q28=2,1,0),IF($X28&lt;30,1,0))</formula>
    </cfRule>
    <cfRule type="expression" dxfId="13783" priority="1162">
      <formula>AND(IF($Q28=3,1,0),IF($X28&lt;30,1,0))</formula>
    </cfRule>
    <cfRule type="expression" dxfId="13782" priority="1163">
      <formula>AND(IF($Q28=3,1,IF($Q28=4,1,0)),IF($F28&lt;=85,1,0))</formula>
    </cfRule>
  </conditionalFormatting>
  <conditionalFormatting sqref="AV29">
    <cfRule type="expression" dxfId="13781" priority="1158">
      <formula>AV29="X"</formula>
    </cfRule>
    <cfRule type="expression" dxfId="13780" priority="1159">
      <formula>AV29="후보"</formula>
    </cfRule>
  </conditionalFormatting>
  <conditionalFormatting sqref="AC29">
    <cfRule type="cellIs" dxfId="13779" priority="1155" operator="greaterThan">
      <formula>0.9</formula>
    </cfRule>
    <cfRule type="cellIs" dxfId="13778" priority="1156" operator="greaterThan">
      <formula>0.85</formula>
    </cfRule>
  </conditionalFormatting>
  <conditionalFormatting sqref="N29">
    <cfRule type="cellIs" dxfId="13777" priority="1153" operator="greaterThan">
      <formula>0.9</formula>
    </cfRule>
    <cfRule type="cellIs" dxfId="13776" priority="1154" operator="greaterThan">
      <formula>0.85</formula>
    </cfRule>
  </conditionalFormatting>
  <conditionalFormatting sqref="E29">
    <cfRule type="expression" dxfId="13775" priority="1149">
      <formula>AND(IF(OR($Q29=1,$Q29=2),1,0),IF($X29&lt;=20,1,0))</formula>
    </cfRule>
    <cfRule type="expression" dxfId="13774" priority="1150">
      <formula>AND(IF($Q29=2,1,0),IF($X29&lt;30,1,0))</formula>
    </cfRule>
    <cfRule type="expression" dxfId="13773" priority="1151">
      <formula>AND(IF($Q29=3,1,0),IF($X29&lt;30,1,0))</formula>
    </cfRule>
    <cfRule type="expression" dxfId="13772" priority="1152">
      <formula>AND(IF($Q29=3,1,IF($Q29=4,1,0)),IF($F29&lt;=85,1,0))</formula>
    </cfRule>
  </conditionalFormatting>
  <conditionalFormatting sqref="X29">
    <cfRule type="expression" dxfId="13771" priority="1145">
      <formula>AND(IF(OR($Q29=1,$Q29=2),1,0),IF($X29&lt;=20,1,0))</formula>
    </cfRule>
    <cfRule type="expression" dxfId="13770" priority="1146">
      <formula>AND(IF($Q29=2,1,0),IF($X29&lt;30,1,0))</formula>
    </cfRule>
    <cfRule type="expression" dxfId="13769" priority="1147">
      <formula>AND(IF($Q29=3,1,0),IF($X29&lt;30,1,0))</formula>
    </cfRule>
    <cfRule type="expression" dxfId="13768" priority="1148">
      <formula>AND(IF($Q29=3,1,IF($Q29=4,1,0)),IF($F29&lt;=85,1,0))</formula>
    </cfRule>
  </conditionalFormatting>
  <conditionalFormatting sqref="AI29">
    <cfRule type="expression" dxfId="13767" priority="1141">
      <formula>AND(IF(OR($Q29=1,$Q29=2),1,0),IF($X29&lt;=20,1,0))</formula>
    </cfRule>
    <cfRule type="expression" dxfId="13766" priority="1142">
      <formula>AND(IF($Q29=2,1,0),IF($X29&lt;30,1,0))</formula>
    </cfRule>
    <cfRule type="expression" dxfId="13765" priority="1143">
      <formula>AND(IF($Q29=3,1,0),IF($X29&lt;30,1,0))</formula>
    </cfRule>
    <cfRule type="expression" dxfId="13764" priority="1144">
      <formula>AND(IF($Q29=3,1,IF($Q29=4,1,0)),IF($F29&lt;=85,1,0))</formula>
    </cfRule>
  </conditionalFormatting>
  <conditionalFormatting sqref="AV30">
    <cfRule type="expression" dxfId="13763" priority="1139">
      <formula>AV30="X"</formula>
    </cfRule>
    <cfRule type="expression" dxfId="13762" priority="1140">
      <formula>AV30="후보"</formula>
    </cfRule>
  </conditionalFormatting>
  <conditionalFormatting sqref="AC30 N30">
    <cfRule type="cellIs" dxfId="13761" priority="1136" operator="greaterThan">
      <formula>0.9</formula>
    </cfRule>
    <cfRule type="cellIs" dxfId="13760" priority="1137" operator="greaterThan">
      <formula>0.85</formula>
    </cfRule>
  </conditionalFormatting>
  <conditionalFormatting sqref="AV31">
    <cfRule type="expression" dxfId="13759" priority="1134">
      <formula>AV31="X"</formula>
    </cfRule>
    <cfRule type="expression" dxfId="13758" priority="1135">
      <formula>AV31="후보"</formula>
    </cfRule>
  </conditionalFormatting>
  <conditionalFormatting sqref="AC31">
    <cfRule type="cellIs" dxfId="13757" priority="1131" operator="greaterThan">
      <formula>0.9</formula>
    </cfRule>
    <cfRule type="cellIs" dxfId="13756" priority="1132" operator="greaterThan">
      <formula>0.85</formula>
    </cfRule>
  </conditionalFormatting>
  <conditionalFormatting sqref="N31">
    <cfRule type="cellIs" dxfId="13755" priority="1129" operator="greaterThan">
      <formula>0.9</formula>
    </cfRule>
    <cfRule type="cellIs" dxfId="13754" priority="1130" operator="greaterThan">
      <formula>0.85</formula>
    </cfRule>
  </conditionalFormatting>
  <conditionalFormatting sqref="E31">
    <cfRule type="expression" dxfId="13753" priority="1125">
      <formula>AND(IF(OR($Q31=1,$Q31=2),1,0),IF($X31&lt;=20,1,0))</formula>
    </cfRule>
    <cfRule type="expression" dxfId="13752" priority="1126">
      <formula>AND(IF($Q31=2,1,0),IF($X31&lt;30,1,0))</formula>
    </cfRule>
    <cfRule type="expression" dxfId="13751" priority="1127">
      <formula>AND(IF($Q31=3,1,0),IF($X31&lt;30,1,0))</formula>
    </cfRule>
    <cfRule type="expression" dxfId="13750" priority="1128">
      <formula>AND(IF($Q31=3,1,IF($Q31=4,1,0)),IF($F31&lt;=85,1,0))</formula>
    </cfRule>
  </conditionalFormatting>
  <conditionalFormatting sqref="X31">
    <cfRule type="expression" dxfId="13749" priority="1121">
      <formula>AND(IF(OR($Q31=1,$Q31=2),1,0),IF($X31&lt;=20,1,0))</formula>
    </cfRule>
    <cfRule type="expression" dxfId="13748" priority="1122">
      <formula>AND(IF($Q31=2,1,0),IF($X31&lt;30,1,0))</formula>
    </cfRule>
    <cfRule type="expression" dxfId="13747" priority="1123">
      <formula>AND(IF($Q31=3,1,0),IF($X31&lt;30,1,0))</formula>
    </cfRule>
    <cfRule type="expression" dxfId="13746" priority="1124">
      <formula>AND(IF($Q31=3,1,IF($Q31=4,1,0)),IF($F31&lt;=85,1,0))</formula>
    </cfRule>
  </conditionalFormatting>
  <conditionalFormatting sqref="AI31">
    <cfRule type="expression" dxfId="13745" priority="1117">
      <formula>AND(IF(OR($Q31=1,$Q31=2),1,0),IF($X31&lt;=20,1,0))</formula>
    </cfRule>
    <cfRule type="expression" dxfId="13744" priority="1118">
      <formula>AND(IF($Q31=2,1,0),IF($X31&lt;30,1,0))</formula>
    </cfRule>
    <cfRule type="expression" dxfId="13743" priority="1119">
      <formula>AND(IF($Q31=3,1,0),IF($X31&lt;30,1,0))</formula>
    </cfRule>
    <cfRule type="expression" dxfId="13742" priority="1120">
      <formula>AND(IF($Q31=3,1,IF($Q31=4,1,0)),IF($F31&lt;=85,1,0))</formula>
    </cfRule>
  </conditionalFormatting>
  <conditionalFormatting sqref="AV32">
    <cfRule type="expression" dxfId="13741" priority="1115">
      <formula>AV32="X"</formula>
    </cfRule>
    <cfRule type="expression" dxfId="13740" priority="1116">
      <formula>AV32="후보"</formula>
    </cfRule>
  </conditionalFormatting>
  <conditionalFormatting sqref="AC32">
    <cfRule type="cellIs" dxfId="13739" priority="1112" operator="greaterThan">
      <formula>0.9</formula>
    </cfRule>
    <cfRule type="cellIs" dxfId="13738" priority="1113" operator="greaterThan">
      <formula>0.85</formula>
    </cfRule>
  </conditionalFormatting>
  <conditionalFormatting sqref="N32">
    <cfRule type="cellIs" dxfId="13737" priority="1110" operator="greaterThan">
      <formula>0.9</formula>
    </cfRule>
    <cfRule type="cellIs" dxfId="13736" priority="1111" operator="greaterThan">
      <formula>0.85</formula>
    </cfRule>
  </conditionalFormatting>
  <conditionalFormatting sqref="E32">
    <cfRule type="expression" dxfId="13735" priority="1106">
      <formula>AND(IF(OR($Q32=1,$Q32=2),1,0),IF($X32&lt;=20,1,0))</formula>
    </cfRule>
    <cfRule type="expression" dxfId="13734" priority="1107">
      <formula>AND(IF($Q32=2,1,0),IF($X32&lt;30,1,0))</formula>
    </cfRule>
    <cfRule type="expression" dxfId="13733" priority="1108">
      <formula>AND(IF($Q32=3,1,0),IF($X32&lt;30,1,0))</formula>
    </cfRule>
    <cfRule type="expression" dxfId="13732" priority="1109">
      <formula>AND(IF($Q32=3,1,IF($Q32=4,1,0)),IF($F32&lt;=85,1,0))</formula>
    </cfRule>
  </conditionalFormatting>
  <conditionalFormatting sqref="X32">
    <cfRule type="expression" dxfId="13731" priority="1102">
      <formula>AND(IF(OR($Q32=1,$Q32=2),1,0),IF($X32&lt;=20,1,0))</formula>
    </cfRule>
    <cfRule type="expression" dxfId="13730" priority="1103">
      <formula>AND(IF($Q32=2,1,0),IF($X32&lt;30,1,0))</formula>
    </cfRule>
    <cfRule type="expression" dxfId="13729" priority="1104">
      <formula>AND(IF($Q32=3,1,0),IF($X32&lt;30,1,0))</formula>
    </cfRule>
    <cfRule type="expression" dxfId="13728" priority="1105">
      <formula>AND(IF($Q32=3,1,IF($Q32=4,1,0)),IF($F32&lt;=85,1,0))</formula>
    </cfRule>
  </conditionalFormatting>
  <conditionalFormatting sqref="AI32">
    <cfRule type="expression" dxfId="13727" priority="1098">
      <formula>AND(IF(OR($Q32=1,$Q32=2),1,0),IF($X32&lt;=20,1,0))</formula>
    </cfRule>
    <cfRule type="expression" dxfId="13726" priority="1099">
      <formula>AND(IF($Q32=2,1,0),IF($X32&lt;30,1,0))</formula>
    </cfRule>
    <cfRule type="expression" dxfId="13725" priority="1100">
      <formula>AND(IF($Q32=3,1,0),IF($X32&lt;30,1,0))</formula>
    </cfRule>
    <cfRule type="expression" dxfId="13724" priority="1101">
      <formula>AND(IF($Q32=3,1,IF($Q32=4,1,0)),IF($F32&lt;=85,1,0))</formula>
    </cfRule>
  </conditionalFormatting>
  <conditionalFormatting sqref="AV33">
    <cfRule type="expression" dxfId="13723" priority="1096">
      <formula>AV33="X"</formula>
    </cfRule>
    <cfRule type="expression" dxfId="13722" priority="1097">
      <formula>AV33="후보"</formula>
    </cfRule>
  </conditionalFormatting>
  <conditionalFormatting sqref="AC33">
    <cfRule type="cellIs" dxfId="13721" priority="1093" operator="greaterThan">
      <formula>0.9</formula>
    </cfRule>
    <cfRule type="cellIs" dxfId="13720" priority="1094" operator="greaterThan">
      <formula>0.85</formula>
    </cfRule>
  </conditionalFormatting>
  <conditionalFormatting sqref="N33">
    <cfRule type="cellIs" dxfId="13719" priority="1091" operator="greaterThan">
      <formula>0.9</formula>
    </cfRule>
    <cfRule type="cellIs" dxfId="13718" priority="1092" operator="greaterThan">
      <formula>0.85</formula>
    </cfRule>
  </conditionalFormatting>
  <conditionalFormatting sqref="E33">
    <cfRule type="expression" dxfId="13717" priority="1087">
      <formula>AND(IF(OR($Q33=1,$Q33=2),1,0),IF($X33&lt;=20,1,0))</formula>
    </cfRule>
    <cfRule type="expression" dxfId="13716" priority="1088">
      <formula>AND(IF($Q33=2,1,0),IF($X33&lt;30,1,0))</formula>
    </cfRule>
    <cfRule type="expression" dxfId="13715" priority="1089">
      <formula>AND(IF($Q33=3,1,0),IF($X33&lt;30,1,0))</formula>
    </cfRule>
    <cfRule type="expression" dxfId="13714" priority="1090">
      <formula>AND(IF($Q33=3,1,IF($Q33=4,1,0)),IF($F33&lt;=85,1,0))</formula>
    </cfRule>
  </conditionalFormatting>
  <conditionalFormatting sqref="X33">
    <cfRule type="expression" dxfId="13713" priority="1083">
      <formula>AND(IF(OR($Q33=1,$Q33=2),1,0),IF($X33&lt;=20,1,0))</formula>
    </cfRule>
    <cfRule type="expression" dxfId="13712" priority="1084">
      <formula>AND(IF($Q33=2,1,0),IF($X33&lt;30,1,0))</formula>
    </cfRule>
    <cfRule type="expression" dxfId="13711" priority="1085">
      <formula>AND(IF($Q33=3,1,0),IF($X33&lt;30,1,0))</formula>
    </cfRule>
    <cfRule type="expression" dxfId="13710" priority="1086">
      <formula>AND(IF($Q33=3,1,IF($Q33=4,1,0)),IF($F33&lt;=85,1,0))</formula>
    </cfRule>
  </conditionalFormatting>
  <conditionalFormatting sqref="AI33">
    <cfRule type="expression" dxfId="13709" priority="1079">
      <formula>AND(IF(OR($Q33=1,$Q33=2),1,0),IF($X33&lt;=20,1,0))</formula>
    </cfRule>
    <cfRule type="expression" dxfId="13708" priority="1080">
      <formula>AND(IF($Q33=2,1,0),IF($X33&lt;30,1,0))</formula>
    </cfRule>
    <cfRule type="expression" dxfId="13707" priority="1081">
      <formula>AND(IF($Q33=3,1,0),IF($X33&lt;30,1,0))</formula>
    </cfRule>
    <cfRule type="expression" dxfId="13706" priority="1082">
      <formula>AND(IF($Q33=3,1,IF($Q33=4,1,0)),IF($F33&lt;=85,1,0))</formula>
    </cfRule>
  </conditionalFormatting>
  <conditionalFormatting sqref="AV34">
    <cfRule type="expression" dxfId="13705" priority="1077">
      <formula>AV34="X"</formula>
    </cfRule>
    <cfRule type="expression" dxfId="13704" priority="1078">
      <formula>AV34="후보"</formula>
    </cfRule>
  </conditionalFormatting>
  <conditionalFormatting sqref="AC34">
    <cfRule type="cellIs" dxfId="13703" priority="1074" operator="greaterThan">
      <formula>0.9</formula>
    </cfRule>
    <cfRule type="cellIs" dxfId="13702" priority="1075" operator="greaterThan">
      <formula>0.85</formula>
    </cfRule>
  </conditionalFormatting>
  <conditionalFormatting sqref="N34">
    <cfRule type="cellIs" dxfId="13701" priority="1072" operator="greaterThan">
      <formula>0.9</formula>
    </cfRule>
    <cfRule type="cellIs" dxfId="13700" priority="1073" operator="greaterThan">
      <formula>0.85</formula>
    </cfRule>
  </conditionalFormatting>
  <conditionalFormatting sqref="E34">
    <cfRule type="expression" dxfId="13699" priority="1068">
      <formula>AND(IF(OR($Q34=1,$Q34=2),1,0),IF($X34&lt;=20,1,0))</formula>
    </cfRule>
    <cfRule type="expression" dxfId="13698" priority="1069">
      <formula>AND(IF($Q34=2,1,0),IF($X34&lt;30,1,0))</formula>
    </cfRule>
    <cfRule type="expression" dxfId="13697" priority="1070">
      <formula>AND(IF($Q34=3,1,0),IF($X34&lt;30,1,0))</formula>
    </cfRule>
    <cfRule type="expression" dxfId="13696" priority="1071">
      <formula>AND(IF($Q34=3,1,IF($Q34=4,1,0)),IF($F34&lt;=85,1,0))</formula>
    </cfRule>
  </conditionalFormatting>
  <conditionalFormatting sqref="X34">
    <cfRule type="expression" dxfId="13695" priority="1064">
      <formula>AND(IF(OR($Q34=1,$Q34=2),1,0),IF($X34&lt;=20,1,0))</formula>
    </cfRule>
    <cfRule type="expression" dxfId="13694" priority="1065">
      <formula>AND(IF($Q34=2,1,0),IF($X34&lt;30,1,0))</formula>
    </cfRule>
    <cfRule type="expression" dxfId="13693" priority="1066">
      <formula>AND(IF($Q34=3,1,0),IF($X34&lt;30,1,0))</formula>
    </cfRule>
    <cfRule type="expression" dxfId="13692" priority="1067">
      <formula>AND(IF($Q34=3,1,IF($Q34=4,1,0)),IF($F34&lt;=85,1,0))</formula>
    </cfRule>
  </conditionalFormatting>
  <conditionalFormatting sqref="AI34">
    <cfRule type="expression" dxfId="13691" priority="1060">
      <formula>AND(IF(OR($Q34=1,$Q34=2),1,0),IF($X34&lt;=20,1,0))</formula>
    </cfRule>
    <cfRule type="expression" dxfId="13690" priority="1061">
      <formula>AND(IF($Q34=2,1,0),IF($X34&lt;30,1,0))</formula>
    </cfRule>
    <cfRule type="expression" dxfId="13689" priority="1062">
      <formula>AND(IF($Q34=3,1,0),IF($X34&lt;30,1,0))</formula>
    </cfRule>
    <cfRule type="expression" dxfId="13688" priority="1063">
      <formula>AND(IF($Q34=3,1,IF($Q34=4,1,0)),IF($F34&lt;=85,1,0))</formula>
    </cfRule>
  </conditionalFormatting>
  <conditionalFormatting sqref="AV35">
    <cfRule type="expression" dxfId="13687" priority="1058">
      <formula>AV35="X"</formula>
    </cfRule>
    <cfRule type="expression" dxfId="13686" priority="1059">
      <formula>AV35="후보"</formula>
    </cfRule>
  </conditionalFormatting>
  <conditionalFormatting sqref="AC35 N35">
    <cfRule type="cellIs" dxfId="13685" priority="1055" operator="greaterThan">
      <formula>0.9</formula>
    </cfRule>
    <cfRule type="cellIs" dxfId="13684" priority="1056" operator="greaterThan">
      <formula>0.85</formula>
    </cfRule>
  </conditionalFormatting>
  <conditionalFormatting sqref="AV36">
    <cfRule type="expression" dxfId="13683" priority="1053">
      <formula>AV36="X"</formula>
    </cfRule>
    <cfRule type="expression" dxfId="13682" priority="1054">
      <formula>AV36="후보"</formula>
    </cfRule>
  </conditionalFormatting>
  <conditionalFormatting sqref="AC36">
    <cfRule type="cellIs" dxfId="13681" priority="1050" operator="greaterThan">
      <formula>0.9</formula>
    </cfRule>
    <cfRule type="cellIs" dxfId="13680" priority="1051" operator="greaterThan">
      <formula>0.85</formula>
    </cfRule>
  </conditionalFormatting>
  <conditionalFormatting sqref="N36">
    <cfRule type="cellIs" dxfId="13679" priority="1048" operator="greaterThan">
      <formula>0.9</formula>
    </cfRule>
    <cfRule type="cellIs" dxfId="13678" priority="1049" operator="greaterThan">
      <formula>0.85</formula>
    </cfRule>
  </conditionalFormatting>
  <conditionalFormatting sqref="E36">
    <cfRule type="expression" dxfId="13677" priority="1044">
      <formula>AND(IF(OR($Q36=1,$Q36=2),1,0),IF($X36&lt;=20,1,0))</formula>
    </cfRule>
    <cfRule type="expression" dxfId="13676" priority="1045">
      <formula>AND(IF($Q36=2,1,0),IF($X36&lt;30,1,0))</formula>
    </cfRule>
    <cfRule type="expression" dxfId="13675" priority="1046">
      <formula>AND(IF($Q36=3,1,0),IF($X36&lt;30,1,0))</formula>
    </cfRule>
    <cfRule type="expression" dxfId="13674" priority="1047">
      <formula>AND(IF($Q36=3,1,IF($Q36=4,1,0)),IF($F36&lt;=85,1,0))</formula>
    </cfRule>
  </conditionalFormatting>
  <conditionalFormatting sqref="X36">
    <cfRule type="expression" dxfId="13673" priority="1040">
      <formula>AND(IF(OR($Q36=1,$Q36=2),1,0),IF($X36&lt;=20,1,0))</formula>
    </cfRule>
    <cfRule type="expression" dxfId="13672" priority="1041">
      <formula>AND(IF($Q36=2,1,0),IF($X36&lt;30,1,0))</formula>
    </cfRule>
    <cfRule type="expression" dxfId="13671" priority="1042">
      <formula>AND(IF($Q36=3,1,0),IF($X36&lt;30,1,0))</formula>
    </cfRule>
    <cfRule type="expression" dxfId="13670" priority="1043">
      <formula>AND(IF($Q36=3,1,IF($Q36=4,1,0)),IF($F36&lt;=85,1,0))</formula>
    </cfRule>
  </conditionalFormatting>
  <conditionalFormatting sqref="AI36">
    <cfRule type="expression" dxfId="13669" priority="1036">
      <formula>AND(IF(OR($Q36=1,$Q36=2),1,0),IF($X36&lt;=20,1,0))</formula>
    </cfRule>
    <cfRule type="expression" dxfId="13668" priority="1037">
      <formula>AND(IF($Q36=2,1,0),IF($X36&lt;30,1,0))</formula>
    </cfRule>
    <cfRule type="expression" dxfId="13667" priority="1038">
      <formula>AND(IF($Q36=3,1,0),IF($X36&lt;30,1,0))</formula>
    </cfRule>
    <cfRule type="expression" dxfId="13666" priority="1039">
      <formula>AND(IF($Q36=3,1,IF($Q36=4,1,0)),IF($F36&lt;=85,1,0))</formula>
    </cfRule>
  </conditionalFormatting>
  <conditionalFormatting sqref="AV37">
    <cfRule type="expression" dxfId="13665" priority="1034">
      <formula>AV37="X"</formula>
    </cfRule>
    <cfRule type="expression" dxfId="13664" priority="1035">
      <formula>AV37="후보"</formula>
    </cfRule>
  </conditionalFormatting>
  <conditionalFormatting sqref="AC37">
    <cfRule type="cellIs" dxfId="13663" priority="1031" operator="greaterThan">
      <formula>0.9</formula>
    </cfRule>
    <cfRule type="cellIs" dxfId="13662" priority="1032" operator="greaterThan">
      <formula>0.85</formula>
    </cfRule>
  </conditionalFormatting>
  <conditionalFormatting sqref="N37">
    <cfRule type="cellIs" dxfId="13661" priority="1029" operator="greaterThan">
      <formula>0.9</formula>
    </cfRule>
    <cfRule type="cellIs" dxfId="13660" priority="1030" operator="greaterThan">
      <formula>0.85</formula>
    </cfRule>
  </conditionalFormatting>
  <conditionalFormatting sqref="E37">
    <cfRule type="expression" dxfId="13659" priority="1025">
      <formula>AND(IF(OR($Q37=1,$Q37=2),1,0),IF($X37&lt;=20,1,0))</formula>
    </cfRule>
    <cfRule type="expression" dxfId="13658" priority="1026">
      <formula>AND(IF($Q37=2,1,0),IF($X37&lt;30,1,0))</formula>
    </cfRule>
    <cfRule type="expression" dxfId="13657" priority="1027">
      <formula>AND(IF($Q37=3,1,0),IF($X37&lt;30,1,0))</formula>
    </cfRule>
    <cfRule type="expression" dxfId="13656" priority="1028">
      <formula>AND(IF($Q37=3,1,IF($Q37=4,1,0)),IF($F37&lt;=85,1,0))</formula>
    </cfRule>
  </conditionalFormatting>
  <conditionalFormatting sqref="X37">
    <cfRule type="expression" dxfId="13655" priority="1021">
      <formula>AND(IF(OR($Q37=1,$Q37=2),1,0),IF($X37&lt;=20,1,0))</formula>
    </cfRule>
    <cfRule type="expression" dxfId="13654" priority="1022">
      <formula>AND(IF($Q37=2,1,0),IF($X37&lt;30,1,0))</formula>
    </cfRule>
    <cfRule type="expression" dxfId="13653" priority="1023">
      <formula>AND(IF($Q37=3,1,0),IF($X37&lt;30,1,0))</formula>
    </cfRule>
    <cfRule type="expression" dxfId="13652" priority="1024">
      <formula>AND(IF($Q37=3,1,IF($Q37=4,1,0)),IF($F37&lt;=85,1,0))</formula>
    </cfRule>
  </conditionalFormatting>
  <conditionalFormatting sqref="AI37">
    <cfRule type="expression" dxfId="13651" priority="1017">
      <formula>AND(IF(OR($Q37=1,$Q37=2),1,0),IF($X37&lt;=20,1,0))</formula>
    </cfRule>
    <cfRule type="expression" dxfId="13650" priority="1018">
      <formula>AND(IF($Q37=2,1,0),IF($X37&lt;30,1,0))</formula>
    </cfRule>
    <cfRule type="expression" dxfId="13649" priority="1019">
      <formula>AND(IF($Q37=3,1,0),IF($X37&lt;30,1,0))</formula>
    </cfRule>
    <cfRule type="expression" dxfId="13648" priority="1020">
      <formula>AND(IF($Q37=3,1,IF($Q37=4,1,0)),IF($F37&lt;=85,1,0))</formula>
    </cfRule>
  </conditionalFormatting>
  <conditionalFormatting sqref="AV38">
    <cfRule type="expression" dxfId="13647" priority="1015">
      <formula>AV38="X"</formula>
    </cfRule>
    <cfRule type="expression" dxfId="13646" priority="1016">
      <formula>AV38="후보"</formula>
    </cfRule>
  </conditionalFormatting>
  <conditionalFormatting sqref="AC38 N38">
    <cfRule type="cellIs" dxfId="13645" priority="1012" operator="greaterThan">
      <formula>0.9</formula>
    </cfRule>
    <cfRule type="cellIs" dxfId="13644" priority="1013" operator="greaterThan">
      <formula>0.85</formula>
    </cfRule>
  </conditionalFormatting>
  <conditionalFormatting sqref="AV39">
    <cfRule type="expression" dxfId="13643" priority="1010">
      <formula>AV39="X"</formula>
    </cfRule>
    <cfRule type="expression" dxfId="13642" priority="1011">
      <formula>AV39="후보"</formula>
    </cfRule>
  </conditionalFormatting>
  <conditionalFormatting sqref="AC39">
    <cfRule type="cellIs" dxfId="13641" priority="1007" operator="greaterThan">
      <formula>0.9</formula>
    </cfRule>
    <cfRule type="cellIs" dxfId="13640" priority="1008" operator="greaterThan">
      <formula>0.85</formula>
    </cfRule>
  </conditionalFormatting>
  <conditionalFormatting sqref="N39">
    <cfRule type="cellIs" dxfId="13639" priority="1005" operator="greaterThan">
      <formula>0.9</formula>
    </cfRule>
    <cfRule type="cellIs" dxfId="13638" priority="1006" operator="greaterThan">
      <formula>0.85</formula>
    </cfRule>
  </conditionalFormatting>
  <conditionalFormatting sqref="E39">
    <cfRule type="expression" dxfId="13637" priority="1001">
      <formula>AND(IF(OR($Q39=1,$Q39=2),1,0),IF($X39&lt;=20,1,0))</formula>
    </cfRule>
    <cfRule type="expression" dxfId="13636" priority="1002">
      <formula>AND(IF($Q39=2,1,0),IF($X39&lt;30,1,0))</formula>
    </cfRule>
    <cfRule type="expression" dxfId="13635" priority="1003">
      <formula>AND(IF($Q39=3,1,0),IF($X39&lt;30,1,0))</formula>
    </cfRule>
    <cfRule type="expression" dxfId="13634" priority="1004">
      <formula>AND(IF($Q39=3,1,IF($Q39=4,1,0)),IF($F39&lt;=85,1,0))</formula>
    </cfRule>
  </conditionalFormatting>
  <conditionalFormatting sqref="X39">
    <cfRule type="expression" dxfId="13633" priority="997">
      <formula>AND(IF(OR($Q39=1,$Q39=2),1,0),IF($X39&lt;=20,1,0))</formula>
    </cfRule>
    <cfRule type="expression" dxfId="13632" priority="998">
      <formula>AND(IF($Q39=2,1,0),IF($X39&lt;30,1,0))</formula>
    </cfRule>
    <cfRule type="expression" dxfId="13631" priority="999">
      <formula>AND(IF($Q39=3,1,0),IF($X39&lt;30,1,0))</formula>
    </cfRule>
    <cfRule type="expression" dxfId="13630" priority="1000">
      <formula>AND(IF($Q39=3,1,IF($Q39=4,1,0)),IF($F39&lt;=85,1,0))</formula>
    </cfRule>
  </conditionalFormatting>
  <conditionalFormatting sqref="AI39">
    <cfRule type="expression" dxfId="13629" priority="993">
      <formula>AND(IF(OR($Q39=1,$Q39=2),1,0),IF($X39&lt;=20,1,0))</formula>
    </cfRule>
    <cfRule type="expression" dxfId="13628" priority="994">
      <formula>AND(IF($Q39=2,1,0),IF($X39&lt;30,1,0))</formula>
    </cfRule>
    <cfRule type="expression" dxfId="13627" priority="995">
      <formula>AND(IF($Q39=3,1,0),IF($X39&lt;30,1,0))</formula>
    </cfRule>
    <cfRule type="expression" dxfId="13626" priority="996">
      <formula>AND(IF($Q39=3,1,IF($Q39=4,1,0)),IF($F39&lt;=85,1,0))</formula>
    </cfRule>
  </conditionalFormatting>
  <conditionalFormatting sqref="AV40">
    <cfRule type="expression" dxfId="13625" priority="991">
      <formula>AV40="X"</formula>
    </cfRule>
    <cfRule type="expression" dxfId="13624" priority="992">
      <formula>AV40="후보"</formula>
    </cfRule>
  </conditionalFormatting>
  <conditionalFormatting sqref="AC40">
    <cfRule type="cellIs" dxfId="13623" priority="988" operator="greaterThan">
      <formula>0.9</formula>
    </cfRule>
    <cfRule type="cellIs" dxfId="13622" priority="989" operator="greaterThan">
      <formula>0.85</formula>
    </cfRule>
  </conditionalFormatting>
  <conditionalFormatting sqref="N40">
    <cfRule type="cellIs" dxfId="13621" priority="986" operator="greaterThan">
      <formula>0.9</formula>
    </cfRule>
    <cfRule type="cellIs" dxfId="13620" priority="987" operator="greaterThan">
      <formula>0.85</formula>
    </cfRule>
  </conditionalFormatting>
  <conditionalFormatting sqref="E40">
    <cfRule type="expression" dxfId="13619" priority="982">
      <formula>AND(IF(OR($Q40=1,$Q40=2),1,0),IF($X40&lt;=20,1,0))</formula>
    </cfRule>
    <cfRule type="expression" dxfId="13618" priority="983">
      <formula>AND(IF($Q40=2,1,0),IF($X40&lt;30,1,0))</formula>
    </cfRule>
    <cfRule type="expression" dxfId="13617" priority="984">
      <formula>AND(IF($Q40=3,1,0),IF($X40&lt;30,1,0))</formula>
    </cfRule>
    <cfRule type="expression" dxfId="13616" priority="985">
      <formula>AND(IF($Q40=3,1,IF($Q40=4,1,0)),IF($F40&lt;=85,1,0))</formula>
    </cfRule>
  </conditionalFormatting>
  <conditionalFormatting sqref="X40">
    <cfRule type="expression" dxfId="13615" priority="978">
      <formula>AND(IF(OR($Q40=1,$Q40=2),1,0),IF($X40&lt;=20,1,0))</formula>
    </cfRule>
    <cfRule type="expression" dxfId="13614" priority="979">
      <formula>AND(IF($Q40=2,1,0),IF($X40&lt;30,1,0))</formula>
    </cfRule>
    <cfRule type="expression" dxfId="13613" priority="980">
      <formula>AND(IF($Q40=3,1,0),IF($X40&lt;30,1,0))</formula>
    </cfRule>
    <cfRule type="expression" dxfId="13612" priority="981">
      <formula>AND(IF($Q40=3,1,IF($Q40=4,1,0)),IF($F40&lt;=85,1,0))</formula>
    </cfRule>
  </conditionalFormatting>
  <conditionalFormatting sqref="AI40">
    <cfRule type="expression" dxfId="13611" priority="974">
      <formula>AND(IF(OR($Q40=1,$Q40=2),1,0),IF($X40&lt;=20,1,0))</formula>
    </cfRule>
    <cfRule type="expression" dxfId="13610" priority="975">
      <formula>AND(IF($Q40=2,1,0),IF($X40&lt;30,1,0))</formula>
    </cfRule>
    <cfRule type="expression" dxfId="13609" priority="976">
      <formula>AND(IF($Q40=3,1,0),IF($X40&lt;30,1,0))</formula>
    </cfRule>
    <cfRule type="expression" dxfId="13608" priority="977">
      <formula>AND(IF($Q40=3,1,IF($Q40=4,1,0)),IF($F40&lt;=85,1,0))</formula>
    </cfRule>
  </conditionalFormatting>
  <conditionalFormatting sqref="AV41">
    <cfRule type="expression" dxfId="13607" priority="972">
      <formula>AV41="X"</formula>
    </cfRule>
    <cfRule type="expression" dxfId="13606" priority="973">
      <formula>AV41="후보"</formula>
    </cfRule>
  </conditionalFormatting>
  <conditionalFormatting sqref="AC41 N41">
    <cfRule type="cellIs" dxfId="13605" priority="969" operator="greaterThan">
      <formula>0.9</formula>
    </cfRule>
    <cfRule type="cellIs" dxfId="13604" priority="970" operator="greaterThan">
      <formula>0.85</formula>
    </cfRule>
  </conditionalFormatting>
  <conditionalFormatting sqref="AV42">
    <cfRule type="expression" dxfId="13603" priority="967">
      <formula>AV42="X"</formula>
    </cfRule>
    <cfRule type="expression" dxfId="13602" priority="968">
      <formula>AV42="후보"</formula>
    </cfRule>
  </conditionalFormatting>
  <conditionalFormatting sqref="AC42">
    <cfRule type="cellIs" dxfId="13601" priority="964" operator="greaterThan">
      <formula>0.9</formula>
    </cfRule>
    <cfRule type="cellIs" dxfId="13600" priority="965" operator="greaterThan">
      <formula>0.85</formula>
    </cfRule>
  </conditionalFormatting>
  <conditionalFormatting sqref="N42">
    <cfRule type="cellIs" dxfId="13599" priority="962" operator="greaterThan">
      <formula>0.9</formula>
    </cfRule>
    <cfRule type="cellIs" dxfId="13598" priority="963" operator="greaterThan">
      <formula>0.85</formula>
    </cfRule>
  </conditionalFormatting>
  <conditionalFormatting sqref="E42">
    <cfRule type="expression" dxfId="13597" priority="958">
      <formula>AND(IF(OR($Q42=1,$Q42=2),1,0),IF($X42&lt;=20,1,0))</formula>
    </cfRule>
    <cfRule type="expression" dxfId="13596" priority="959">
      <formula>AND(IF($Q42=2,1,0),IF($X42&lt;30,1,0))</formula>
    </cfRule>
    <cfRule type="expression" dxfId="13595" priority="960">
      <formula>AND(IF($Q42=3,1,0),IF($X42&lt;30,1,0))</formula>
    </cfRule>
    <cfRule type="expression" dxfId="13594" priority="961">
      <formula>AND(IF($Q42=3,1,IF($Q42=4,1,0)),IF($F42&lt;=85,1,0))</formula>
    </cfRule>
  </conditionalFormatting>
  <conditionalFormatting sqref="X42">
    <cfRule type="expression" dxfId="13593" priority="954">
      <formula>AND(IF(OR($Q42=1,$Q42=2),1,0),IF($X42&lt;=20,1,0))</formula>
    </cfRule>
    <cfRule type="expression" dxfId="13592" priority="955">
      <formula>AND(IF($Q42=2,1,0),IF($X42&lt;30,1,0))</formula>
    </cfRule>
    <cfRule type="expression" dxfId="13591" priority="956">
      <formula>AND(IF($Q42=3,1,0),IF($X42&lt;30,1,0))</formula>
    </cfRule>
    <cfRule type="expression" dxfId="13590" priority="957">
      <formula>AND(IF($Q42=3,1,IF($Q42=4,1,0)),IF($F42&lt;=85,1,0))</formula>
    </cfRule>
  </conditionalFormatting>
  <conditionalFormatting sqref="AI42">
    <cfRule type="expression" dxfId="13589" priority="950">
      <formula>AND(IF(OR($Q42=1,$Q42=2),1,0),IF($X42&lt;=20,1,0))</formula>
    </cfRule>
    <cfRule type="expression" dxfId="13588" priority="951">
      <formula>AND(IF($Q42=2,1,0),IF($X42&lt;30,1,0))</formula>
    </cfRule>
    <cfRule type="expression" dxfId="13587" priority="952">
      <formula>AND(IF($Q42=3,1,0),IF($X42&lt;30,1,0))</formula>
    </cfRule>
    <cfRule type="expression" dxfId="13586" priority="953">
      <formula>AND(IF($Q42=3,1,IF($Q42=4,1,0)),IF($F42&lt;=85,1,0))</formula>
    </cfRule>
  </conditionalFormatting>
  <conditionalFormatting sqref="AV43">
    <cfRule type="expression" dxfId="13585" priority="948">
      <formula>AV43="X"</formula>
    </cfRule>
    <cfRule type="expression" dxfId="13584" priority="949">
      <formula>AV43="후보"</formula>
    </cfRule>
  </conditionalFormatting>
  <conditionalFormatting sqref="AC43">
    <cfRule type="cellIs" dxfId="13583" priority="945" operator="greaterThan">
      <formula>0.9</formula>
    </cfRule>
    <cfRule type="cellIs" dxfId="13582" priority="946" operator="greaterThan">
      <formula>0.85</formula>
    </cfRule>
  </conditionalFormatting>
  <conditionalFormatting sqref="N43">
    <cfRule type="cellIs" dxfId="13581" priority="943" operator="greaterThan">
      <formula>0.9</formula>
    </cfRule>
    <cfRule type="cellIs" dxfId="13580" priority="944" operator="greaterThan">
      <formula>0.85</formula>
    </cfRule>
  </conditionalFormatting>
  <conditionalFormatting sqref="E43">
    <cfRule type="expression" dxfId="13579" priority="939">
      <formula>AND(IF(OR($Q43=1,$Q43=2),1,0),IF($X43&lt;=20,1,0))</formula>
    </cfRule>
    <cfRule type="expression" dxfId="13578" priority="940">
      <formula>AND(IF($Q43=2,1,0),IF($X43&lt;30,1,0))</formula>
    </cfRule>
    <cfRule type="expression" dxfId="13577" priority="941">
      <formula>AND(IF($Q43=3,1,0),IF($X43&lt;30,1,0))</formula>
    </cfRule>
    <cfRule type="expression" dxfId="13576" priority="942">
      <formula>AND(IF($Q43=3,1,IF($Q43=4,1,0)),IF($F43&lt;=85,1,0))</formula>
    </cfRule>
  </conditionalFormatting>
  <conditionalFormatting sqref="X43">
    <cfRule type="expression" dxfId="13575" priority="935">
      <formula>AND(IF(OR($Q43=1,$Q43=2),1,0),IF($X43&lt;=20,1,0))</formula>
    </cfRule>
    <cfRule type="expression" dxfId="13574" priority="936">
      <formula>AND(IF($Q43=2,1,0),IF($X43&lt;30,1,0))</formula>
    </cfRule>
    <cfRule type="expression" dxfId="13573" priority="937">
      <formula>AND(IF($Q43=3,1,0),IF($X43&lt;30,1,0))</formula>
    </cfRule>
    <cfRule type="expression" dxfId="13572" priority="938">
      <formula>AND(IF($Q43=3,1,IF($Q43=4,1,0)),IF($F43&lt;=85,1,0))</formula>
    </cfRule>
  </conditionalFormatting>
  <conditionalFormatting sqref="AI43">
    <cfRule type="expression" dxfId="13571" priority="931">
      <formula>AND(IF(OR($Q43=1,$Q43=2),1,0),IF($X43&lt;=20,1,0))</formula>
    </cfRule>
    <cfRule type="expression" dxfId="13570" priority="932">
      <formula>AND(IF($Q43=2,1,0),IF($X43&lt;30,1,0))</formula>
    </cfRule>
    <cfRule type="expression" dxfId="13569" priority="933">
      <formula>AND(IF($Q43=3,1,0),IF($X43&lt;30,1,0))</formula>
    </cfRule>
    <cfRule type="expression" dxfId="13568" priority="934">
      <formula>AND(IF($Q43=3,1,IF($Q43=4,1,0)),IF($F43&lt;=85,1,0))</formula>
    </cfRule>
  </conditionalFormatting>
  <conditionalFormatting sqref="AV44">
    <cfRule type="expression" dxfId="13567" priority="929">
      <formula>AV44="X"</formula>
    </cfRule>
    <cfRule type="expression" dxfId="13566" priority="930">
      <formula>AV44="후보"</formula>
    </cfRule>
  </conditionalFormatting>
  <conditionalFormatting sqref="AC44">
    <cfRule type="cellIs" dxfId="13565" priority="926" operator="greaterThan">
      <formula>0.9</formula>
    </cfRule>
    <cfRule type="cellIs" dxfId="13564" priority="927" operator="greaterThan">
      <formula>0.85</formula>
    </cfRule>
  </conditionalFormatting>
  <conditionalFormatting sqref="N44">
    <cfRule type="cellIs" dxfId="13563" priority="924" operator="greaterThan">
      <formula>0.9</formula>
    </cfRule>
    <cfRule type="cellIs" dxfId="13562" priority="925" operator="greaterThan">
      <formula>0.85</formula>
    </cfRule>
  </conditionalFormatting>
  <conditionalFormatting sqref="E44">
    <cfRule type="expression" dxfId="13561" priority="920">
      <formula>AND(IF(OR($Q44=1,$Q44=2),1,0),IF($X44&lt;=20,1,0))</formula>
    </cfRule>
    <cfRule type="expression" dxfId="13560" priority="921">
      <formula>AND(IF($Q44=2,1,0),IF($X44&lt;30,1,0))</formula>
    </cfRule>
    <cfRule type="expression" dxfId="13559" priority="922">
      <formula>AND(IF($Q44=3,1,0),IF($X44&lt;30,1,0))</formula>
    </cfRule>
    <cfRule type="expression" dxfId="13558" priority="923">
      <formula>AND(IF($Q44=3,1,IF($Q44=4,1,0)),IF($F44&lt;=85,1,0))</formula>
    </cfRule>
  </conditionalFormatting>
  <conditionalFormatting sqref="X44">
    <cfRule type="expression" dxfId="13557" priority="916">
      <formula>AND(IF(OR($Q44=1,$Q44=2),1,0),IF($X44&lt;=20,1,0))</formula>
    </cfRule>
    <cfRule type="expression" dxfId="13556" priority="917">
      <formula>AND(IF($Q44=2,1,0),IF($X44&lt;30,1,0))</formula>
    </cfRule>
    <cfRule type="expression" dxfId="13555" priority="918">
      <formula>AND(IF($Q44=3,1,0),IF($X44&lt;30,1,0))</formula>
    </cfRule>
    <cfRule type="expression" dxfId="13554" priority="919">
      <formula>AND(IF($Q44=3,1,IF($Q44=4,1,0)),IF($F44&lt;=85,1,0))</formula>
    </cfRule>
  </conditionalFormatting>
  <conditionalFormatting sqref="AI44">
    <cfRule type="expression" dxfId="13553" priority="912">
      <formula>AND(IF(OR($Q44=1,$Q44=2),1,0),IF($X44&lt;=20,1,0))</formula>
    </cfRule>
    <cfRule type="expression" dxfId="13552" priority="913">
      <formula>AND(IF($Q44=2,1,0),IF($X44&lt;30,1,0))</formula>
    </cfRule>
    <cfRule type="expression" dxfId="13551" priority="914">
      <formula>AND(IF($Q44=3,1,0),IF($X44&lt;30,1,0))</formula>
    </cfRule>
    <cfRule type="expression" dxfId="13550" priority="915">
      <formula>AND(IF($Q44=3,1,IF($Q44=4,1,0)),IF($F44&lt;=85,1,0))</formula>
    </cfRule>
  </conditionalFormatting>
  <conditionalFormatting sqref="AV45">
    <cfRule type="expression" dxfId="13549" priority="910">
      <formula>AV45="X"</formula>
    </cfRule>
    <cfRule type="expression" dxfId="13548" priority="911">
      <formula>AV45="후보"</formula>
    </cfRule>
  </conditionalFormatting>
  <conditionalFormatting sqref="AC45">
    <cfRule type="cellIs" dxfId="13547" priority="907" operator="greaterThan">
      <formula>0.9</formula>
    </cfRule>
    <cfRule type="cellIs" dxfId="13546" priority="908" operator="greaterThan">
      <formula>0.85</formula>
    </cfRule>
  </conditionalFormatting>
  <conditionalFormatting sqref="N45">
    <cfRule type="cellIs" dxfId="13545" priority="905" operator="greaterThan">
      <formula>0.9</formula>
    </cfRule>
    <cfRule type="cellIs" dxfId="13544" priority="906" operator="greaterThan">
      <formula>0.85</formula>
    </cfRule>
  </conditionalFormatting>
  <conditionalFormatting sqref="E45">
    <cfRule type="expression" dxfId="13543" priority="901">
      <formula>AND(IF(OR($Q45=1,$Q45=2),1,0),IF($X45&lt;=20,1,0))</formula>
    </cfRule>
    <cfRule type="expression" dxfId="13542" priority="902">
      <formula>AND(IF($Q45=2,1,0),IF($X45&lt;30,1,0))</formula>
    </cfRule>
    <cfRule type="expression" dxfId="13541" priority="903">
      <formula>AND(IF($Q45=3,1,0),IF($X45&lt;30,1,0))</formula>
    </cfRule>
    <cfRule type="expression" dxfId="13540" priority="904">
      <formula>AND(IF($Q45=3,1,IF($Q45=4,1,0)),IF($F45&lt;=85,1,0))</formula>
    </cfRule>
  </conditionalFormatting>
  <conditionalFormatting sqref="X45">
    <cfRule type="expression" dxfId="13539" priority="897">
      <formula>AND(IF(OR($Q45=1,$Q45=2),1,0),IF($X45&lt;=20,1,0))</formula>
    </cfRule>
    <cfRule type="expression" dxfId="13538" priority="898">
      <formula>AND(IF($Q45=2,1,0),IF($X45&lt;30,1,0))</formula>
    </cfRule>
    <cfRule type="expression" dxfId="13537" priority="899">
      <formula>AND(IF($Q45=3,1,0),IF($X45&lt;30,1,0))</formula>
    </cfRule>
    <cfRule type="expression" dxfId="13536" priority="900">
      <formula>AND(IF($Q45=3,1,IF($Q45=4,1,0)),IF($F45&lt;=85,1,0))</formula>
    </cfRule>
  </conditionalFormatting>
  <conditionalFormatting sqref="AI45">
    <cfRule type="expression" dxfId="13535" priority="893">
      <formula>AND(IF(OR($Q45=1,$Q45=2),1,0),IF($X45&lt;=20,1,0))</formula>
    </cfRule>
    <cfRule type="expression" dxfId="13534" priority="894">
      <formula>AND(IF($Q45=2,1,0),IF($X45&lt;30,1,0))</formula>
    </cfRule>
    <cfRule type="expression" dxfId="13533" priority="895">
      <formula>AND(IF($Q45=3,1,0),IF($X45&lt;30,1,0))</formula>
    </cfRule>
    <cfRule type="expression" dxfId="13532" priority="896">
      <formula>AND(IF($Q45=3,1,IF($Q45=4,1,0)),IF($F45&lt;=85,1,0))</formula>
    </cfRule>
  </conditionalFormatting>
  <conditionalFormatting sqref="AV46">
    <cfRule type="expression" dxfId="13531" priority="891">
      <formula>AV46="X"</formula>
    </cfRule>
    <cfRule type="expression" dxfId="13530" priority="892">
      <formula>AV46="후보"</formula>
    </cfRule>
  </conditionalFormatting>
  <conditionalFormatting sqref="AC46">
    <cfRule type="cellIs" dxfId="13529" priority="888" operator="greaterThan">
      <formula>0.9</formula>
    </cfRule>
    <cfRule type="cellIs" dxfId="13528" priority="889" operator="greaterThan">
      <formula>0.85</formula>
    </cfRule>
  </conditionalFormatting>
  <conditionalFormatting sqref="N46">
    <cfRule type="cellIs" dxfId="13527" priority="886" operator="greaterThan">
      <formula>0.9</formula>
    </cfRule>
    <cfRule type="cellIs" dxfId="13526" priority="887" operator="greaterThan">
      <formula>0.85</formula>
    </cfRule>
  </conditionalFormatting>
  <conditionalFormatting sqref="E46">
    <cfRule type="expression" dxfId="13525" priority="882">
      <formula>AND(IF(OR($Q46=1,$Q46=2),1,0),IF($X46&lt;=20,1,0))</formula>
    </cfRule>
    <cfRule type="expression" dxfId="13524" priority="883">
      <formula>AND(IF($Q46=2,1,0),IF($X46&lt;30,1,0))</formula>
    </cfRule>
    <cfRule type="expression" dxfId="13523" priority="884">
      <formula>AND(IF($Q46=3,1,0),IF($X46&lt;30,1,0))</formula>
    </cfRule>
    <cfRule type="expression" dxfId="13522" priority="885">
      <formula>AND(IF($Q46=3,1,IF($Q46=4,1,0)),IF($F46&lt;=85,1,0))</formula>
    </cfRule>
  </conditionalFormatting>
  <conditionalFormatting sqref="X46">
    <cfRule type="expression" dxfId="13521" priority="878">
      <formula>AND(IF(OR($Q46=1,$Q46=2),1,0),IF($X46&lt;=20,1,0))</formula>
    </cfRule>
    <cfRule type="expression" dxfId="13520" priority="879">
      <formula>AND(IF($Q46=2,1,0),IF($X46&lt;30,1,0))</formula>
    </cfRule>
    <cfRule type="expression" dxfId="13519" priority="880">
      <formula>AND(IF($Q46=3,1,0),IF($X46&lt;30,1,0))</formula>
    </cfRule>
    <cfRule type="expression" dxfId="13518" priority="881">
      <formula>AND(IF($Q46=3,1,IF($Q46=4,1,0)),IF($F46&lt;=85,1,0))</formula>
    </cfRule>
  </conditionalFormatting>
  <conditionalFormatting sqref="AI46">
    <cfRule type="expression" dxfId="13517" priority="874">
      <formula>AND(IF(OR($Q46=1,$Q46=2),1,0),IF($X46&lt;=20,1,0))</formula>
    </cfRule>
    <cfRule type="expression" dxfId="13516" priority="875">
      <formula>AND(IF($Q46=2,1,0),IF($X46&lt;30,1,0))</formula>
    </cfRule>
    <cfRule type="expression" dxfId="13515" priority="876">
      <formula>AND(IF($Q46=3,1,0),IF($X46&lt;30,1,0))</formula>
    </cfRule>
    <cfRule type="expression" dxfId="13514" priority="877">
      <formula>AND(IF($Q46=3,1,IF($Q46=4,1,0)),IF($F46&lt;=85,1,0))</formula>
    </cfRule>
  </conditionalFormatting>
  <conditionalFormatting sqref="AV47">
    <cfRule type="expression" dxfId="13513" priority="872">
      <formula>AV47="X"</formula>
    </cfRule>
    <cfRule type="expression" dxfId="13512" priority="873">
      <formula>AV47="후보"</formula>
    </cfRule>
  </conditionalFormatting>
  <conditionalFormatting sqref="AC47 N47">
    <cfRule type="cellIs" dxfId="13511" priority="869" operator="greaterThan">
      <formula>0.9</formula>
    </cfRule>
    <cfRule type="cellIs" dxfId="13510" priority="870" operator="greaterThan">
      <formula>0.85</formula>
    </cfRule>
  </conditionalFormatting>
  <conditionalFormatting sqref="AV48">
    <cfRule type="expression" dxfId="13509" priority="867">
      <formula>AV48="X"</formula>
    </cfRule>
    <cfRule type="expression" dxfId="13508" priority="868">
      <formula>AV48="후보"</formula>
    </cfRule>
  </conditionalFormatting>
  <conditionalFormatting sqref="AC48">
    <cfRule type="cellIs" dxfId="13507" priority="864" operator="greaterThan">
      <formula>0.9</formula>
    </cfRule>
    <cfRule type="cellIs" dxfId="13506" priority="865" operator="greaterThan">
      <formula>0.85</formula>
    </cfRule>
  </conditionalFormatting>
  <conditionalFormatting sqref="N48">
    <cfRule type="cellIs" dxfId="13505" priority="862" operator="greaterThan">
      <formula>0.9</formula>
    </cfRule>
    <cfRule type="cellIs" dxfId="13504" priority="863" operator="greaterThan">
      <formula>0.85</formula>
    </cfRule>
  </conditionalFormatting>
  <conditionalFormatting sqref="E48">
    <cfRule type="expression" dxfId="13503" priority="858">
      <formula>AND(IF(OR($Q48=1,$Q48=2),1,0),IF($X48&lt;=20,1,0))</formula>
    </cfRule>
    <cfRule type="expression" dxfId="13502" priority="859">
      <formula>AND(IF($Q48=2,1,0),IF($X48&lt;30,1,0))</formula>
    </cfRule>
    <cfRule type="expression" dxfId="13501" priority="860">
      <formula>AND(IF($Q48=3,1,0),IF($X48&lt;30,1,0))</formula>
    </cfRule>
    <cfRule type="expression" dxfId="13500" priority="861">
      <formula>AND(IF($Q48=3,1,IF($Q48=4,1,0)),IF($F48&lt;=85,1,0))</formula>
    </cfRule>
  </conditionalFormatting>
  <conditionalFormatting sqref="X48">
    <cfRule type="expression" dxfId="13499" priority="854">
      <formula>AND(IF(OR($Q48=1,$Q48=2),1,0),IF($X48&lt;=20,1,0))</formula>
    </cfRule>
    <cfRule type="expression" dxfId="13498" priority="855">
      <formula>AND(IF($Q48=2,1,0),IF($X48&lt;30,1,0))</formula>
    </cfRule>
    <cfRule type="expression" dxfId="13497" priority="856">
      <formula>AND(IF($Q48=3,1,0),IF($X48&lt;30,1,0))</formula>
    </cfRule>
    <cfRule type="expression" dxfId="13496" priority="857">
      <formula>AND(IF($Q48=3,1,IF($Q48=4,1,0)),IF($F48&lt;=85,1,0))</formula>
    </cfRule>
  </conditionalFormatting>
  <conditionalFormatting sqref="AI48">
    <cfRule type="expression" dxfId="13495" priority="850">
      <formula>AND(IF(OR($Q48=1,$Q48=2),1,0),IF($X48&lt;=20,1,0))</formula>
    </cfRule>
    <cfRule type="expression" dxfId="13494" priority="851">
      <formula>AND(IF($Q48=2,1,0),IF($X48&lt;30,1,0))</formula>
    </cfRule>
    <cfRule type="expression" dxfId="13493" priority="852">
      <formula>AND(IF($Q48=3,1,0),IF($X48&lt;30,1,0))</formula>
    </cfRule>
    <cfRule type="expression" dxfId="13492" priority="853">
      <formula>AND(IF($Q48=3,1,IF($Q48=4,1,0)),IF($F48&lt;=85,1,0))</formula>
    </cfRule>
  </conditionalFormatting>
  <conditionalFormatting sqref="AV49">
    <cfRule type="expression" dxfId="13491" priority="848">
      <formula>AV49="X"</formula>
    </cfRule>
    <cfRule type="expression" dxfId="13490" priority="849">
      <formula>AV49="후보"</formula>
    </cfRule>
  </conditionalFormatting>
  <conditionalFormatting sqref="AC49">
    <cfRule type="cellIs" dxfId="13489" priority="845" operator="greaterThan">
      <formula>0.9</formula>
    </cfRule>
    <cfRule type="cellIs" dxfId="13488" priority="846" operator="greaterThan">
      <formula>0.85</formula>
    </cfRule>
  </conditionalFormatting>
  <conditionalFormatting sqref="N49">
    <cfRule type="cellIs" dxfId="13487" priority="843" operator="greaterThan">
      <formula>0.9</formula>
    </cfRule>
    <cfRule type="cellIs" dxfId="13486" priority="844" operator="greaterThan">
      <formula>0.85</formula>
    </cfRule>
  </conditionalFormatting>
  <conditionalFormatting sqref="E49">
    <cfRule type="expression" dxfId="13485" priority="839">
      <formula>AND(IF(OR($Q49=1,$Q49=2),1,0),IF($X49&lt;=20,1,0))</formula>
    </cfRule>
    <cfRule type="expression" dxfId="13484" priority="840">
      <formula>AND(IF($Q49=2,1,0),IF($X49&lt;30,1,0))</formula>
    </cfRule>
    <cfRule type="expression" dxfId="13483" priority="841">
      <formula>AND(IF($Q49=3,1,0),IF($X49&lt;30,1,0))</formula>
    </cfRule>
    <cfRule type="expression" dxfId="13482" priority="842">
      <formula>AND(IF($Q49=3,1,IF($Q49=4,1,0)),IF($F49&lt;=85,1,0))</formula>
    </cfRule>
  </conditionalFormatting>
  <conditionalFormatting sqref="X49">
    <cfRule type="expression" dxfId="13481" priority="835">
      <formula>AND(IF(OR($Q49=1,$Q49=2),1,0),IF($X49&lt;=20,1,0))</formula>
    </cfRule>
    <cfRule type="expression" dxfId="13480" priority="836">
      <formula>AND(IF($Q49=2,1,0),IF($X49&lt;30,1,0))</formula>
    </cfRule>
    <cfRule type="expression" dxfId="13479" priority="837">
      <formula>AND(IF($Q49=3,1,0),IF($X49&lt;30,1,0))</formula>
    </cfRule>
    <cfRule type="expression" dxfId="13478" priority="838">
      <formula>AND(IF($Q49=3,1,IF($Q49=4,1,0)),IF($F49&lt;=85,1,0))</formula>
    </cfRule>
  </conditionalFormatting>
  <conditionalFormatting sqref="AI49">
    <cfRule type="expression" dxfId="13477" priority="831">
      <formula>AND(IF(OR($Q49=1,$Q49=2),1,0),IF($X49&lt;=20,1,0))</formula>
    </cfRule>
    <cfRule type="expression" dxfId="13476" priority="832">
      <formula>AND(IF($Q49=2,1,0),IF($X49&lt;30,1,0))</formula>
    </cfRule>
    <cfRule type="expression" dxfId="13475" priority="833">
      <formula>AND(IF($Q49=3,1,0),IF($X49&lt;30,1,0))</formula>
    </cfRule>
    <cfRule type="expression" dxfId="13474" priority="834">
      <formula>AND(IF($Q49=3,1,IF($Q49=4,1,0)),IF($F49&lt;=85,1,0))</formula>
    </cfRule>
  </conditionalFormatting>
  <conditionalFormatting sqref="AV50">
    <cfRule type="expression" dxfId="13473" priority="829">
      <formula>AV50="X"</formula>
    </cfRule>
    <cfRule type="expression" dxfId="13472" priority="830">
      <formula>AV50="후보"</formula>
    </cfRule>
  </conditionalFormatting>
  <conditionalFormatting sqref="AC50">
    <cfRule type="cellIs" dxfId="13471" priority="826" operator="greaterThan">
      <formula>0.9</formula>
    </cfRule>
    <cfRule type="cellIs" dxfId="13470" priority="827" operator="greaterThan">
      <formula>0.85</formula>
    </cfRule>
  </conditionalFormatting>
  <conditionalFormatting sqref="N50">
    <cfRule type="cellIs" dxfId="13469" priority="824" operator="greaterThan">
      <formula>0.9</formula>
    </cfRule>
    <cfRule type="cellIs" dxfId="13468" priority="825" operator="greaterThan">
      <formula>0.85</formula>
    </cfRule>
  </conditionalFormatting>
  <conditionalFormatting sqref="E50">
    <cfRule type="expression" dxfId="13467" priority="820">
      <formula>AND(IF(OR($Q50=1,$Q50=2),1,0),IF($X50&lt;=20,1,0))</formula>
    </cfRule>
    <cfRule type="expression" dxfId="13466" priority="821">
      <formula>AND(IF($Q50=2,1,0),IF($X50&lt;30,1,0))</formula>
    </cfRule>
    <cfRule type="expression" dxfId="13465" priority="822">
      <formula>AND(IF($Q50=3,1,0),IF($X50&lt;30,1,0))</formula>
    </cfRule>
    <cfRule type="expression" dxfId="13464" priority="823">
      <formula>AND(IF($Q50=3,1,IF($Q50=4,1,0)),IF($F50&lt;=85,1,0))</formula>
    </cfRule>
  </conditionalFormatting>
  <conditionalFormatting sqref="X50">
    <cfRule type="expression" dxfId="13463" priority="816">
      <formula>AND(IF(OR($Q50=1,$Q50=2),1,0),IF($X50&lt;=20,1,0))</formula>
    </cfRule>
    <cfRule type="expression" dxfId="13462" priority="817">
      <formula>AND(IF($Q50=2,1,0),IF($X50&lt;30,1,0))</formula>
    </cfRule>
    <cfRule type="expression" dxfId="13461" priority="818">
      <formula>AND(IF($Q50=3,1,0),IF($X50&lt;30,1,0))</formula>
    </cfRule>
    <cfRule type="expression" dxfId="13460" priority="819">
      <formula>AND(IF($Q50=3,1,IF($Q50=4,1,0)),IF($F50&lt;=85,1,0))</formula>
    </cfRule>
  </conditionalFormatting>
  <conditionalFormatting sqref="AI50">
    <cfRule type="expression" dxfId="13459" priority="812">
      <formula>AND(IF(OR($Q50=1,$Q50=2),1,0),IF($X50&lt;=20,1,0))</formula>
    </cfRule>
    <cfRule type="expression" dxfId="13458" priority="813">
      <formula>AND(IF($Q50=2,1,0),IF($X50&lt;30,1,0))</formula>
    </cfRule>
    <cfRule type="expression" dxfId="13457" priority="814">
      <formula>AND(IF($Q50=3,1,0),IF($X50&lt;30,1,0))</formula>
    </cfRule>
    <cfRule type="expression" dxfId="13456" priority="815">
      <formula>AND(IF($Q50=3,1,IF($Q50=4,1,0)),IF($F50&lt;=85,1,0))</formula>
    </cfRule>
  </conditionalFormatting>
  <conditionalFormatting sqref="AV51">
    <cfRule type="expression" dxfId="13455" priority="810">
      <formula>AV51="X"</formula>
    </cfRule>
    <cfRule type="expression" dxfId="13454" priority="811">
      <formula>AV51="후보"</formula>
    </cfRule>
  </conditionalFormatting>
  <conditionalFormatting sqref="AC51 N51">
    <cfRule type="cellIs" dxfId="13453" priority="807" operator="greaterThan">
      <formula>0.9</formula>
    </cfRule>
    <cfRule type="cellIs" dxfId="13452" priority="808" operator="greaterThan">
      <formula>0.85</formula>
    </cfRule>
  </conditionalFormatting>
  <conditionalFormatting sqref="AV52">
    <cfRule type="expression" dxfId="13451" priority="805">
      <formula>AV52="X"</formula>
    </cfRule>
    <cfRule type="expression" dxfId="13450" priority="806">
      <formula>AV52="후보"</formula>
    </cfRule>
  </conditionalFormatting>
  <conditionalFormatting sqref="AC52">
    <cfRule type="cellIs" dxfId="13449" priority="802" operator="greaterThan">
      <formula>0.9</formula>
    </cfRule>
    <cfRule type="cellIs" dxfId="13448" priority="803" operator="greaterThan">
      <formula>0.85</formula>
    </cfRule>
  </conditionalFormatting>
  <conditionalFormatting sqref="N52">
    <cfRule type="cellIs" dxfId="13447" priority="800" operator="greaterThan">
      <formula>0.9</formula>
    </cfRule>
    <cfRule type="cellIs" dxfId="13446" priority="801" operator="greaterThan">
      <formula>0.85</formula>
    </cfRule>
  </conditionalFormatting>
  <conditionalFormatting sqref="E52">
    <cfRule type="expression" dxfId="13445" priority="796">
      <formula>AND(IF(OR($Q52=1,$Q52=2),1,0),IF($X52&lt;=20,1,0))</formula>
    </cfRule>
    <cfRule type="expression" dxfId="13444" priority="797">
      <formula>AND(IF($Q52=2,1,0),IF($X52&lt;30,1,0))</formula>
    </cfRule>
    <cfRule type="expression" dxfId="13443" priority="798">
      <formula>AND(IF($Q52=3,1,0),IF($X52&lt;30,1,0))</formula>
    </cfRule>
    <cfRule type="expression" dxfId="13442" priority="799">
      <formula>AND(IF($Q52=3,1,IF($Q52=4,1,0)),IF($F52&lt;=85,1,0))</formula>
    </cfRule>
  </conditionalFormatting>
  <conditionalFormatting sqref="X52">
    <cfRule type="expression" dxfId="13441" priority="792">
      <formula>AND(IF(OR($Q52=1,$Q52=2),1,0),IF($X52&lt;=20,1,0))</formula>
    </cfRule>
    <cfRule type="expression" dxfId="13440" priority="793">
      <formula>AND(IF($Q52=2,1,0),IF($X52&lt;30,1,0))</formula>
    </cfRule>
    <cfRule type="expression" dxfId="13439" priority="794">
      <formula>AND(IF($Q52=3,1,0),IF($X52&lt;30,1,0))</formula>
    </cfRule>
    <cfRule type="expression" dxfId="13438" priority="795">
      <formula>AND(IF($Q52=3,1,IF($Q52=4,1,0)),IF($F52&lt;=85,1,0))</formula>
    </cfRule>
  </conditionalFormatting>
  <conditionalFormatting sqref="AI52">
    <cfRule type="expression" dxfId="13437" priority="788">
      <formula>AND(IF(OR($Q52=1,$Q52=2),1,0),IF($X52&lt;=20,1,0))</formula>
    </cfRule>
    <cfRule type="expression" dxfId="13436" priority="789">
      <formula>AND(IF($Q52=2,1,0),IF($X52&lt;30,1,0))</formula>
    </cfRule>
    <cfRule type="expression" dxfId="13435" priority="790">
      <formula>AND(IF($Q52=3,1,0),IF($X52&lt;30,1,0))</formula>
    </cfRule>
    <cfRule type="expression" dxfId="13434" priority="791">
      <formula>AND(IF($Q52=3,1,IF($Q52=4,1,0)),IF($F52&lt;=85,1,0))</formula>
    </cfRule>
  </conditionalFormatting>
  <conditionalFormatting sqref="AV53">
    <cfRule type="expression" dxfId="13433" priority="786">
      <formula>AV53="X"</formula>
    </cfRule>
    <cfRule type="expression" dxfId="13432" priority="787">
      <formula>AV53="후보"</formula>
    </cfRule>
  </conditionalFormatting>
  <conditionalFormatting sqref="AC53">
    <cfRule type="cellIs" dxfId="13431" priority="783" operator="greaterThan">
      <formula>0.9</formula>
    </cfRule>
    <cfRule type="cellIs" dxfId="13430" priority="784" operator="greaterThan">
      <formula>0.85</formula>
    </cfRule>
  </conditionalFormatting>
  <conditionalFormatting sqref="N53">
    <cfRule type="cellIs" dxfId="13429" priority="781" operator="greaterThan">
      <formula>0.9</formula>
    </cfRule>
    <cfRule type="cellIs" dxfId="13428" priority="782" operator="greaterThan">
      <formula>0.85</formula>
    </cfRule>
  </conditionalFormatting>
  <conditionalFormatting sqref="E53">
    <cfRule type="expression" dxfId="13427" priority="777">
      <formula>AND(IF(OR($Q53=1,$Q53=2),1,0),IF($X53&lt;=20,1,0))</formula>
    </cfRule>
    <cfRule type="expression" dxfId="13426" priority="778">
      <formula>AND(IF($Q53=2,1,0),IF($X53&lt;30,1,0))</formula>
    </cfRule>
    <cfRule type="expression" dxfId="13425" priority="779">
      <formula>AND(IF($Q53=3,1,0),IF($X53&lt;30,1,0))</formula>
    </cfRule>
    <cfRule type="expression" dxfId="13424" priority="780">
      <formula>AND(IF($Q53=3,1,IF($Q53=4,1,0)),IF($F53&lt;=85,1,0))</formula>
    </cfRule>
  </conditionalFormatting>
  <conditionalFormatting sqref="X53">
    <cfRule type="expression" dxfId="13423" priority="773">
      <formula>AND(IF(OR($Q53=1,$Q53=2),1,0),IF($X53&lt;=20,1,0))</formula>
    </cfRule>
    <cfRule type="expression" dxfId="13422" priority="774">
      <formula>AND(IF($Q53=2,1,0),IF($X53&lt;30,1,0))</formula>
    </cfRule>
    <cfRule type="expression" dxfId="13421" priority="775">
      <formula>AND(IF($Q53=3,1,0),IF($X53&lt;30,1,0))</formula>
    </cfRule>
    <cfRule type="expression" dxfId="13420" priority="776">
      <formula>AND(IF($Q53=3,1,IF($Q53=4,1,0)),IF($F53&lt;=85,1,0))</formula>
    </cfRule>
  </conditionalFormatting>
  <conditionalFormatting sqref="AI53">
    <cfRule type="expression" dxfId="13419" priority="769">
      <formula>AND(IF(OR($Q53=1,$Q53=2),1,0),IF($X53&lt;=20,1,0))</formula>
    </cfRule>
    <cfRule type="expression" dxfId="13418" priority="770">
      <formula>AND(IF($Q53=2,1,0),IF($X53&lt;30,1,0))</formula>
    </cfRule>
    <cfRule type="expression" dxfId="13417" priority="771">
      <formula>AND(IF($Q53=3,1,0),IF($X53&lt;30,1,0))</formula>
    </cfRule>
    <cfRule type="expression" dxfId="13416" priority="772">
      <formula>AND(IF($Q53=3,1,IF($Q53=4,1,0)),IF($F53&lt;=85,1,0))</formula>
    </cfRule>
  </conditionalFormatting>
  <conditionalFormatting sqref="AV54">
    <cfRule type="expression" dxfId="13415" priority="767">
      <formula>AV54="X"</formula>
    </cfRule>
    <cfRule type="expression" dxfId="13414" priority="768">
      <formula>AV54="후보"</formula>
    </cfRule>
  </conditionalFormatting>
  <conditionalFormatting sqref="AC54">
    <cfRule type="cellIs" dxfId="13413" priority="764" operator="greaterThan">
      <formula>0.9</formula>
    </cfRule>
    <cfRule type="cellIs" dxfId="13412" priority="765" operator="greaterThan">
      <formula>0.85</formula>
    </cfRule>
  </conditionalFormatting>
  <conditionalFormatting sqref="N54">
    <cfRule type="cellIs" dxfId="13411" priority="762" operator="greaterThan">
      <formula>0.9</formula>
    </cfRule>
    <cfRule type="cellIs" dxfId="13410" priority="763" operator="greaterThan">
      <formula>0.85</formula>
    </cfRule>
  </conditionalFormatting>
  <conditionalFormatting sqref="E54">
    <cfRule type="expression" dxfId="13409" priority="758">
      <formula>AND(IF(OR($Q54=1,$Q54=2),1,0),IF($X54&lt;=20,1,0))</formula>
    </cfRule>
    <cfRule type="expression" dxfId="13408" priority="759">
      <formula>AND(IF($Q54=2,1,0),IF($X54&lt;30,1,0))</formula>
    </cfRule>
    <cfRule type="expression" dxfId="13407" priority="760">
      <formula>AND(IF($Q54=3,1,0),IF($X54&lt;30,1,0))</formula>
    </cfRule>
    <cfRule type="expression" dxfId="13406" priority="761">
      <formula>AND(IF($Q54=3,1,IF($Q54=4,1,0)),IF($F54&lt;=85,1,0))</formula>
    </cfRule>
  </conditionalFormatting>
  <conditionalFormatting sqref="X54">
    <cfRule type="expression" dxfId="13405" priority="754">
      <formula>AND(IF(OR($Q54=1,$Q54=2),1,0),IF($X54&lt;=20,1,0))</formula>
    </cfRule>
    <cfRule type="expression" dxfId="13404" priority="755">
      <formula>AND(IF($Q54=2,1,0),IF($X54&lt;30,1,0))</formula>
    </cfRule>
    <cfRule type="expression" dxfId="13403" priority="756">
      <formula>AND(IF($Q54=3,1,0),IF($X54&lt;30,1,0))</formula>
    </cfRule>
    <cfRule type="expression" dxfId="13402" priority="757">
      <formula>AND(IF($Q54=3,1,IF($Q54=4,1,0)),IF($F54&lt;=85,1,0))</formula>
    </cfRule>
  </conditionalFormatting>
  <conditionalFormatting sqref="AI54">
    <cfRule type="expression" dxfId="13401" priority="750">
      <formula>AND(IF(OR($Q54=1,$Q54=2),1,0),IF($X54&lt;=20,1,0))</formula>
    </cfRule>
    <cfRule type="expression" dxfId="13400" priority="751">
      <formula>AND(IF($Q54=2,1,0),IF($X54&lt;30,1,0))</formula>
    </cfRule>
    <cfRule type="expression" dxfId="13399" priority="752">
      <formula>AND(IF($Q54=3,1,0),IF($X54&lt;30,1,0))</formula>
    </cfRule>
    <cfRule type="expression" dxfId="13398" priority="753">
      <formula>AND(IF($Q54=3,1,IF($Q54=4,1,0)),IF($F54&lt;=85,1,0))</formula>
    </cfRule>
  </conditionalFormatting>
  <conditionalFormatting sqref="AV55">
    <cfRule type="expression" dxfId="13397" priority="748">
      <formula>AV55="X"</formula>
    </cfRule>
    <cfRule type="expression" dxfId="13396" priority="749">
      <formula>AV55="후보"</formula>
    </cfRule>
  </conditionalFormatting>
  <conditionalFormatting sqref="AC55 N55">
    <cfRule type="cellIs" dxfId="13395" priority="745" operator="greaterThan">
      <formula>0.9</formula>
    </cfRule>
    <cfRule type="cellIs" dxfId="13394" priority="746" operator="greaterThan">
      <formula>0.85</formula>
    </cfRule>
  </conditionalFormatting>
  <conditionalFormatting sqref="AV56">
    <cfRule type="expression" dxfId="13393" priority="743">
      <formula>AV56="X"</formula>
    </cfRule>
    <cfRule type="expression" dxfId="13392" priority="744">
      <formula>AV56="후보"</formula>
    </cfRule>
  </conditionalFormatting>
  <conditionalFormatting sqref="AC56">
    <cfRule type="cellIs" dxfId="13391" priority="740" operator="greaterThan">
      <formula>0.9</formula>
    </cfRule>
    <cfRule type="cellIs" dxfId="13390" priority="741" operator="greaterThan">
      <formula>0.85</formula>
    </cfRule>
  </conditionalFormatting>
  <conditionalFormatting sqref="N56">
    <cfRule type="cellIs" dxfId="13389" priority="738" operator="greaterThan">
      <formula>0.9</formula>
    </cfRule>
    <cfRule type="cellIs" dxfId="13388" priority="739" operator="greaterThan">
      <formula>0.85</formula>
    </cfRule>
  </conditionalFormatting>
  <conditionalFormatting sqref="E56">
    <cfRule type="expression" dxfId="13387" priority="734">
      <formula>AND(IF(OR($Q56=1,$Q56=2),1,0),IF($X56&lt;=20,1,0))</formula>
    </cfRule>
    <cfRule type="expression" dxfId="13386" priority="735">
      <formula>AND(IF($Q56=2,1,0),IF($X56&lt;30,1,0))</formula>
    </cfRule>
    <cfRule type="expression" dxfId="13385" priority="736">
      <formula>AND(IF($Q56=3,1,0),IF($X56&lt;30,1,0))</formula>
    </cfRule>
    <cfRule type="expression" dxfId="13384" priority="737">
      <formula>AND(IF($Q56=3,1,IF($Q56=4,1,0)),IF($F56&lt;=85,1,0))</formula>
    </cfRule>
  </conditionalFormatting>
  <conditionalFormatting sqref="X56">
    <cfRule type="expression" dxfId="13383" priority="730">
      <formula>AND(IF(OR($Q56=1,$Q56=2),1,0),IF($X56&lt;=20,1,0))</formula>
    </cfRule>
    <cfRule type="expression" dxfId="13382" priority="731">
      <formula>AND(IF($Q56=2,1,0),IF($X56&lt;30,1,0))</formula>
    </cfRule>
    <cfRule type="expression" dxfId="13381" priority="732">
      <formula>AND(IF($Q56=3,1,0),IF($X56&lt;30,1,0))</formula>
    </cfRule>
    <cfRule type="expression" dxfId="13380" priority="733">
      <formula>AND(IF($Q56=3,1,IF($Q56=4,1,0)),IF($F56&lt;=85,1,0))</formula>
    </cfRule>
  </conditionalFormatting>
  <conditionalFormatting sqref="AI56">
    <cfRule type="expression" dxfId="13379" priority="726">
      <formula>AND(IF(OR($Q56=1,$Q56=2),1,0),IF($X56&lt;=20,1,0))</formula>
    </cfRule>
    <cfRule type="expression" dxfId="13378" priority="727">
      <formula>AND(IF($Q56=2,1,0),IF($X56&lt;30,1,0))</formula>
    </cfRule>
    <cfRule type="expression" dxfId="13377" priority="728">
      <formula>AND(IF($Q56=3,1,0),IF($X56&lt;30,1,0))</formula>
    </cfRule>
    <cfRule type="expression" dxfId="13376" priority="729">
      <formula>AND(IF($Q56=3,1,IF($Q56=4,1,0)),IF($F56&lt;=85,1,0))</formula>
    </cfRule>
  </conditionalFormatting>
  <conditionalFormatting sqref="AV57">
    <cfRule type="expression" dxfId="13375" priority="724">
      <formula>AV57="X"</formula>
    </cfRule>
    <cfRule type="expression" dxfId="13374" priority="725">
      <formula>AV57="후보"</formula>
    </cfRule>
  </conditionalFormatting>
  <conditionalFormatting sqref="AC57 N57">
    <cfRule type="cellIs" dxfId="13373" priority="721" operator="greaterThan">
      <formula>0.9</formula>
    </cfRule>
    <cfRule type="cellIs" dxfId="13372" priority="722" operator="greaterThan">
      <formula>0.85</formula>
    </cfRule>
  </conditionalFormatting>
  <conditionalFormatting sqref="AV58">
    <cfRule type="expression" dxfId="13371" priority="719">
      <formula>AV58="X"</formula>
    </cfRule>
    <cfRule type="expression" dxfId="13370" priority="720">
      <formula>AV58="후보"</formula>
    </cfRule>
  </conditionalFormatting>
  <conditionalFormatting sqref="AC58">
    <cfRule type="cellIs" dxfId="13369" priority="716" operator="greaterThan">
      <formula>0.9</formula>
    </cfRule>
    <cfRule type="cellIs" dxfId="13368" priority="717" operator="greaterThan">
      <formula>0.85</formula>
    </cfRule>
  </conditionalFormatting>
  <conditionalFormatting sqref="N58">
    <cfRule type="cellIs" dxfId="13367" priority="714" operator="greaterThan">
      <formula>0.9</formula>
    </cfRule>
    <cfRule type="cellIs" dxfId="13366" priority="715" operator="greaterThan">
      <formula>0.85</formula>
    </cfRule>
  </conditionalFormatting>
  <conditionalFormatting sqref="E58">
    <cfRule type="expression" dxfId="13365" priority="710">
      <formula>AND(IF(OR($Q58=1,$Q58=2),1,0),IF($X58&lt;=20,1,0))</formula>
    </cfRule>
    <cfRule type="expression" dxfId="13364" priority="711">
      <formula>AND(IF($Q58=2,1,0),IF($X58&lt;30,1,0))</formula>
    </cfRule>
    <cfRule type="expression" dxfId="13363" priority="712">
      <formula>AND(IF($Q58=3,1,0),IF($X58&lt;30,1,0))</formula>
    </cfRule>
    <cfRule type="expression" dxfId="13362" priority="713">
      <formula>AND(IF($Q58=3,1,IF($Q58=4,1,0)),IF($F58&lt;=85,1,0))</formula>
    </cfRule>
  </conditionalFormatting>
  <conditionalFormatting sqref="X58">
    <cfRule type="expression" dxfId="13361" priority="706">
      <formula>AND(IF(OR($Q58=1,$Q58=2),1,0),IF($X58&lt;=20,1,0))</formula>
    </cfRule>
    <cfRule type="expression" dxfId="13360" priority="707">
      <formula>AND(IF($Q58=2,1,0),IF($X58&lt;30,1,0))</formula>
    </cfRule>
    <cfRule type="expression" dxfId="13359" priority="708">
      <formula>AND(IF($Q58=3,1,0),IF($X58&lt;30,1,0))</formula>
    </cfRule>
    <cfRule type="expression" dxfId="13358" priority="709">
      <formula>AND(IF($Q58=3,1,IF($Q58=4,1,0)),IF($F58&lt;=85,1,0))</formula>
    </cfRule>
  </conditionalFormatting>
  <conditionalFormatting sqref="AI58">
    <cfRule type="expression" dxfId="13357" priority="702">
      <formula>AND(IF(OR($Q58=1,$Q58=2),1,0),IF($X58&lt;=20,1,0))</formula>
    </cfRule>
    <cfRule type="expression" dxfId="13356" priority="703">
      <formula>AND(IF($Q58=2,1,0),IF($X58&lt;30,1,0))</formula>
    </cfRule>
    <cfRule type="expression" dxfId="13355" priority="704">
      <formula>AND(IF($Q58=3,1,0),IF($X58&lt;30,1,0))</formula>
    </cfRule>
    <cfRule type="expression" dxfId="13354" priority="705">
      <formula>AND(IF($Q58=3,1,IF($Q58=4,1,0)),IF($F58&lt;=85,1,0))</formula>
    </cfRule>
  </conditionalFormatting>
  <conditionalFormatting sqref="AV59">
    <cfRule type="expression" dxfId="13353" priority="700">
      <formula>AV59="X"</formula>
    </cfRule>
    <cfRule type="expression" dxfId="13352" priority="701">
      <formula>AV59="후보"</formula>
    </cfRule>
  </conditionalFormatting>
  <conditionalFormatting sqref="AC59">
    <cfRule type="cellIs" dxfId="13351" priority="697" operator="greaterThan">
      <formula>0.9</formula>
    </cfRule>
    <cfRule type="cellIs" dxfId="13350" priority="698" operator="greaterThan">
      <formula>0.85</formula>
    </cfRule>
  </conditionalFormatting>
  <conditionalFormatting sqref="N59">
    <cfRule type="cellIs" dxfId="13349" priority="695" operator="greaterThan">
      <formula>0.9</formula>
    </cfRule>
    <cfRule type="cellIs" dxfId="13348" priority="696" operator="greaterThan">
      <formula>0.85</formula>
    </cfRule>
  </conditionalFormatting>
  <conditionalFormatting sqref="E59">
    <cfRule type="expression" dxfId="13347" priority="691">
      <formula>AND(IF(OR($Q59=1,$Q59=2),1,0),IF($X59&lt;=20,1,0))</formula>
    </cfRule>
    <cfRule type="expression" dxfId="13346" priority="692">
      <formula>AND(IF($Q59=2,1,0),IF($X59&lt;30,1,0))</formula>
    </cfRule>
    <cfRule type="expression" dxfId="13345" priority="693">
      <formula>AND(IF($Q59=3,1,0),IF($X59&lt;30,1,0))</formula>
    </cfRule>
    <cfRule type="expression" dxfId="13344" priority="694">
      <formula>AND(IF($Q59=3,1,IF($Q59=4,1,0)),IF($F59&lt;=85,1,0))</formula>
    </cfRule>
  </conditionalFormatting>
  <conditionalFormatting sqref="X59">
    <cfRule type="expression" dxfId="13343" priority="687">
      <formula>AND(IF(OR($Q59=1,$Q59=2),1,0),IF($X59&lt;=20,1,0))</formula>
    </cfRule>
    <cfRule type="expression" dxfId="13342" priority="688">
      <formula>AND(IF($Q59=2,1,0),IF($X59&lt;30,1,0))</formula>
    </cfRule>
    <cfRule type="expression" dxfId="13341" priority="689">
      <formula>AND(IF($Q59=3,1,0),IF($X59&lt;30,1,0))</formula>
    </cfRule>
    <cfRule type="expression" dxfId="13340" priority="690">
      <formula>AND(IF($Q59=3,1,IF($Q59=4,1,0)),IF($F59&lt;=85,1,0))</formula>
    </cfRule>
  </conditionalFormatting>
  <conditionalFormatting sqref="AI59">
    <cfRule type="expression" dxfId="13339" priority="683">
      <formula>AND(IF(OR($Q59=1,$Q59=2),1,0),IF($X59&lt;=20,1,0))</formula>
    </cfRule>
    <cfRule type="expression" dxfId="13338" priority="684">
      <formula>AND(IF($Q59=2,1,0),IF($X59&lt;30,1,0))</formula>
    </cfRule>
    <cfRule type="expression" dxfId="13337" priority="685">
      <formula>AND(IF($Q59=3,1,0),IF($X59&lt;30,1,0))</formula>
    </cfRule>
    <cfRule type="expression" dxfId="13336" priority="686">
      <formula>AND(IF($Q59=3,1,IF($Q59=4,1,0)),IF($F59&lt;=85,1,0))</formula>
    </cfRule>
  </conditionalFormatting>
  <conditionalFormatting sqref="AV60">
    <cfRule type="expression" dxfId="13335" priority="681">
      <formula>AV60="X"</formula>
    </cfRule>
    <cfRule type="expression" dxfId="13334" priority="682">
      <formula>AV60="후보"</formula>
    </cfRule>
  </conditionalFormatting>
  <conditionalFormatting sqref="AC60 N60">
    <cfRule type="cellIs" dxfId="13333" priority="678" operator="greaterThan">
      <formula>0.9</formula>
    </cfRule>
    <cfRule type="cellIs" dxfId="13332" priority="679" operator="greaterThan">
      <formula>0.85</formula>
    </cfRule>
  </conditionalFormatting>
  <conditionalFormatting sqref="AV61">
    <cfRule type="expression" dxfId="13331" priority="676">
      <formula>AV61="X"</formula>
    </cfRule>
    <cfRule type="expression" dxfId="13330" priority="677">
      <formula>AV61="후보"</formula>
    </cfRule>
  </conditionalFormatting>
  <conditionalFormatting sqref="AC61">
    <cfRule type="cellIs" dxfId="13329" priority="673" operator="greaterThan">
      <formula>0.9</formula>
    </cfRule>
    <cfRule type="cellIs" dxfId="13328" priority="674" operator="greaterThan">
      <formula>0.85</formula>
    </cfRule>
  </conditionalFormatting>
  <conditionalFormatting sqref="N61">
    <cfRule type="cellIs" dxfId="13327" priority="671" operator="greaterThan">
      <formula>0.9</formula>
    </cfRule>
    <cfRule type="cellIs" dxfId="13326" priority="672" operator="greaterThan">
      <formula>0.85</formula>
    </cfRule>
  </conditionalFormatting>
  <conditionalFormatting sqref="E61">
    <cfRule type="expression" dxfId="13325" priority="667">
      <formula>AND(IF(OR($Q61=1,$Q61=2),1,0),IF($X61&lt;=20,1,0))</formula>
    </cfRule>
    <cfRule type="expression" dxfId="13324" priority="668">
      <formula>AND(IF($Q61=2,1,0),IF($X61&lt;30,1,0))</formula>
    </cfRule>
    <cfRule type="expression" dxfId="13323" priority="669">
      <formula>AND(IF($Q61=3,1,0),IF($X61&lt;30,1,0))</formula>
    </cfRule>
    <cfRule type="expression" dxfId="13322" priority="670">
      <formula>AND(IF($Q61=3,1,IF($Q61=4,1,0)),IF($F61&lt;=85,1,0))</formula>
    </cfRule>
  </conditionalFormatting>
  <conditionalFormatting sqref="X61">
    <cfRule type="expression" dxfId="13321" priority="663">
      <formula>AND(IF(OR($Q61=1,$Q61=2),1,0),IF($X61&lt;=20,1,0))</formula>
    </cfRule>
    <cfRule type="expression" dxfId="13320" priority="664">
      <formula>AND(IF($Q61=2,1,0),IF($X61&lt;30,1,0))</formula>
    </cfRule>
    <cfRule type="expression" dxfId="13319" priority="665">
      <formula>AND(IF($Q61=3,1,0),IF($X61&lt;30,1,0))</formula>
    </cfRule>
    <cfRule type="expression" dxfId="13318" priority="666">
      <formula>AND(IF($Q61=3,1,IF($Q61=4,1,0)),IF($F61&lt;=85,1,0))</formula>
    </cfRule>
  </conditionalFormatting>
  <conditionalFormatting sqref="AI61">
    <cfRule type="expression" dxfId="13317" priority="659">
      <formula>AND(IF(OR($Q61=1,$Q61=2),1,0),IF($X61&lt;=20,1,0))</formula>
    </cfRule>
    <cfRule type="expression" dxfId="13316" priority="660">
      <formula>AND(IF($Q61=2,1,0),IF($X61&lt;30,1,0))</formula>
    </cfRule>
    <cfRule type="expression" dxfId="13315" priority="661">
      <formula>AND(IF($Q61=3,1,0),IF($X61&lt;30,1,0))</formula>
    </cfRule>
    <cfRule type="expression" dxfId="13314" priority="662">
      <formula>AND(IF($Q61=3,1,IF($Q61=4,1,0)),IF($F61&lt;=85,1,0))</formula>
    </cfRule>
  </conditionalFormatting>
  <conditionalFormatting sqref="AV62">
    <cfRule type="expression" dxfId="13313" priority="657">
      <formula>AV62="X"</formula>
    </cfRule>
    <cfRule type="expression" dxfId="13312" priority="658">
      <formula>AV62="후보"</formula>
    </cfRule>
  </conditionalFormatting>
  <conditionalFormatting sqref="AC62">
    <cfRule type="cellIs" dxfId="13311" priority="654" operator="greaterThan">
      <formula>0.9</formula>
    </cfRule>
    <cfRule type="cellIs" dxfId="13310" priority="655" operator="greaterThan">
      <formula>0.85</formula>
    </cfRule>
  </conditionalFormatting>
  <conditionalFormatting sqref="N62">
    <cfRule type="cellIs" dxfId="13309" priority="652" operator="greaterThan">
      <formula>0.9</formula>
    </cfRule>
    <cfRule type="cellIs" dxfId="13308" priority="653" operator="greaterThan">
      <formula>0.85</formula>
    </cfRule>
  </conditionalFormatting>
  <conditionalFormatting sqref="E62">
    <cfRule type="expression" dxfId="13307" priority="648">
      <formula>AND(IF(OR($Q62=1,$Q62=2),1,0),IF($X62&lt;=20,1,0))</formula>
    </cfRule>
    <cfRule type="expression" dxfId="13306" priority="649">
      <formula>AND(IF($Q62=2,1,0),IF($X62&lt;30,1,0))</formula>
    </cfRule>
    <cfRule type="expression" dxfId="13305" priority="650">
      <formula>AND(IF($Q62=3,1,0),IF($X62&lt;30,1,0))</formula>
    </cfRule>
    <cfRule type="expression" dxfId="13304" priority="651">
      <formula>AND(IF($Q62=3,1,IF($Q62=4,1,0)),IF($F62&lt;=85,1,0))</formula>
    </cfRule>
  </conditionalFormatting>
  <conditionalFormatting sqref="X62">
    <cfRule type="expression" dxfId="13303" priority="644">
      <formula>AND(IF(OR($Q62=1,$Q62=2),1,0),IF($X62&lt;=20,1,0))</formula>
    </cfRule>
    <cfRule type="expression" dxfId="13302" priority="645">
      <formula>AND(IF($Q62=2,1,0),IF($X62&lt;30,1,0))</formula>
    </cfRule>
    <cfRule type="expression" dxfId="13301" priority="646">
      <formula>AND(IF($Q62=3,1,0),IF($X62&lt;30,1,0))</formula>
    </cfRule>
    <cfRule type="expression" dxfId="13300" priority="647">
      <formula>AND(IF($Q62=3,1,IF($Q62=4,1,0)),IF($F62&lt;=85,1,0))</formula>
    </cfRule>
  </conditionalFormatting>
  <conditionalFormatting sqref="AI62">
    <cfRule type="expression" dxfId="13299" priority="640">
      <formula>AND(IF(OR($Q62=1,$Q62=2),1,0),IF($X62&lt;=20,1,0))</formula>
    </cfRule>
    <cfRule type="expression" dxfId="13298" priority="641">
      <formula>AND(IF($Q62=2,1,0),IF($X62&lt;30,1,0))</formula>
    </cfRule>
    <cfRule type="expression" dxfId="13297" priority="642">
      <formula>AND(IF($Q62=3,1,0),IF($X62&lt;30,1,0))</formula>
    </cfRule>
    <cfRule type="expression" dxfId="13296" priority="643">
      <formula>AND(IF($Q62=3,1,IF($Q62=4,1,0)),IF($F62&lt;=85,1,0))</formula>
    </cfRule>
  </conditionalFormatting>
  <conditionalFormatting sqref="AV63">
    <cfRule type="expression" dxfId="13295" priority="638">
      <formula>AV63="X"</formula>
    </cfRule>
    <cfRule type="expression" dxfId="13294" priority="639">
      <formula>AV63="후보"</formula>
    </cfRule>
  </conditionalFormatting>
  <conditionalFormatting sqref="AC63 N63">
    <cfRule type="cellIs" dxfId="13293" priority="635" operator="greaterThan">
      <formula>0.9</formula>
    </cfRule>
    <cfRule type="cellIs" dxfId="13292" priority="636" operator="greaterThan">
      <formula>0.85</formula>
    </cfRule>
  </conditionalFormatting>
  <conditionalFormatting sqref="AV64">
    <cfRule type="expression" dxfId="13291" priority="633">
      <formula>AV64="X"</formula>
    </cfRule>
    <cfRule type="expression" dxfId="13290" priority="634">
      <formula>AV64="후보"</formula>
    </cfRule>
  </conditionalFormatting>
  <conditionalFormatting sqref="AC64">
    <cfRule type="cellIs" dxfId="13289" priority="630" operator="greaterThan">
      <formula>0.9</formula>
    </cfRule>
    <cfRule type="cellIs" dxfId="13288" priority="631" operator="greaterThan">
      <formula>0.85</formula>
    </cfRule>
  </conditionalFormatting>
  <conditionalFormatting sqref="N64">
    <cfRule type="cellIs" dxfId="13287" priority="628" operator="greaterThan">
      <formula>0.9</formula>
    </cfRule>
    <cfRule type="cellIs" dxfId="13286" priority="629" operator="greaterThan">
      <formula>0.85</formula>
    </cfRule>
  </conditionalFormatting>
  <conditionalFormatting sqref="E64">
    <cfRule type="expression" dxfId="13285" priority="624">
      <formula>AND(IF(OR($Q64=1,$Q64=2),1,0),IF($X64&lt;=20,1,0))</formula>
    </cfRule>
    <cfRule type="expression" dxfId="13284" priority="625">
      <formula>AND(IF($Q64=2,1,0),IF($X64&lt;30,1,0))</formula>
    </cfRule>
    <cfRule type="expression" dxfId="13283" priority="626">
      <formula>AND(IF($Q64=3,1,0),IF($X64&lt;30,1,0))</formula>
    </cfRule>
    <cfRule type="expression" dxfId="13282" priority="627">
      <formula>AND(IF($Q64=3,1,IF($Q64=4,1,0)),IF($F64&lt;=85,1,0))</formula>
    </cfRule>
  </conditionalFormatting>
  <conditionalFormatting sqref="X64">
    <cfRule type="expression" dxfId="13281" priority="620">
      <formula>AND(IF(OR($Q64=1,$Q64=2),1,0),IF($X64&lt;=20,1,0))</formula>
    </cfRule>
    <cfRule type="expression" dxfId="13280" priority="621">
      <formula>AND(IF($Q64=2,1,0),IF($X64&lt;30,1,0))</formula>
    </cfRule>
    <cfRule type="expression" dxfId="13279" priority="622">
      <formula>AND(IF($Q64=3,1,0),IF($X64&lt;30,1,0))</formula>
    </cfRule>
    <cfRule type="expression" dxfId="13278" priority="623">
      <formula>AND(IF($Q64=3,1,IF($Q64=4,1,0)),IF($F64&lt;=85,1,0))</formula>
    </cfRule>
  </conditionalFormatting>
  <conditionalFormatting sqref="AI64">
    <cfRule type="expression" dxfId="13277" priority="616">
      <formula>AND(IF(OR($Q64=1,$Q64=2),1,0),IF($X64&lt;=20,1,0))</formula>
    </cfRule>
    <cfRule type="expression" dxfId="13276" priority="617">
      <formula>AND(IF($Q64=2,1,0),IF($X64&lt;30,1,0))</formula>
    </cfRule>
    <cfRule type="expression" dxfId="13275" priority="618">
      <formula>AND(IF($Q64=3,1,0),IF($X64&lt;30,1,0))</formula>
    </cfRule>
    <cfRule type="expression" dxfId="13274" priority="619">
      <formula>AND(IF($Q64=3,1,IF($Q64=4,1,0)),IF($F64&lt;=85,1,0))</formula>
    </cfRule>
  </conditionalFormatting>
  <conditionalFormatting sqref="AV65">
    <cfRule type="expression" dxfId="13273" priority="614">
      <formula>AV65="X"</formula>
    </cfRule>
    <cfRule type="expression" dxfId="13272" priority="615">
      <formula>AV65="후보"</formula>
    </cfRule>
  </conditionalFormatting>
  <conditionalFormatting sqref="AC65 N65">
    <cfRule type="cellIs" dxfId="13271" priority="611" operator="greaterThan">
      <formula>0.9</formula>
    </cfRule>
    <cfRule type="cellIs" dxfId="13270" priority="612" operator="greaterThan">
      <formula>0.85</formula>
    </cfRule>
  </conditionalFormatting>
  <conditionalFormatting sqref="AV66">
    <cfRule type="expression" dxfId="13269" priority="609">
      <formula>AV66="X"</formula>
    </cfRule>
    <cfRule type="expression" dxfId="13268" priority="610">
      <formula>AV66="후보"</formula>
    </cfRule>
  </conditionalFormatting>
  <conditionalFormatting sqref="AC66">
    <cfRule type="cellIs" dxfId="13267" priority="606" operator="greaterThan">
      <formula>0.9</formula>
    </cfRule>
    <cfRule type="cellIs" dxfId="13266" priority="607" operator="greaterThan">
      <formula>0.85</formula>
    </cfRule>
  </conditionalFormatting>
  <conditionalFormatting sqref="N66">
    <cfRule type="cellIs" dxfId="13265" priority="604" operator="greaterThan">
      <formula>0.9</formula>
    </cfRule>
    <cfRule type="cellIs" dxfId="13264" priority="605" operator="greaterThan">
      <formula>0.85</formula>
    </cfRule>
  </conditionalFormatting>
  <conditionalFormatting sqref="E66">
    <cfRule type="expression" dxfId="13263" priority="600">
      <formula>AND(IF(OR($Q66=1,$Q66=2),1,0),IF($X66&lt;=20,1,0))</formula>
    </cfRule>
    <cfRule type="expression" dxfId="13262" priority="601">
      <formula>AND(IF($Q66=2,1,0),IF($X66&lt;30,1,0))</formula>
    </cfRule>
    <cfRule type="expression" dxfId="13261" priority="602">
      <formula>AND(IF($Q66=3,1,0),IF($X66&lt;30,1,0))</formula>
    </cfRule>
    <cfRule type="expression" dxfId="13260" priority="603">
      <formula>AND(IF($Q66=3,1,IF($Q66=4,1,0)),IF($F66&lt;=85,1,0))</formula>
    </cfRule>
  </conditionalFormatting>
  <conditionalFormatting sqref="X66">
    <cfRule type="expression" dxfId="13259" priority="596">
      <formula>AND(IF(OR($Q66=1,$Q66=2),1,0),IF($X66&lt;=20,1,0))</formula>
    </cfRule>
    <cfRule type="expression" dxfId="13258" priority="597">
      <formula>AND(IF($Q66=2,1,0),IF($X66&lt;30,1,0))</formula>
    </cfRule>
    <cfRule type="expression" dxfId="13257" priority="598">
      <formula>AND(IF($Q66=3,1,0),IF($X66&lt;30,1,0))</formula>
    </cfRule>
    <cfRule type="expression" dxfId="13256" priority="599">
      <formula>AND(IF($Q66=3,1,IF($Q66=4,1,0)),IF($F66&lt;=85,1,0))</formula>
    </cfRule>
  </conditionalFormatting>
  <conditionalFormatting sqref="AI66">
    <cfRule type="expression" dxfId="13255" priority="592">
      <formula>AND(IF(OR($Q66=1,$Q66=2),1,0),IF($X66&lt;=20,1,0))</formula>
    </cfRule>
    <cfRule type="expression" dxfId="13254" priority="593">
      <formula>AND(IF($Q66=2,1,0),IF($X66&lt;30,1,0))</formula>
    </cfRule>
    <cfRule type="expression" dxfId="13253" priority="594">
      <formula>AND(IF($Q66=3,1,0),IF($X66&lt;30,1,0))</formula>
    </cfRule>
    <cfRule type="expression" dxfId="13252" priority="595">
      <formula>AND(IF($Q66=3,1,IF($Q66=4,1,0)),IF($F66&lt;=85,1,0))</formula>
    </cfRule>
  </conditionalFormatting>
  <conditionalFormatting sqref="AV67">
    <cfRule type="expression" dxfId="13251" priority="590">
      <formula>AV67="X"</formula>
    </cfRule>
    <cfRule type="expression" dxfId="13250" priority="591">
      <formula>AV67="후보"</formula>
    </cfRule>
  </conditionalFormatting>
  <conditionalFormatting sqref="AC67">
    <cfRule type="cellIs" dxfId="13249" priority="587" operator="greaterThan">
      <formula>0.9</formula>
    </cfRule>
    <cfRule type="cellIs" dxfId="13248" priority="588" operator="greaterThan">
      <formula>0.85</formula>
    </cfRule>
  </conditionalFormatting>
  <conditionalFormatting sqref="N67">
    <cfRule type="cellIs" dxfId="13247" priority="585" operator="greaterThan">
      <formula>0.9</formula>
    </cfRule>
    <cfRule type="cellIs" dxfId="13246" priority="586" operator="greaterThan">
      <formula>0.85</formula>
    </cfRule>
  </conditionalFormatting>
  <conditionalFormatting sqref="E67">
    <cfRule type="expression" dxfId="13245" priority="581">
      <formula>AND(IF(OR($Q67=1,$Q67=2),1,0),IF($X67&lt;=20,1,0))</formula>
    </cfRule>
    <cfRule type="expression" dxfId="13244" priority="582">
      <formula>AND(IF($Q67=2,1,0),IF($X67&lt;30,1,0))</formula>
    </cfRule>
    <cfRule type="expression" dxfId="13243" priority="583">
      <formula>AND(IF($Q67=3,1,0),IF($X67&lt;30,1,0))</formula>
    </cfRule>
    <cfRule type="expression" dxfId="13242" priority="584">
      <formula>AND(IF($Q67=3,1,IF($Q67=4,1,0)),IF($F67&lt;=85,1,0))</formula>
    </cfRule>
  </conditionalFormatting>
  <conditionalFormatting sqref="X67">
    <cfRule type="expression" dxfId="13241" priority="577">
      <formula>AND(IF(OR($Q67=1,$Q67=2),1,0),IF($X67&lt;=20,1,0))</formula>
    </cfRule>
    <cfRule type="expression" dxfId="13240" priority="578">
      <formula>AND(IF($Q67=2,1,0),IF($X67&lt;30,1,0))</formula>
    </cfRule>
    <cfRule type="expression" dxfId="13239" priority="579">
      <formula>AND(IF($Q67=3,1,0),IF($X67&lt;30,1,0))</formula>
    </cfRule>
    <cfRule type="expression" dxfId="13238" priority="580">
      <formula>AND(IF($Q67=3,1,IF($Q67=4,1,0)),IF($F67&lt;=85,1,0))</formula>
    </cfRule>
  </conditionalFormatting>
  <conditionalFormatting sqref="AI67">
    <cfRule type="expression" dxfId="13237" priority="573">
      <formula>AND(IF(OR($Q67=1,$Q67=2),1,0),IF($X67&lt;=20,1,0))</formula>
    </cfRule>
    <cfRule type="expression" dxfId="13236" priority="574">
      <formula>AND(IF($Q67=2,1,0),IF($X67&lt;30,1,0))</formula>
    </cfRule>
    <cfRule type="expression" dxfId="13235" priority="575">
      <formula>AND(IF($Q67=3,1,0),IF($X67&lt;30,1,0))</formula>
    </cfRule>
    <cfRule type="expression" dxfId="13234" priority="576">
      <formula>AND(IF($Q67=3,1,IF($Q67=4,1,0)),IF($F67&lt;=85,1,0))</formula>
    </cfRule>
  </conditionalFormatting>
  <conditionalFormatting sqref="AV68">
    <cfRule type="expression" dxfId="13233" priority="571">
      <formula>AV68="X"</formula>
    </cfRule>
    <cfRule type="expression" dxfId="13232" priority="572">
      <formula>AV68="후보"</formula>
    </cfRule>
  </conditionalFormatting>
  <conditionalFormatting sqref="AC68 N68">
    <cfRule type="cellIs" dxfId="13231" priority="568" operator="greaterThan">
      <formula>0.9</formula>
    </cfRule>
    <cfRule type="cellIs" dxfId="13230" priority="569" operator="greaterThan">
      <formula>0.85</formula>
    </cfRule>
  </conditionalFormatting>
  <conditionalFormatting sqref="AV69">
    <cfRule type="expression" dxfId="13229" priority="566">
      <formula>AV69="X"</formula>
    </cfRule>
    <cfRule type="expression" dxfId="13228" priority="567">
      <formula>AV69="후보"</formula>
    </cfRule>
  </conditionalFormatting>
  <conditionalFormatting sqref="AC69">
    <cfRule type="cellIs" dxfId="13227" priority="563" operator="greaterThan">
      <formula>0.9</formula>
    </cfRule>
    <cfRule type="cellIs" dxfId="13226" priority="564" operator="greaterThan">
      <formula>0.85</formula>
    </cfRule>
  </conditionalFormatting>
  <conditionalFormatting sqref="N69">
    <cfRule type="cellIs" dxfId="13225" priority="561" operator="greaterThan">
      <formula>0.9</formula>
    </cfRule>
    <cfRule type="cellIs" dxfId="13224" priority="562" operator="greaterThan">
      <formula>0.85</formula>
    </cfRule>
  </conditionalFormatting>
  <conditionalFormatting sqref="E69">
    <cfRule type="expression" dxfId="13223" priority="557">
      <formula>AND(IF(OR($Q69=1,$Q69=2),1,0),IF($X69&lt;=20,1,0))</formula>
    </cfRule>
    <cfRule type="expression" dxfId="13222" priority="558">
      <formula>AND(IF($Q69=2,1,0),IF($X69&lt;30,1,0))</formula>
    </cfRule>
    <cfRule type="expression" dxfId="13221" priority="559">
      <formula>AND(IF($Q69=3,1,0),IF($X69&lt;30,1,0))</formula>
    </cfRule>
    <cfRule type="expression" dxfId="13220" priority="560">
      <formula>AND(IF($Q69=3,1,IF($Q69=4,1,0)),IF($F69&lt;=85,1,0))</formula>
    </cfRule>
  </conditionalFormatting>
  <conditionalFormatting sqref="X69">
    <cfRule type="expression" dxfId="13219" priority="553">
      <formula>AND(IF(OR($Q69=1,$Q69=2),1,0),IF($X69&lt;=20,1,0))</formula>
    </cfRule>
    <cfRule type="expression" dxfId="13218" priority="554">
      <formula>AND(IF($Q69=2,1,0),IF($X69&lt;30,1,0))</formula>
    </cfRule>
    <cfRule type="expression" dxfId="13217" priority="555">
      <formula>AND(IF($Q69=3,1,0),IF($X69&lt;30,1,0))</formula>
    </cfRule>
    <cfRule type="expression" dxfId="13216" priority="556">
      <formula>AND(IF($Q69=3,1,IF($Q69=4,1,0)),IF($F69&lt;=85,1,0))</formula>
    </cfRule>
  </conditionalFormatting>
  <conditionalFormatting sqref="AI69">
    <cfRule type="expression" dxfId="13215" priority="549">
      <formula>AND(IF(OR($Q69=1,$Q69=2),1,0),IF($X69&lt;=20,1,0))</formula>
    </cfRule>
    <cfRule type="expression" dxfId="13214" priority="550">
      <formula>AND(IF($Q69=2,1,0),IF($X69&lt;30,1,0))</formula>
    </cfRule>
    <cfRule type="expression" dxfId="13213" priority="551">
      <formula>AND(IF($Q69=3,1,0),IF($X69&lt;30,1,0))</formula>
    </cfRule>
    <cfRule type="expression" dxfId="13212" priority="552">
      <formula>AND(IF($Q69=3,1,IF($Q69=4,1,0)),IF($F69&lt;=85,1,0))</formula>
    </cfRule>
  </conditionalFormatting>
  <conditionalFormatting sqref="AV70">
    <cfRule type="expression" dxfId="13211" priority="547">
      <formula>AV70="X"</formula>
    </cfRule>
    <cfRule type="expression" dxfId="13210" priority="548">
      <formula>AV70="후보"</formula>
    </cfRule>
  </conditionalFormatting>
  <conditionalFormatting sqref="AC70 N70">
    <cfRule type="cellIs" dxfId="13209" priority="544" operator="greaterThan">
      <formula>0.9</formula>
    </cfRule>
    <cfRule type="cellIs" dxfId="13208" priority="545" operator="greaterThan">
      <formula>0.85</formula>
    </cfRule>
  </conditionalFormatting>
  <conditionalFormatting sqref="AV71">
    <cfRule type="expression" dxfId="13207" priority="542">
      <formula>AV71="X"</formula>
    </cfRule>
    <cfRule type="expression" dxfId="13206" priority="543">
      <formula>AV71="후보"</formula>
    </cfRule>
  </conditionalFormatting>
  <conditionalFormatting sqref="AC71">
    <cfRule type="cellIs" dxfId="13205" priority="539" operator="greaterThan">
      <formula>0.9</formula>
    </cfRule>
    <cfRule type="cellIs" dxfId="13204" priority="540" operator="greaterThan">
      <formula>0.85</formula>
    </cfRule>
  </conditionalFormatting>
  <conditionalFormatting sqref="N71">
    <cfRule type="cellIs" dxfId="13203" priority="537" operator="greaterThan">
      <formula>0.9</formula>
    </cfRule>
    <cfRule type="cellIs" dxfId="13202" priority="538" operator="greaterThan">
      <formula>0.85</formula>
    </cfRule>
  </conditionalFormatting>
  <conditionalFormatting sqref="E71">
    <cfRule type="expression" dxfId="13201" priority="533">
      <formula>AND(IF(OR($Q71=1,$Q71=2),1,0),IF($X71&lt;=20,1,0))</formula>
    </cfRule>
    <cfRule type="expression" dxfId="13200" priority="534">
      <formula>AND(IF($Q71=2,1,0),IF($X71&lt;30,1,0))</formula>
    </cfRule>
    <cfRule type="expression" dxfId="13199" priority="535">
      <formula>AND(IF($Q71=3,1,0),IF($X71&lt;30,1,0))</formula>
    </cfRule>
    <cfRule type="expression" dxfId="13198" priority="536">
      <formula>AND(IF($Q71=3,1,IF($Q71=4,1,0)),IF($F71&lt;=85,1,0))</formula>
    </cfRule>
  </conditionalFormatting>
  <conditionalFormatting sqref="X71">
    <cfRule type="expression" dxfId="13197" priority="529">
      <formula>AND(IF(OR($Q71=1,$Q71=2),1,0),IF($X71&lt;=20,1,0))</formula>
    </cfRule>
    <cfRule type="expression" dxfId="13196" priority="530">
      <formula>AND(IF($Q71=2,1,0),IF($X71&lt;30,1,0))</formula>
    </cfRule>
    <cfRule type="expression" dxfId="13195" priority="531">
      <formula>AND(IF($Q71=3,1,0),IF($X71&lt;30,1,0))</formula>
    </cfRule>
    <cfRule type="expression" dxfId="13194" priority="532">
      <formula>AND(IF($Q71=3,1,IF($Q71=4,1,0)),IF($F71&lt;=85,1,0))</formula>
    </cfRule>
  </conditionalFormatting>
  <conditionalFormatting sqref="AI71">
    <cfRule type="expression" dxfId="13193" priority="525">
      <formula>AND(IF(OR($Q71=1,$Q71=2),1,0),IF($X71&lt;=20,1,0))</formula>
    </cfRule>
    <cfRule type="expression" dxfId="13192" priority="526">
      <formula>AND(IF($Q71=2,1,0),IF($X71&lt;30,1,0))</formula>
    </cfRule>
    <cfRule type="expression" dxfId="13191" priority="527">
      <formula>AND(IF($Q71=3,1,0),IF($X71&lt;30,1,0))</formula>
    </cfRule>
    <cfRule type="expression" dxfId="13190" priority="528">
      <formula>AND(IF($Q71=3,1,IF($Q71=4,1,0)),IF($F71&lt;=85,1,0))</formula>
    </cfRule>
  </conditionalFormatting>
  <conditionalFormatting sqref="AV72">
    <cfRule type="expression" dxfId="13189" priority="523">
      <formula>AV72="X"</formula>
    </cfRule>
    <cfRule type="expression" dxfId="13188" priority="524">
      <formula>AV72="후보"</formula>
    </cfRule>
  </conditionalFormatting>
  <conditionalFormatting sqref="AC72">
    <cfRule type="cellIs" dxfId="13187" priority="520" operator="greaterThan">
      <formula>0.9</formula>
    </cfRule>
    <cfRule type="cellIs" dxfId="13186" priority="521" operator="greaterThan">
      <formula>0.85</formula>
    </cfRule>
  </conditionalFormatting>
  <conditionalFormatting sqref="N72">
    <cfRule type="cellIs" dxfId="13185" priority="518" operator="greaterThan">
      <formula>0.9</formula>
    </cfRule>
    <cfRule type="cellIs" dxfId="13184" priority="519" operator="greaterThan">
      <formula>0.85</formula>
    </cfRule>
  </conditionalFormatting>
  <conditionalFormatting sqref="E72">
    <cfRule type="expression" dxfId="13183" priority="514">
      <formula>AND(IF(OR($Q72=1,$Q72=2),1,0),IF($X72&lt;=20,1,0))</formula>
    </cfRule>
    <cfRule type="expression" dxfId="13182" priority="515">
      <formula>AND(IF($Q72=2,1,0),IF($X72&lt;30,1,0))</formula>
    </cfRule>
    <cfRule type="expression" dxfId="13181" priority="516">
      <formula>AND(IF($Q72=3,1,0),IF($X72&lt;30,1,0))</formula>
    </cfRule>
    <cfRule type="expression" dxfId="13180" priority="517">
      <formula>AND(IF($Q72=3,1,IF($Q72=4,1,0)),IF($F72&lt;=85,1,0))</formula>
    </cfRule>
  </conditionalFormatting>
  <conditionalFormatting sqref="X72">
    <cfRule type="expression" dxfId="13179" priority="510">
      <formula>AND(IF(OR($Q72=1,$Q72=2),1,0),IF($X72&lt;=20,1,0))</formula>
    </cfRule>
    <cfRule type="expression" dxfId="13178" priority="511">
      <formula>AND(IF($Q72=2,1,0),IF($X72&lt;30,1,0))</formula>
    </cfRule>
    <cfRule type="expression" dxfId="13177" priority="512">
      <formula>AND(IF($Q72=3,1,0),IF($X72&lt;30,1,0))</formula>
    </cfRule>
    <cfRule type="expression" dxfId="13176" priority="513">
      <formula>AND(IF($Q72=3,1,IF($Q72=4,1,0)),IF($F72&lt;=85,1,0))</formula>
    </cfRule>
  </conditionalFormatting>
  <conditionalFormatting sqref="AI72">
    <cfRule type="expression" dxfId="13175" priority="506">
      <formula>AND(IF(OR($Q72=1,$Q72=2),1,0),IF($X72&lt;=20,1,0))</formula>
    </cfRule>
    <cfRule type="expression" dxfId="13174" priority="507">
      <formula>AND(IF($Q72=2,1,0),IF($X72&lt;30,1,0))</formula>
    </cfRule>
    <cfRule type="expression" dxfId="13173" priority="508">
      <formula>AND(IF($Q72=3,1,0),IF($X72&lt;30,1,0))</formula>
    </cfRule>
    <cfRule type="expression" dxfId="13172" priority="509">
      <formula>AND(IF($Q72=3,1,IF($Q72=4,1,0)),IF($F72&lt;=85,1,0))</formula>
    </cfRule>
  </conditionalFormatting>
  <conditionalFormatting sqref="AV73">
    <cfRule type="expression" dxfId="13171" priority="504">
      <formula>AV73="X"</formula>
    </cfRule>
    <cfRule type="expression" dxfId="13170" priority="505">
      <formula>AV73="후보"</formula>
    </cfRule>
  </conditionalFormatting>
  <conditionalFormatting sqref="AC73">
    <cfRule type="cellIs" dxfId="13169" priority="501" operator="greaterThan">
      <formula>0.9</formula>
    </cfRule>
    <cfRule type="cellIs" dxfId="13168" priority="502" operator="greaterThan">
      <formula>0.85</formula>
    </cfRule>
  </conditionalFormatting>
  <conditionalFormatting sqref="N73">
    <cfRule type="cellIs" dxfId="13167" priority="499" operator="greaterThan">
      <formula>0.9</formula>
    </cfRule>
    <cfRule type="cellIs" dxfId="13166" priority="500" operator="greaterThan">
      <formula>0.85</formula>
    </cfRule>
  </conditionalFormatting>
  <conditionalFormatting sqref="E73">
    <cfRule type="expression" dxfId="13165" priority="495">
      <formula>AND(IF(OR($Q73=1,$Q73=2),1,0),IF($X73&lt;=20,1,0))</formula>
    </cfRule>
    <cfRule type="expression" dxfId="13164" priority="496">
      <formula>AND(IF($Q73=2,1,0),IF($X73&lt;30,1,0))</formula>
    </cfRule>
    <cfRule type="expression" dxfId="13163" priority="497">
      <formula>AND(IF($Q73=3,1,0),IF($X73&lt;30,1,0))</formula>
    </cfRule>
    <cfRule type="expression" dxfId="13162" priority="498">
      <formula>AND(IF($Q73=3,1,IF($Q73=4,1,0)),IF($F73&lt;=85,1,0))</formula>
    </cfRule>
  </conditionalFormatting>
  <conditionalFormatting sqref="X73">
    <cfRule type="expression" dxfId="13161" priority="491">
      <formula>AND(IF(OR($Q73=1,$Q73=2),1,0),IF($X73&lt;=20,1,0))</formula>
    </cfRule>
    <cfRule type="expression" dxfId="13160" priority="492">
      <formula>AND(IF($Q73=2,1,0),IF($X73&lt;30,1,0))</formula>
    </cfRule>
    <cfRule type="expression" dxfId="13159" priority="493">
      <formula>AND(IF($Q73=3,1,0),IF($X73&lt;30,1,0))</formula>
    </cfRule>
    <cfRule type="expression" dxfId="13158" priority="494">
      <formula>AND(IF($Q73=3,1,IF($Q73=4,1,0)),IF($F73&lt;=85,1,0))</formula>
    </cfRule>
  </conditionalFormatting>
  <conditionalFormatting sqref="AI73">
    <cfRule type="expression" dxfId="13157" priority="487">
      <formula>AND(IF(OR($Q73=1,$Q73=2),1,0),IF($X73&lt;=20,1,0))</formula>
    </cfRule>
    <cfRule type="expression" dxfId="13156" priority="488">
      <formula>AND(IF($Q73=2,1,0),IF($X73&lt;30,1,0))</formula>
    </cfRule>
    <cfRule type="expression" dxfId="13155" priority="489">
      <formula>AND(IF($Q73=3,1,0),IF($X73&lt;30,1,0))</formula>
    </cfRule>
    <cfRule type="expression" dxfId="13154" priority="490">
      <formula>AND(IF($Q73=3,1,IF($Q73=4,1,0)),IF($F73&lt;=85,1,0))</formula>
    </cfRule>
  </conditionalFormatting>
  <conditionalFormatting sqref="AV74">
    <cfRule type="expression" dxfId="13153" priority="485">
      <formula>AV74="X"</formula>
    </cfRule>
    <cfRule type="expression" dxfId="13152" priority="486">
      <formula>AV74="후보"</formula>
    </cfRule>
  </conditionalFormatting>
  <conditionalFormatting sqref="AC74 N74">
    <cfRule type="cellIs" dxfId="13151" priority="482" operator="greaterThan">
      <formula>0.9</formula>
    </cfRule>
    <cfRule type="cellIs" dxfId="13150" priority="483" operator="greaterThan">
      <formula>0.85</formula>
    </cfRule>
  </conditionalFormatting>
  <conditionalFormatting sqref="AV75">
    <cfRule type="expression" dxfId="13149" priority="480">
      <formula>AV75="X"</formula>
    </cfRule>
    <cfRule type="expression" dxfId="13148" priority="481">
      <formula>AV75="후보"</formula>
    </cfRule>
  </conditionalFormatting>
  <conditionalFormatting sqref="AC75">
    <cfRule type="cellIs" dxfId="13147" priority="477" operator="greaterThan">
      <formula>0.9</formula>
    </cfRule>
    <cfRule type="cellIs" dxfId="13146" priority="478" operator="greaterThan">
      <formula>0.85</formula>
    </cfRule>
  </conditionalFormatting>
  <conditionalFormatting sqref="N75">
    <cfRule type="cellIs" dxfId="13145" priority="475" operator="greaterThan">
      <formula>0.9</formula>
    </cfRule>
    <cfRule type="cellIs" dxfId="13144" priority="476" operator="greaterThan">
      <formula>0.85</formula>
    </cfRule>
  </conditionalFormatting>
  <conditionalFormatting sqref="E75">
    <cfRule type="expression" dxfId="13143" priority="471">
      <formula>AND(IF(OR($Q75=1,$Q75=2),1,0),IF($X75&lt;=20,1,0))</formula>
    </cfRule>
    <cfRule type="expression" dxfId="13142" priority="472">
      <formula>AND(IF($Q75=2,1,0),IF($X75&lt;30,1,0))</formula>
    </cfRule>
    <cfRule type="expression" dxfId="13141" priority="473">
      <formula>AND(IF($Q75=3,1,0),IF($X75&lt;30,1,0))</formula>
    </cfRule>
    <cfRule type="expression" dxfId="13140" priority="474">
      <formula>AND(IF($Q75=3,1,IF($Q75=4,1,0)),IF($F75&lt;=85,1,0))</formula>
    </cfRule>
  </conditionalFormatting>
  <conditionalFormatting sqref="X75">
    <cfRule type="expression" dxfId="13139" priority="467">
      <formula>AND(IF(OR($Q75=1,$Q75=2),1,0),IF($X75&lt;=20,1,0))</formula>
    </cfRule>
    <cfRule type="expression" dxfId="13138" priority="468">
      <formula>AND(IF($Q75=2,1,0),IF($X75&lt;30,1,0))</formula>
    </cfRule>
    <cfRule type="expression" dxfId="13137" priority="469">
      <formula>AND(IF($Q75=3,1,0),IF($X75&lt;30,1,0))</formula>
    </cfRule>
    <cfRule type="expression" dxfId="13136" priority="470">
      <formula>AND(IF($Q75=3,1,IF($Q75=4,1,0)),IF($F75&lt;=85,1,0))</formula>
    </cfRule>
  </conditionalFormatting>
  <conditionalFormatting sqref="AI75">
    <cfRule type="expression" dxfId="13135" priority="463">
      <formula>AND(IF(OR($Q75=1,$Q75=2),1,0),IF($X75&lt;=20,1,0))</formula>
    </cfRule>
    <cfRule type="expression" dxfId="13134" priority="464">
      <formula>AND(IF($Q75=2,1,0),IF($X75&lt;30,1,0))</formula>
    </cfRule>
    <cfRule type="expression" dxfId="13133" priority="465">
      <formula>AND(IF($Q75=3,1,0),IF($X75&lt;30,1,0))</formula>
    </cfRule>
    <cfRule type="expression" dxfId="13132" priority="466">
      <formula>AND(IF($Q75=3,1,IF($Q75=4,1,0)),IF($F75&lt;=85,1,0))</formula>
    </cfRule>
  </conditionalFormatting>
  <conditionalFormatting sqref="AV76">
    <cfRule type="expression" dxfId="13131" priority="461">
      <formula>AV76="X"</formula>
    </cfRule>
    <cfRule type="expression" dxfId="13130" priority="462">
      <formula>AV76="후보"</formula>
    </cfRule>
  </conditionalFormatting>
  <conditionalFormatting sqref="AC76">
    <cfRule type="cellIs" dxfId="13129" priority="458" operator="greaterThan">
      <formula>0.9</formula>
    </cfRule>
    <cfRule type="cellIs" dxfId="13128" priority="459" operator="greaterThan">
      <formula>0.85</formula>
    </cfRule>
  </conditionalFormatting>
  <conditionalFormatting sqref="N76">
    <cfRule type="cellIs" dxfId="13127" priority="456" operator="greaterThan">
      <formula>0.9</formula>
    </cfRule>
    <cfRule type="cellIs" dxfId="13126" priority="457" operator="greaterThan">
      <formula>0.85</formula>
    </cfRule>
  </conditionalFormatting>
  <conditionalFormatting sqref="E76">
    <cfRule type="expression" dxfId="13125" priority="452">
      <formula>AND(IF(OR($Q76=1,$Q76=2),1,0),IF($X76&lt;=20,1,0))</formula>
    </cfRule>
    <cfRule type="expression" dxfId="13124" priority="453">
      <formula>AND(IF($Q76=2,1,0),IF($X76&lt;30,1,0))</formula>
    </cfRule>
    <cfRule type="expression" dxfId="13123" priority="454">
      <formula>AND(IF($Q76=3,1,0),IF($X76&lt;30,1,0))</formula>
    </cfRule>
    <cfRule type="expression" dxfId="13122" priority="455">
      <formula>AND(IF($Q76=3,1,IF($Q76=4,1,0)),IF($F76&lt;=85,1,0))</formula>
    </cfRule>
  </conditionalFormatting>
  <conditionalFormatting sqref="X76">
    <cfRule type="expression" dxfId="13121" priority="448">
      <formula>AND(IF(OR($Q76=1,$Q76=2),1,0),IF($X76&lt;=20,1,0))</formula>
    </cfRule>
    <cfRule type="expression" dxfId="13120" priority="449">
      <formula>AND(IF($Q76=2,1,0),IF($X76&lt;30,1,0))</formula>
    </cfRule>
    <cfRule type="expression" dxfId="13119" priority="450">
      <formula>AND(IF($Q76=3,1,0),IF($X76&lt;30,1,0))</formula>
    </cfRule>
    <cfRule type="expression" dxfId="13118" priority="451">
      <formula>AND(IF($Q76=3,1,IF($Q76=4,1,0)),IF($F76&lt;=85,1,0))</formula>
    </cfRule>
  </conditionalFormatting>
  <conditionalFormatting sqref="AI76">
    <cfRule type="expression" dxfId="13117" priority="444">
      <formula>AND(IF(OR($Q76=1,$Q76=2),1,0),IF($X76&lt;=20,1,0))</formula>
    </cfRule>
    <cfRule type="expression" dxfId="13116" priority="445">
      <formula>AND(IF($Q76=2,1,0),IF($X76&lt;30,1,0))</formula>
    </cfRule>
    <cfRule type="expression" dxfId="13115" priority="446">
      <formula>AND(IF($Q76=3,1,0),IF($X76&lt;30,1,0))</formula>
    </cfRule>
    <cfRule type="expression" dxfId="13114" priority="447">
      <formula>AND(IF($Q76=3,1,IF($Q76=4,1,0)),IF($F76&lt;=85,1,0))</formula>
    </cfRule>
  </conditionalFormatting>
  <conditionalFormatting sqref="AV77">
    <cfRule type="expression" dxfId="13113" priority="442">
      <formula>AV77="X"</formula>
    </cfRule>
    <cfRule type="expression" dxfId="13112" priority="443">
      <formula>AV77="후보"</formula>
    </cfRule>
  </conditionalFormatting>
  <conditionalFormatting sqref="AC77">
    <cfRule type="cellIs" dxfId="13111" priority="439" operator="greaterThan">
      <formula>0.9</formula>
    </cfRule>
    <cfRule type="cellIs" dxfId="13110" priority="440" operator="greaterThan">
      <formula>0.85</formula>
    </cfRule>
  </conditionalFormatting>
  <conditionalFormatting sqref="N77">
    <cfRule type="cellIs" dxfId="13109" priority="437" operator="greaterThan">
      <formula>0.9</formula>
    </cfRule>
    <cfRule type="cellIs" dxfId="13108" priority="438" operator="greaterThan">
      <formula>0.85</formula>
    </cfRule>
  </conditionalFormatting>
  <conditionalFormatting sqref="E77">
    <cfRule type="expression" dxfId="13107" priority="433">
      <formula>AND(IF(OR($Q77=1,$Q77=2),1,0),IF($X77&lt;=20,1,0))</formula>
    </cfRule>
    <cfRule type="expression" dxfId="13106" priority="434">
      <formula>AND(IF($Q77=2,1,0),IF($X77&lt;30,1,0))</formula>
    </cfRule>
    <cfRule type="expression" dxfId="13105" priority="435">
      <formula>AND(IF($Q77=3,1,0),IF($X77&lt;30,1,0))</formula>
    </cfRule>
    <cfRule type="expression" dxfId="13104" priority="436">
      <formula>AND(IF($Q77=3,1,IF($Q77=4,1,0)),IF($F77&lt;=85,1,0))</formula>
    </cfRule>
  </conditionalFormatting>
  <conditionalFormatting sqref="X77">
    <cfRule type="expression" dxfId="13103" priority="429">
      <formula>AND(IF(OR($Q77=1,$Q77=2),1,0),IF($X77&lt;=20,1,0))</formula>
    </cfRule>
    <cfRule type="expression" dxfId="13102" priority="430">
      <formula>AND(IF($Q77=2,1,0),IF($X77&lt;30,1,0))</formula>
    </cfRule>
    <cfRule type="expression" dxfId="13101" priority="431">
      <formula>AND(IF($Q77=3,1,0),IF($X77&lt;30,1,0))</formula>
    </cfRule>
    <cfRule type="expression" dxfId="13100" priority="432">
      <formula>AND(IF($Q77=3,1,IF($Q77=4,1,0)),IF($F77&lt;=85,1,0))</formula>
    </cfRule>
  </conditionalFormatting>
  <conditionalFormatting sqref="AI77">
    <cfRule type="expression" dxfId="13099" priority="425">
      <formula>AND(IF(OR($Q77=1,$Q77=2),1,0),IF($X77&lt;=20,1,0))</formula>
    </cfRule>
    <cfRule type="expression" dxfId="13098" priority="426">
      <formula>AND(IF($Q77=2,1,0),IF($X77&lt;30,1,0))</formula>
    </cfRule>
    <cfRule type="expression" dxfId="13097" priority="427">
      <formula>AND(IF($Q77=3,1,0),IF($X77&lt;30,1,0))</formula>
    </cfRule>
    <cfRule type="expression" dxfId="13096" priority="428">
      <formula>AND(IF($Q77=3,1,IF($Q77=4,1,0)),IF($F77&lt;=85,1,0))</formula>
    </cfRule>
  </conditionalFormatting>
  <conditionalFormatting sqref="AV78">
    <cfRule type="expression" dxfId="13095" priority="423">
      <formula>AV78="X"</formula>
    </cfRule>
    <cfRule type="expression" dxfId="13094" priority="424">
      <formula>AV78="후보"</formula>
    </cfRule>
  </conditionalFormatting>
  <conditionalFormatting sqref="AC78">
    <cfRule type="cellIs" dxfId="13093" priority="420" operator="greaterThan">
      <formula>0.9</formula>
    </cfRule>
    <cfRule type="cellIs" dxfId="13092" priority="421" operator="greaterThan">
      <formula>0.85</formula>
    </cfRule>
  </conditionalFormatting>
  <conditionalFormatting sqref="N78">
    <cfRule type="cellIs" dxfId="13091" priority="418" operator="greaterThan">
      <formula>0.9</formula>
    </cfRule>
    <cfRule type="cellIs" dxfId="13090" priority="419" operator="greaterThan">
      <formula>0.85</formula>
    </cfRule>
  </conditionalFormatting>
  <conditionalFormatting sqref="E78">
    <cfRule type="expression" dxfId="13089" priority="414">
      <formula>AND(IF(OR($Q78=1,$Q78=2),1,0),IF($X78&lt;=20,1,0))</formula>
    </cfRule>
    <cfRule type="expression" dxfId="13088" priority="415">
      <formula>AND(IF($Q78=2,1,0),IF($X78&lt;30,1,0))</formula>
    </cfRule>
    <cfRule type="expression" dxfId="13087" priority="416">
      <formula>AND(IF($Q78=3,1,0),IF($X78&lt;30,1,0))</formula>
    </cfRule>
    <cfRule type="expression" dxfId="13086" priority="417">
      <formula>AND(IF($Q78=3,1,IF($Q78=4,1,0)),IF($F78&lt;=85,1,0))</formula>
    </cfRule>
  </conditionalFormatting>
  <conditionalFormatting sqref="X78">
    <cfRule type="expression" dxfId="13085" priority="410">
      <formula>AND(IF(OR($Q78=1,$Q78=2),1,0),IF($X78&lt;=20,1,0))</formula>
    </cfRule>
    <cfRule type="expression" dxfId="13084" priority="411">
      <formula>AND(IF($Q78=2,1,0),IF($X78&lt;30,1,0))</formula>
    </cfRule>
    <cfRule type="expression" dxfId="13083" priority="412">
      <formula>AND(IF($Q78=3,1,0),IF($X78&lt;30,1,0))</formula>
    </cfRule>
    <cfRule type="expression" dxfId="13082" priority="413">
      <formula>AND(IF($Q78=3,1,IF($Q78=4,1,0)),IF($F78&lt;=85,1,0))</formula>
    </cfRule>
  </conditionalFormatting>
  <conditionalFormatting sqref="AI78">
    <cfRule type="expression" dxfId="13081" priority="406">
      <formula>AND(IF(OR($Q78=1,$Q78=2),1,0),IF($X78&lt;=20,1,0))</formula>
    </cfRule>
    <cfRule type="expression" dxfId="13080" priority="407">
      <formula>AND(IF($Q78=2,1,0),IF($X78&lt;30,1,0))</formula>
    </cfRule>
    <cfRule type="expression" dxfId="13079" priority="408">
      <formula>AND(IF($Q78=3,1,0),IF($X78&lt;30,1,0))</formula>
    </cfRule>
    <cfRule type="expression" dxfId="13078" priority="409">
      <formula>AND(IF($Q78=3,1,IF($Q78=4,1,0)),IF($F78&lt;=85,1,0))</formula>
    </cfRule>
  </conditionalFormatting>
  <conditionalFormatting sqref="AV79">
    <cfRule type="expression" dxfId="13077" priority="404">
      <formula>AV79="X"</formula>
    </cfRule>
    <cfRule type="expression" dxfId="13076" priority="405">
      <formula>AV79="후보"</formula>
    </cfRule>
  </conditionalFormatting>
  <conditionalFormatting sqref="AC79">
    <cfRule type="cellIs" dxfId="13075" priority="401" operator="greaterThan">
      <formula>0.9</formula>
    </cfRule>
    <cfRule type="cellIs" dxfId="13074" priority="402" operator="greaterThan">
      <formula>0.85</formula>
    </cfRule>
  </conditionalFormatting>
  <conditionalFormatting sqref="N79">
    <cfRule type="cellIs" dxfId="13073" priority="399" operator="greaterThan">
      <formula>0.9</formula>
    </cfRule>
    <cfRule type="cellIs" dxfId="13072" priority="400" operator="greaterThan">
      <formula>0.85</formula>
    </cfRule>
  </conditionalFormatting>
  <conditionalFormatting sqref="E79">
    <cfRule type="expression" dxfId="13071" priority="395">
      <formula>AND(IF(OR($Q79=1,$Q79=2),1,0),IF($X79&lt;=20,1,0))</formula>
    </cfRule>
    <cfRule type="expression" dxfId="13070" priority="396">
      <formula>AND(IF($Q79=2,1,0),IF($X79&lt;30,1,0))</formula>
    </cfRule>
    <cfRule type="expression" dxfId="13069" priority="397">
      <formula>AND(IF($Q79=3,1,0),IF($X79&lt;30,1,0))</formula>
    </cfRule>
    <cfRule type="expression" dxfId="13068" priority="398">
      <formula>AND(IF($Q79=3,1,IF($Q79=4,1,0)),IF($F79&lt;=85,1,0))</formula>
    </cfRule>
  </conditionalFormatting>
  <conditionalFormatting sqref="X79">
    <cfRule type="expression" dxfId="13067" priority="391">
      <formula>AND(IF(OR($Q79=1,$Q79=2),1,0),IF($X79&lt;=20,1,0))</formula>
    </cfRule>
    <cfRule type="expression" dxfId="13066" priority="392">
      <formula>AND(IF($Q79=2,1,0),IF($X79&lt;30,1,0))</formula>
    </cfRule>
    <cfRule type="expression" dxfId="13065" priority="393">
      <formula>AND(IF($Q79=3,1,0),IF($X79&lt;30,1,0))</formula>
    </cfRule>
    <cfRule type="expression" dxfId="13064" priority="394">
      <formula>AND(IF($Q79=3,1,IF($Q79=4,1,0)),IF($F79&lt;=85,1,0))</formula>
    </cfRule>
  </conditionalFormatting>
  <conditionalFormatting sqref="AI79">
    <cfRule type="expression" dxfId="13063" priority="387">
      <formula>AND(IF(OR($Q79=1,$Q79=2),1,0),IF($X79&lt;=20,1,0))</formula>
    </cfRule>
    <cfRule type="expression" dxfId="13062" priority="388">
      <formula>AND(IF($Q79=2,1,0),IF($X79&lt;30,1,0))</formula>
    </cfRule>
    <cfRule type="expression" dxfId="13061" priority="389">
      <formula>AND(IF($Q79=3,1,0),IF($X79&lt;30,1,0))</formula>
    </cfRule>
    <cfRule type="expression" dxfId="13060" priority="390">
      <formula>AND(IF($Q79=3,1,IF($Q79=4,1,0)),IF($F79&lt;=85,1,0))</formula>
    </cfRule>
  </conditionalFormatting>
  <conditionalFormatting sqref="AV80">
    <cfRule type="expression" dxfId="13059" priority="385">
      <formula>AV80="X"</formula>
    </cfRule>
    <cfRule type="expression" dxfId="13058" priority="386">
      <formula>AV80="후보"</formula>
    </cfRule>
  </conditionalFormatting>
  <conditionalFormatting sqref="AC80 N80">
    <cfRule type="cellIs" dxfId="13057" priority="382" operator="greaterThan">
      <formula>0.9</formula>
    </cfRule>
    <cfRule type="cellIs" dxfId="13056" priority="383" operator="greaterThan">
      <formula>0.85</formula>
    </cfRule>
  </conditionalFormatting>
  <conditionalFormatting sqref="AV81">
    <cfRule type="expression" dxfId="13055" priority="380">
      <formula>AV81="X"</formula>
    </cfRule>
    <cfRule type="expression" dxfId="13054" priority="381">
      <formula>AV81="후보"</formula>
    </cfRule>
  </conditionalFormatting>
  <conditionalFormatting sqref="AC81">
    <cfRule type="cellIs" dxfId="13053" priority="377" operator="greaterThan">
      <formula>0.9</formula>
    </cfRule>
    <cfRule type="cellIs" dxfId="13052" priority="378" operator="greaterThan">
      <formula>0.85</formula>
    </cfRule>
  </conditionalFormatting>
  <conditionalFormatting sqref="N81">
    <cfRule type="cellIs" dxfId="13051" priority="375" operator="greaterThan">
      <formula>0.9</formula>
    </cfRule>
    <cfRule type="cellIs" dxfId="13050" priority="376" operator="greaterThan">
      <formula>0.85</formula>
    </cfRule>
  </conditionalFormatting>
  <conditionalFormatting sqref="E81">
    <cfRule type="expression" dxfId="13049" priority="371">
      <formula>AND(IF(OR($Q81=1,$Q81=2),1,0),IF($X81&lt;=20,1,0))</formula>
    </cfRule>
    <cfRule type="expression" dxfId="13048" priority="372">
      <formula>AND(IF($Q81=2,1,0),IF($X81&lt;30,1,0))</formula>
    </cfRule>
    <cfRule type="expression" dxfId="13047" priority="373">
      <formula>AND(IF($Q81=3,1,0),IF($X81&lt;30,1,0))</formula>
    </cfRule>
    <cfRule type="expression" dxfId="13046" priority="374">
      <formula>AND(IF($Q81=3,1,IF($Q81=4,1,0)),IF($F81&lt;=85,1,0))</formula>
    </cfRule>
  </conditionalFormatting>
  <conditionalFormatting sqref="X81">
    <cfRule type="expression" dxfId="13045" priority="367">
      <formula>AND(IF(OR($Q81=1,$Q81=2),1,0),IF($X81&lt;=20,1,0))</formula>
    </cfRule>
    <cfRule type="expression" dxfId="13044" priority="368">
      <formula>AND(IF($Q81=2,1,0),IF($X81&lt;30,1,0))</formula>
    </cfRule>
    <cfRule type="expression" dxfId="13043" priority="369">
      <formula>AND(IF($Q81=3,1,0),IF($X81&lt;30,1,0))</formula>
    </cfRule>
    <cfRule type="expression" dxfId="13042" priority="370">
      <formula>AND(IF($Q81=3,1,IF($Q81=4,1,0)),IF($F81&lt;=85,1,0))</formula>
    </cfRule>
  </conditionalFormatting>
  <conditionalFormatting sqref="AI81">
    <cfRule type="expression" dxfId="13041" priority="363">
      <formula>AND(IF(OR($Q81=1,$Q81=2),1,0),IF($X81&lt;=20,1,0))</formula>
    </cfRule>
    <cfRule type="expression" dxfId="13040" priority="364">
      <formula>AND(IF($Q81=2,1,0),IF($X81&lt;30,1,0))</formula>
    </cfRule>
    <cfRule type="expression" dxfId="13039" priority="365">
      <formula>AND(IF($Q81=3,1,0),IF($X81&lt;30,1,0))</formula>
    </cfRule>
    <cfRule type="expression" dxfId="13038" priority="366">
      <formula>AND(IF($Q81=3,1,IF($Q81=4,1,0)),IF($F81&lt;=85,1,0))</formula>
    </cfRule>
  </conditionalFormatting>
  <conditionalFormatting sqref="AV82">
    <cfRule type="expression" dxfId="13037" priority="361">
      <formula>AV82="X"</formula>
    </cfRule>
    <cfRule type="expression" dxfId="13036" priority="362">
      <formula>AV82="후보"</formula>
    </cfRule>
  </conditionalFormatting>
  <conditionalFormatting sqref="AC82">
    <cfRule type="cellIs" dxfId="13035" priority="358" operator="greaterThan">
      <formula>0.9</formula>
    </cfRule>
    <cfRule type="cellIs" dxfId="13034" priority="359" operator="greaterThan">
      <formula>0.85</formula>
    </cfRule>
  </conditionalFormatting>
  <conditionalFormatting sqref="N82">
    <cfRule type="cellIs" dxfId="13033" priority="356" operator="greaterThan">
      <formula>0.9</formula>
    </cfRule>
    <cfRule type="cellIs" dxfId="13032" priority="357" operator="greaterThan">
      <formula>0.85</formula>
    </cfRule>
  </conditionalFormatting>
  <conditionalFormatting sqref="E82">
    <cfRule type="expression" dxfId="13031" priority="352">
      <formula>AND(IF(OR($Q82=1,$Q82=2),1,0),IF($X82&lt;=20,1,0))</formula>
    </cfRule>
    <cfRule type="expression" dxfId="13030" priority="353">
      <formula>AND(IF($Q82=2,1,0),IF($X82&lt;30,1,0))</formula>
    </cfRule>
    <cfRule type="expression" dxfId="13029" priority="354">
      <formula>AND(IF($Q82=3,1,0),IF($X82&lt;30,1,0))</formula>
    </cfRule>
    <cfRule type="expression" dxfId="13028" priority="355">
      <formula>AND(IF($Q82=3,1,IF($Q82=4,1,0)),IF($F82&lt;=85,1,0))</formula>
    </cfRule>
  </conditionalFormatting>
  <conditionalFormatting sqref="X82">
    <cfRule type="expression" dxfId="13027" priority="348">
      <formula>AND(IF(OR($Q82=1,$Q82=2),1,0),IF($X82&lt;=20,1,0))</formula>
    </cfRule>
    <cfRule type="expression" dxfId="13026" priority="349">
      <formula>AND(IF($Q82=2,1,0),IF($X82&lt;30,1,0))</formula>
    </cfRule>
    <cfRule type="expression" dxfId="13025" priority="350">
      <formula>AND(IF($Q82=3,1,0),IF($X82&lt;30,1,0))</formula>
    </cfRule>
    <cfRule type="expression" dxfId="13024" priority="351">
      <formula>AND(IF($Q82=3,1,IF($Q82=4,1,0)),IF($F82&lt;=85,1,0))</formula>
    </cfRule>
  </conditionalFormatting>
  <conditionalFormatting sqref="AI82">
    <cfRule type="expression" dxfId="13023" priority="344">
      <formula>AND(IF(OR($Q82=1,$Q82=2),1,0),IF($X82&lt;=20,1,0))</formula>
    </cfRule>
    <cfRule type="expression" dxfId="13022" priority="345">
      <formula>AND(IF($Q82=2,1,0),IF($X82&lt;30,1,0))</formula>
    </cfRule>
    <cfRule type="expression" dxfId="13021" priority="346">
      <formula>AND(IF($Q82=3,1,0),IF($X82&lt;30,1,0))</formula>
    </cfRule>
    <cfRule type="expression" dxfId="13020" priority="347">
      <formula>AND(IF($Q82=3,1,IF($Q82=4,1,0)),IF($F82&lt;=85,1,0))</formula>
    </cfRule>
  </conditionalFormatting>
  <conditionalFormatting sqref="AV83">
    <cfRule type="expression" dxfId="13019" priority="342">
      <formula>AV83="X"</formula>
    </cfRule>
    <cfRule type="expression" dxfId="13018" priority="343">
      <formula>AV83="후보"</formula>
    </cfRule>
  </conditionalFormatting>
  <conditionalFormatting sqref="AC83">
    <cfRule type="cellIs" dxfId="13017" priority="339" operator="greaterThan">
      <formula>0.9</formula>
    </cfRule>
    <cfRule type="cellIs" dxfId="13016" priority="340" operator="greaterThan">
      <formula>0.85</formula>
    </cfRule>
  </conditionalFormatting>
  <conditionalFormatting sqref="N83">
    <cfRule type="cellIs" dxfId="13015" priority="337" operator="greaterThan">
      <formula>0.9</formula>
    </cfRule>
    <cfRule type="cellIs" dxfId="13014" priority="338" operator="greaterThan">
      <formula>0.85</formula>
    </cfRule>
  </conditionalFormatting>
  <conditionalFormatting sqref="E83">
    <cfRule type="expression" dxfId="13013" priority="333">
      <formula>AND(IF(OR($Q83=1,$Q83=2),1,0),IF($X83&lt;=20,1,0))</formula>
    </cfRule>
    <cfRule type="expression" dxfId="13012" priority="334">
      <formula>AND(IF($Q83=2,1,0),IF($X83&lt;30,1,0))</formula>
    </cfRule>
    <cfRule type="expression" dxfId="13011" priority="335">
      <formula>AND(IF($Q83=3,1,0),IF($X83&lt;30,1,0))</formula>
    </cfRule>
    <cfRule type="expression" dxfId="13010" priority="336">
      <formula>AND(IF($Q83=3,1,IF($Q83=4,1,0)),IF($F83&lt;=85,1,0))</formula>
    </cfRule>
  </conditionalFormatting>
  <conditionalFormatting sqref="X83">
    <cfRule type="expression" dxfId="13009" priority="329">
      <formula>AND(IF(OR($Q83=1,$Q83=2),1,0),IF($X83&lt;=20,1,0))</formula>
    </cfRule>
    <cfRule type="expression" dxfId="13008" priority="330">
      <formula>AND(IF($Q83=2,1,0),IF($X83&lt;30,1,0))</formula>
    </cfRule>
    <cfRule type="expression" dxfId="13007" priority="331">
      <formula>AND(IF($Q83=3,1,0),IF($X83&lt;30,1,0))</formula>
    </cfRule>
    <cfRule type="expression" dxfId="13006" priority="332">
      <formula>AND(IF($Q83=3,1,IF($Q83=4,1,0)),IF($F83&lt;=85,1,0))</formula>
    </cfRule>
  </conditionalFormatting>
  <conditionalFormatting sqref="AI83">
    <cfRule type="expression" dxfId="13005" priority="325">
      <formula>AND(IF(OR($Q83=1,$Q83=2),1,0),IF($X83&lt;=20,1,0))</formula>
    </cfRule>
    <cfRule type="expression" dxfId="13004" priority="326">
      <formula>AND(IF($Q83=2,1,0),IF($X83&lt;30,1,0))</formula>
    </cfRule>
    <cfRule type="expression" dxfId="13003" priority="327">
      <formula>AND(IF($Q83=3,1,0),IF($X83&lt;30,1,0))</formula>
    </cfRule>
    <cfRule type="expression" dxfId="13002" priority="328">
      <formula>AND(IF($Q83=3,1,IF($Q83=4,1,0)),IF($F83&lt;=85,1,0))</formula>
    </cfRule>
  </conditionalFormatting>
  <conditionalFormatting sqref="AV84">
    <cfRule type="expression" dxfId="13001" priority="323">
      <formula>AV84="X"</formula>
    </cfRule>
    <cfRule type="expression" dxfId="13000" priority="324">
      <formula>AV84="후보"</formula>
    </cfRule>
  </conditionalFormatting>
  <conditionalFormatting sqref="AC84">
    <cfRule type="cellIs" dxfId="12999" priority="320" operator="greaterThan">
      <formula>0.9</formula>
    </cfRule>
    <cfRule type="cellIs" dxfId="12998" priority="321" operator="greaterThan">
      <formula>0.85</formula>
    </cfRule>
  </conditionalFormatting>
  <conditionalFormatting sqref="N84">
    <cfRule type="cellIs" dxfId="12997" priority="318" operator="greaterThan">
      <formula>0.9</formula>
    </cfRule>
    <cfRule type="cellIs" dxfId="12996" priority="319" operator="greaterThan">
      <formula>0.85</formula>
    </cfRule>
  </conditionalFormatting>
  <conditionalFormatting sqref="E84">
    <cfRule type="expression" dxfId="12995" priority="314">
      <formula>AND(IF(OR($Q84=1,$Q84=2),1,0),IF($X84&lt;=20,1,0))</formula>
    </cfRule>
    <cfRule type="expression" dxfId="12994" priority="315">
      <formula>AND(IF($Q84=2,1,0),IF($X84&lt;30,1,0))</formula>
    </cfRule>
    <cfRule type="expression" dxfId="12993" priority="316">
      <formula>AND(IF($Q84=3,1,0),IF($X84&lt;30,1,0))</formula>
    </cfRule>
    <cfRule type="expression" dxfId="12992" priority="317">
      <formula>AND(IF($Q84=3,1,IF($Q84=4,1,0)),IF($F84&lt;=85,1,0))</formula>
    </cfRule>
  </conditionalFormatting>
  <conditionalFormatting sqref="X84">
    <cfRule type="expression" dxfId="12991" priority="310">
      <formula>AND(IF(OR($Q84=1,$Q84=2),1,0),IF($X84&lt;=20,1,0))</formula>
    </cfRule>
    <cfRule type="expression" dxfId="12990" priority="311">
      <formula>AND(IF($Q84=2,1,0),IF($X84&lt;30,1,0))</formula>
    </cfRule>
    <cfRule type="expression" dxfId="12989" priority="312">
      <formula>AND(IF($Q84=3,1,0),IF($X84&lt;30,1,0))</formula>
    </cfRule>
    <cfRule type="expression" dxfId="12988" priority="313">
      <formula>AND(IF($Q84=3,1,IF($Q84=4,1,0)),IF($F84&lt;=85,1,0))</formula>
    </cfRule>
  </conditionalFormatting>
  <conditionalFormatting sqref="AI84">
    <cfRule type="expression" dxfId="12987" priority="306">
      <formula>AND(IF(OR($Q84=1,$Q84=2),1,0),IF($X84&lt;=20,1,0))</formula>
    </cfRule>
    <cfRule type="expression" dxfId="12986" priority="307">
      <formula>AND(IF($Q84=2,1,0),IF($X84&lt;30,1,0))</formula>
    </cfRule>
    <cfRule type="expression" dxfId="12985" priority="308">
      <formula>AND(IF($Q84=3,1,0),IF($X84&lt;30,1,0))</formula>
    </cfRule>
    <cfRule type="expression" dxfId="12984" priority="309">
      <formula>AND(IF($Q84=3,1,IF($Q84=4,1,0)),IF($F84&lt;=85,1,0))</formula>
    </cfRule>
  </conditionalFormatting>
  <conditionalFormatting sqref="AV85">
    <cfRule type="expression" dxfId="12983" priority="304">
      <formula>AV85="X"</formula>
    </cfRule>
    <cfRule type="expression" dxfId="12982" priority="305">
      <formula>AV85="후보"</formula>
    </cfRule>
  </conditionalFormatting>
  <conditionalFormatting sqref="AC85">
    <cfRule type="cellIs" dxfId="12981" priority="301" operator="greaterThan">
      <formula>0.9</formula>
    </cfRule>
    <cfRule type="cellIs" dxfId="12980" priority="302" operator="greaterThan">
      <formula>0.85</formula>
    </cfRule>
  </conditionalFormatting>
  <conditionalFormatting sqref="N85">
    <cfRule type="cellIs" dxfId="12979" priority="299" operator="greaterThan">
      <formula>0.9</formula>
    </cfRule>
    <cfRule type="cellIs" dxfId="12978" priority="300" operator="greaterThan">
      <formula>0.85</formula>
    </cfRule>
  </conditionalFormatting>
  <conditionalFormatting sqref="E85">
    <cfRule type="expression" dxfId="12977" priority="295">
      <formula>AND(IF(OR($Q85=1,$Q85=2),1,0),IF($X85&lt;=20,1,0))</formula>
    </cfRule>
    <cfRule type="expression" dxfId="12976" priority="296">
      <formula>AND(IF($Q85=2,1,0),IF($X85&lt;30,1,0))</formula>
    </cfRule>
    <cfRule type="expression" dxfId="12975" priority="297">
      <formula>AND(IF($Q85=3,1,0),IF($X85&lt;30,1,0))</formula>
    </cfRule>
    <cfRule type="expression" dxfId="12974" priority="298">
      <formula>AND(IF($Q85=3,1,IF($Q85=4,1,0)),IF($F85&lt;=85,1,0))</formula>
    </cfRule>
  </conditionalFormatting>
  <conditionalFormatting sqref="X85">
    <cfRule type="expression" dxfId="12973" priority="291">
      <formula>AND(IF(OR($Q85=1,$Q85=2),1,0),IF($X85&lt;=20,1,0))</formula>
    </cfRule>
    <cfRule type="expression" dxfId="12972" priority="292">
      <formula>AND(IF($Q85=2,1,0),IF($X85&lt;30,1,0))</formula>
    </cfRule>
    <cfRule type="expression" dxfId="12971" priority="293">
      <formula>AND(IF($Q85=3,1,0),IF($X85&lt;30,1,0))</formula>
    </cfRule>
    <cfRule type="expression" dxfId="12970" priority="294">
      <formula>AND(IF($Q85=3,1,IF($Q85=4,1,0)),IF($F85&lt;=85,1,0))</formula>
    </cfRule>
  </conditionalFormatting>
  <conditionalFormatting sqref="AI85">
    <cfRule type="expression" dxfId="12969" priority="287">
      <formula>AND(IF(OR($Q85=1,$Q85=2),1,0),IF($X85&lt;=20,1,0))</formula>
    </cfRule>
    <cfRule type="expression" dxfId="12968" priority="288">
      <formula>AND(IF($Q85=2,1,0),IF($X85&lt;30,1,0))</formula>
    </cfRule>
    <cfRule type="expression" dxfId="12967" priority="289">
      <formula>AND(IF($Q85=3,1,0),IF($X85&lt;30,1,0))</formula>
    </cfRule>
    <cfRule type="expression" dxfId="12966" priority="290">
      <formula>AND(IF($Q85=3,1,IF($Q85=4,1,0)),IF($F85&lt;=85,1,0))</formula>
    </cfRule>
  </conditionalFormatting>
  <conditionalFormatting sqref="AV86">
    <cfRule type="expression" dxfId="12965" priority="285">
      <formula>AV86="X"</formula>
    </cfRule>
    <cfRule type="expression" dxfId="12964" priority="286">
      <formula>AV86="후보"</formula>
    </cfRule>
  </conditionalFormatting>
  <conditionalFormatting sqref="AC86">
    <cfRule type="cellIs" dxfId="12963" priority="282" operator="greaterThan">
      <formula>0.9</formula>
    </cfRule>
    <cfRule type="cellIs" dxfId="12962" priority="283" operator="greaterThan">
      <formula>0.85</formula>
    </cfRule>
  </conditionalFormatting>
  <conditionalFormatting sqref="N86">
    <cfRule type="cellIs" dxfId="12961" priority="280" operator="greaterThan">
      <formula>0.9</formula>
    </cfRule>
    <cfRule type="cellIs" dxfId="12960" priority="281" operator="greaterThan">
      <formula>0.85</formula>
    </cfRule>
  </conditionalFormatting>
  <conditionalFormatting sqref="E86">
    <cfRule type="expression" dxfId="12959" priority="276">
      <formula>AND(IF(OR($Q86=1,$Q86=2),1,0),IF($X86&lt;=20,1,0))</formula>
    </cfRule>
    <cfRule type="expression" dxfId="12958" priority="277">
      <formula>AND(IF($Q86=2,1,0),IF($X86&lt;30,1,0))</formula>
    </cfRule>
    <cfRule type="expression" dxfId="12957" priority="278">
      <formula>AND(IF($Q86=3,1,0),IF($X86&lt;30,1,0))</formula>
    </cfRule>
    <cfRule type="expression" dxfId="12956" priority="279">
      <formula>AND(IF($Q86=3,1,IF($Q86=4,1,0)),IF($F86&lt;=85,1,0))</formula>
    </cfRule>
  </conditionalFormatting>
  <conditionalFormatting sqref="X86">
    <cfRule type="expression" dxfId="12955" priority="272">
      <formula>AND(IF(OR($Q86=1,$Q86=2),1,0),IF($X86&lt;=20,1,0))</formula>
    </cfRule>
    <cfRule type="expression" dxfId="12954" priority="273">
      <formula>AND(IF($Q86=2,1,0),IF($X86&lt;30,1,0))</formula>
    </cfRule>
    <cfRule type="expression" dxfId="12953" priority="274">
      <formula>AND(IF($Q86=3,1,0),IF($X86&lt;30,1,0))</formula>
    </cfRule>
    <cfRule type="expression" dxfId="12952" priority="275">
      <formula>AND(IF($Q86=3,1,IF($Q86=4,1,0)),IF($F86&lt;=85,1,0))</formula>
    </cfRule>
  </conditionalFormatting>
  <conditionalFormatting sqref="AI86">
    <cfRule type="expression" dxfId="12951" priority="268">
      <formula>AND(IF(OR($Q86=1,$Q86=2),1,0),IF($X86&lt;=20,1,0))</formula>
    </cfRule>
    <cfRule type="expression" dxfId="12950" priority="269">
      <formula>AND(IF($Q86=2,1,0),IF($X86&lt;30,1,0))</formula>
    </cfRule>
    <cfRule type="expression" dxfId="12949" priority="270">
      <formula>AND(IF($Q86=3,1,0),IF($X86&lt;30,1,0))</formula>
    </cfRule>
    <cfRule type="expression" dxfId="12948" priority="271">
      <formula>AND(IF($Q86=3,1,IF($Q86=4,1,0)),IF($F86&lt;=85,1,0))</formula>
    </cfRule>
  </conditionalFormatting>
  <conditionalFormatting sqref="AV87">
    <cfRule type="expression" dxfId="12947" priority="266">
      <formula>AV87="X"</formula>
    </cfRule>
    <cfRule type="expression" dxfId="12946" priority="267">
      <formula>AV87="후보"</formula>
    </cfRule>
  </conditionalFormatting>
  <conditionalFormatting sqref="AC87">
    <cfRule type="cellIs" dxfId="12945" priority="263" operator="greaterThan">
      <formula>0.9</formula>
    </cfRule>
    <cfRule type="cellIs" dxfId="12944" priority="264" operator="greaterThan">
      <formula>0.85</formula>
    </cfRule>
  </conditionalFormatting>
  <conditionalFormatting sqref="N87">
    <cfRule type="cellIs" dxfId="12943" priority="261" operator="greaterThan">
      <formula>0.9</formula>
    </cfRule>
    <cfRule type="cellIs" dxfId="12942" priority="262" operator="greaterThan">
      <formula>0.85</formula>
    </cfRule>
  </conditionalFormatting>
  <conditionalFormatting sqref="E87">
    <cfRule type="expression" dxfId="12941" priority="257">
      <formula>AND(IF(OR($Q87=1,$Q87=2),1,0),IF($X87&lt;=20,1,0))</formula>
    </cfRule>
    <cfRule type="expression" dxfId="12940" priority="258">
      <formula>AND(IF($Q87=2,1,0),IF($X87&lt;30,1,0))</formula>
    </cfRule>
    <cfRule type="expression" dxfId="12939" priority="259">
      <formula>AND(IF($Q87=3,1,0),IF($X87&lt;30,1,0))</formula>
    </cfRule>
    <cfRule type="expression" dxfId="12938" priority="260">
      <formula>AND(IF($Q87=3,1,IF($Q87=4,1,0)),IF($F87&lt;=85,1,0))</formula>
    </cfRule>
  </conditionalFormatting>
  <conditionalFormatting sqref="X87">
    <cfRule type="expression" dxfId="12937" priority="253">
      <formula>AND(IF(OR($Q87=1,$Q87=2),1,0),IF($X87&lt;=20,1,0))</formula>
    </cfRule>
    <cfRule type="expression" dxfId="12936" priority="254">
      <formula>AND(IF($Q87=2,1,0),IF($X87&lt;30,1,0))</formula>
    </cfRule>
    <cfRule type="expression" dxfId="12935" priority="255">
      <formula>AND(IF($Q87=3,1,0),IF($X87&lt;30,1,0))</formula>
    </cfRule>
    <cfRule type="expression" dxfId="12934" priority="256">
      <formula>AND(IF($Q87=3,1,IF($Q87=4,1,0)),IF($F87&lt;=85,1,0))</formula>
    </cfRule>
  </conditionalFormatting>
  <conditionalFormatting sqref="AI87">
    <cfRule type="expression" dxfId="12933" priority="249">
      <formula>AND(IF(OR($Q87=1,$Q87=2),1,0),IF($X87&lt;=20,1,0))</formula>
    </cfRule>
    <cfRule type="expression" dxfId="12932" priority="250">
      <formula>AND(IF($Q87=2,1,0),IF($X87&lt;30,1,0))</formula>
    </cfRule>
    <cfRule type="expression" dxfId="12931" priority="251">
      <formula>AND(IF($Q87=3,1,0),IF($X87&lt;30,1,0))</formula>
    </cfRule>
    <cfRule type="expression" dxfId="12930" priority="252">
      <formula>AND(IF($Q87=3,1,IF($Q87=4,1,0)),IF($F87&lt;=85,1,0))</formula>
    </cfRule>
  </conditionalFormatting>
  <conditionalFormatting sqref="AV88">
    <cfRule type="expression" dxfId="12929" priority="247">
      <formula>AV88="X"</formula>
    </cfRule>
    <cfRule type="expression" dxfId="12928" priority="248">
      <formula>AV88="후보"</formula>
    </cfRule>
  </conditionalFormatting>
  <conditionalFormatting sqref="AC88">
    <cfRule type="cellIs" dxfId="12927" priority="244" operator="greaterThan">
      <formula>0.9</formula>
    </cfRule>
    <cfRule type="cellIs" dxfId="12926" priority="245" operator="greaterThan">
      <formula>0.85</formula>
    </cfRule>
  </conditionalFormatting>
  <conditionalFormatting sqref="N88">
    <cfRule type="cellIs" dxfId="12925" priority="242" operator="greaterThan">
      <formula>0.9</formula>
    </cfRule>
    <cfRule type="cellIs" dxfId="12924" priority="243" operator="greaterThan">
      <formula>0.85</formula>
    </cfRule>
  </conditionalFormatting>
  <conditionalFormatting sqref="E88">
    <cfRule type="expression" dxfId="12923" priority="238">
      <formula>AND(IF(OR($Q88=1,$Q88=2),1,0),IF($X88&lt;=20,1,0))</formula>
    </cfRule>
    <cfRule type="expression" dxfId="12922" priority="239">
      <formula>AND(IF($Q88=2,1,0),IF($X88&lt;30,1,0))</formula>
    </cfRule>
    <cfRule type="expression" dxfId="12921" priority="240">
      <formula>AND(IF($Q88=3,1,0),IF($X88&lt;30,1,0))</formula>
    </cfRule>
    <cfRule type="expression" dxfId="12920" priority="241">
      <formula>AND(IF($Q88=3,1,IF($Q88=4,1,0)),IF($F88&lt;=85,1,0))</formula>
    </cfRule>
  </conditionalFormatting>
  <conditionalFormatting sqref="X88">
    <cfRule type="expression" dxfId="12919" priority="234">
      <formula>AND(IF(OR($Q88=1,$Q88=2),1,0),IF($X88&lt;=20,1,0))</formula>
    </cfRule>
    <cfRule type="expression" dxfId="12918" priority="235">
      <formula>AND(IF($Q88=2,1,0),IF($X88&lt;30,1,0))</formula>
    </cfRule>
    <cfRule type="expression" dxfId="12917" priority="236">
      <formula>AND(IF($Q88=3,1,0),IF($X88&lt;30,1,0))</formula>
    </cfRule>
    <cfRule type="expression" dxfId="12916" priority="237">
      <formula>AND(IF($Q88=3,1,IF($Q88=4,1,0)),IF($F88&lt;=85,1,0))</formula>
    </cfRule>
  </conditionalFormatting>
  <conditionalFormatting sqref="AI88">
    <cfRule type="expression" dxfId="12915" priority="230">
      <formula>AND(IF(OR($Q88=1,$Q88=2),1,0),IF($X88&lt;=20,1,0))</formula>
    </cfRule>
    <cfRule type="expression" dxfId="12914" priority="231">
      <formula>AND(IF($Q88=2,1,0),IF($X88&lt;30,1,0))</formula>
    </cfRule>
    <cfRule type="expression" dxfId="12913" priority="232">
      <formula>AND(IF($Q88=3,1,0),IF($X88&lt;30,1,0))</formula>
    </cfRule>
    <cfRule type="expression" dxfId="12912" priority="233">
      <formula>AND(IF($Q88=3,1,IF($Q88=4,1,0)),IF($F88&lt;=85,1,0))</formula>
    </cfRule>
  </conditionalFormatting>
  <conditionalFormatting sqref="AV89">
    <cfRule type="expression" dxfId="12911" priority="228">
      <formula>AV89="X"</formula>
    </cfRule>
    <cfRule type="expression" dxfId="12910" priority="229">
      <formula>AV89="후보"</formula>
    </cfRule>
  </conditionalFormatting>
  <conditionalFormatting sqref="AC89">
    <cfRule type="cellIs" dxfId="12909" priority="225" operator="greaterThan">
      <formula>0.9</formula>
    </cfRule>
    <cfRule type="cellIs" dxfId="12908" priority="226" operator="greaterThan">
      <formula>0.85</formula>
    </cfRule>
  </conditionalFormatting>
  <conditionalFormatting sqref="N89">
    <cfRule type="cellIs" dxfId="12907" priority="223" operator="greaterThan">
      <formula>0.9</formula>
    </cfRule>
    <cfRule type="cellIs" dxfId="12906" priority="224" operator="greaterThan">
      <formula>0.85</formula>
    </cfRule>
  </conditionalFormatting>
  <conditionalFormatting sqref="E89">
    <cfRule type="expression" dxfId="12905" priority="219">
      <formula>AND(IF(OR($Q89=1,$Q89=2),1,0),IF($X89&lt;=20,1,0))</formula>
    </cfRule>
    <cfRule type="expression" dxfId="12904" priority="220">
      <formula>AND(IF($Q89=2,1,0),IF($X89&lt;30,1,0))</formula>
    </cfRule>
    <cfRule type="expression" dxfId="12903" priority="221">
      <formula>AND(IF($Q89=3,1,0),IF($X89&lt;30,1,0))</formula>
    </cfRule>
    <cfRule type="expression" dxfId="12902" priority="222">
      <formula>AND(IF($Q89=3,1,IF($Q89=4,1,0)),IF($F89&lt;=85,1,0))</formula>
    </cfRule>
  </conditionalFormatting>
  <conditionalFormatting sqref="X89">
    <cfRule type="expression" dxfId="12901" priority="215">
      <formula>AND(IF(OR($Q89=1,$Q89=2),1,0),IF($X89&lt;=20,1,0))</formula>
    </cfRule>
    <cfRule type="expression" dxfId="12900" priority="216">
      <formula>AND(IF($Q89=2,1,0),IF($X89&lt;30,1,0))</formula>
    </cfRule>
    <cfRule type="expression" dxfId="12899" priority="217">
      <formula>AND(IF($Q89=3,1,0),IF($X89&lt;30,1,0))</formula>
    </cfRule>
    <cfRule type="expression" dxfId="12898" priority="218">
      <formula>AND(IF($Q89=3,1,IF($Q89=4,1,0)),IF($F89&lt;=85,1,0))</formula>
    </cfRule>
  </conditionalFormatting>
  <conditionalFormatting sqref="AI89">
    <cfRule type="expression" dxfId="12897" priority="211">
      <formula>AND(IF(OR($Q89=1,$Q89=2),1,0),IF($X89&lt;=20,1,0))</formula>
    </cfRule>
    <cfRule type="expression" dxfId="12896" priority="212">
      <formula>AND(IF($Q89=2,1,0),IF($X89&lt;30,1,0))</formula>
    </cfRule>
    <cfRule type="expression" dxfId="12895" priority="213">
      <formula>AND(IF($Q89=3,1,0),IF($X89&lt;30,1,0))</formula>
    </cfRule>
    <cfRule type="expression" dxfId="12894" priority="214">
      <formula>AND(IF($Q89=3,1,IF($Q89=4,1,0)),IF($F89&lt;=85,1,0))</formula>
    </cfRule>
  </conditionalFormatting>
  <conditionalFormatting sqref="AV90">
    <cfRule type="expression" dxfId="12893" priority="209">
      <formula>AV90="X"</formula>
    </cfRule>
    <cfRule type="expression" dxfId="12892" priority="210">
      <formula>AV90="후보"</formula>
    </cfRule>
  </conditionalFormatting>
  <conditionalFormatting sqref="AC90 N90">
    <cfRule type="cellIs" dxfId="12891" priority="206" operator="greaterThan">
      <formula>0.9</formula>
    </cfRule>
    <cfRule type="cellIs" dxfId="12890" priority="207" operator="greaterThan">
      <formula>0.85</formula>
    </cfRule>
  </conditionalFormatting>
  <conditionalFormatting sqref="AV91">
    <cfRule type="expression" dxfId="12889" priority="204">
      <formula>AV91="X"</formula>
    </cfRule>
    <cfRule type="expression" dxfId="12888" priority="205">
      <formula>AV91="후보"</formula>
    </cfRule>
  </conditionalFormatting>
  <conditionalFormatting sqref="AC91">
    <cfRule type="cellIs" dxfId="12887" priority="201" operator="greaterThan">
      <formula>0.9</formula>
    </cfRule>
    <cfRule type="cellIs" dxfId="12886" priority="202" operator="greaterThan">
      <formula>0.85</formula>
    </cfRule>
  </conditionalFormatting>
  <conditionalFormatting sqref="N91">
    <cfRule type="cellIs" dxfId="12885" priority="199" operator="greaterThan">
      <formula>0.9</formula>
    </cfRule>
    <cfRule type="cellIs" dxfId="12884" priority="200" operator="greaterThan">
      <formula>0.85</formula>
    </cfRule>
  </conditionalFormatting>
  <conditionalFormatting sqref="E91">
    <cfRule type="expression" dxfId="12883" priority="195">
      <formula>AND(IF(OR($Q91=1,$Q91=2),1,0),IF($X91&lt;=20,1,0))</formula>
    </cfRule>
    <cfRule type="expression" dxfId="12882" priority="196">
      <formula>AND(IF($Q91=2,1,0),IF($X91&lt;30,1,0))</formula>
    </cfRule>
    <cfRule type="expression" dxfId="12881" priority="197">
      <formula>AND(IF($Q91=3,1,0),IF($X91&lt;30,1,0))</formula>
    </cfRule>
    <cfRule type="expression" dxfId="12880" priority="198">
      <formula>AND(IF($Q91=3,1,IF($Q91=4,1,0)),IF($F91&lt;=85,1,0))</formula>
    </cfRule>
  </conditionalFormatting>
  <conditionalFormatting sqref="X91">
    <cfRule type="expression" dxfId="12879" priority="191">
      <formula>AND(IF(OR($Q91=1,$Q91=2),1,0),IF($X91&lt;=20,1,0))</formula>
    </cfRule>
    <cfRule type="expression" dxfId="12878" priority="192">
      <formula>AND(IF($Q91=2,1,0),IF($X91&lt;30,1,0))</formula>
    </cfRule>
    <cfRule type="expression" dxfId="12877" priority="193">
      <formula>AND(IF($Q91=3,1,0),IF($X91&lt;30,1,0))</formula>
    </cfRule>
    <cfRule type="expression" dxfId="12876" priority="194">
      <formula>AND(IF($Q91=3,1,IF($Q91=4,1,0)),IF($F91&lt;=85,1,0))</formula>
    </cfRule>
  </conditionalFormatting>
  <conditionalFormatting sqref="AI91">
    <cfRule type="expression" dxfId="12875" priority="187">
      <formula>AND(IF(OR($Q91=1,$Q91=2),1,0),IF($X91&lt;=20,1,0))</formula>
    </cfRule>
    <cfRule type="expression" dxfId="12874" priority="188">
      <formula>AND(IF($Q91=2,1,0),IF($X91&lt;30,1,0))</formula>
    </cfRule>
    <cfRule type="expression" dxfId="12873" priority="189">
      <formula>AND(IF($Q91=3,1,0),IF($X91&lt;30,1,0))</formula>
    </cfRule>
    <cfRule type="expression" dxfId="12872" priority="190">
      <formula>AND(IF($Q91=3,1,IF($Q91=4,1,0)),IF($F91&lt;=85,1,0))</formula>
    </cfRule>
  </conditionalFormatting>
  <conditionalFormatting sqref="AV92">
    <cfRule type="expression" dxfId="12871" priority="185">
      <formula>AV92="X"</formula>
    </cfRule>
    <cfRule type="expression" dxfId="12870" priority="186">
      <formula>AV92="후보"</formula>
    </cfRule>
  </conditionalFormatting>
  <conditionalFormatting sqref="AC92">
    <cfRule type="cellIs" dxfId="12869" priority="182" operator="greaterThan">
      <formula>0.9</formula>
    </cfRule>
    <cfRule type="cellIs" dxfId="12868" priority="183" operator="greaterThan">
      <formula>0.85</formula>
    </cfRule>
  </conditionalFormatting>
  <conditionalFormatting sqref="N92">
    <cfRule type="cellIs" dxfId="12867" priority="180" operator="greaterThan">
      <formula>0.9</formula>
    </cfRule>
    <cfRule type="cellIs" dxfId="12866" priority="181" operator="greaterThan">
      <formula>0.85</formula>
    </cfRule>
  </conditionalFormatting>
  <conditionalFormatting sqref="E92">
    <cfRule type="expression" dxfId="12865" priority="176">
      <formula>AND(IF(OR($Q92=1,$Q92=2),1,0),IF($X92&lt;=20,1,0))</formula>
    </cfRule>
    <cfRule type="expression" dxfId="12864" priority="177">
      <formula>AND(IF($Q92=2,1,0),IF($X92&lt;30,1,0))</formula>
    </cfRule>
    <cfRule type="expression" dxfId="12863" priority="178">
      <formula>AND(IF($Q92=3,1,0),IF($X92&lt;30,1,0))</formula>
    </cfRule>
    <cfRule type="expression" dxfId="12862" priority="179">
      <formula>AND(IF($Q92=3,1,IF($Q92=4,1,0)),IF($F92&lt;=85,1,0))</formula>
    </cfRule>
  </conditionalFormatting>
  <conditionalFormatting sqref="X92">
    <cfRule type="expression" dxfId="12861" priority="172">
      <formula>AND(IF(OR($Q92=1,$Q92=2),1,0),IF($X92&lt;=20,1,0))</formula>
    </cfRule>
    <cfRule type="expression" dxfId="12860" priority="173">
      <formula>AND(IF($Q92=2,1,0),IF($X92&lt;30,1,0))</formula>
    </cfRule>
    <cfRule type="expression" dxfId="12859" priority="174">
      <formula>AND(IF($Q92=3,1,0),IF($X92&lt;30,1,0))</formula>
    </cfRule>
    <cfRule type="expression" dxfId="12858" priority="175">
      <formula>AND(IF($Q92=3,1,IF($Q92=4,1,0)),IF($F92&lt;=85,1,0))</formula>
    </cfRule>
  </conditionalFormatting>
  <conditionalFormatting sqref="AI92">
    <cfRule type="expression" dxfId="12857" priority="168">
      <formula>AND(IF(OR($Q92=1,$Q92=2),1,0),IF($X92&lt;=20,1,0))</formula>
    </cfRule>
    <cfRule type="expression" dxfId="12856" priority="169">
      <formula>AND(IF($Q92=2,1,0),IF($X92&lt;30,1,0))</formula>
    </cfRule>
    <cfRule type="expression" dxfId="12855" priority="170">
      <formula>AND(IF($Q92=3,1,0),IF($X92&lt;30,1,0))</formula>
    </cfRule>
    <cfRule type="expression" dxfId="12854" priority="171">
      <formula>AND(IF($Q92=3,1,IF($Q92=4,1,0)),IF($F92&lt;=85,1,0))</formula>
    </cfRule>
  </conditionalFormatting>
  <conditionalFormatting sqref="AV93">
    <cfRule type="expression" dxfId="12853" priority="166">
      <formula>AV93="X"</formula>
    </cfRule>
    <cfRule type="expression" dxfId="12852" priority="167">
      <formula>AV93="후보"</formula>
    </cfRule>
  </conditionalFormatting>
  <conditionalFormatting sqref="AC93">
    <cfRule type="cellIs" dxfId="12851" priority="163" operator="greaterThan">
      <formula>0.9</formula>
    </cfRule>
    <cfRule type="cellIs" dxfId="12850" priority="164" operator="greaterThan">
      <formula>0.85</formula>
    </cfRule>
  </conditionalFormatting>
  <conditionalFormatting sqref="N93">
    <cfRule type="cellIs" dxfId="12849" priority="161" operator="greaterThan">
      <formula>0.9</formula>
    </cfRule>
    <cfRule type="cellIs" dxfId="12848" priority="162" operator="greaterThan">
      <formula>0.85</formula>
    </cfRule>
  </conditionalFormatting>
  <conditionalFormatting sqref="E93">
    <cfRule type="expression" dxfId="12847" priority="157">
      <formula>AND(IF(OR($Q93=1,$Q93=2),1,0),IF($X93&lt;=20,1,0))</formula>
    </cfRule>
    <cfRule type="expression" dxfId="12846" priority="158">
      <formula>AND(IF($Q93=2,1,0),IF($X93&lt;30,1,0))</formula>
    </cfRule>
    <cfRule type="expression" dxfId="12845" priority="159">
      <formula>AND(IF($Q93=3,1,0),IF($X93&lt;30,1,0))</formula>
    </cfRule>
    <cfRule type="expression" dxfId="12844" priority="160">
      <formula>AND(IF($Q93=3,1,IF($Q93=4,1,0)),IF($F93&lt;=85,1,0))</formula>
    </cfRule>
  </conditionalFormatting>
  <conditionalFormatting sqref="X93">
    <cfRule type="expression" dxfId="12843" priority="153">
      <formula>AND(IF(OR($Q93=1,$Q93=2),1,0),IF($X93&lt;=20,1,0))</formula>
    </cfRule>
    <cfRule type="expression" dxfId="12842" priority="154">
      <formula>AND(IF($Q93=2,1,0),IF($X93&lt;30,1,0))</formula>
    </cfRule>
    <cfRule type="expression" dxfId="12841" priority="155">
      <formula>AND(IF($Q93=3,1,0),IF($X93&lt;30,1,0))</formula>
    </cfRule>
    <cfRule type="expression" dxfId="12840" priority="156">
      <formula>AND(IF($Q93=3,1,IF($Q93=4,1,0)),IF($F93&lt;=85,1,0))</formula>
    </cfRule>
  </conditionalFormatting>
  <conditionalFormatting sqref="AI93">
    <cfRule type="expression" dxfId="12839" priority="149">
      <formula>AND(IF(OR($Q93=1,$Q93=2),1,0),IF($X93&lt;=20,1,0))</formula>
    </cfRule>
    <cfRule type="expression" dxfId="12838" priority="150">
      <formula>AND(IF($Q93=2,1,0),IF($X93&lt;30,1,0))</formula>
    </cfRule>
    <cfRule type="expression" dxfId="12837" priority="151">
      <formula>AND(IF($Q93=3,1,0),IF($X93&lt;30,1,0))</formula>
    </cfRule>
    <cfRule type="expression" dxfId="12836" priority="152">
      <formula>AND(IF($Q93=3,1,IF($Q93=4,1,0)),IF($F93&lt;=85,1,0))</formula>
    </cfRule>
  </conditionalFormatting>
  <conditionalFormatting sqref="AV94">
    <cfRule type="expression" dxfId="12835" priority="147">
      <formula>AV94="X"</formula>
    </cfRule>
    <cfRule type="expression" dxfId="12834" priority="148">
      <formula>AV94="후보"</formula>
    </cfRule>
  </conditionalFormatting>
  <conditionalFormatting sqref="AC94 N94">
    <cfRule type="cellIs" dxfId="12833" priority="144" operator="greaterThan">
      <formula>0.9</formula>
    </cfRule>
    <cfRule type="cellIs" dxfId="12832" priority="145" operator="greaterThan">
      <formula>0.85</formula>
    </cfRule>
  </conditionalFormatting>
  <conditionalFormatting sqref="AV95">
    <cfRule type="expression" dxfId="12831" priority="142">
      <formula>AV95="X"</formula>
    </cfRule>
    <cfRule type="expression" dxfId="12830" priority="143">
      <formula>AV95="후보"</formula>
    </cfRule>
  </conditionalFormatting>
  <conditionalFormatting sqref="AC95">
    <cfRule type="cellIs" dxfId="12829" priority="139" operator="greaterThan">
      <formula>0.9</formula>
    </cfRule>
    <cfRule type="cellIs" dxfId="12828" priority="140" operator="greaterThan">
      <formula>0.85</formula>
    </cfRule>
  </conditionalFormatting>
  <conditionalFormatting sqref="N95">
    <cfRule type="cellIs" dxfId="12827" priority="137" operator="greaterThan">
      <formula>0.9</formula>
    </cfRule>
    <cfRule type="cellIs" dxfId="12826" priority="138" operator="greaterThan">
      <formula>0.85</formula>
    </cfRule>
  </conditionalFormatting>
  <conditionalFormatting sqref="E95">
    <cfRule type="expression" dxfId="12825" priority="133">
      <formula>AND(IF(OR($Q95=1,$Q95=2),1,0),IF($X95&lt;=20,1,0))</formula>
    </cfRule>
    <cfRule type="expression" dxfId="12824" priority="134">
      <formula>AND(IF($Q95=2,1,0),IF($X95&lt;30,1,0))</formula>
    </cfRule>
    <cfRule type="expression" dxfId="12823" priority="135">
      <formula>AND(IF($Q95=3,1,0),IF($X95&lt;30,1,0))</formula>
    </cfRule>
    <cfRule type="expression" dxfId="12822" priority="136">
      <formula>AND(IF($Q95=3,1,IF($Q95=4,1,0)),IF($F95&lt;=85,1,0))</formula>
    </cfRule>
  </conditionalFormatting>
  <conditionalFormatting sqref="X95">
    <cfRule type="expression" dxfId="12821" priority="129">
      <formula>AND(IF(OR($Q95=1,$Q95=2),1,0),IF($X95&lt;=20,1,0))</formula>
    </cfRule>
    <cfRule type="expression" dxfId="12820" priority="130">
      <formula>AND(IF($Q95=2,1,0),IF($X95&lt;30,1,0))</formula>
    </cfRule>
    <cfRule type="expression" dxfId="12819" priority="131">
      <formula>AND(IF($Q95=3,1,0),IF($X95&lt;30,1,0))</formula>
    </cfRule>
    <cfRule type="expression" dxfId="12818" priority="132">
      <formula>AND(IF($Q95=3,1,IF($Q95=4,1,0)),IF($F95&lt;=85,1,0))</formula>
    </cfRule>
  </conditionalFormatting>
  <conditionalFormatting sqref="AI95">
    <cfRule type="expression" dxfId="12817" priority="125">
      <formula>AND(IF(OR($Q95=1,$Q95=2),1,0),IF($X95&lt;=20,1,0))</formula>
    </cfRule>
    <cfRule type="expression" dxfId="12816" priority="126">
      <formula>AND(IF($Q95=2,1,0),IF($X95&lt;30,1,0))</formula>
    </cfRule>
    <cfRule type="expression" dxfId="12815" priority="127">
      <formula>AND(IF($Q95=3,1,0),IF($X95&lt;30,1,0))</formula>
    </cfRule>
    <cfRule type="expression" dxfId="12814" priority="128">
      <formula>AND(IF($Q95=3,1,IF($Q95=4,1,0)),IF($F95&lt;=85,1,0))</formula>
    </cfRule>
  </conditionalFormatting>
  <conditionalFormatting sqref="AV96">
    <cfRule type="expression" dxfId="12813" priority="123">
      <formula>AV96="X"</formula>
    </cfRule>
    <cfRule type="expression" dxfId="12812" priority="124">
      <formula>AV96="후보"</formula>
    </cfRule>
  </conditionalFormatting>
  <conditionalFormatting sqref="AC96">
    <cfRule type="cellIs" dxfId="12811" priority="120" operator="greaterThan">
      <formula>0.9</formula>
    </cfRule>
    <cfRule type="cellIs" dxfId="12810" priority="121" operator="greaterThan">
      <formula>0.85</formula>
    </cfRule>
  </conditionalFormatting>
  <conditionalFormatting sqref="N96">
    <cfRule type="cellIs" dxfId="12809" priority="118" operator="greaterThan">
      <formula>0.9</formula>
    </cfRule>
    <cfRule type="cellIs" dxfId="12808" priority="119" operator="greaterThan">
      <formula>0.85</formula>
    </cfRule>
  </conditionalFormatting>
  <conditionalFormatting sqref="E96">
    <cfRule type="expression" dxfId="12807" priority="114">
      <formula>AND(IF(OR($Q96=1,$Q96=2),1,0),IF($X96&lt;=20,1,0))</formula>
    </cfRule>
    <cfRule type="expression" dxfId="12806" priority="115">
      <formula>AND(IF($Q96=2,1,0),IF($X96&lt;30,1,0))</formula>
    </cfRule>
    <cfRule type="expression" dxfId="12805" priority="116">
      <formula>AND(IF($Q96=3,1,0),IF($X96&lt;30,1,0))</formula>
    </cfRule>
    <cfRule type="expression" dxfId="12804" priority="117">
      <formula>AND(IF($Q96=3,1,IF($Q96=4,1,0)),IF($F96&lt;=85,1,0))</formula>
    </cfRule>
  </conditionalFormatting>
  <conditionalFormatting sqref="X96">
    <cfRule type="expression" dxfId="12803" priority="110">
      <formula>AND(IF(OR($Q96=1,$Q96=2),1,0),IF($X96&lt;=20,1,0))</formula>
    </cfRule>
    <cfRule type="expression" dxfId="12802" priority="111">
      <formula>AND(IF($Q96=2,1,0),IF($X96&lt;30,1,0))</formula>
    </cfRule>
    <cfRule type="expression" dxfId="12801" priority="112">
      <formula>AND(IF($Q96=3,1,0),IF($X96&lt;30,1,0))</formula>
    </cfRule>
    <cfRule type="expression" dxfId="12800" priority="113">
      <formula>AND(IF($Q96=3,1,IF($Q96=4,1,0)),IF($F96&lt;=85,1,0))</formula>
    </cfRule>
  </conditionalFormatting>
  <conditionalFormatting sqref="AI96">
    <cfRule type="expression" dxfId="12799" priority="106">
      <formula>AND(IF(OR($Q96=1,$Q96=2),1,0),IF($X96&lt;=20,1,0))</formula>
    </cfRule>
    <cfRule type="expression" dxfId="12798" priority="107">
      <formula>AND(IF($Q96=2,1,0),IF($X96&lt;30,1,0))</formula>
    </cfRule>
    <cfRule type="expression" dxfId="12797" priority="108">
      <formula>AND(IF($Q96=3,1,0),IF($X96&lt;30,1,0))</formula>
    </cfRule>
    <cfRule type="expression" dxfId="12796" priority="109">
      <formula>AND(IF($Q96=3,1,IF($Q96=4,1,0)),IF($F96&lt;=85,1,0))</formula>
    </cfRule>
  </conditionalFormatting>
  <conditionalFormatting sqref="AV97">
    <cfRule type="expression" dxfId="12795" priority="104">
      <formula>AV97="X"</formula>
    </cfRule>
    <cfRule type="expression" dxfId="12794" priority="105">
      <formula>AV97="후보"</formula>
    </cfRule>
  </conditionalFormatting>
  <conditionalFormatting sqref="AC97">
    <cfRule type="cellIs" dxfId="12793" priority="101" operator="greaterThan">
      <formula>0.9</formula>
    </cfRule>
    <cfRule type="cellIs" dxfId="12792" priority="102" operator="greaterThan">
      <formula>0.85</formula>
    </cfRule>
  </conditionalFormatting>
  <conditionalFormatting sqref="N97">
    <cfRule type="cellIs" dxfId="12791" priority="99" operator="greaterThan">
      <formula>0.9</formula>
    </cfRule>
    <cfRule type="cellIs" dxfId="12790" priority="100" operator="greaterThan">
      <formula>0.85</formula>
    </cfRule>
  </conditionalFormatting>
  <conditionalFormatting sqref="E97">
    <cfRule type="expression" dxfId="12789" priority="95">
      <formula>AND(IF(OR($Q97=1,$Q97=2),1,0),IF($X97&lt;=20,1,0))</formula>
    </cfRule>
    <cfRule type="expression" dxfId="12788" priority="96">
      <formula>AND(IF($Q97=2,1,0),IF($X97&lt;30,1,0))</formula>
    </cfRule>
    <cfRule type="expression" dxfId="12787" priority="97">
      <formula>AND(IF($Q97=3,1,0),IF($X97&lt;30,1,0))</formula>
    </cfRule>
    <cfRule type="expression" dxfId="12786" priority="98">
      <formula>AND(IF($Q97=3,1,IF($Q97=4,1,0)),IF($F97&lt;=85,1,0))</formula>
    </cfRule>
  </conditionalFormatting>
  <conditionalFormatting sqref="X97">
    <cfRule type="expression" dxfId="12785" priority="91">
      <formula>AND(IF(OR($Q97=1,$Q97=2),1,0),IF($X97&lt;=20,1,0))</formula>
    </cfRule>
    <cfRule type="expression" dxfId="12784" priority="92">
      <formula>AND(IF($Q97=2,1,0),IF($X97&lt;30,1,0))</formula>
    </cfRule>
    <cfRule type="expression" dxfId="12783" priority="93">
      <formula>AND(IF($Q97=3,1,0),IF($X97&lt;30,1,0))</formula>
    </cfRule>
    <cfRule type="expression" dxfId="12782" priority="94">
      <formula>AND(IF($Q97=3,1,IF($Q97=4,1,0)),IF($F97&lt;=85,1,0))</formula>
    </cfRule>
  </conditionalFormatting>
  <conditionalFormatting sqref="AI97">
    <cfRule type="expression" dxfId="12781" priority="87">
      <formula>AND(IF(OR($Q97=1,$Q97=2),1,0),IF($X97&lt;=20,1,0))</formula>
    </cfRule>
    <cfRule type="expression" dxfId="12780" priority="88">
      <formula>AND(IF($Q97=2,1,0),IF($X97&lt;30,1,0))</formula>
    </cfRule>
    <cfRule type="expression" dxfId="12779" priority="89">
      <formula>AND(IF($Q97=3,1,0),IF($X97&lt;30,1,0))</formula>
    </cfRule>
    <cfRule type="expression" dxfId="12778" priority="90">
      <formula>AND(IF($Q97=3,1,IF($Q97=4,1,0)),IF($F97&lt;=85,1,0))</formula>
    </cfRule>
  </conditionalFormatting>
  <conditionalFormatting sqref="AV98">
    <cfRule type="expression" dxfId="12777" priority="85">
      <formula>AV98="X"</formula>
    </cfRule>
    <cfRule type="expression" dxfId="12776" priority="86">
      <formula>AV98="후보"</formula>
    </cfRule>
  </conditionalFormatting>
  <conditionalFormatting sqref="AC98">
    <cfRule type="cellIs" dxfId="12775" priority="82" operator="greaterThan">
      <formula>0.9</formula>
    </cfRule>
    <cfRule type="cellIs" dxfId="12774" priority="83" operator="greaterThan">
      <formula>0.85</formula>
    </cfRule>
  </conditionalFormatting>
  <conditionalFormatting sqref="N98">
    <cfRule type="cellIs" dxfId="12773" priority="80" operator="greaterThan">
      <formula>0.9</formula>
    </cfRule>
    <cfRule type="cellIs" dxfId="12772" priority="81" operator="greaterThan">
      <formula>0.85</formula>
    </cfRule>
  </conditionalFormatting>
  <conditionalFormatting sqref="E98">
    <cfRule type="expression" dxfId="12771" priority="76">
      <formula>AND(IF(OR($Q98=1,$Q98=2),1,0),IF($X98&lt;=20,1,0))</formula>
    </cfRule>
    <cfRule type="expression" dxfId="12770" priority="77">
      <formula>AND(IF($Q98=2,1,0),IF($X98&lt;30,1,0))</formula>
    </cfRule>
    <cfRule type="expression" dxfId="12769" priority="78">
      <formula>AND(IF($Q98=3,1,0),IF($X98&lt;30,1,0))</formula>
    </cfRule>
    <cfRule type="expression" dxfId="12768" priority="79">
      <formula>AND(IF($Q98=3,1,IF($Q98=4,1,0)),IF($F98&lt;=85,1,0))</formula>
    </cfRule>
  </conditionalFormatting>
  <conditionalFormatting sqref="X98">
    <cfRule type="expression" dxfId="12767" priority="72">
      <formula>AND(IF(OR($Q98=1,$Q98=2),1,0),IF($X98&lt;=20,1,0))</formula>
    </cfRule>
    <cfRule type="expression" dxfId="12766" priority="73">
      <formula>AND(IF($Q98=2,1,0),IF($X98&lt;30,1,0))</formula>
    </cfRule>
    <cfRule type="expression" dxfId="12765" priority="74">
      <formula>AND(IF($Q98=3,1,0),IF($X98&lt;30,1,0))</formula>
    </cfRule>
    <cfRule type="expression" dxfId="12764" priority="75">
      <formula>AND(IF($Q98=3,1,IF($Q98=4,1,0)),IF($F98&lt;=85,1,0))</formula>
    </cfRule>
  </conditionalFormatting>
  <conditionalFormatting sqref="AI98">
    <cfRule type="expression" dxfId="12763" priority="68">
      <formula>AND(IF(OR($Q98=1,$Q98=2),1,0),IF($X98&lt;=20,1,0))</formula>
    </cfRule>
    <cfRule type="expression" dxfId="12762" priority="69">
      <formula>AND(IF($Q98=2,1,0),IF($X98&lt;30,1,0))</formula>
    </cfRule>
    <cfRule type="expression" dxfId="12761" priority="70">
      <formula>AND(IF($Q98=3,1,0),IF($X98&lt;30,1,0))</formula>
    </cfRule>
    <cfRule type="expression" dxfId="12760" priority="71">
      <formula>AND(IF($Q98=3,1,IF($Q98=4,1,0)),IF($F98&lt;=85,1,0))</formula>
    </cfRule>
  </conditionalFormatting>
  <conditionalFormatting sqref="AV99">
    <cfRule type="expression" dxfId="12759" priority="66">
      <formula>AV99="X"</formula>
    </cfRule>
    <cfRule type="expression" dxfId="12758" priority="67">
      <formula>AV99="후보"</formula>
    </cfRule>
  </conditionalFormatting>
  <conditionalFormatting sqref="AC99 N99">
    <cfRule type="cellIs" dxfId="12757" priority="63" operator="greaterThan">
      <formula>0.9</formula>
    </cfRule>
    <cfRule type="cellIs" dxfId="12756" priority="64" operator="greaterThan">
      <formula>0.85</formula>
    </cfRule>
  </conditionalFormatting>
  <conditionalFormatting sqref="AV100">
    <cfRule type="expression" dxfId="12755" priority="61">
      <formula>AV100="X"</formula>
    </cfRule>
    <cfRule type="expression" dxfId="12754" priority="62">
      <formula>AV100="후보"</formula>
    </cfRule>
  </conditionalFormatting>
  <conditionalFormatting sqref="AC100">
    <cfRule type="cellIs" dxfId="12753" priority="58" operator="greaterThan">
      <formula>0.9</formula>
    </cfRule>
    <cfRule type="cellIs" dxfId="12752" priority="59" operator="greaterThan">
      <formula>0.85</formula>
    </cfRule>
  </conditionalFormatting>
  <conditionalFormatting sqref="N100">
    <cfRule type="cellIs" dxfId="12751" priority="56" operator="greaterThan">
      <formula>0.9</formula>
    </cfRule>
    <cfRule type="cellIs" dxfId="12750" priority="57" operator="greaterThan">
      <formula>0.85</formula>
    </cfRule>
  </conditionalFormatting>
  <conditionalFormatting sqref="E100">
    <cfRule type="expression" dxfId="12749" priority="52">
      <formula>AND(IF(OR($Q100=1,$Q100=2),1,0),IF($X100&lt;=20,1,0))</formula>
    </cfRule>
    <cfRule type="expression" dxfId="12748" priority="53">
      <formula>AND(IF($Q100=2,1,0),IF($X100&lt;30,1,0))</formula>
    </cfRule>
    <cfRule type="expression" dxfId="12747" priority="54">
      <formula>AND(IF($Q100=3,1,0),IF($X100&lt;30,1,0))</formula>
    </cfRule>
    <cfRule type="expression" dxfId="12746" priority="55">
      <formula>AND(IF($Q100=3,1,IF($Q100=4,1,0)),IF($F100&lt;=85,1,0))</formula>
    </cfRule>
  </conditionalFormatting>
  <conditionalFormatting sqref="X100">
    <cfRule type="expression" dxfId="12745" priority="48">
      <formula>AND(IF(OR($Q100=1,$Q100=2),1,0),IF($X100&lt;=20,1,0))</formula>
    </cfRule>
    <cfRule type="expression" dxfId="12744" priority="49">
      <formula>AND(IF($Q100=2,1,0),IF($X100&lt;30,1,0))</formula>
    </cfRule>
    <cfRule type="expression" dxfId="12743" priority="50">
      <formula>AND(IF($Q100=3,1,0),IF($X100&lt;30,1,0))</formula>
    </cfRule>
    <cfRule type="expression" dxfId="12742" priority="51">
      <formula>AND(IF($Q100=3,1,IF($Q100=4,1,0)),IF($F100&lt;=85,1,0))</formula>
    </cfRule>
  </conditionalFormatting>
  <conditionalFormatting sqref="AI100">
    <cfRule type="expression" dxfId="12741" priority="44">
      <formula>AND(IF(OR($Q100=1,$Q100=2),1,0),IF($X100&lt;=20,1,0))</formula>
    </cfRule>
    <cfRule type="expression" dxfId="12740" priority="45">
      <formula>AND(IF($Q100=2,1,0),IF($X100&lt;30,1,0))</formula>
    </cfRule>
    <cfRule type="expression" dxfId="12739" priority="46">
      <formula>AND(IF($Q100=3,1,0),IF($X100&lt;30,1,0))</formula>
    </cfRule>
    <cfRule type="expression" dxfId="12738" priority="47">
      <formula>AND(IF($Q100=3,1,IF($Q100=4,1,0)),IF($F100&lt;=85,1,0))</formula>
    </cfRule>
  </conditionalFormatting>
  <conditionalFormatting sqref="AV101">
    <cfRule type="expression" dxfId="12737" priority="42">
      <formula>AV101="X"</formula>
    </cfRule>
    <cfRule type="expression" dxfId="12736" priority="43">
      <formula>AV101="후보"</formula>
    </cfRule>
  </conditionalFormatting>
  <conditionalFormatting sqref="AC101 N101">
    <cfRule type="cellIs" dxfId="12735" priority="39" operator="greaterThan">
      <formula>0.9</formula>
    </cfRule>
    <cfRule type="cellIs" dxfId="12734" priority="40" operator="greaterThan">
      <formula>0.85</formula>
    </cfRule>
  </conditionalFormatting>
  <conditionalFormatting sqref="AV102">
    <cfRule type="expression" dxfId="12733" priority="37">
      <formula>AV102="X"</formula>
    </cfRule>
    <cfRule type="expression" dxfId="12732" priority="38">
      <formula>AV102="후보"</formula>
    </cfRule>
  </conditionalFormatting>
  <conditionalFormatting sqref="AC102">
    <cfRule type="cellIs" dxfId="12731" priority="34" operator="greaterThan">
      <formula>0.9</formula>
    </cfRule>
    <cfRule type="cellIs" dxfId="12730" priority="35" operator="greaterThan">
      <formula>0.85</formula>
    </cfRule>
  </conditionalFormatting>
  <conditionalFormatting sqref="N102">
    <cfRule type="cellIs" dxfId="12729" priority="32" operator="greaterThan">
      <formula>0.9</formula>
    </cfRule>
    <cfRule type="cellIs" dxfId="12728" priority="33" operator="greaterThan">
      <formula>0.85</formula>
    </cfRule>
  </conditionalFormatting>
  <conditionalFormatting sqref="E102">
    <cfRule type="expression" dxfId="12727" priority="28">
      <formula>AND(IF(OR($Q102=1,$Q102=2),1,0),IF($X102&lt;=20,1,0))</formula>
    </cfRule>
    <cfRule type="expression" dxfId="12726" priority="29">
      <formula>AND(IF($Q102=2,1,0),IF($X102&lt;30,1,0))</formula>
    </cfRule>
    <cfRule type="expression" dxfId="12725" priority="30">
      <formula>AND(IF($Q102=3,1,0),IF($X102&lt;30,1,0))</formula>
    </cfRule>
    <cfRule type="expression" dxfId="12724" priority="31">
      <formula>AND(IF($Q102=3,1,IF($Q102=4,1,0)),IF($F102&lt;=85,1,0))</formula>
    </cfRule>
  </conditionalFormatting>
  <conditionalFormatting sqref="X102">
    <cfRule type="expression" dxfId="12723" priority="24">
      <formula>AND(IF(OR($Q102=1,$Q102=2),1,0),IF($X102&lt;=20,1,0))</formula>
    </cfRule>
    <cfRule type="expression" dxfId="12722" priority="25">
      <formula>AND(IF($Q102=2,1,0),IF($X102&lt;30,1,0))</formula>
    </cfRule>
    <cfRule type="expression" dxfId="12721" priority="26">
      <formula>AND(IF($Q102=3,1,0),IF($X102&lt;30,1,0))</formula>
    </cfRule>
    <cfRule type="expression" dxfId="12720" priority="27">
      <formula>AND(IF($Q102=3,1,IF($Q102=4,1,0)),IF($F102&lt;=85,1,0))</formula>
    </cfRule>
  </conditionalFormatting>
  <conditionalFormatting sqref="AI102">
    <cfRule type="expression" dxfId="12719" priority="20">
      <formula>AND(IF(OR($Q102=1,$Q102=2),1,0),IF($X102&lt;=20,1,0))</formula>
    </cfRule>
    <cfRule type="expression" dxfId="12718" priority="21">
      <formula>AND(IF($Q102=2,1,0),IF($X102&lt;30,1,0))</formula>
    </cfRule>
    <cfRule type="expression" dxfId="12717" priority="22">
      <formula>AND(IF($Q102=3,1,0),IF($X102&lt;30,1,0))</formula>
    </cfRule>
    <cfRule type="expression" dxfId="12716" priority="23">
      <formula>AND(IF($Q102=3,1,IF($Q102=4,1,0)),IF($F102&lt;=85,1,0))</formula>
    </cfRule>
  </conditionalFormatting>
  <conditionalFormatting sqref="AV103">
    <cfRule type="expression" dxfId="12715" priority="18">
      <formula>AV103="X"</formula>
    </cfRule>
    <cfRule type="expression" dxfId="12714" priority="19">
      <formula>AV103="후보"</formula>
    </cfRule>
  </conditionalFormatting>
  <conditionalFormatting sqref="AC103">
    <cfRule type="cellIs" dxfId="12713" priority="15" operator="greaterThan">
      <formula>0.9</formula>
    </cfRule>
    <cfRule type="cellIs" dxfId="12712" priority="16" operator="greaterThan">
      <formula>0.85</formula>
    </cfRule>
  </conditionalFormatting>
  <conditionalFormatting sqref="N103">
    <cfRule type="cellIs" dxfId="12711" priority="13" operator="greaterThan">
      <formula>0.9</formula>
    </cfRule>
    <cfRule type="cellIs" dxfId="12710" priority="14" operator="greaterThan">
      <formula>0.85</formula>
    </cfRule>
  </conditionalFormatting>
  <conditionalFormatting sqref="E103">
    <cfRule type="expression" dxfId="12709" priority="9">
      <formula>AND(IF(OR($Q103=1,$Q103=2),1,0),IF($X103&lt;=20,1,0))</formula>
    </cfRule>
    <cfRule type="expression" dxfId="12708" priority="10">
      <formula>AND(IF($Q103=2,1,0),IF($X103&lt;30,1,0))</formula>
    </cfRule>
    <cfRule type="expression" dxfId="12707" priority="11">
      <formula>AND(IF($Q103=3,1,0),IF($X103&lt;30,1,0))</formula>
    </cfRule>
    <cfRule type="expression" dxfId="12706" priority="12">
      <formula>AND(IF($Q103=3,1,IF($Q103=4,1,0)),IF($F103&lt;=85,1,0))</formula>
    </cfRule>
  </conditionalFormatting>
  <conditionalFormatting sqref="X103">
    <cfRule type="expression" dxfId="12705" priority="5">
      <formula>AND(IF(OR($Q103=1,$Q103=2),1,0),IF($X103&lt;=20,1,0))</formula>
    </cfRule>
    <cfRule type="expression" dxfId="12704" priority="6">
      <formula>AND(IF($Q103=2,1,0),IF($X103&lt;30,1,0))</formula>
    </cfRule>
    <cfRule type="expression" dxfId="12703" priority="7">
      <formula>AND(IF($Q103=3,1,0),IF($X103&lt;30,1,0))</formula>
    </cfRule>
    <cfRule type="expression" dxfId="12702" priority="8">
      <formula>AND(IF($Q103=3,1,IF($Q103=4,1,0)),IF($F103&lt;=85,1,0))</formula>
    </cfRule>
  </conditionalFormatting>
  <conditionalFormatting sqref="AI103">
    <cfRule type="expression" dxfId="12701" priority="1">
      <formula>AND(IF(OR($Q103=1,$Q103=2),1,0),IF($X103&lt;=20,1,0))</formula>
    </cfRule>
    <cfRule type="expression" dxfId="12700" priority="2">
      <formula>AND(IF($Q103=2,1,0),IF($X103&lt;30,1,0))</formula>
    </cfRule>
    <cfRule type="expression" dxfId="12699" priority="3">
      <formula>AND(IF($Q103=3,1,0),IF($X103&lt;30,1,0))</formula>
    </cfRule>
    <cfRule type="expression" dxfId="12698" priority="4">
      <formula>AND(IF($Q103=3,1,IF($Q103=4,1,0)),IF($F103&lt;=85,1,0))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0">
    <pageSetUpPr fitToPage="1"/>
  </sheetPr>
  <dimension ref="A1:AV7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76" sqref="A76:XFD76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5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0" width="9" style="37" customWidth="1"/>
    <col min="51" max="16384" width="9" style="37"/>
  </cols>
  <sheetData>
    <row r="1" spans="1:48" ht="17.25" customHeight="1" x14ac:dyDescent="0.3">
      <c r="A1" s="7" t="str">
        <f>단지추출!A1</f>
        <v>인천광역시 연수구</v>
      </c>
      <c r="I1" s="42" t="s">
        <v>1827</v>
      </c>
      <c r="X1" s="37" t="s">
        <v>5</v>
      </c>
      <c r="Y1" s="37"/>
      <c r="AA1" s="39">
        <f>단지추출!AA1</f>
        <v>70000</v>
      </c>
      <c r="AH1" s="7" t="str">
        <f>A1</f>
        <v>인천광역시 연수구</v>
      </c>
      <c r="AJ1" s="117" t="str">
        <f>A1&amp;" 전체 등급"</f>
        <v>인천광역시 연수구 전체 등급</v>
      </c>
      <c r="AK1" s="118"/>
      <c r="AL1" s="118"/>
      <c r="AM1" s="118"/>
      <c r="AN1" s="119"/>
      <c r="AO1" s="22">
        <f>단지추출!AO1</f>
        <v>80</v>
      </c>
      <c r="AP1" s="22">
        <f>단지추출!AP1</f>
        <v>50000</v>
      </c>
      <c r="AQ1" s="22">
        <f>단지추출!AQ1</f>
        <v>15000</v>
      </c>
      <c r="AR1" s="22">
        <f>단지추출!AR1</f>
        <v>5000</v>
      </c>
      <c r="AS1" s="2"/>
      <c r="AT1" s="2"/>
      <c r="AU1" s="22">
        <f>단지추출!AU1</f>
        <v>300</v>
      </c>
    </row>
    <row r="2" spans="1:48" x14ac:dyDescent="0.3">
      <c r="A2" s="80">
        <f>단지추출!A2</f>
        <v>44197</v>
      </c>
      <c r="W2" s="38"/>
      <c r="X2" s="38" t="s">
        <v>10</v>
      </c>
      <c r="Y2" s="38"/>
      <c r="AA2" s="39">
        <f>단지추출!AA2</f>
        <v>10000</v>
      </c>
      <c r="AH2" s="18" t="str">
        <f>AH1 &amp;" " &amp;A4</f>
        <v>인천광역시 연수구 효자동2가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4" t="s">
        <v>15</v>
      </c>
      <c r="AP2" s="65"/>
      <c r="AQ2" s="66"/>
      <c r="AR2" s="64" t="s">
        <v>16</v>
      </c>
      <c r="AS2" s="66"/>
      <c r="AT2" s="64" t="s">
        <v>17</v>
      </c>
      <c r="AU2" s="66"/>
      <c r="AV2" s="40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1828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106" t="s">
        <v>27</v>
      </c>
      <c r="Z3" s="12" t="s">
        <v>41</v>
      </c>
      <c r="AA3" s="12" t="s">
        <v>42</v>
      </c>
      <c r="AB3" s="12" t="s">
        <v>1828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34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(5억↓)</v>
      </c>
      <c r="AQ3" s="11" t="str">
        <f>"지역평단가
("&amp;AQ1&amp;"↓)"</f>
        <v>지역평단가
(15000↓)</v>
      </c>
      <c r="AR3" s="11" t="str">
        <f>"투자규모★
(갭"&amp;AR1/1000&amp;"천↓)"</f>
        <v>투자규모★
(갭5천↓)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1" t="s">
        <v>18</v>
      </c>
    </row>
    <row r="4" spans="1:48" x14ac:dyDescent="0.3">
      <c r="A4" s="8" t="s">
        <v>501</v>
      </c>
      <c r="B4" s="76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07"/>
      <c r="R4" s="107"/>
      <c r="S4" s="76"/>
      <c r="T4" s="5"/>
      <c r="U4" s="9"/>
      <c r="W4" s="9"/>
      <c r="X4" s="9"/>
      <c r="Y4" s="91"/>
      <c r="Z4" s="9"/>
      <c r="AA4" s="9"/>
      <c r="AB4" s="9"/>
      <c r="AC4" s="9"/>
      <c r="AD4" s="9"/>
      <c r="AE4" s="76"/>
      <c r="AF4" s="5"/>
      <c r="AH4" s="20"/>
      <c r="AI4" s="108" t="str">
        <f t="shared" si="0"/>
        <v/>
      </c>
      <c r="AJ4" s="76"/>
      <c r="AK4" s="76"/>
      <c r="AL4" s="76"/>
      <c r="AM4" s="76"/>
      <c r="AN4" s="76"/>
      <c r="AO4" s="76"/>
      <c r="AP4" s="76"/>
      <c r="AQ4" s="76"/>
      <c r="AR4" s="76"/>
      <c r="AS4" s="76"/>
      <c r="AT4" s="76"/>
      <c r="AU4" s="76"/>
      <c r="AV4" s="76"/>
    </row>
    <row r="5" spans="1:48" x14ac:dyDescent="0.3">
      <c r="A5" s="9"/>
      <c r="B5" s="76"/>
      <c r="C5" s="6"/>
      <c r="D5" s="9"/>
      <c r="E5" s="14"/>
      <c r="F5" s="85"/>
      <c r="G5" s="9"/>
      <c r="H5" s="9"/>
      <c r="I5" s="9"/>
      <c r="J5" s="9"/>
      <c r="K5" s="9"/>
      <c r="L5" s="9"/>
      <c r="M5" s="9"/>
      <c r="N5" s="9"/>
      <c r="O5" s="90"/>
      <c r="P5" s="90"/>
      <c r="Q5" s="86"/>
      <c r="R5" s="86"/>
      <c r="S5" s="9"/>
      <c r="T5" s="47"/>
      <c r="U5" s="9"/>
      <c r="W5" s="67" t="str">
        <f>$A$4&amp;" "&amp;A6&amp;"("&amp;B6&amp;","&amp;C6&amp;"^)"</f>
        <v>효자동2가 휴먼시아아이린('09.08.,502^)</v>
      </c>
      <c r="X5" s="68"/>
      <c r="Y5" s="68"/>
      <c r="Z5" s="68"/>
      <c r="AA5" s="68"/>
      <c r="AB5" s="68"/>
      <c r="AC5" s="68"/>
      <c r="AD5" s="68"/>
      <c r="AE5" s="68"/>
      <c r="AF5" s="69"/>
      <c r="AH5" s="20" t="str">
        <f t="shared" ref="AH5:AH36" si="1">IF(A5="","",A5)</f>
        <v/>
      </c>
      <c r="AI5" s="108" t="str">
        <f t="shared" si="0"/>
        <v/>
      </c>
      <c r="AJ5" s="76"/>
      <c r="AK5" s="76"/>
      <c r="AL5" s="76"/>
      <c r="AM5" s="76"/>
      <c r="AN5" s="76"/>
      <c r="AO5" s="76"/>
      <c r="AP5" s="76"/>
      <c r="AQ5" s="76"/>
      <c r="AR5" s="76"/>
      <c r="AS5" s="76"/>
      <c r="AT5" s="76"/>
      <c r="AU5" s="76"/>
      <c r="AV5" s="76"/>
    </row>
    <row r="6" spans="1:48" x14ac:dyDescent="0.3">
      <c r="A6" s="9" t="s">
        <v>1658</v>
      </c>
      <c r="B6" s="10" t="s">
        <v>1931</v>
      </c>
      <c r="C6" s="87">
        <v>502</v>
      </c>
      <c r="D6" s="85">
        <v>97.4</v>
      </c>
      <c r="E6" s="86">
        <v>29</v>
      </c>
      <c r="F6" s="85">
        <v>74.900000000000006</v>
      </c>
      <c r="G6" s="17">
        <v>23</v>
      </c>
      <c r="H6" s="87">
        <v>70</v>
      </c>
      <c r="I6" s="88">
        <v>34000</v>
      </c>
      <c r="J6" s="88" t="s">
        <v>181</v>
      </c>
      <c r="K6" s="88"/>
      <c r="L6" s="88"/>
      <c r="M6" s="89">
        <f>I6-K6</f>
        <v>34000</v>
      </c>
      <c r="N6" s="4">
        <f>IF(ISERROR(K6/I6),"",K6/I6)</f>
        <v>0</v>
      </c>
      <c r="O6" s="90">
        <f>I6/E6</f>
        <v>1172.4137931034484</v>
      </c>
      <c r="P6" s="90">
        <f>K6/E6</f>
        <v>0</v>
      </c>
      <c r="Q6" s="76">
        <v>3</v>
      </c>
      <c r="R6" s="76">
        <v>2</v>
      </c>
      <c r="S6" s="76" t="s">
        <v>61</v>
      </c>
      <c r="T6" s="5">
        <v>97</v>
      </c>
      <c r="U6" s="9"/>
      <c r="W6" s="85">
        <f t="shared" ref="W6:X9" si="2">D6</f>
        <v>97.4</v>
      </c>
      <c r="X6" s="86">
        <f t="shared" si="2"/>
        <v>29</v>
      </c>
      <c r="Y6" s="91">
        <f t="shared" ref="Y6:Z9" si="3">H6</f>
        <v>70</v>
      </c>
      <c r="Z6" s="89">
        <f t="shared" si="3"/>
        <v>34000</v>
      </c>
      <c r="AA6" s="89">
        <f>K6</f>
        <v>0</v>
      </c>
      <c r="AB6" s="89">
        <f t="shared" ref="AB6:AD9" si="4">M6</f>
        <v>34000</v>
      </c>
      <c r="AC6" s="4">
        <f t="shared" si="4"/>
        <v>0</v>
      </c>
      <c r="AD6" s="90">
        <f t="shared" si="4"/>
        <v>1172.4137931034484</v>
      </c>
      <c r="AE6" s="76" t="str">
        <f>S6</f>
        <v>계</v>
      </c>
      <c r="AF6" s="76" t="str">
        <f>Q6&amp;"/"&amp;R6</f>
        <v>3/2</v>
      </c>
      <c r="AH6" s="20" t="str">
        <f t="shared" si="1"/>
        <v>휴먼시아아이린</v>
      </c>
      <c r="AI6" s="86">
        <f t="shared" si="0"/>
        <v>29</v>
      </c>
      <c r="AJ6" s="76" t="str">
        <f>IF(AI6="","",$AJ$2)</f>
        <v>A-</v>
      </c>
      <c r="AK6" s="76" t="s">
        <v>13</v>
      </c>
      <c r="AL6" s="76" t="s">
        <v>62</v>
      </c>
      <c r="AM6" s="76" t="s">
        <v>63</v>
      </c>
      <c r="AN6" s="76" t="str">
        <f>IF(AI6="","",$AN$2)</f>
        <v>C</v>
      </c>
      <c r="AO6" s="76" t="str">
        <f>IF(N6="","",IF(N6&gt;=$AO$1/100,"O","X"))</f>
        <v>X</v>
      </c>
      <c r="AP6" s="76" t="str">
        <f>IF(I6="","",IF(I6&lt;=$AP$1,"O","X"))</f>
        <v>O</v>
      </c>
      <c r="AQ6" s="76" t="str">
        <f>IF(O6="","",IF(O6&lt;=$AQ$1,"O","X"))</f>
        <v>O</v>
      </c>
      <c r="AR6" s="76" t="str">
        <f>IF(M6="","",IF(M6&lt;=$AR$1,"O","X"))</f>
        <v>X</v>
      </c>
      <c r="AS6" s="76" t="s">
        <v>2</v>
      </c>
      <c r="AT6" s="76" t="str">
        <f>IF(OR(F6="",AI6=""),"",IF(AND((F6&lt;=85),(AI6&gt;=15)),"O","X"))</f>
        <v>O</v>
      </c>
      <c r="AU6" s="76" t="str">
        <f>IF(C6="","",IF(C6&gt;=$AU$1,"O","X"))</f>
        <v>O</v>
      </c>
      <c r="AV6" s="76" t="str">
        <f>IF(AO6="","",IF(AND(AO6="O",AP6="O",AR6="O",AT6="O",AU6="O"),"후보","X"))</f>
        <v>X</v>
      </c>
    </row>
    <row r="7" spans="1:48" x14ac:dyDescent="0.3">
      <c r="A7" s="9" t="s">
        <v>1658</v>
      </c>
      <c r="B7" s="10" t="s">
        <v>1931</v>
      </c>
      <c r="C7" s="87">
        <v>502</v>
      </c>
      <c r="D7" s="85">
        <v>110.5</v>
      </c>
      <c r="E7" s="86">
        <v>33</v>
      </c>
      <c r="F7" s="85">
        <v>85</v>
      </c>
      <c r="G7" s="17">
        <v>26</v>
      </c>
      <c r="H7" s="87">
        <v>274</v>
      </c>
      <c r="I7" s="88">
        <v>40000</v>
      </c>
      <c r="J7" s="88" t="s">
        <v>219</v>
      </c>
      <c r="K7" s="88">
        <v>34000</v>
      </c>
      <c r="L7" s="88" t="s">
        <v>89</v>
      </c>
      <c r="M7" s="89">
        <f>I7-K7</f>
        <v>6000</v>
      </c>
      <c r="N7" s="4">
        <f>IF(ISERROR(K7/I7),"",K7/I7)</f>
        <v>0.85</v>
      </c>
      <c r="O7" s="90">
        <f>I7/E7</f>
        <v>1212.121212121212</v>
      </c>
      <c r="P7" s="90">
        <f>K7/E7</f>
        <v>1030.3030303030303</v>
      </c>
      <c r="Q7" s="76">
        <v>3</v>
      </c>
      <c r="R7" s="76">
        <v>2</v>
      </c>
      <c r="S7" s="76" t="s">
        <v>61</v>
      </c>
      <c r="T7" s="5" t="s">
        <v>292</v>
      </c>
      <c r="U7" s="9"/>
      <c r="W7" s="85">
        <f t="shared" si="2"/>
        <v>110.5</v>
      </c>
      <c r="X7" s="86">
        <f t="shared" si="2"/>
        <v>33</v>
      </c>
      <c r="Y7" s="91">
        <f t="shared" si="3"/>
        <v>274</v>
      </c>
      <c r="Z7" s="89">
        <f t="shared" si="3"/>
        <v>40000</v>
      </c>
      <c r="AA7" s="89">
        <f>K7</f>
        <v>34000</v>
      </c>
      <c r="AB7" s="89">
        <f t="shared" si="4"/>
        <v>6000</v>
      </c>
      <c r="AC7" s="4">
        <f t="shared" si="4"/>
        <v>0.85</v>
      </c>
      <c r="AD7" s="90">
        <f t="shared" si="4"/>
        <v>1212.121212121212</v>
      </c>
      <c r="AE7" s="76" t="str">
        <f>S7</f>
        <v>계</v>
      </c>
      <c r="AF7" s="76" t="str">
        <f>Q7&amp;"/"&amp;R7</f>
        <v>3/2</v>
      </c>
      <c r="AH7" s="20" t="str">
        <f t="shared" si="1"/>
        <v>휴먼시아아이린</v>
      </c>
      <c r="AI7" s="86">
        <f t="shared" si="0"/>
        <v>33</v>
      </c>
      <c r="AJ7" s="76" t="str">
        <f>IF(AI7="","",$AJ$2)</f>
        <v>A-</v>
      </c>
      <c r="AK7" s="76" t="s">
        <v>13</v>
      </c>
      <c r="AL7" s="76" t="s">
        <v>62</v>
      </c>
      <c r="AM7" s="76" t="s">
        <v>63</v>
      </c>
      <c r="AN7" s="76" t="str">
        <f>IF(AI7="","",$AN$2)</f>
        <v>C</v>
      </c>
      <c r="AO7" s="76" t="str">
        <f>IF(N7="","",IF(N7&gt;=$AO$1/100,"O","X"))</f>
        <v>O</v>
      </c>
      <c r="AP7" s="76" t="str">
        <f>IF(I7="","",IF(I7&lt;=$AP$1,"O","X"))</f>
        <v>O</v>
      </c>
      <c r="AQ7" s="76" t="str">
        <f>IF(O7="","",IF(O7&lt;=$AQ$1,"O","X"))</f>
        <v>O</v>
      </c>
      <c r="AR7" s="76" t="str">
        <f>IF(M7="","",IF(M7&lt;=$AR$1,"O","X"))</f>
        <v>X</v>
      </c>
      <c r="AS7" s="76" t="s">
        <v>2</v>
      </c>
      <c r="AT7" s="76" t="str">
        <f>IF(OR(F7="",AI7=""),"",IF(AND((F7&lt;=85),(AI7&gt;=15)),"O","X"))</f>
        <v>O</v>
      </c>
      <c r="AU7" s="76" t="str">
        <f>IF(C7="","",IF(C7&gt;=$AU$1,"O","X"))</f>
        <v>O</v>
      </c>
      <c r="AV7" s="76" t="str">
        <f>IF(AO7="","",IF(AND(AO7="O",AP7="O",AR7="O",AT7="O",AU7="O"),"후보","X"))</f>
        <v>X</v>
      </c>
    </row>
    <row r="8" spans="1:48" x14ac:dyDescent="0.3">
      <c r="A8" s="9" t="s">
        <v>1658</v>
      </c>
      <c r="B8" s="10" t="s">
        <v>1931</v>
      </c>
      <c r="C8" s="87">
        <v>502</v>
      </c>
      <c r="D8" s="85">
        <v>110.3</v>
      </c>
      <c r="E8" s="86">
        <v>33</v>
      </c>
      <c r="F8" s="85">
        <v>84.9</v>
      </c>
      <c r="G8" s="17">
        <v>26</v>
      </c>
      <c r="H8" s="87">
        <v>80</v>
      </c>
      <c r="I8" s="88"/>
      <c r="J8" s="88"/>
      <c r="K8" s="88"/>
      <c r="L8" s="88"/>
      <c r="M8" s="89">
        <f>I8-K8</f>
        <v>0</v>
      </c>
      <c r="N8" s="4" t="str">
        <f>IF(ISERROR(K8/I8),"",K8/I8)</f>
        <v/>
      </c>
      <c r="O8" s="90">
        <f>I8/E8</f>
        <v>0</v>
      </c>
      <c r="P8" s="90">
        <f>K8/E8</f>
        <v>0</v>
      </c>
      <c r="Q8" s="76">
        <v>3</v>
      </c>
      <c r="R8" s="76">
        <v>2</v>
      </c>
      <c r="S8" s="76" t="s">
        <v>61</v>
      </c>
      <c r="T8" s="5" t="s">
        <v>293</v>
      </c>
      <c r="U8" s="9"/>
      <c r="W8" s="85">
        <f t="shared" si="2"/>
        <v>110.3</v>
      </c>
      <c r="X8" s="86">
        <f t="shared" si="2"/>
        <v>33</v>
      </c>
      <c r="Y8" s="91">
        <f t="shared" si="3"/>
        <v>80</v>
      </c>
      <c r="Z8" s="89">
        <f t="shared" si="3"/>
        <v>0</v>
      </c>
      <c r="AA8" s="89">
        <f>K8</f>
        <v>0</v>
      </c>
      <c r="AB8" s="89">
        <f t="shared" si="4"/>
        <v>0</v>
      </c>
      <c r="AC8" s="4" t="str">
        <f t="shared" si="4"/>
        <v/>
      </c>
      <c r="AD8" s="90">
        <f t="shared" si="4"/>
        <v>0</v>
      </c>
      <c r="AE8" s="76" t="str">
        <f>S8</f>
        <v>계</v>
      </c>
      <c r="AF8" s="76" t="str">
        <f>Q8&amp;"/"&amp;R8</f>
        <v>3/2</v>
      </c>
      <c r="AH8" s="20" t="str">
        <f t="shared" si="1"/>
        <v>휴먼시아아이린</v>
      </c>
      <c r="AI8" s="86">
        <f t="shared" si="0"/>
        <v>33</v>
      </c>
      <c r="AJ8" s="76" t="str">
        <f>IF(AI8="","",$AJ$2)</f>
        <v>A-</v>
      </c>
      <c r="AK8" s="76" t="s">
        <v>13</v>
      </c>
      <c r="AL8" s="76" t="s">
        <v>62</v>
      </c>
      <c r="AM8" s="76" t="s">
        <v>63</v>
      </c>
      <c r="AN8" s="76" t="str">
        <f>IF(AI8="","",$AN$2)</f>
        <v>C</v>
      </c>
      <c r="AO8" s="76" t="str">
        <f>IF(N8="","",IF(N8&gt;=$AO$1/100,"O","X"))</f>
        <v/>
      </c>
      <c r="AP8" s="76" t="str">
        <f>IF(I8="","",IF(I8&lt;=$AP$1,"O","X"))</f>
        <v/>
      </c>
      <c r="AQ8" s="76" t="str">
        <f>IF(O8="","",IF(O8&lt;=$AQ$1,"O","X"))</f>
        <v>O</v>
      </c>
      <c r="AR8" s="76" t="str">
        <f>IF(M8="","",IF(M8&lt;=$AR$1,"O","X"))</f>
        <v>O</v>
      </c>
      <c r="AS8" s="76" t="s">
        <v>2</v>
      </c>
      <c r="AT8" s="76" t="str">
        <f>IF(OR(F8="",AI8=""),"",IF(AND((F8&lt;=85),(AI8&gt;=15)),"O","X"))</f>
        <v>O</v>
      </c>
      <c r="AU8" s="76" t="str">
        <f>IF(C8="","",IF(C8&gt;=$AU$1,"O","X"))</f>
        <v>O</v>
      </c>
      <c r="AV8" s="76" t="str">
        <f>IF(AO8="","",IF(AND(AO8="O",AP8="O",AR8="O",AT8="O",AU8="O"),"후보","X"))</f>
        <v/>
      </c>
    </row>
    <row r="9" spans="1:48" x14ac:dyDescent="0.3">
      <c r="A9" s="9" t="s">
        <v>1658</v>
      </c>
      <c r="B9" s="10" t="s">
        <v>1931</v>
      </c>
      <c r="C9" s="87">
        <v>502</v>
      </c>
      <c r="D9" s="85">
        <v>110.5</v>
      </c>
      <c r="E9" s="86">
        <v>33</v>
      </c>
      <c r="F9" s="85">
        <v>85</v>
      </c>
      <c r="G9" s="17">
        <v>26</v>
      </c>
      <c r="H9" s="87">
        <v>78</v>
      </c>
      <c r="I9" s="88">
        <v>40000</v>
      </c>
      <c r="J9" s="88" t="s">
        <v>219</v>
      </c>
      <c r="K9" s="88">
        <v>34000</v>
      </c>
      <c r="L9" s="88" t="s">
        <v>89</v>
      </c>
      <c r="M9" s="89">
        <f>I9-K9</f>
        <v>6000</v>
      </c>
      <c r="N9" s="4">
        <f>IF(ISERROR(K9/I9),"",K9/I9)</f>
        <v>0.85</v>
      </c>
      <c r="O9" s="90">
        <f>I9/E9</f>
        <v>1212.121212121212</v>
      </c>
      <c r="P9" s="90">
        <f>K9/E9</f>
        <v>1030.3030303030303</v>
      </c>
      <c r="Q9" s="76">
        <v>3</v>
      </c>
      <c r="R9" s="76">
        <v>2</v>
      </c>
      <c r="S9" s="76" t="s">
        <v>61</v>
      </c>
      <c r="T9" s="5" t="s">
        <v>125</v>
      </c>
      <c r="U9" s="9"/>
      <c r="W9" s="85">
        <f t="shared" si="2"/>
        <v>110.5</v>
      </c>
      <c r="X9" s="86">
        <f t="shared" si="2"/>
        <v>33</v>
      </c>
      <c r="Y9" s="91">
        <f t="shared" si="3"/>
        <v>78</v>
      </c>
      <c r="Z9" s="89">
        <f t="shared" si="3"/>
        <v>40000</v>
      </c>
      <c r="AA9" s="89">
        <f>K9</f>
        <v>34000</v>
      </c>
      <c r="AB9" s="89">
        <f t="shared" si="4"/>
        <v>6000</v>
      </c>
      <c r="AC9" s="4">
        <f t="shared" si="4"/>
        <v>0.85</v>
      </c>
      <c r="AD9" s="90">
        <f t="shared" si="4"/>
        <v>1212.121212121212</v>
      </c>
      <c r="AE9" s="76" t="str">
        <f>S9</f>
        <v>계</v>
      </c>
      <c r="AF9" s="76" t="str">
        <f>Q9&amp;"/"&amp;R9</f>
        <v>3/2</v>
      </c>
      <c r="AH9" s="20" t="str">
        <f t="shared" si="1"/>
        <v>휴먼시아아이린</v>
      </c>
      <c r="AI9" s="86">
        <f t="shared" si="0"/>
        <v>33</v>
      </c>
      <c r="AJ9" s="76" t="str">
        <f>IF(AI9="","",$AJ$2)</f>
        <v>A-</v>
      </c>
      <c r="AK9" s="76" t="s">
        <v>13</v>
      </c>
      <c r="AL9" s="76" t="s">
        <v>62</v>
      </c>
      <c r="AM9" s="76" t="s">
        <v>63</v>
      </c>
      <c r="AN9" s="76" t="str">
        <f>IF(AI9="","",$AN$2)</f>
        <v>C</v>
      </c>
      <c r="AO9" s="76" t="str">
        <f>IF(N9="","",IF(N9&gt;=$AO$1/100,"O","X"))</f>
        <v>O</v>
      </c>
      <c r="AP9" s="76" t="str">
        <f>IF(I9="","",IF(I9&lt;=$AP$1,"O","X"))</f>
        <v>O</v>
      </c>
      <c r="AQ9" s="76" t="str">
        <f>IF(O9="","",IF(O9&lt;=$AQ$1,"O","X"))</f>
        <v>O</v>
      </c>
      <c r="AR9" s="76" t="str">
        <f>IF(M9="","",IF(M9&lt;=$AR$1,"O","X"))</f>
        <v>X</v>
      </c>
      <c r="AS9" s="76" t="s">
        <v>2</v>
      </c>
      <c r="AT9" s="76" t="str">
        <f>IF(OR(F9="",AI9=""),"",IF(AND((F9&lt;=85),(AI9&gt;=15)),"O","X"))</f>
        <v>O</v>
      </c>
      <c r="AU9" s="76" t="str">
        <f>IF(C9="","",IF(C9&gt;=$AU$1,"O","X"))</f>
        <v>O</v>
      </c>
      <c r="AV9" s="76" t="str">
        <f>IF(AO9="","",IF(AND(AO9="O",AP9="O",AR9="O",AT9="O",AU9="O"),"후보","X"))</f>
        <v>X</v>
      </c>
    </row>
    <row r="10" spans="1:48" x14ac:dyDescent="0.3">
      <c r="A10" s="9"/>
      <c r="B10" s="76"/>
      <c r="C10" s="6"/>
      <c r="D10" s="9"/>
      <c r="E10" s="14"/>
      <c r="F10" s="85"/>
      <c r="G10" s="9"/>
      <c r="H10" s="9"/>
      <c r="I10" s="9"/>
      <c r="J10" s="9"/>
      <c r="K10" s="9"/>
      <c r="L10" s="9"/>
      <c r="M10" s="9"/>
      <c r="N10" s="9"/>
      <c r="O10" s="90"/>
      <c r="P10" s="90"/>
      <c r="Q10" s="86"/>
      <c r="R10" s="86"/>
      <c r="S10" s="9"/>
      <c r="T10" s="47"/>
      <c r="U10" s="9"/>
      <c r="W10" s="67" t="str">
        <f>$A$4&amp;" "&amp;A11&amp;"("&amp;B11&amp;","&amp;C11&amp;"^)"</f>
        <v>효자동2가 전주서희스타힐스('15.03.,481^)</v>
      </c>
      <c r="X10" s="68"/>
      <c r="Y10" s="68"/>
      <c r="Z10" s="68"/>
      <c r="AA10" s="68"/>
      <c r="AB10" s="68"/>
      <c r="AC10" s="68"/>
      <c r="AD10" s="68"/>
      <c r="AE10" s="68"/>
      <c r="AF10" s="69"/>
      <c r="AH10" s="20" t="str">
        <f t="shared" si="1"/>
        <v/>
      </c>
      <c r="AI10" s="108" t="str">
        <f t="shared" si="0"/>
        <v/>
      </c>
      <c r="AJ10" s="76"/>
      <c r="AK10" s="76"/>
      <c r="AL10" s="76"/>
      <c r="AM10" s="76"/>
      <c r="AN10" s="76"/>
      <c r="AO10" s="76"/>
      <c r="AP10" s="76"/>
      <c r="AQ10" s="76"/>
      <c r="AR10" s="76"/>
      <c r="AS10" s="76"/>
      <c r="AT10" s="76"/>
      <c r="AU10" s="76"/>
      <c r="AV10" s="76"/>
    </row>
    <row r="11" spans="1:48" x14ac:dyDescent="0.3">
      <c r="A11" s="9" t="s">
        <v>1663</v>
      </c>
      <c r="B11" s="10" t="s">
        <v>1932</v>
      </c>
      <c r="C11" s="87">
        <v>481</v>
      </c>
      <c r="D11" s="85">
        <v>115.9</v>
      </c>
      <c r="E11" s="86">
        <v>35</v>
      </c>
      <c r="F11" s="85">
        <v>85</v>
      </c>
      <c r="G11" s="17">
        <v>26</v>
      </c>
      <c r="H11" s="87">
        <v>201</v>
      </c>
      <c r="I11" s="88"/>
      <c r="J11" s="88"/>
      <c r="K11" s="88"/>
      <c r="L11" s="88"/>
      <c r="M11" s="89">
        <f>I11-K11</f>
        <v>0</v>
      </c>
      <c r="N11" s="4" t="str">
        <f>IF(ISERROR(K11/I11),"",K11/I11)</f>
        <v/>
      </c>
      <c r="O11" s="90">
        <f>I11/E11</f>
        <v>0</v>
      </c>
      <c r="P11" s="90">
        <f>K11/E11</f>
        <v>0</v>
      </c>
      <c r="Q11" s="76">
        <v>3</v>
      </c>
      <c r="R11" s="76">
        <v>2</v>
      </c>
      <c r="S11" s="76" t="s">
        <v>61</v>
      </c>
      <c r="T11" s="5" t="s">
        <v>343</v>
      </c>
      <c r="U11" s="9"/>
      <c r="W11" s="85">
        <f t="shared" ref="W11:X14" si="5">D11</f>
        <v>115.9</v>
      </c>
      <c r="X11" s="86">
        <f t="shared" si="5"/>
        <v>35</v>
      </c>
      <c r="Y11" s="91">
        <f t="shared" ref="Y11:Z14" si="6">H11</f>
        <v>201</v>
      </c>
      <c r="Z11" s="89">
        <f t="shared" si="6"/>
        <v>0</v>
      </c>
      <c r="AA11" s="89">
        <f>K11</f>
        <v>0</v>
      </c>
      <c r="AB11" s="89">
        <f t="shared" ref="AB11:AD14" si="7">M11</f>
        <v>0</v>
      </c>
      <c r="AC11" s="4" t="str">
        <f t="shared" si="7"/>
        <v/>
      </c>
      <c r="AD11" s="90">
        <f t="shared" si="7"/>
        <v>0</v>
      </c>
      <c r="AE11" s="76" t="str">
        <f>S11</f>
        <v>계</v>
      </c>
      <c r="AF11" s="76" t="str">
        <f>Q11&amp;"/"&amp;R11</f>
        <v>3/2</v>
      </c>
      <c r="AH11" s="20" t="str">
        <f t="shared" si="1"/>
        <v>전주서희스타힐스</v>
      </c>
      <c r="AI11" s="86">
        <f t="shared" si="0"/>
        <v>35</v>
      </c>
      <c r="AJ11" s="76" t="str">
        <f>IF(AI11="","",$AJ$2)</f>
        <v>A-</v>
      </c>
      <c r="AK11" s="76" t="s">
        <v>13</v>
      </c>
      <c r="AL11" s="76" t="s">
        <v>62</v>
      </c>
      <c r="AM11" s="76" t="s">
        <v>63</v>
      </c>
      <c r="AN11" s="76" t="str">
        <f>IF(AI11="","",$AN$2)</f>
        <v>C</v>
      </c>
      <c r="AO11" s="76" t="str">
        <f>IF(N11="","",IF(N11&gt;=$AO$1/100,"O","X"))</f>
        <v/>
      </c>
      <c r="AP11" s="76" t="str">
        <f>IF(I11="","",IF(I11&lt;=$AP$1,"O","X"))</f>
        <v/>
      </c>
      <c r="AQ11" s="76" t="str">
        <f>IF(O11="","",IF(O11&lt;=$AQ$1,"O","X"))</f>
        <v>O</v>
      </c>
      <c r="AR11" s="76" t="str">
        <f>IF(M11="","",IF(M11&lt;=$AR$1,"O","X"))</f>
        <v>O</v>
      </c>
      <c r="AS11" s="76" t="s">
        <v>2</v>
      </c>
      <c r="AT11" s="76" t="str">
        <f>IF(OR(F11="",AI11=""),"",IF(AND((F11&lt;=85),(AI11&gt;=15)),"O","X"))</f>
        <v>O</v>
      </c>
      <c r="AU11" s="76" t="str">
        <f>IF(C11="","",IF(C11&gt;=$AU$1,"O","X"))</f>
        <v>O</v>
      </c>
      <c r="AV11" s="76" t="str">
        <f>IF(AO11="","",IF(AND(AO11="O",AP11="O",AR11="O",AT11="O",AU11="O"),"후보","X"))</f>
        <v/>
      </c>
    </row>
    <row r="12" spans="1:48" x14ac:dyDescent="0.3">
      <c r="A12" s="9" t="s">
        <v>1663</v>
      </c>
      <c r="B12" s="10" t="s">
        <v>1932</v>
      </c>
      <c r="C12" s="87">
        <v>481</v>
      </c>
      <c r="D12" s="85">
        <v>115.9</v>
      </c>
      <c r="E12" s="86">
        <v>35</v>
      </c>
      <c r="F12" s="85">
        <v>85</v>
      </c>
      <c r="G12" s="17">
        <v>26</v>
      </c>
      <c r="H12" s="87">
        <v>184</v>
      </c>
      <c r="I12" s="88"/>
      <c r="J12" s="88"/>
      <c r="K12" s="88"/>
      <c r="L12" s="88"/>
      <c r="M12" s="89">
        <f>I12-K12</f>
        <v>0</v>
      </c>
      <c r="N12" s="4" t="str">
        <f>IF(ISERROR(K12/I12),"",K12/I12)</f>
        <v/>
      </c>
      <c r="O12" s="90">
        <f>I12/E12</f>
        <v>0</v>
      </c>
      <c r="P12" s="90">
        <f>K12/E12</f>
        <v>0</v>
      </c>
      <c r="Q12" s="76">
        <v>3</v>
      </c>
      <c r="R12" s="76">
        <v>2</v>
      </c>
      <c r="S12" s="76" t="s">
        <v>61</v>
      </c>
      <c r="T12" s="5" t="s">
        <v>342</v>
      </c>
      <c r="U12" s="9"/>
      <c r="W12" s="85">
        <f t="shared" si="5"/>
        <v>115.9</v>
      </c>
      <c r="X12" s="86">
        <f t="shared" si="5"/>
        <v>35</v>
      </c>
      <c r="Y12" s="91">
        <f t="shared" si="6"/>
        <v>184</v>
      </c>
      <c r="Z12" s="89">
        <f t="shared" si="6"/>
        <v>0</v>
      </c>
      <c r="AA12" s="89">
        <f>K12</f>
        <v>0</v>
      </c>
      <c r="AB12" s="89">
        <f t="shared" si="7"/>
        <v>0</v>
      </c>
      <c r="AC12" s="4" t="str">
        <f t="shared" si="7"/>
        <v/>
      </c>
      <c r="AD12" s="90">
        <f t="shared" si="7"/>
        <v>0</v>
      </c>
      <c r="AE12" s="76" t="str">
        <f>S12</f>
        <v>계</v>
      </c>
      <c r="AF12" s="76" t="str">
        <f>Q12&amp;"/"&amp;R12</f>
        <v>3/2</v>
      </c>
      <c r="AH12" s="20" t="str">
        <f t="shared" si="1"/>
        <v>전주서희스타힐스</v>
      </c>
      <c r="AI12" s="86">
        <f t="shared" si="0"/>
        <v>35</v>
      </c>
      <c r="AJ12" s="76" t="str">
        <f>IF(AI12="","",$AJ$2)</f>
        <v>A-</v>
      </c>
      <c r="AK12" s="76" t="s">
        <v>13</v>
      </c>
      <c r="AL12" s="76" t="s">
        <v>62</v>
      </c>
      <c r="AM12" s="76" t="s">
        <v>63</v>
      </c>
      <c r="AN12" s="76" t="str">
        <f>IF(AI12="","",$AN$2)</f>
        <v>C</v>
      </c>
      <c r="AO12" s="76" t="str">
        <f>IF(N12="","",IF(N12&gt;=$AO$1/100,"O","X"))</f>
        <v/>
      </c>
      <c r="AP12" s="76" t="str">
        <f>IF(I12="","",IF(I12&lt;=$AP$1,"O","X"))</f>
        <v/>
      </c>
      <c r="AQ12" s="76" t="str">
        <f>IF(O12="","",IF(O12&lt;=$AQ$1,"O","X"))</f>
        <v>O</v>
      </c>
      <c r="AR12" s="76" t="str">
        <f>IF(M12="","",IF(M12&lt;=$AR$1,"O","X"))</f>
        <v>O</v>
      </c>
      <c r="AS12" s="76" t="s">
        <v>2</v>
      </c>
      <c r="AT12" s="76" t="str">
        <f>IF(OR(F12="",AI12=""),"",IF(AND((F12&lt;=85),(AI12&gt;=15)),"O","X"))</f>
        <v>O</v>
      </c>
      <c r="AU12" s="76" t="str">
        <f>IF(C12="","",IF(C12&gt;=$AU$1,"O","X"))</f>
        <v>O</v>
      </c>
      <c r="AV12" s="76" t="str">
        <f>IF(AO12="","",IF(AND(AO12="O",AP12="O",AR12="O",AT12="O",AU12="O"),"후보","X"))</f>
        <v/>
      </c>
    </row>
    <row r="13" spans="1:48" x14ac:dyDescent="0.3">
      <c r="A13" s="9" t="s">
        <v>1663</v>
      </c>
      <c r="B13" s="10" t="s">
        <v>1932</v>
      </c>
      <c r="C13" s="87">
        <v>481</v>
      </c>
      <c r="D13" s="85">
        <v>115.9</v>
      </c>
      <c r="E13" s="86">
        <v>35</v>
      </c>
      <c r="F13" s="85">
        <v>85</v>
      </c>
      <c r="G13" s="17">
        <v>26</v>
      </c>
      <c r="H13" s="87">
        <v>52</v>
      </c>
      <c r="I13" s="88"/>
      <c r="J13" s="88"/>
      <c r="K13" s="88"/>
      <c r="L13" s="88"/>
      <c r="M13" s="89">
        <f>I13-K13</f>
        <v>0</v>
      </c>
      <c r="N13" s="4" t="str">
        <f>IF(ISERROR(K13/I13),"",K13/I13)</f>
        <v/>
      </c>
      <c r="O13" s="90">
        <f>I13/E13</f>
        <v>0</v>
      </c>
      <c r="P13" s="90">
        <f>K13/E13</f>
        <v>0</v>
      </c>
      <c r="Q13" s="76">
        <v>3</v>
      </c>
      <c r="R13" s="76">
        <v>2</v>
      </c>
      <c r="S13" s="76" t="s">
        <v>61</v>
      </c>
      <c r="T13" s="5" t="s">
        <v>416</v>
      </c>
      <c r="U13" s="9"/>
      <c r="W13" s="85">
        <f t="shared" si="5"/>
        <v>115.9</v>
      </c>
      <c r="X13" s="86">
        <f t="shared" si="5"/>
        <v>35</v>
      </c>
      <c r="Y13" s="91">
        <f t="shared" si="6"/>
        <v>52</v>
      </c>
      <c r="Z13" s="89">
        <f t="shared" si="6"/>
        <v>0</v>
      </c>
      <c r="AA13" s="89">
        <f>K13</f>
        <v>0</v>
      </c>
      <c r="AB13" s="89">
        <f t="shared" si="7"/>
        <v>0</v>
      </c>
      <c r="AC13" s="4" t="str">
        <f t="shared" si="7"/>
        <v/>
      </c>
      <c r="AD13" s="90">
        <f t="shared" si="7"/>
        <v>0</v>
      </c>
      <c r="AE13" s="76" t="str">
        <f>S13</f>
        <v>계</v>
      </c>
      <c r="AF13" s="76" t="str">
        <f>Q13&amp;"/"&amp;R13</f>
        <v>3/2</v>
      </c>
      <c r="AH13" s="20" t="str">
        <f t="shared" si="1"/>
        <v>전주서희스타힐스</v>
      </c>
      <c r="AI13" s="86">
        <f t="shared" si="0"/>
        <v>35</v>
      </c>
      <c r="AJ13" s="76" t="str">
        <f>IF(AI13="","",$AJ$2)</f>
        <v>A-</v>
      </c>
      <c r="AK13" s="76" t="s">
        <v>13</v>
      </c>
      <c r="AL13" s="76" t="s">
        <v>62</v>
      </c>
      <c r="AM13" s="76" t="s">
        <v>63</v>
      </c>
      <c r="AN13" s="76" t="str">
        <f>IF(AI13="","",$AN$2)</f>
        <v>C</v>
      </c>
      <c r="AO13" s="76" t="str">
        <f>IF(N13="","",IF(N13&gt;=$AO$1/100,"O","X"))</f>
        <v/>
      </c>
      <c r="AP13" s="76" t="str">
        <f>IF(I13="","",IF(I13&lt;=$AP$1,"O","X"))</f>
        <v/>
      </c>
      <c r="AQ13" s="76" t="str">
        <f>IF(O13="","",IF(O13&lt;=$AQ$1,"O","X"))</f>
        <v>O</v>
      </c>
      <c r="AR13" s="76" t="str">
        <f>IF(M13="","",IF(M13&lt;=$AR$1,"O","X"))</f>
        <v>O</v>
      </c>
      <c r="AS13" s="76" t="s">
        <v>2</v>
      </c>
      <c r="AT13" s="76" t="str">
        <f>IF(OR(F13="",AI13=""),"",IF(AND((F13&lt;=85),(AI13&gt;=15)),"O","X"))</f>
        <v>O</v>
      </c>
      <c r="AU13" s="76" t="str">
        <f>IF(C13="","",IF(C13&gt;=$AU$1,"O","X"))</f>
        <v>O</v>
      </c>
      <c r="AV13" s="76" t="str">
        <f>IF(AO13="","",IF(AND(AO13="O",AP13="O",AR13="O",AT13="O",AU13="O"),"후보","X"))</f>
        <v/>
      </c>
    </row>
    <row r="14" spans="1:48" x14ac:dyDescent="0.3">
      <c r="A14" s="9" t="s">
        <v>1663</v>
      </c>
      <c r="B14" s="10" t="s">
        <v>1932</v>
      </c>
      <c r="C14" s="87">
        <v>481</v>
      </c>
      <c r="D14" s="85">
        <v>115.8</v>
      </c>
      <c r="E14" s="86">
        <v>35</v>
      </c>
      <c r="F14" s="85">
        <v>85</v>
      </c>
      <c r="G14" s="17">
        <v>26</v>
      </c>
      <c r="H14" s="87">
        <v>44</v>
      </c>
      <c r="I14" s="88"/>
      <c r="J14" s="88"/>
      <c r="K14" s="88"/>
      <c r="L14" s="88"/>
      <c r="M14" s="89">
        <f>I14-K14</f>
        <v>0</v>
      </c>
      <c r="N14" s="4" t="str">
        <f>IF(ISERROR(K14/I14),"",K14/I14)</f>
        <v/>
      </c>
      <c r="O14" s="90">
        <f>I14/E14</f>
        <v>0</v>
      </c>
      <c r="P14" s="90">
        <f>K14/E14</f>
        <v>0</v>
      </c>
      <c r="Q14" s="76">
        <v>3</v>
      </c>
      <c r="R14" s="76">
        <v>2</v>
      </c>
      <c r="S14" s="76" t="s">
        <v>61</v>
      </c>
      <c r="T14" s="5" t="s">
        <v>417</v>
      </c>
      <c r="U14" s="9"/>
      <c r="W14" s="85">
        <f t="shared" si="5"/>
        <v>115.8</v>
      </c>
      <c r="X14" s="86">
        <f t="shared" si="5"/>
        <v>35</v>
      </c>
      <c r="Y14" s="91">
        <f t="shared" si="6"/>
        <v>44</v>
      </c>
      <c r="Z14" s="89">
        <f t="shared" si="6"/>
        <v>0</v>
      </c>
      <c r="AA14" s="89">
        <f>K14</f>
        <v>0</v>
      </c>
      <c r="AB14" s="89">
        <f t="shared" si="7"/>
        <v>0</v>
      </c>
      <c r="AC14" s="4" t="str">
        <f t="shared" si="7"/>
        <v/>
      </c>
      <c r="AD14" s="90">
        <f t="shared" si="7"/>
        <v>0</v>
      </c>
      <c r="AE14" s="76" t="str">
        <f>S14</f>
        <v>계</v>
      </c>
      <c r="AF14" s="76" t="str">
        <f>Q14&amp;"/"&amp;R14</f>
        <v>3/2</v>
      </c>
      <c r="AH14" s="20" t="str">
        <f t="shared" si="1"/>
        <v>전주서희스타힐스</v>
      </c>
      <c r="AI14" s="86">
        <f t="shared" si="0"/>
        <v>35</v>
      </c>
      <c r="AJ14" s="76" t="str">
        <f>IF(AI14="","",$AJ$2)</f>
        <v>A-</v>
      </c>
      <c r="AK14" s="76" t="s">
        <v>13</v>
      </c>
      <c r="AL14" s="76" t="s">
        <v>62</v>
      </c>
      <c r="AM14" s="76" t="s">
        <v>63</v>
      </c>
      <c r="AN14" s="76" t="str">
        <f>IF(AI14="","",$AN$2)</f>
        <v>C</v>
      </c>
      <c r="AO14" s="76" t="str">
        <f>IF(N14="","",IF(N14&gt;=$AO$1/100,"O","X"))</f>
        <v/>
      </c>
      <c r="AP14" s="76" t="str">
        <f>IF(I14="","",IF(I14&lt;=$AP$1,"O","X"))</f>
        <v/>
      </c>
      <c r="AQ14" s="76" t="str">
        <f>IF(O14="","",IF(O14&lt;=$AQ$1,"O","X"))</f>
        <v>O</v>
      </c>
      <c r="AR14" s="76" t="str">
        <f>IF(M14="","",IF(M14&lt;=$AR$1,"O","X"))</f>
        <v>O</v>
      </c>
      <c r="AS14" s="76" t="s">
        <v>2</v>
      </c>
      <c r="AT14" s="76" t="str">
        <f>IF(OR(F14="",AI14=""),"",IF(AND((F14&lt;=85),(AI14&gt;=15)),"O","X"))</f>
        <v>O</v>
      </c>
      <c r="AU14" s="76" t="str">
        <f>IF(C14="","",IF(C14&gt;=$AU$1,"O","X"))</f>
        <v>O</v>
      </c>
      <c r="AV14" s="76" t="str">
        <f>IF(AO14="","",IF(AND(AO14="O",AP14="O",AR14="O",AT14="O",AU14="O"),"후보","X"))</f>
        <v/>
      </c>
    </row>
    <row r="15" spans="1:48" x14ac:dyDescent="0.3">
      <c r="A15" s="9"/>
      <c r="B15" s="76"/>
      <c r="C15" s="6"/>
      <c r="D15" s="9"/>
      <c r="E15" s="14"/>
      <c r="F15" s="85"/>
      <c r="G15" s="9"/>
      <c r="H15" s="9"/>
      <c r="I15" s="9"/>
      <c r="J15" s="9"/>
      <c r="K15" s="9"/>
      <c r="L15" s="9"/>
      <c r="M15" s="9"/>
      <c r="N15" s="9"/>
      <c r="O15" s="90"/>
      <c r="P15" s="90"/>
      <c r="Q15" s="86"/>
      <c r="R15" s="86"/>
      <c r="S15" s="9"/>
      <c r="T15" s="47"/>
      <c r="U15" s="9"/>
      <c r="W15" s="67" t="str">
        <f>$A$4&amp;" "&amp;A16&amp;"("&amp;B16&amp;","&amp;C16&amp;"^)"</f>
        <v>효자동2가 전주효천우미린더프레스티지('20.01.,1128^)</v>
      </c>
      <c r="X15" s="68"/>
      <c r="Y15" s="68"/>
      <c r="Z15" s="68"/>
      <c r="AA15" s="68"/>
      <c r="AB15" s="68"/>
      <c r="AC15" s="68"/>
      <c r="AD15" s="68"/>
      <c r="AE15" s="68"/>
      <c r="AF15" s="69"/>
      <c r="AH15" s="20" t="str">
        <f t="shared" si="1"/>
        <v/>
      </c>
      <c r="AI15" s="108" t="str">
        <f t="shared" si="0"/>
        <v/>
      </c>
      <c r="AJ15" s="76"/>
      <c r="AK15" s="76"/>
      <c r="AL15" s="76"/>
      <c r="AM15" s="76"/>
      <c r="AN15" s="76"/>
      <c r="AO15" s="76"/>
      <c r="AP15" s="76"/>
      <c r="AQ15" s="76"/>
      <c r="AR15" s="76"/>
      <c r="AS15" s="76"/>
      <c r="AT15" s="76"/>
      <c r="AU15" s="76"/>
      <c r="AV15" s="76"/>
    </row>
    <row r="16" spans="1:48" x14ac:dyDescent="0.3">
      <c r="A16" s="9" t="s">
        <v>1668</v>
      </c>
      <c r="B16" s="10" t="s">
        <v>1933</v>
      </c>
      <c r="C16" s="87">
        <v>1128</v>
      </c>
      <c r="D16" s="85">
        <v>109.1</v>
      </c>
      <c r="E16" s="86">
        <v>33</v>
      </c>
      <c r="F16" s="85">
        <v>85</v>
      </c>
      <c r="G16" s="17">
        <v>26</v>
      </c>
      <c r="H16" s="87">
        <v>671</v>
      </c>
      <c r="I16" s="88">
        <v>58000</v>
      </c>
      <c r="J16" s="88" t="s">
        <v>420</v>
      </c>
      <c r="K16" s="88">
        <v>43000</v>
      </c>
      <c r="L16" s="88" t="s">
        <v>71</v>
      </c>
      <c r="M16" s="89">
        <f>I16-K16</f>
        <v>15000</v>
      </c>
      <c r="N16" s="4">
        <f>IF(ISERROR(K16/I16),"",K16/I16)</f>
        <v>0.74137931034482762</v>
      </c>
      <c r="O16" s="90">
        <f>I16/E16</f>
        <v>1757.5757575757575</v>
      </c>
      <c r="P16" s="90">
        <f>K16/E16</f>
        <v>1303.030303030303</v>
      </c>
      <c r="Q16" s="76">
        <v>3</v>
      </c>
      <c r="R16" s="76">
        <v>2</v>
      </c>
      <c r="S16" s="76" t="s">
        <v>61</v>
      </c>
      <c r="T16" s="5" t="s">
        <v>124</v>
      </c>
      <c r="U16" s="9"/>
      <c r="W16" s="85">
        <f t="shared" ref="W16:X18" si="8">D16</f>
        <v>109.1</v>
      </c>
      <c r="X16" s="86">
        <f t="shared" si="8"/>
        <v>33</v>
      </c>
      <c r="Y16" s="91">
        <f t="shared" ref="Y16:Z18" si="9">H16</f>
        <v>671</v>
      </c>
      <c r="Z16" s="89">
        <f t="shared" si="9"/>
        <v>58000</v>
      </c>
      <c r="AA16" s="89">
        <f>K16</f>
        <v>43000</v>
      </c>
      <c r="AB16" s="89">
        <f t="shared" ref="AB16:AD18" si="10">M16</f>
        <v>15000</v>
      </c>
      <c r="AC16" s="4">
        <f t="shared" si="10"/>
        <v>0.74137931034482762</v>
      </c>
      <c r="AD16" s="90">
        <f t="shared" si="10"/>
        <v>1757.5757575757575</v>
      </c>
      <c r="AE16" s="76" t="str">
        <f>S16</f>
        <v>계</v>
      </c>
      <c r="AF16" s="76" t="str">
        <f>Q16&amp;"/"&amp;R16</f>
        <v>3/2</v>
      </c>
      <c r="AH16" s="20" t="str">
        <f t="shared" si="1"/>
        <v>전주효천우미린더프레스티지</v>
      </c>
      <c r="AI16" s="86">
        <f t="shared" si="0"/>
        <v>33</v>
      </c>
      <c r="AJ16" s="76" t="str">
        <f>IF(AI16="","",$AJ$2)</f>
        <v>A-</v>
      </c>
      <c r="AK16" s="76" t="s">
        <v>13</v>
      </c>
      <c r="AL16" s="76" t="s">
        <v>62</v>
      </c>
      <c r="AM16" s="76" t="s">
        <v>63</v>
      </c>
      <c r="AN16" s="76" t="str">
        <f>IF(AI16="","",$AN$2)</f>
        <v>C</v>
      </c>
      <c r="AO16" s="76" t="str">
        <f>IF(N16="","",IF(N16&gt;=$AO$1/100,"O","X"))</f>
        <v>X</v>
      </c>
      <c r="AP16" s="76" t="str">
        <f>IF(I16="","",IF(I16&lt;=$AP$1,"O","X"))</f>
        <v>X</v>
      </c>
      <c r="AQ16" s="76" t="str">
        <f>IF(O16="","",IF(O16&lt;=$AQ$1,"O","X"))</f>
        <v>O</v>
      </c>
      <c r="AR16" s="76" t="str">
        <f>IF(M16="","",IF(M16&lt;=$AR$1,"O","X"))</f>
        <v>X</v>
      </c>
      <c r="AS16" s="76" t="s">
        <v>2</v>
      </c>
      <c r="AT16" s="76" t="str">
        <f>IF(OR(F16="",AI16=""),"",IF(AND((F16&lt;=85),(AI16&gt;=15)),"O","X"))</f>
        <v>O</v>
      </c>
      <c r="AU16" s="76" t="str">
        <f>IF(C16="","",IF(C16&gt;=$AU$1,"O","X"))</f>
        <v>O</v>
      </c>
      <c r="AV16" s="76" t="str">
        <f>IF(AO16="","",IF(AND(AO16="O",AP16="O",AR16="O",AT16="O",AU16="O"),"후보","X"))</f>
        <v>X</v>
      </c>
    </row>
    <row r="17" spans="1:48" x14ac:dyDescent="0.3">
      <c r="A17" s="9" t="s">
        <v>1668</v>
      </c>
      <c r="B17" s="10" t="s">
        <v>1933</v>
      </c>
      <c r="C17" s="87">
        <v>1128</v>
      </c>
      <c r="D17" s="85">
        <v>109.2</v>
      </c>
      <c r="E17" s="86">
        <v>33</v>
      </c>
      <c r="F17" s="85">
        <v>84.9</v>
      </c>
      <c r="G17" s="17">
        <v>26</v>
      </c>
      <c r="H17" s="87">
        <v>312</v>
      </c>
      <c r="I17" s="88">
        <v>58000</v>
      </c>
      <c r="J17" s="88" t="s">
        <v>421</v>
      </c>
      <c r="K17" s="88">
        <v>43000</v>
      </c>
      <c r="L17" s="88" t="s">
        <v>71</v>
      </c>
      <c r="M17" s="89">
        <f>I17-K17</f>
        <v>15000</v>
      </c>
      <c r="N17" s="4">
        <f>IF(ISERROR(K17/I17),"",K17/I17)</f>
        <v>0.74137931034482762</v>
      </c>
      <c r="O17" s="90">
        <f>I17/E17</f>
        <v>1757.5757575757575</v>
      </c>
      <c r="P17" s="90">
        <f>K17/E17</f>
        <v>1303.030303030303</v>
      </c>
      <c r="Q17" s="76">
        <v>4</v>
      </c>
      <c r="R17" s="76">
        <v>2</v>
      </c>
      <c r="S17" s="76" t="s">
        <v>61</v>
      </c>
      <c r="T17" s="5" t="s">
        <v>192</v>
      </c>
      <c r="U17" s="9"/>
      <c r="W17" s="85">
        <f t="shared" si="8"/>
        <v>109.2</v>
      </c>
      <c r="X17" s="86">
        <f t="shared" si="8"/>
        <v>33</v>
      </c>
      <c r="Y17" s="91">
        <f t="shared" si="9"/>
        <v>312</v>
      </c>
      <c r="Z17" s="89">
        <f t="shared" si="9"/>
        <v>58000</v>
      </c>
      <c r="AA17" s="89">
        <f>K17</f>
        <v>43000</v>
      </c>
      <c r="AB17" s="89">
        <f t="shared" si="10"/>
        <v>15000</v>
      </c>
      <c r="AC17" s="4">
        <f t="shared" si="10"/>
        <v>0.74137931034482762</v>
      </c>
      <c r="AD17" s="90">
        <f t="shared" si="10"/>
        <v>1757.5757575757575</v>
      </c>
      <c r="AE17" s="76" t="str">
        <f>S17</f>
        <v>계</v>
      </c>
      <c r="AF17" s="76" t="str">
        <f>Q17&amp;"/"&amp;R17</f>
        <v>4/2</v>
      </c>
      <c r="AH17" s="20" t="str">
        <f t="shared" si="1"/>
        <v>전주효천우미린더프레스티지</v>
      </c>
      <c r="AI17" s="86">
        <f t="shared" si="0"/>
        <v>33</v>
      </c>
      <c r="AJ17" s="76" t="str">
        <f>IF(AI17="","",$AJ$2)</f>
        <v>A-</v>
      </c>
      <c r="AK17" s="76" t="s">
        <v>13</v>
      </c>
      <c r="AL17" s="76" t="s">
        <v>62</v>
      </c>
      <c r="AM17" s="76" t="s">
        <v>63</v>
      </c>
      <c r="AN17" s="76" t="str">
        <f>IF(AI17="","",$AN$2)</f>
        <v>C</v>
      </c>
      <c r="AO17" s="76" t="str">
        <f>IF(N17="","",IF(N17&gt;=$AO$1/100,"O","X"))</f>
        <v>X</v>
      </c>
      <c r="AP17" s="76" t="str">
        <f>IF(I17="","",IF(I17&lt;=$AP$1,"O","X"))</f>
        <v>X</v>
      </c>
      <c r="AQ17" s="76" t="str">
        <f>IF(O17="","",IF(O17&lt;=$AQ$1,"O","X"))</f>
        <v>O</v>
      </c>
      <c r="AR17" s="76" t="str">
        <f>IF(M17="","",IF(M17&lt;=$AR$1,"O","X"))</f>
        <v>X</v>
      </c>
      <c r="AS17" s="76" t="s">
        <v>2</v>
      </c>
      <c r="AT17" s="76" t="str">
        <f>IF(OR(F17="",AI17=""),"",IF(AND((F17&lt;=85),(AI17&gt;=15)),"O","X"))</f>
        <v>O</v>
      </c>
      <c r="AU17" s="76" t="str">
        <f>IF(C17="","",IF(C17&gt;=$AU$1,"O","X"))</f>
        <v>O</v>
      </c>
      <c r="AV17" s="76" t="str">
        <f>IF(AO17="","",IF(AND(AO17="O",AP17="O",AR17="O",AT17="O",AU17="O"),"후보","X"))</f>
        <v>X</v>
      </c>
    </row>
    <row r="18" spans="1:48" x14ac:dyDescent="0.3">
      <c r="A18" s="9" t="s">
        <v>1668</v>
      </c>
      <c r="B18" s="10" t="s">
        <v>1933</v>
      </c>
      <c r="C18" s="87">
        <v>1128</v>
      </c>
      <c r="D18" s="85">
        <v>110.5</v>
      </c>
      <c r="E18" s="86">
        <v>33</v>
      </c>
      <c r="F18" s="85">
        <v>85</v>
      </c>
      <c r="G18" s="17">
        <v>26</v>
      </c>
      <c r="H18" s="87">
        <v>145</v>
      </c>
      <c r="I18" s="88">
        <v>62000</v>
      </c>
      <c r="J18" s="88" t="s">
        <v>71</v>
      </c>
      <c r="K18" s="88">
        <v>42000</v>
      </c>
      <c r="L18" s="88" t="s">
        <v>89</v>
      </c>
      <c r="M18" s="89">
        <f>I18-K18</f>
        <v>20000</v>
      </c>
      <c r="N18" s="4">
        <f>IF(ISERROR(K18/I18),"",K18/I18)</f>
        <v>0.67741935483870963</v>
      </c>
      <c r="O18" s="90">
        <f>I18/E18</f>
        <v>1878.7878787878788</v>
      </c>
      <c r="P18" s="90">
        <f>K18/E18</f>
        <v>1272.7272727272727</v>
      </c>
      <c r="Q18" s="76">
        <v>3</v>
      </c>
      <c r="R18" s="76">
        <v>2</v>
      </c>
      <c r="S18" s="76" t="s">
        <v>61</v>
      </c>
      <c r="T18" s="5" t="s">
        <v>293</v>
      </c>
      <c r="U18" s="9"/>
      <c r="W18" s="85">
        <f t="shared" si="8"/>
        <v>110.5</v>
      </c>
      <c r="X18" s="86">
        <f t="shared" si="8"/>
        <v>33</v>
      </c>
      <c r="Y18" s="91">
        <f t="shared" si="9"/>
        <v>145</v>
      </c>
      <c r="Z18" s="89">
        <f t="shared" si="9"/>
        <v>62000</v>
      </c>
      <c r="AA18" s="89">
        <f>K18</f>
        <v>42000</v>
      </c>
      <c r="AB18" s="89">
        <f t="shared" si="10"/>
        <v>20000</v>
      </c>
      <c r="AC18" s="4">
        <f t="shared" si="10"/>
        <v>0.67741935483870963</v>
      </c>
      <c r="AD18" s="90">
        <f t="shared" si="10"/>
        <v>1878.7878787878788</v>
      </c>
      <c r="AE18" s="76" t="str">
        <f>S18</f>
        <v>계</v>
      </c>
      <c r="AF18" s="76" t="str">
        <f>Q18&amp;"/"&amp;R18</f>
        <v>3/2</v>
      </c>
      <c r="AH18" s="20" t="str">
        <f t="shared" si="1"/>
        <v>전주효천우미린더프레스티지</v>
      </c>
      <c r="AI18" s="86">
        <f t="shared" si="0"/>
        <v>33</v>
      </c>
      <c r="AJ18" s="76" t="str">
        <f>IF(AI18="","",$AJ$2)</f>
        <v>A-</v>
      </c>
      <c r="AK18" s="76" t="s">
        <v>13</v>
      </c>
      <c r="AL18" s="76" t="s">
        <v>62</v>
      </c>
      <c r="AM18" s="76" t="s">
        <v>63</v>
      </c>
      <c r="AN18" s="76" t="str">
        <f>IF(AI18="","",$AN$2)</f>
        <v>C</v>
      </c>
      <c r="AO18" s="76" t="str">
        <f>IF(N18="","",IF(N18&gt;=$AO$1/100,"O","X"))</f>
        <v>X</v>
      </c>
      <c r="AP18" s="76" t="str">
        <f>IF(I18="","",IF(I18&lt;=$AP$1,"O","X"))</f>
        <v>X</v>
      </c>
      <c r="AQ18" s="76" t="str">
        <f>IF(O18="","",IF(O18&lt;=$AQ$1,"O","X"))</f>
        <v>O</v>
      </c>
      <c r="AR18" s="76" t="str">
        <f>IF(M18="","",IF(M18&lt;=$AR$1,"O","X"))</f>
        <v>X</v>
      </c>
      <c r="AS18" s="76" t="s">
        <v>2</v>
      </c>
      <c r="AT18" s="76" t="str">
        <f>IF(OR(F18="",AI18=""),"",IF(AND((F18&lt;=85),(AI18&gt;=15)),"O","X"))</f>
        <v>O</v>
      </c>
      <c r="AU18" s="76" t="str">
        <f>IF(C18="","",IF(C18&gt;=$AU$1,"O","X"))</f>
        <v>O</v>
      </c>
      <c r="AV18" s="76" t="str">
        <f>IF(AO18="","",IF(AND(AO18="O",AP18="O",AR18="O",AT18="O",AU18="O"),"후보","X"))</f>
        <v>X</v>
      </c>
    </row>
    <row r="19" spans="1:48" x14ac:dyDescent="0.3">
      <c r="A19" s="9"/>
      <c r="B19" s="76"/>
      <c r="C19" s="6"/>
      <c r="D19" s="9"/>
      <c r="E19" s="14"/>
      <c r="F19" s="85"/>
      <c r="G19" s="9"/>
      <c r="H19" s="9"/>
      <c r="I19" s="9"/>
      <c r="J19" s="9"/>
      <c r="K19" s="9"/>
      <c r="L19" s="9"/>
      <c r="M19" s="9"/>
      <c r="N19" s="9"/>
      <c r="O19" s="90"/>
      <c r="P19" s="90"/>
      <c r="Q19" s="86"/>
      <c r="R19" s="86"/>
      <c r="S19" s="9"/>
      <c r="T19" s="47"/>
      <c r="U19" s="9"/>
      <c r="W19" s="67" t="str">
        <f>$A$4&amp;" "&amp;A20&amp;"("&amp;B20&amp;","&amp;C20&amp;"^)"</f>
        <v>효자동2가 효자더샵2차('07.02.,269^)</v>
      </c>
      <c r="X19" s="68"/>
      <c r="Y19" s="68"/>
      <c r="Z19" s="68"/>
      <c r="AA19" s="68"/>
      <c r="AB19" s="68"/>
      <c r="AC19" s="68"/>
      <c r="AD19" s="68"/>
      <c r="AE19" s="68"/>
      <c r="AF19" s="69"/>
      <c r="AH19" s="20" t="str">
        <f t="shared" si="1"/>
        <v/>
      </c>
      <c r="AI19" s="108" t="str">
        <f t="shared" si="0"/>
        <v/>
      </c>
      <c r="AJ19" s="76"/>
      <c r="AK19" s="76"/>
      <c r="AL19" s="76"/>
      <c r="AM19" s="76"/>
      <c r="AN19" s="76"/>
      <c r="AO19" s="76"/>
      <c r="AP19" s="76"/>
      <c r="AQ19" s="76"/>
      <c r="AR19" s="76"/>
      <c r="AS19" s="76"/>
      <c r="AT19" s="76"/>
      <c r="AU19" s="76"/>
      <c r="AV19" s="76"/>
    </row>
    <row r="20" spans="1:48" x14ac:dyDescent="0.3">
      <c r="A20" s="9" t="s">
        <v>1673</v>
      </c>
      <c r="B20" s="10" t="s">
        <v>1934</v>
      </c>
      <c r="C20" s="87">
        <v>269</v>
      </c>
      <c r="D20" s="85">
        <v>151.6</v>
      </c>
      <c r="E20" s="86">
        <v>46</v>
      </c>
      <c r="F20" s="85">
        <v>121.8</v>
      </c>
      <c r="G20" s="17">
        <v>37</v>
      </c>
      <c r="H20" s="87">
        <v>88</v>
      </c>
      <c r="I20" s="88"/>
      <c r="J20" s="88"/>
      <c r="K20" s="88"/>
      <c r="L20" s="88"/>
      <c r="M20" s="89">
        <f t="shared" ref="M20:M26" si="11">I20-K20</f>
        <v>0</v>
      </c>
      <c r="N20" s="4" t="str">
        <f t="shared" ref="N20:N26" si="12">IF(ISERROR(K20/I20),"",K20/I20)</f>
        <v/>
      </c>
      <c r="O20" s="90">
        <f t="shared" ref="O20:O26" si="13">I20/E20</f>
        <v>0</v>
      </c>
      <c r="P20" s="90">
        <f t="shared" ref="P20:P26" si="14">K20/E20</f>
        <v>0</v>
      </c>
      <c r="Q20" s="76">
        <v>4</v>
      </c>
      <c r="R20" s="76">
        <v>2</v>
      </c>
      <c r="S20" s="76" t="s">
        <v>61</v>
      </c>
      <c r="T20" s="5">
        <v>151</v>
      </c>
      <c r="U20" s="9"/>
      <c r="W20" s="85">
        <f t="shared" ref="W20:X26" si="15">D20</f>
        <v>151.6</v>
      </c>
      <c r="X20" s="86">
        <f t="shared" si="15"/>
        <v>46</v>
      </c>
      <c r="Y20" s="91">
        <f t="shared" ref="Y20:Z26" si="16">H20</f>
        <v>88</v>
      </c>
      <c r="Z20" s="89">
        <f t="shared" si="16"/>
        <v>0</v>
      </c>
      <c r="AA20" s="89">
        <f t="shared" ref="AA20:AA26" si="17">K20</f>
        <v>0</v>
      </c>
      <c r="AB20" s="89">
        <f t="shared" ref="AB20:AD26" si="18">M20</f>
        <v>0</v>
      </c>
      <c r="AC20" s="4" t="str">
        <f t="shared" si="18"/>
        <v/>
      </c>
      <c r="AD20" s="90">
        <f t="shared" si="18"/>
        <v>0</v>
      </c>
      <c r="AE20" s="76" t="str">
        <f t="shared" ref="AE20:AE26" si="19">S20</f>
        <v>계</v>
      </c>
      <c r="AF20" s="76" t="str">
        <f t="shared" ref="AF20:AF26" si="20">Q20&amp;"/"&amp;R20</f>
        <v>4/2</v>
      </c>
      <c r="AH20" s="20" t="str">
        <f t="shared" si="1"/>
        <v>효자더샵2차</v>
      </c>
      <c r="AI20" s="86">
        <f t="shared" si="0"/>
        <v>46</v>
      </c>
      <c r="AJ20" s="76" t="str">
        <f t="shared" ref="AJ20:AJ26" si="21">IF(AI20="","",$AJ$2)</f>
        <v>A-</v>
      </c>
      <c r="AK20" s="76" t="s">
        <v>13</v>
      </c>
      <c r="AL20" s="76" t="s">
        <v>62</v>
      </c>
      <c r="AM20" s="76" t="s">
        <v>63</v>
      </c>
      <c r="AN20" s="76" t="str">
        <f t="shared" ref="AN20:AN26" si="22">IF(AI20="","",$AN$2)</f>
        <v>C</v>
      </c>
      <c r="AO20" s="76" t="str">
        <f t="shared" ref="AO20:AO26" si="23">IF(N20="","",IF(N20&gt;=$AO$1/100,"O","X"))</f>
        <v/>
      </c>
      <c r="AP20" s="76" t="str">
        <f t="shared" ref="AP20:AP26" si="24">IF(I20="","",IF(I20&lt;=$AP$1,"O","X"))</f>
        <v/>
      </c>
      <c r="AQ20" s="76" t="str">
        <f t="shared" ref="AQ20:AQ26" si="25">IF(O20="","",IF(O20&lt;=$AQ$1,"O","X"))</f>
        <v>O</v>
      </c>
      <c r="AR20" s="76" t="str">
        <f t="shared" ref="AR20:AR26" si="26">IF(M20="","",IF(M20&lt;=$AR$1,"O","X"))</f>
        <v>O</v>
      </c>
      <c r="AS20" s="76" t="s">
        <v>2</v>
      </c>
      <c r="AT20" s="76" t="str">
        <f t="shared" ref="AT20:AT26" si="27">IF(OR(F20="",AI20=""),"",IF(AND((F20&lt;=85),(AI20&gt;=15)),"O","X"))</f>
        <v>X</v>
      </c>
      <c r="AU20" s="76" t="str">
        <f t="shared" ref="AU20:AU26" si="28">IF(C20="","",IF(C20&gt;=$AU$1,"O","X"))</f>
        <v>X</v>
      </c>
      <c r="AV20" s="76" t="str">
        <f t="shared" ref="AV20:AV26" si="29">IF(AO20="","",IF(AND(AO20="O",AP20="O",AR20="O",AT20="O",AU20="O"),"후보","X"))</f>
        <v/>
      </c>
    </row>
    <row r="21" spans="1:48" x14ac:dyDescent="0.3">
      <c r="A21" s="9" t="s">
        <v>1673</v>
      </c>
      <c r="B21" s="10" t="s">
        <v>1934</v>
      </c>
      <c r="C21" s="87">
        <v>269</v>
      </c>
      <c r="D21" s="85">
        <v>177.6</v>
      </c>
      <c r="E21" s="86">
        <v>54</v>
      </c>
      <c r="F21" s="85">
        <v>145.4</v>
      </c>
      <c r="G21" s="17">
        <v>44</v>
      </c>
      <c r="H21" s="87">
        <v>121</v>
      </c>
      <c r="I21" s="88"/>
      <c r="J21" s="88"/>
      <c r="K21" s="88"/>
      <c r="L21" s="88"/>
      <c r="M21" s="89">
        <f t="shared" si="11"/>
        <v>0</v>
      </c>
      <c r="N21" s="4" t="str">
        <f t="shared" si="12"/>
        <v/>
      </c>
      <c r="O21" s="90">
        <f t="shared" si="13"/>
        <v>0</v>
      </c>
      <c r="P21" s="90">
        <f t="shared" si="14"/>
        <v>0</v>
      </c>
      <c r="Q21" s="76">
        <v>4</v>
      </c>
      <c r="R21" s="76">
        <v>2</v>
      </c>
      <c r="S21" s="76" t="s">
        <v>61</v>
      </c>
      <c r="T21" s="5">
        <v>177</v>
      </c>
      <c r="U21" s="9"/>
      <c r="W21" s="85">
        <f t="shared" si="15"/>
        <v>177.6</v>
      </c>
      <c r="X21" s="86">
        <f t="shared" si="15"/>
        <v>54</v>
      </c>
      <c r="Y21" s="91">
        <f t="shared" si="16"/>
        <v>121</v>
      </c>
      <c r="Z21" s="89">
        <f t="shared" si="16"/>
        <v>0</v>
      </c>
      <c r="AA21" s="89">
        <f t="shared" si="17"/>
        <v>0</v>
      </c>
      <c r="AB21" s="89">
        <f t="shared" si="18"/>
        <v>0</v>
      </c>
      <c r="AC21" s="4" t="str">
        <f t="shared" si="18"/>
        <v/>
      </c>
      <c r="AD21" s="90">
        <f t="shared" si="18"/>
        <v>0</v>
      </c>
      <c r="AE21" s="76" t="str">
        <f t="shared" si="19"/>
        <v>계</v>
      </c>
      <c r="AF21" s="76" t="str">
        <f t="shared" si="20"/>
        <v>4/2</v>
      </c>
      <c r="AH21" s="20" t="str">
        <f t="shared" si="1"/>
        <v>효자더샵2차</v>
      </c>
      <c r="AI21" s="86">
        <f t="shared" si="0"/>
        <v>54</v>
      </c>
      <c r="AJ21" s="76" t="str">
        <f t="shared" si="21"/>
        <v>A-</v>
      </c>
      <c r="AK21" s="76" t="s">
        <v>13</v>
      </c>
      <c r="AL21" s="76" t="s">
        <v>62</v>
      </c>
      <c r="AM21" s="76" t="s">
        <v>63</v>
      </c>
      <c r="AN21" s="76" t="str">
        <f t="shared" si="22"/>
        <v>C</v>
      </c>
      <c r="AO21" s="76" t="str">
        <f t="shared" si="23"/>
        <v/>
      </c>
      <c r="AP21" s="76" t="str">
        <f t="shared" si="24"/>
        <v/>
      </c>
      <c r="AQ21" s="76" t="str">
        <f t="shared" si="25"/>
        <v>O</v>
      </c>
      <c r="AR21" s="76" t="str">
        <f t="shared" si="26"/>
        <v>O</v>
      </c>
      <c r="AS21" s="76" t="s">
        <v>2</v>
      </c>
      <c r="AT21" s="76" t="str">
        <f t="shared" si="27"/>
        <v>X</v>
      </c>
      <c r="AU21" s="76" t="str">
        <f t="shared" si="28"/>
        <v>X</v>
      </c>
      <c r="AV21" s="76" t="str">
        <f t="shared" si="29"/>
        <v/>
      </c>
    </row>
    <row r="22" spans="1:48" x14ac:dyDescent="0.3">
      <c r="A22" s="9" t="s">
        <v>1673</v>
      </c>
      <c r="B22" s="10" t="s">
        <v>1934</v>
      </c>
      <c r="C22" s="87">
        <v>269</v>
      </c>
      <c r="D22" s="85">
        <v>205.7</v>
      </c>
      <c r="E22" s="86">
        <v>62</v>
      </c>
      <c r="F22" s="85">
        <v>173</v>
      </c>
      <c r="G22" s="17">
        <v>52</v>
      </c>
      <c r="H22" s="87">
        <v>26</v>
      </c>
      <c r="I22" s="88"/>
      <c r="J22" s="88"/>
      <c r="K22" s="88"/>
      <c r="L22" s="88"/>
      <c r="M22" s="89">
        <f t="shared" si="11"/>
        <v>0</v>
      </c>
      <c r="N22" s="4" t="str">
        <f t="shared" si="12"/>
        <v/>
      </c>
      <c r="O22" s="90">
        <f t="shared" si="13"/>
        <v>0</v>
      </c>
      <c r="P22" s="90">
        <f t="shared" si="14"/>
        <v>0</v>
      </c>
      <c r="Q22" s="76">
        <v>4</v>
      </c>
      <c r="R22" s="76">
        <v>3</v>
      </c>
      <c r="S22" s="76" t="s">
        <v>61</v>
      </c>
      <c r="T22" s="5">
        <v>205</v>
      </c>
      <c r="U22" s="9"/>
      <c r="W22" s="85">
        <f t="shared" si="15"/>
        <v>205.7</v>
      </c>
      <c r="X22" s="86">
        <f t="shared" si="15"/>
        <v>62</v>
      </c>
      <c r="Y22" s="91">
        <f t="shared" si="16"/>
        <v>26</v>
      </c>
      <c r="Z22" s="89">
        <f t="shared" si="16"/>
        <v>0</v>
      </c>
      <c r="AA22" s="89">
        <f t="shared" si="17"/>
        <v>0</v>
      </c>
      <c r="AB22" s="89">
        <f t="shared" si="18"/>
        <v>0</v>
      </c>
      <c r="AC22" s="4" t="str">
        <f t="shared" si="18"/>
        <v/>
      </c>
      <c r="AD22" s="90">
        <f t="shared" si="18"/>
        <v>0</v>
      </c>
      <c r="AE22" s="76" t="str">
        <f t="shared" si="19"/>
        <v>계</v>
      </c>
      <c r="AF22" s="76" t="str">
        <f t="shared" si="20"/>
        <v>4/3</v>
      </c>
      <c r="AH22" s="20" t="str">
        <f t="shared" si="1"/>
        <v>효자더샵2차</v>
      </c>
      <c r="AI22" s="86">
        <f t="shared" si="0"/>
        <v>62</v>
      </c>
      <c r="AJ22" s="76" t="str">
        <f t="shared" si="21"/>
        <v>A-</v>
      </c>
      <c r="AK22" s="76" t="s">
        <v>13</v>
      </c>
      <c r="AL22" s="76" t="s">
        <v>62</v>
      </c>
      <c r="AM22" s="76" t="s">
        <v>63</v>
      </c>
      <c r="AN22" s="76" t="str">
        <f t="shared" si="22"/>
        <v>C</v>
      </c>
      <c r="AO22" s="76" t="str">
        <f t="shared" si="23"/>
        <v/>
      </c>
      <c r="AP22" s="76" t="str">
        <f t="shared" si="24"/>
        <v/>
      </c>
      <c r="AQ22" s="76" t="str">
        <f t="shared" si="25"/>
        <v>O</v>
      </c>
      <c r="AR22" s="76" t="str">
        <f t="shared" si="26"/>
        <v>O</v>
      </c>
      <c r="AS22" s="76" t="s">
        <v>2</v>
      </c>
      <c r="AT22" s="76" t="str">
        <f t="shared" si="27"/>
        <v>X</v>
      </c>
      <c r="AU22" s="76" t="str">
        <f t="shared" si="28"/>
        <v>X</v>
      </c>
      <c r="AV22" s="76" t="str">
        <f t="shared" si="29"/>
        <v/>
      </c>
    </row>
    <row r="23" spans="1:48" x14ac:dyDescent="0.3">
      <c r="A23" s="9" t="s">
        <v>1673</v>
      </c>
      <c r="B23" s="10" t="s">
        <v>1934</v>
      </c>
      <c r="C23" s="87">
        <v>269</v>
      </c>
      <c r="D23" s="85">
        <v>224.9</v>
      </c>
      <c r="E23" s="86">
        <v>68</v>
      </c>
      <c r="F23" s="85">
        <v>190.8</v>
      </c>
      <c r="G23" s="17">
        <v>58</v>
      </c>
      <c r="H23" s="87">
        <v>26</v>
      </c>
      <c r="I23" s="88"/>
      <c r="J23" s="88"/>
      <c r="K23" s="88"/>
      <c r="L23" s="88"/>
      <c r="M23" s="89">
        <f t="shared" si="11"/>
        <v>0</v>
      </c>
      <c r="N23" s="4" t="str">
        <f t="shared" si="12"/>
        <v/>
      </c>
      <c r="O23" s="90">
        <f t="shared" si="13"/>
        <v>0</v>
      </c>
      <c r="P23" s="90">
        <f t="shared" si="14"/>
        <v>0</v>
      </c>
      <c r="Q23" s="76">
        <v>4</v>
      </c>
      <c r="R23" s="76">
        <v>3</v>
      </c>
      <c r="S23" s="76" t="s">
        <v>61</v>
      </c>
      <c r="T23" s="5">
        <v>224</v>
      </c>
      <c r="U23" s="9"/>
      <c r="W23" s="85">
        <f t="shared" si="15"/>
        <v>224.9</v>
      </c>
      <c r="X23" s="86">
        <f t="shared" si="15"/>
        <v>68</v>
      </c>
      <c r="Y23" s="91">
        <f t="shared" si="16"/>
        <v>26</v>
      </c>
      <c r="Z23" s="89">
        <f t="shared" si="16"/>
        <v>0</v>
      </c>
      <c r="AA23" s="89">
        <f t="shared" si="17"/>
        <v>0</v>
      </c>
      <c r="AB23" s="89">
        <f t="shared" si="18"/>
        <v>0</v>
      </c>
      <c r="AC23" s="4" t="str">
        <f t="shared" si="18"/>
        <v/>
      </c>
      <c r="AD23" s="90">
        <f t="shared" si="18"/>
        <v>0</v>
      </c>
      <c r="AE23" s="76" t="str">
        <f t="shared" si="19"/>
        <v>계</v>
      </c>
      <c r="AF23" s="76" t="str">
        <f t="shared" si="20"/>
        <v>4/3</v>
      </c>
      <c r="AH23" s="20" t="str">
        <f t="shared" si="1"/>
        <v>효자더샵2차</v>
      </c>
      <c r="AI23" s="86">
        <f t="shared" si="0"/>
        <v>68</v>
      </c>
      <c r="AJ23" s="76" t="str">
        <f t="shared" si="21"/>
        <v>A-</v>
      </c>
      <c r="AK23" s="76" t="s">
        <v>13</v>
      </c>
      <c r="AL23" s="76" t="s">
        <v>62</v>
      </c>
      <c r="AM23" s="76" t="s">
        <v>63</v>
      </c>
      <c r="AN23" s="76" t="str">
        <f t="shared" si="22"/>
        <v>C</v>
      </c>
      <c r="AO23" s="76" t="str">
        <f t="shared" si="23"/>
        <v/>
      </c>
      <c r="AP23" s="76" t="str">
        <f t="shared" si="24"/>
        <v/>
      </c>
      <c r="AQ23" s="76" t="str">
        <f t="shared" si="25"/>
        <v>O</v>
      </c>
      <c r="AR23" s="76" t="str">
        <f t="shared" si="26"/>
        <v>O</v>
      </c>
      <c r="AS23" s="76" t="s">
        <v>2</v>
      </c>
      <c r="AT23" s="76" t="str">
        <f t="shared" si="27"/>
        <v>X</v>
      </c>
      <c r="AU23" s="76" t="str">
        <f t="shared" si="28"/>
        <v>X</v>
      </c>
      <c r="AV23" s="76" t="str">
        <f t="shared" si="29"/>
        <v/>
      </c>
    </row>
    <row r="24" spans="1:48" x14ac:dyDescent="0.3">
      <c r="A24" s="9" t="s">
        <v>1673</v>
      </c>
      <c r="B24" s="10" t="s">
        <v>1934</v>
      </c>
      <c r="C24" s="87">
        <v>269</v>
      </c>
      <c r="D24" s="85">
        <v>261.5</v>
      </c>
      <c r="E24" s="86">
        <v>79</v>
      </c>
      <c r="F24" s="85">
        <v>212.2</v>
      </c>
      <c r="G24" s="17">
        <v>64</v>
      </c>
      <c r="H24" s="87">
        <v>4</v>
      </c>
      <c r="I24" s="88"/>
      <c r="J24" s="88"/>
      <c r="K24" s="88"/>
      <c r="L24" s="88"/>
      <c r="M24" s="89">
        <f t="shared" si="11"/>
        <v>0</v>
      </c>
      <c r="N24" s="4" t="str">
        <f t="shared" si="12"/>
        <v/>
      </c>
      <c r="O24" s="90">
        <f t="shared" si="13"/>
        <v>0</v>
      </c>
      <c r="P24" s="90">
        <f t="shared" si="14"/>
        <v>0</v>
      </c>
      <c r="Q24" s="76">
        <v>5</v>
      </c>
      <c r="R24" s="76">
        <v>3</v>
      </c>
      <c r="S24" s="76" t="s">
        <v>61</v>
      </c>
      <c r="T24" s="5">
        <v>261</v>
      </c>
      <c r="U24" s="9"/>
      <c r="W24" s="85">
        <f t="shared" si="15"/>
        <v>261.5</v>
      </c>
      <c r="X24" s="86">
        <f t="shared" si="15"/>
        <v>79</v>
      </c>
      <c r="Y24" s="91">
        <f t="shared" si="16"/>
        <v>4</v>
      </c>
      <c r="Z24" s="89">
        <f t="shared" si="16"/>
        <v>0</v>
      </c>
      <c r="AA24" s="89">
        <f t="shared" si="17"/>
        <v>0</v>
      </c>
      <c r="AB24" s="89">
        <f t="shared" si="18"/>
        <v>0</v>
      </c>
      <c r="AC24" s="4" t="str">
        <f t="shared" si="18"/>
        <v/>
      </c>
      <c r="AD24" s="90">
        <f t="shared" si="18"/>
        <v>0</v>
      </c>
      <c r="AE24" s="76" t="str">
        <f t="shared" si="19"/>
        <v>계</v>
      </c>
      <c r="AF24" s="76" t="str">
        <f t="shared" si="20"/>
        <v>5/3</v>
      </c>
      <c r="AH24" s="20" t="str">
        <f t="shared" si="1"/>
        <v>효자더샵2차</v>
      </c>
      <c r="AI24" s="86">
        <f t="shared" si="0"/>
        <v>79</v>
      </c>
      <c r="AJ24" s="76" t="str">
        <f t="shared" si="21"/>
        <v>A-</v>
      </c>
      <c r="AK24" s="76" t="s">
        <v>13</v>
      </c>
      <c r="AL24" s="76" t="s">
        <v>62</v>
      </c>
      <c r="AM24" s="76" t="s">
        <v>63</v>
      </c>
      <c r="AN24" s="76" t="str">
        <f t="shared" si="22"/>
        <v>C</v>
      </c>
      <c r="AO24" s="76" t="str">
        <f t="shared" si="23"/>
        <v/>
      </c>
      <c r="AP24" s="76" t="str">
        <f t="shared" si="24"/>
        <v/>
      </c>
      <c r="AQ24" s="76" t="str">
        <f t="shared" si="25"/>
        <v>O</v>
      </c>
      <c r="AR24" s="76" t="str">
        <f t="shared" si="26"/>
        <v>O</v>
      </c>
      <c r="AS24" s="76" t="s">
        <v>2</v>
      </c>
      <c r="AT24" s="76" t="str">
        <f t="shared" si="27"/>
        <v>X</v>
      </c>
      <c r="AU24" s="76" t="str">
        <f t="shared" si="28"/>
        <v>X</v>
      </c>
      <c r="AV24" s="76" t="str">
        <f t="shared" si="29"/>
        <v/>
      </c>
    </row>
    <row r="25" spans="1:48" x14ac:dyDescent="0.3">
      <c r="A25" s="9" t="s">
        <v>1673</v>
      </c>
      <c r="B25" s="10" t="s">
        <v>1934</v>
      </c>
      <c r="C25" s="87">
        <v>269</v>
      </c>
      <c r="D25" s="85">
        <v>315.5</v>
      </c>
      <c r="E25" s="86">
        <v>95</v>
      </c>
      <c r="F25" s="85">
        <v>266.5</v>
      </c>
      <c r="G25" s="17">
        <v>81</v>
      </c>
      <c r="H25" s="87">
        <v>2</v>
      </c>
      <c r="I25" s="88"/>
      <c r="J25" s="88"/>
      <c r="K25" s="88"/>
      <c r="L25" s="88"/>
      <c r="M25" s="89">
        <f t="shared" si="11"/>
        <v>0</v>
      </c>
      <c r="N25" s="4" t="str">
        <f t="shared" si="12"/>
        <v/>
      </c>
      <c r="O25" s="90">
        <f t="shared" si="13"/>
        <v>0</v>
      </c>
      <c r="P25" s="90">
        <f t="shared" si="14"/>
        <v>0</v>
      </c>
      <c r="Q25" s="76">
        <v>6</v>
      </c>
      <c r="R25" s="76">
        <v>3</v>
      </c>
      <c r="S25" s="76" t="s">
        <v>61</v>
      </c>
      <c r="T25" s="5">
        <v>315</v>
      </c>
      <c r="U25" s="9"/>
      <c r="W25" s="85">
        <f t="shared" si="15"/>
        <v>315.5</v>
      </c>
      <c r="X25" s="86">
        <f t="shared" si="15"/>
        <v>95</v>
      </c>
      <c r="Y25" s="91">
        <f t="shared" si="16"/>
        <v>2</v>
      </c>
      <c r="Z25" s="89">
        <f t="shared" si="16"/>
        <v>0</v>
      </c>
      <c r="AA25" s="89">
        <f t="shared" si="17"/>
        <v>0</v>
      </c>
      <c r="AB25" s="89">
        <f t="shared" si="18"/>
        <v>0</v>
      </c>
      <c r="AC25" s="4" t="str">
        <f t="shared" si="18"/>
        <v/>
      </c>
      <c r="AD25" s="90">
        <f t="shared" si="18"/>
        <v>0</v>
      </c>
      <c r="AE25" s="76" t="str">
        <f t="shared" si="19"/>
        <v>계</v>
      </c>
      <c r="AF25" s="76" t="str">
        <f t="shared" si="20"/>
        <v>6/3</v>
      </c>
      <c r="AH25" s="20" t="str">
        <f t="shared" si="1"/>
        <v>효자더샵2차</v>
      </c>
      <c r="AI25" s="86">
        <f t="shared" si="0"/>
        <v>95</v>
      </c>
      <c r="AJ25" s="76" t="str">
        <f t="shared" si="21"/>
        <v>A-</v>
      </c>
      <c r="AK25" s="76" t="s">
        <v>13</v>
      </c>
      <c r="AL25" s="76" t="s">
        <v>62</v>
      </c>
      <c r="AM25" s="76" t="s">
        <v>63</v>
      </c>
      <c r="AN25" s="76" t="str">
        <f t="shared" si="22"/>
        <v>C</v>
      </c>
      <c r="AO25" s="76" t="str">
        <f t="shared" si="23"/>
        <v/>
      </c>
      <c r="AP25" s="76" t="str">
        <f t="shared" si="24"/>
        <v/>
      </c>
      <c r="AQ25" s="76" t="str">
        <f t="shared" si="25"/>
        <v>O</v>
      </c>
      <c r="AR25" s="76" t="str">
        <f t="shared" si="26"/>
        <v>O</v>
      </c>
      <c r="AS25" s="76" t="s">
        <v>2</v>
      </c>
      <c r="AT25" s="76" t="str">
        <f t="shared" si="27"/>
        <v>X</v>
      </c>
      <c r="AU25" s="76" t="str">
        <f t="shared" si="28"/>
        <v>X</v>
      </c>
      <c r="AV25" s="76" t="str">
        <f t="shared" si="29"/>
        <v/>
      </c>
    </row>
    <row r="26" spans="1:48" x14ac:dyDescent="0.3">
      <c r="A26" s="9" t="s">
        <v>1673</v>
      </c>
      <c r="B26" s="10" t="s">
        <v>1934</v>
      </c>
      <c r="C26" s="87">
        <v>269</v>
      </c>
      <c r="D26" s="85">
        <v>331.3</v>
      </c>
      <c r="E26" s="86">
        <v>100</v>
      </c>
      <c r="F26" s="85">
        <v>267.2</v>
      </c>
      <c r="G26" s="17">
        <v>81</v>
      </c>
      <c r="H26" s="87">
        <v>2</v>
      </c>
      <c r="I26" s="88"/>
      <c r="J26" s="88"/>
      <c r="K26" s="88"/>
      <c r="L26" s="88"/>
      <c r="M26" s="89">
        <f t="shared" si="11"/>
        <v>0</v>
      </c>
      <c r="N26" s="4" t="str">
        <f t="shared" si="12"/>
        <v/>
      </c>
      <c r="O26" s="90">
        <f t="shared" si="13"/>
        <v>0</v>
      </c>
      <c r="P26" s="90">
        <f t="shared" si="14"/>
        <v>0</v>
      </c>
      <c r="Q26" s="76">
        <v>6</v>
      </c>
      <c r="R26" s="76">
        <v>4</v>
      </c>
      <c r="S26" s="76" t="s">
        <v>61</v>
      </c>
      <c r="T26" s="5">
        <v>331</v>
      </c>
      <c r="U26" s="9"/>
      <c r="W26" s="85">
        <f t="shared" si="15"/>
        <v>331.3</v>
      </c>
      <c r="X26" s="86">
        <f t="shared" si="15"/>
        <v>100</v>
      </c>
      <c r="Y26" s="91">
        <f t="shared" si="16"/>
        <v>2</v>
      </c>
      <c r="Z26" s="89">
        <f t="shared" si="16"/>
        <v>0</v>
      </c>
      <c r="AA26" s="89">
        <f t="shared" si="17"/>
        <v>0</v>
      </c>
      <c r="AB26" s="89">
        <f t="shared" si="18"/>
        <v>0</v>
      </c>
      <c r="AC26" s="4" t="str">
        <f t="shared" si="18"/>
        <v/>
      </c>
      <c r="AD26" s="90">
        <f t="shared" si="18"/>
        <v>0</v>
      </c>
      <c r="AE26" s="76" t="str">
        <f t="shared" si="19"/>
        <v>계</v>
      </c>
      <c r="AF26" s="76" t="str">
        <f t="shared" si="20"/>
        <v>6/4</v>
      </c>
      <c r="AH26" s="20" t="str">
        <f t="shared" si="1"/>
        <v>효자더샵2차</v>
      </c>
      <c r="AI26" s="86">
        <f t="shared" si="0"/>
        <v>100</v>
      </c>
      <c r="AJ26" s="76" t="str">
        <f t="shared" si="21"/>
        <v>A-</v>
      </c>
      <c r="AK26" s="76" t="s">
        <v>13</v>
      </c>
      <c r="AL26" s="76" t="s">
        <v>62</v>
      </c>
      <c r="AM26" s="76" t="s">
        <v>63</v>
      </c>
      <c r="AN26" s="76" t="str">
        <f t="shared" si="22"/>
        <v>C</v>
      </c>
      <c r="AO26" s="76" t="str">
        <f t="shared" si="23"/>
        <v/>
      </c>
      <c r="AP26" s="76" t="str">
        <f t="shared" si="24"/>
        <v/>
      </c>
      <c r="AQ26" s="76" t="str">
        <f t="shared" si="25"/>
        <v>O</v>
      </c>
      <c r="AR26" s="76" t="str">
        <f t="shared" si="26"/>
        <v>O</v>
      </c>
      <c r="AS26" s="76" t="s">
        <v>2</v>
      </c>
      <c r="AT26" s="76" t="str">
        <f t="shared" si="27"/>
        <v>X</v>
      </c>
      <c r="AU26" s="76" t="str">
        <f t="shared" si="28"/>
        <v>X</v>
      </c>
      <c r="AV26" s="76" t="str">
        <f t="shared" si="29"/>
        <v/>
      </c>
    </row>
    <row r="27" spans="1:48" x14ac:dyDescent="0.3">
      <c r="A27" s="9"/>
      <c r="B27" s="76"/>
      <c r="C27" s="6"/>
      <c r="D27" s="9"/>
      <c r="E27" s="14"/>
      <c r="F27" s="85"/>
      <c r="G27" s="9"/>
      <c r="H27" s="9"/>
      <c r="I27" s="9"/>
      <c r="J27" s="9"/>
      <c r="K27" s="9"/>
      <c r="L27" s="9"/>
      <c r="M27" s="9"/>
      <c r="N27" s="9"/>
      <c r="O27" s="90"/>
      <c r="P27" s="90"/>
      <c r="Q27" s="86"/>
      <c r="R27" s="86"/>
      <c r="S27" s="9"/>
      <c r="T27" s="47"/>
      <c r="U27" s="9"/>
      <c r="W27" s="67" t="str">
        <f>$A$4&amp;" "&amp;A28&amp;"("&amp;B28&amp;","&amp;C28&amp;"^)"</f>
        <v>효자동2가 전주효천우미린더퍼스트('19.06.,1120^)</v>
      </c>
      <c r="X27" s="68"/>
      <c r="Y27" s="68"/>
      <c r="Z27" s="68"/>
      <c r="AA27" s="68"/>
      <c r="AB27" s="68"/>
      <c r="AC27" s="68"/>
      <c r="AD27" s="68"/>
      <c r="AE27" s="68"/>
      <c r="AF27" s="69"/>
      <c r="AH27" s="20" t="str">
        <f t="shared" si="1"/>
        <v/>
      </c>
      <c r="AI27" s="108" t="str">
        <f t="shared" si="0"/>
        <v/>
      </c>
      <c r="AJ27" s="76"/>
      <c r="AK27" s="76"/>
      <c r="AL27" s="76"/>
      <c r="AM27" s="76"/>
      <c r="AN27" s="76"/>
      <c r="AO27" s="76"/>
      <c r="AP27" s="76"/>
      <c r="AQ27" s="76"/>
      <c r="AR27" s="76"/>
      <c r="AS27" s="76"/>
      <c r="AT27" s="76"/>
      <c r="AU27" s="76"/>
      <c r="AV27" s="76"/>
    </row>
    <row r="28" spans="1:48" x14ac:dyDescent="0.3">
      <c r="A28" s="9" t="s">
        <v>1682</v>
      </c>
      <c r="B28" s="10" t="s">
        <v>1935</v>
      </c>
      <c r="C28" s="87">
        <v>1120</v>
      </c>
      <c r="D28" s="85">
        <v>109.3</v>
      </c>
      <c r="E28" s="86">
        <v>33</v>
      </c>
      <c r="F28" s="85">
        <v>85</v>
      </c>
      <c r="G28" s="17">
        <v>26</v>
      </c>
      <c r="H28" s="87">
        <v>694</v>
      </c>
      <c r="I28" s="88">
        <v>56000</v>
      </c>
      <c r="J28" s="88" t="s">
        <v>71</v>
      </c>
      <c r="K28" s="88">
        <v>42000</v>
      </c>
      <c r="L28" s="88" t="s">
        <v>104</v>
      </c>
      <c r="M28" s="89">
        <f>I28-K28</f>
        <v>14000</v>
      </c>
      <c r="N28" s="4">
        <f>IF(ISERROR(K28/I28),"",K28/I28)</f>
        <v>0.75</v>
      </c>
      <c r="O28" s="90">
        <f>I28/E28</f>
        <v>1696.969696969697</v>
      </c>
      <c r="P28" s="90">
        <f>K28/E28</f>
        <v>1272.7272727272727</v>
      </c>
      <c r="Q28" s="76">
        <v>3</v>
      </c>
      <c r="R28" s="76">
        <v>2</v>
      </c>
      <c r="S28" s="76" t="s">
        <v>61</v>
      </c>
      <c r="T28" s="5" t="s">
        <v>124</v>
      </c>
      <c r="U28" s="9"/>
      <c r="W28" s="85">
        <f t="shared" ref="W28:X30" si="30">D28</f>
        <v>109.3</v>
      </c>
      <c r="X28" s="86">
        <f t="shared" si="30"/>
        <v>33</v>
      </c>
      <c r="Y28" s="91">
        <f t="shared" ref="Y28:Z30" si="31">H28</f>
        <v>694</v>
      </c>
      <c r="Z28" s="89">
        <f t="shared" si="31"/>
        <v>56000</v>
      </c>
      <c r="AA28" s="89">
        <f>K28</f>
        <v>42000</v>
      </c>
      <c r="AB28" s="89">
        <f t="shared" ref="AB28:AD30" si="32">M28</f>
        <v>14000</v>
      </c>
      <c r="AC28" s="4">
        <f t="shared" si="32"/>
        <v>0.75</v>
      </c>
      <c r="AD28" s="90">
        <f t="shared" si="32"/>
        <v>1696.969696969697</v>
      </c>
      <c r="AE28" s="76" t="str">
        <f>S28</f>
        <v>계</v>
      </c>
      <c r="AF28" s="76" t="str">
        <f>Q28&amp;"/"&amp;R28</f>
        <v>3/2</v>
      </c>
      <c r="AH28" s="20" t="str">
        <f t="shared" si="1"/>
        <v>전주효천우미린더퍼스트</v>
      </c>
      <c r="AI28" s="86">
        <f t="shared" si="0"/>
        <v>33</v>
      </c>
      <c r="AJ28" s="76" t="str">
        <f>IF(AI28="","",$AJ$2)</f>
        <v>A-</v>
      </c>
      <c r="AK28" s="76" t="s">
        <v>13</v>
      </c>
      <c r="AL28" s="76" t="s">
        <v>62</v>
      </c>
      <c r="AM28" s="76" t="s">
        <v>63</v>
      </c>
      <c r="AN28" s="76" t="str">
        <f>IF(AI28="","",$AN$2)</f>
        <v>C</v>
      </c>
      <c r="AO28" s="76" t="str">
        <f>IF(N28="","",IF(N28&gt;=$AO$1/100,"O","X"))</f>
        <v>X</v>
      </c>
      <c r="AP28" s="76" t="str">
        <f>IF(I28="","",IF(I28&lt;=$AP$1,"O","X"))</f>
        <v>X</v>
      </c>
      <c r="AQ28" s="76" t="str">
        <f>IF(O28="","",IF(O28&lt;=$AQ$1,"O","X"))</f>
        <v>O</v>
      </c>
      <c r="AR28" s="76" t="str">
        <f>IF(M28="","",IF(M28&lt;=$AR$1,"O","X"))</f>
        <v>X</v>
      </c>
      <c r="AS28" s="76" t="s">
        <v>2</v>
      </c>
      <c r="AT28" s="76" t="str">
        <f>IF(OR(F28="",AI28=""),"",IF(AND((F28&lt;=85),(AI28&gt;=15)),"O","X"))</f>
        <v>O</v>
      </c>
      <c r="AU28" s="76" t="str">
        <f>IF(C28="","",IF(C28&gt;=$AU$1,"O","X"))</f>
        <v>O</v>
      </c>
      <c r="AV28" s="76" t="str">
        <f>IF(AO28="","",IF(AND(AO28="O",AP28="O",AR28="O",AT28="O",AU28="O"),"후보","X"))</f>
        <v>X</v>
      </c>
    </row>
    <row r="29" spans="1:48" x14ac:dyDescent="0.3">
      <c r="A29" s="9" t="s">
        <v>1682</v>
      </c>
      <c r="B29" s="10" t="s">
        <v>1935</v>
      </c>
      <c r="C29" s="87">
        <v>1120</v>
      </c>
      <c r="D29" s="85">
        <v>109.4</v>
      </c>
      <c r="E29" s="86">
        <v>33</v>
      </c>
      <c r="F29" s="85">
        <v>84.9</v>
      </c>
      <c r="G29" s="17">
        <v>26</v>
      </c>
      <c r="H29" s="87">
        <v>302</v>
      </c>
      <c r="I29" s="88">
        <v>58000</v>
      </c>
      <c r="J29" s="88" t="s">
        <v>219</v>
      </c>
      <c r="K29" s="88">
        <v>42000</v>
      </c>
      <c r="L29" s="88" t="s">
        <v>131</v>
      </c>
      <c r="M29" s="89">
        <f>I29-K29</f>
        <v>16000</v>
      </c>
      <c r="N29" s="4">
        <f>IF(ISERROR(K29/I29),"",K29/I29)</f>
        <v>0.72413793103448276</v>
      </c>
      <c r="O29" s="90">
        <f>I29/E29</f>
        <v>1757.5757575757575</v>
      </c>
      <c r="P29" s="90">
        <f>K29/E29</f>
        <v>1272.7272727272727</v>
      </c>
      <c r="Q29" s="76">
        <v>4</v>
      </c>
      <c r="R29" s="76">
        <v>2</v>
      </c>
      <c r="S29" s="76" t="s">
        <v>61</v>
      </c>
      <c r="T29" s="5" t="s">
        <v>192</v>
      </c>
      <c r="U29" s="9"/>
      <c r="W29" s="85">
        <f t="shared" si="30"/>
        <v>109.4</v>
      </c>
      <c r="X29" s="86">
        <f t="shared" si="30"/>
        <v>33</v>
      </c>
      <c r="Y29" s="91">
        <f t="shared" si="31"/>
        <v>302</v>
      </c>
      <c r="Z29" s="89">
        <f t="shared" si="31"/>
        <v>58000</v>
      </c>
      <c r="AA29" s="89">
        <f>K29</f>
        <v>42000</v>
      </c>
      <c r="AB29" s="89">
        <f t="shared" si="32"/>
        <v>16000</v>
      </c>
      <c r="AC29" s="4">
        <f t="shared" si="32"/>
        <v>0.72413793103448276</v>
      </c>
      <c r="AD29" s="90">
        <f t="shared" si="32"/>
        <v>1757.5757575757575</v>
      </c>
      <c r="AE29" s="76" t="str">
        <f>S29</f>
        <v>계</v>
      </c>
      <c r="AF29" s="76" t="str">
        <f>Q29&amp;"/"&amp;R29</f>
        <v>4/2</v>
      </c>
      <c r="AH29" s="20" t="str">
        <f t="shared" si="1"/>
        <v>전주효천우미린더퍼스트</v>
      </c>
      <c r="AI29" s="86">
        <f t="shared" si="0"/>
        <v>33</v>
      </c>
      <c r="AJ29" s="76" t="str">
        <f>IF(AI29="","",$AJ$2)</f>
        <v>A-</v>
      </c>
      <c r="AK29" s="76" t="s">
        <v>13</v>
      </c>
      <c r="AL29" s="76" t="s">
        <v>62</v>
      </c>
      <c r="AM29" s="76" t="s">
        <v>63</v>
      </c>
      <c r="AN29" s="76" t="str">
        <f>IF(AI29="","",$AN$2)</f>
        <v>C</v>
      </c>
      <c r="AO29" s="76" t="str">
        <f>IF(N29="","",IF(N29&gt;=$AO$1/100,"O","X"))</f>
        <v>X</v>
      </c>
      <c r="AP29" s="76" t="str">
        <f>IF(I29="","",IF(I29&lt;=$AP$1,"O","X"))</f>
        <v>X</v>
      </c>
      <c r="AQ29" s="76" t="str">
        <f>IF(O29="","",IF(O29&lt;=$AQ$1,"O","X"))</f>
        <v>O</v>
      </c>
      <c r="AR29" s="76" t="str">
        <f>IF(M29="","",IF(M29&lt;=$AR$1,"O","X"))</f>
        <v>X</v>
      </c>
      <c r="AS29" s="76" t="s">
        <v>2</v>
      </c>
      <c r="AT29" s="76" t="str">
        <f>IF(OR(F29="",AI29=""),"",IF(AND((F29&lt;=85),(AI29&gt;=15)),"O","X"))</f>
        <v>O</v>
      </c>
      <c r="AU29" s="76" t="str">
        <f>IF(C29="","",IF(C29&gt;=$AU$1,"O","X"))</f>
        <v>O</v>
      </c>
      <c r="AV29" s="76" t="str">
        <f>IF(AO29="","",IF(AND(AO29="O",AP29="O",AR29="O",AT29="O",AU29="O"),"후보","X"))</f>
        <v>X</v>
      </c>
    </row>
    <row r="30" spans="1:48" x14ac:dyDescent="0.3">
      <c r="A30" s="9" t="s">
        <v>1682</v>
      </c>
      <c r="B30" s="10" t="s">
        <v>1935</v>
      </c>
      <c r="C30" s="87">
        <v>1120</v>
      </c>
      <c r="D30" s="85">
        <v>110.7</v>
      </c>
      <c r="E30" s="86">
        <v>33</v>
      </c>
      <c r="F30" s="85">
        <v>85</v>
      </c>
      <c r="G30" s="17">
        <v>26</v>
      </c>
      <c r="H30" s="87">
        <v>124</v>
      </c>
      <c r="I30" s="88">
        <v>60000</v>
      </c>
      <c r="J30" s="88" t="s">
        <v>310</v>
      </c>
      <c r="K30" s="88">
        <v>40000</v>
      </c>
      <c r="L30" s="88" t="s">
        <v>219</v>
      </c>
      <c r="M30" s="89">
        <f>I30-K30</f>
        <v>20000</v>
      </c>
      <c r="N30" s="4">
        <f>IF(ISERROR(K30/I30),"",K30/I30)</f>
        <v>0.66666666666666663</v>
      </c>
      <c r="O30" s="90">
        <f>I30/E30</f>
        <v>1818.1818181818182</v>
      </c>
      <c r="P30" s="90">
        <f>K30/E30</f>
        <v>1212.121212121212</v>
      </c>
      <c r="Q30" s="76">
        <v>3</v>
      </c>
      <c r="R30" s="76">
        <v>2</v>
      </c>
      <c r="S30" s="76" t="s">
        <v>61</v>
      </c>
      <c r="T30" s="5" t="s">
        <v>293</v>
      </c>
      <c r="U30" s="9"/>
      <c r="W30" s="85">
        <f t="shared" si="30"/>
        <v>110.7</v>
      </c>
      <c r="X30" s="86">
        <f t="shared" si="30"/>
        <v>33</v>
      </c>
      <c r="Y30" s="91">
        <f t="shared" si="31"/>
        <v>124</v>
      </c>
      <c r="Z30" s="89">
        <f t="shared" si="31"/>
        <v>60000</v>
      </c>
      <c r="AA30" s="89">
        <f>K30</f>
        <v>40000</v>
      </c>
      <c r="AB30" s="89">
        <f t="shared" si="32"/>
        <v>20000</v>
      </c>
      <c r="AC30" s="4">
        <f t="shared" si="32"/>
        <v>0.66666666666666663</v>
      </c>
      <c r="AD30" s="90">
        <f t="shared" si="32"/>
        <v>1818.1818181818182</v>
      </c>
      <c r="AE30" s="76" t="str">
        <f>S30</f>
        <v>계</v>
      </c>
      <c r="AF30" s="76" t="str">
        <f>Q30&amp;"/"&amp;R30</f>
        <v>3/2</v>
      </c>
      <c r="AH30" s="20" t="str">
        <f t="shared" si="1"/>
        <v>전주효천우미린더퍼스트</v>
      </c>
      <c r="AI30" s="86">
        <f t="shared" si="0"/>
        <v>33</v>
      </c>
      <c r="AJ30" s="76" t="str">
        <f>IF(AI30="","",$AJ$2)</f>
        <v>A-</v>
      </c>
      <c r="AK30" s="76" t="s">
        <v>13</v>
      </c>
      <c r="AL30" s="76" t="s">
        <v>62</v>
      </c>
      <c r="AM30" s="76" t="s">
        <v>63</v>
      </c>
      <c r="AN30" s="76" t="str">
        <f>IF(AI30="","",$AN$2)</f>
        <v>C</v>
      </c>
      <c r="AO30" s="76" t="str">
        <f>IF(N30="","",IF(N30&gt;=$AO$1/100,"O","X"))</f>
        <v>X</v>
      </c>
      <c r="AP30" s="76" t="str">
        <f>IF(I30="","",IF(I30&lt;=$AP$1,"O","X"))</f>
        <v>X</v>
      </c>
      <c r="AQ30" s="76" t="str">
        <f>IF(O30="","",IF(O30&lt;=$AQ$1,"O","X"))</f>
        <v>O</v>
      </c>
      <c r="AR30" s="76" t="str">
        <f>IF(M30="","",IF(M30&lt;=$AR$1,"O","X"))</f>
        <v>X</v>
      </c>
      <c r="AS30" s="76" t="s">
        <v>2</v>
      </c>
      <c r="AT30" s="76" t="str">
        <f>IF(OR(F30="",AI30=""),"",IF(AND((F30&lt;=85),(AI30&gt;=15)),"O","X"))</f>
        <v>O</v>
      </c>
      <c r="AU30" s="76" t="str">
        <f>IF(C30="","",IF(C30&gt;=$AU$1,"O","X"))</f>
        <v>O</v>
      </c>
      <c r="AV30" s="76" t="str">
        <f>IF(AO30="","",IF(AND(AO30="O",AP30="O",AR30="O",AT30="O",AU30="O"),"후보","X"))</f>
        <v>X</v>
      </c>
    </row>
    <row r="31" spans="1:48" x14ac:dyDescent="0.3">
      <c r="A31" s="9"/>
      <c r="B31" s="76"/>
      <c r="C31" s="6"/>
      <c r="D31" s="9"/>
      <c r="E31" s="14"/>
      <c r="F31" s="85"/>
      <c r="G31" s="9"/>
      <c r="H31" s="9"/>
      <c r="I31" s="9"/>
      <c r="J31" s="9"/>
      <c r="K31" s="9"/>
      <c r="L31" s="9"/>
      <c r="M31" s="9"/>
      <c r="N31" s="9"/>
      <c r="O31" s="90"/>
      <c r="P31" s="90"/>
      <c r="Q31" s="86"/>
      <c r="R31" s="86"/>
      <c r="S31" s="9"/>
      <c r="T31" s="47"/>
      <c r="U31" s="9"/>
      <c r="W31" s="67" t="str">
        <f>$A$4&amp;" "&amp;A32&amp;"("&amp;B32&amp;","&amp;C32&amp;"^)"</f>
        <v>효자동2가 전주효천대방노블랜드에코파크('20.05.,1370^)</v>
      </c>
      <c r="X31" s="68"/>
      <c r="Y31" s="68"/>
      <c r="Z31" s="68"/>
      <c r="AA31" s="68"/>
      <c r="AB31" s="68"/>
      <c r="AC31" s="68"/>
      <c r="AD31" s="68"/>
      <c r="AE31" s="68"/>
      <c r="AF31" s="69"/>
      <c r="AH31" s="20" t="str">
        <f t="shared" si="1"/>
        <v/>
      </c>
      <c r="AI31" s="108" t="str">
        <f t="shared" si="0"/>
        <v/>
      </c>
      <c r="AJ31" s="76"/>
      <c r="AK31" s="76"/>
      <c r="AL31" s="76"/>
      <c r="AM31" s="76"/>
      <c r="AN31" s="76"/>
      <c r="AO31" s="76"/>
      <c r="AP31" s="76"/>
      <c r="AQ31" s="76"/>
      <c r="AR31" s="76"/>
      <c r="AS31" s="76"/>
      <c r="AT31" s="76"/>
      <c r="AU31" s="76"/>
      <c r="AV31" s="76"/>
    </row>
    <row r="32" spans="1:48" x14ac:dyDescent="0.3">
      <c r="A32" s="9" t="s">
        <v>1687</v>
      </c>
      <c r="B32" s="10" t="s">
        <v>1936</v>
      </c>
      <c r="C32" s="87">
        <v>1370</v>
      </c>
      <c r="D32" s="85">
        <v>111.8</v>
      </c>
      <c r="E32" s="86">
        <v>34</v>
      </c>
      <c r="F32" s="85">
        <v>85</v>
      </c>
      <c r="G32" s="17">
        <v>26</v>
      </c>
      <c r="H32" s="87">
        <v>349</v>
      </c>
      <c r="I32" s="88">
        <v>70000</v>
      </c>
      <c r="J32" s="88" t="s">
        <v>248</v>
      </c>
      <c r="K32" s="88"/>
      <c r="L32" s="88"/>
      <c r="M32" s="89">
        <f t="shared" ref="M32:M38" si="33">I32-K32</f>
        <v>70000</v>
      </c>
      <c r="N32" s="4">
        <f t="shared" ref="N32:N38" si="34">IF(ISERROR(K32/I32),"",K32/I32)</f>
        <v>0</v>
      </c>
      <c r="O32" s="90">
        <f t="shared" ref="O32:O38" si="35">I32/E32</f>
        <v>2058.8235294117649</v>
      </c>
      <c r="P32" s="90">
        <f t="shared" ref="P32:P38" si="36">K32/E32</f>
        <v>0</v>
      </c>
      <c r="Q32" s="76">
        <v>3</v>
      </c>
      <c r="R32" s="76">
        <v>2</v>
      </c>
      <c r="S32" s="76" t="s">
        <v>61</v>
      </c>
      <c r="T32" s="5" t="s">
        <v>428</v>
      </c>
      <c r="U32" s="9"/>
      <c r="W32" s="85">
        <f t="shared" ref="W32:X38" si="37">D32</f>
        <v>111.8</v>
      </c>
      <c r="X32" s="86">
        <f t="shared" si="37"/>
        <v>34</v>
      </c>
      <c r="Y32" s="91">
        <f t="shared" ref="Y32:Z38" si="38">H32</f>
        <v>349</v>
      </c>
      <c r="Z32" s="89">
        <f t="shared" si="38"/>
        <v>70000</v>
      </c>
      <c r="AA32" s="89">
        <f t="shared" ref="AA32:AA38" si="39">K32</f>
        <v>0</v>
      </c>
      <c r="AB32" s="89">
        <f t="shared" ref="AB32:AD38" si="40">M32</f>
        <v>70000</v>
      </c>
      <c r="AC32" s="4">
        <f t="shared" si="40"/>
        <v>0</v>
      </c>
      <c r="AD32" s="90">
        <f t="shared" si="40"/>
        <v>2058.8235294117649</v>
      </c>
      <c r="AE32" s="76" t="str">
        <f t="shared" ref="AE32:AE38" si="41">S32</f>
        <v>계</v>
      </c>
      <c r="AF32" s="76" t="str">
        <f t="shared" ref="AF32:AF38" si="42">Q32&amp;"/"&amp;R32</f>
        <v>3/2</v>
      </c>
      <c r="AH32" s="20" t="str">
        <f t="shared" si="1"/>
        <v>전주효천대방노블랜드에코파크</v>
      </c>
      <c r="AI32" s="86">
        <f t="shared" si="0"/>
        <v>34</v>
      </c>
      <c r="AJ32" s="76" t="str">
        <f t="shared" ref="AJ32:AJ38" si="43">IF(AI32="","",$AJ$2)</f>
        <v>A-</v>
      </c>
      <c r="AK32" s="76" t="s">
        <v>13</v>
      </c>
      <c r="AL32" s="76" t="s">
        <v>62</v>
      </c>
      <c r="AM32" s="76" t="s">
        <v>63</v>
      </c>
      <c r="AN32" s="76" t="str">
        <f t="shared" ref="AN32:AN38" si="44">IF(AI32="","",$AN$2)</f>
        <v>C</v>
      </c>
      <c r="AO32" s="76" t="str">
        <f t="shared" ref="AO32:AO38" si="45">IF(N32="","",IF(N32&gt;=$AO$1/100,"O","X"))</f>
        <v>X</v>
      </c>
      <c r="AP32" s="76" t="str">
        <f t="shared" ref="AP32:AP38" si="46">IF(I32="","",IF(I32&lt;=$AP$1,"O","X"))</f>
        <v>X</v>
      </c>
      <c r="AQ32" s="76" t="str">
        <f t="shared" ref="AQ32:AQ38" si="47">IF(O32="","",IF(O32&lt;=$AQ$1,"O","X"))</f>
        <v>O</v>
      </c>
      <c r="AR32" s="76" t="str">
        <f t="shared" ref="AR32:AR38" si="48">IF(M32="","",IF(M32&lt;=$AR$1,"O","X"))</f>
        <v>X</v>
      </c>
      <c r="AS32" s="76" t="s">
        <v>2</v>
      </c>
      <c r="AT32" s="76" t="str">
        <f t="shared" ref="AT32:AT38" si="49">IF(OR(F32="",AI32=""),"",IF(AND((F32&lt;=85),(AI32&gt;=15)),"O","X"))</f>
        <v>O</v>
      </c>
      <c r="AU32" s="76" t="str">
        <f t="shared" ref="AU32:AU38" si="50">IF(C32="","",IF(C32&gt;=$AU$1,"O","X"))</f>
        <v>O</v>
      </c>
      <c r="AV32" s="76" t="str">
        <f t="shared" ref="AV32:AV38" si="51">IF(AO32="","",IF(AND(AO32="O",AP32="O",AR32="O",AT32="O",AU32="O"),"후보","X"))</f>
        <v>X</v>
      </c>
    </row>
    <row r="33" spans="1:48" x14ac:dyDescent="0.3">
      <c r="A33" s="9" t="s">
        <v>1687</v>
      </c>
      <c r="B33" s="10" t="s">
        <v>1936</v>
      </c>
      <c r="C33" s="87">
        <v>1370</v>
      </c>
      <c r="D33" s="85">
        <v>111.2</v>
      </c>
      <c r="E33" s="86">
        <v>34</v>
      </c>
      <c r="F33" s="85">
        <v>84.9</v>
      </c>
      <c r="G33" s="17">
        <v>26</v>
      </c>
      <c r="H33" s="87">
        <v>173</v>
      </c>
      <c r="I33" s="88">
        <v>70000</v>
      </c>
      <c r="J33" s="88" t="s">
        <v>71</v>
      </c>
      <c r="K33" s="88"/>
      <c r="L33" s="88"/>
      <c r="M33" s="89">
        <f t="shared" si="33"/>
        <v>70000</v>
      </c>
      <c r="N33" s="4">
        <f t="shared" si="34"/>
        <v>0</v>
      </c>
      <c r="O33" s="90">
        <f t="shared" si="35"/>
        <v>2058.8235294117649</v>
      </c>
      <c r="P33" s="90">
        <f t="shared" si="36"/>
        <v>0</v>
      </c>
      <c r="Q33" s="76">
        <v>4</v>
      </c>
      <c r="R33" s="76">
        <v>2</v>
      </c>
      <c r="S33" s="76" t="s">
        <v>61</v>
      </c>
      <c r="T33" s="5" t="s">
        <v>220</v>
      </c>
      <c r="U33" s="9"/>
      <c r="W33" s="85">
        <f t="shared" si="37"/>
        <v>111.2</v>
      </c>
      <c r="X33" s="86">
        <f t="shared" si="37"/>
        <v>34</v>
      </c>
      <c r="Y33" s="91">
        <f t="shared" si="38"/>
        <v>173</v>
      </c>
      <c r="Z33" s="89">
        <f t="shared" si="38"/>
        <v>70000</v>
      </c>
      <c r="AA33" s="89">
        <f t="shared" si="39"/>
        <v>0</v>
      </c>
      <c r="AB33" s="89">
        <f t="shared" si="40"/>
        <v>70000</v>
      </c>
      <c r="AC33" s="4">
        <f t="shared" si="40"/>
        <v>0</v>
      </c>
      <c r="AD33" s="90">
        <f t="shared" si="40"/>
        <v>2058.8235294117649</v>
      </c>
      <c r="AE33" s="76" t="str">
        <f t="shared" si="41"/>
        <v>계</v>
      </c>
      <c r="AF33" s="76" t="str">
        <f t="shared" si="42"/>
        <v>4/2</v>
      </c>
      <c r="AH33" s="20" t="str">
        <f t="shared" si="1"/>
        <v>전주효천대방노블랜드에코파크</v>
      </c>
      <c r="AI33" s="86">
        <f t="shared" si="0"/>
        <v>34</v>
      </c>
      <c r="AJ33" s="76" t="str">
        <f t="shared" si="43"/>
        <v>A-</v>
      </c>
      <c r="AK33" s="76" t="s">
        <v>13</v>
      </c>
      <c r="AL33" s="76" t="s">
        <v>62</v>
      </c>
      <c r="AM33" s="76" t="s">
        <v>63</v>
      </c>
      <c r="AN33" s="76" t="str">
        <f t="shared" si="44"/>
        <v>C</v>
      </c>
      <c r="AO33" s="76" t="str">
        <f t="shared" si="45"/>
        <v>X</v>
      </c>
      <c r="AP33" s="76" t="str">
        <f t="shared" si="46"/>
        <v>X</v>
      </c>
      <c r="AQ33" s="76" t="str">
        <f t="shared" si="47"/>
        <v>O</v>
      </c>
      <c r="AR33" s="76" t="str">
        <f t="shared" si="48"/>
        <v>X</v>
      </c>
      <c r="AS33" s="76" t="s">
        <v>2</v>
      </c>
      <c r="AT33" s="76" t="str">
        <f t="shared" si="49"/>
        <v>O</v>
      </c>
      <c r="AU33" s="76" t="str">
        <f t="shared" si="50"/>
        <v>O</v>
      </c>
      <c r="AV33" s="76" t="str">
        <f t="shared" si="51"/>
        <v>X</v>
      </c>
    </row>
    <row r="34" spans="1:48" x14ac:dyDescent="0.3">
      <c r="A34" s="9" t="s">
        <v>1687</v>
      </c>
      <c r="B34" s="10" t="s">
        <v>1936</v>
      </c>
      <c r="C34" s="87">
        <v>1370</v>
      </c>
      <c r="D34" s="85">
        <v>111.7</v>
      </c>
      <c r="E34" s="86">
        <v>34</v>
      </c>
      <c r="F34" s="85">
        <v>85</v>
      </c>
      <c r="G34" s="17">
        <v>26</v>
      </c>
      <c r="H34" s="87">
        <v>168</v>
      </c>
      <c r="I34" s="88">
        <v>72000</v>
      </c>
      <c r="J34" s="88" t="s">
        <v>71</v>
      </c>
      <c r="K34" s="88"/>
      <c r="L34" s="88"/>
      <c r="M34" s="89">
        <f t="shared" si="33"/>
        <v>72000</v>
      </c>
      <c r="N34" s="4">
        <f t="shared" si="34"/>
        <v>0</v>
      </c>
      <c r="O34" s="90">
        <f t="shared" si="35"/>
        <v>2117.6470588235293</v>
      </c>
      <c r="P34" s="90">
        <f t="shared" si="36"/>
        <v>0</v>
      </c>
      <c r="Q34" s="76">
        <v>4</v>
      </c>
      <c r="R34" s="76">
        <v>2</v>
      </c>
      <c r="S34" s="76" t="s">
        <v>61</v>
      </c>
      <c r="T34" s="5" t="s">
        <v>221</v>
      </c>
      <c r="U34" s="9"/>
      <c r="W34" s="85">
        <f t="shared" si="37"/>
        <v>111.7</v>
      </c>
      <c r="X34" s="86">
        <f t="shared" si="37"/>
        <v>34</v>
      </c>
      <c r="Y34" s="91">
        <f t="shared" si="38"/>
        <v>168</v>
      </c>
      <c r="Z34" s="89">
        <f t="shared" si="38"/>
        <v>72000</v>
      </c>
      <c r="AA34" s="89">
        <f t="shared" si="39"/>
        <v>0</v>
      </c>
      <c r="AB34" s="89">
        <f t="shared" si="40"/>
        <v>72000</v>
      </c>
      <c r="AC34" s="4">
        <f t="shared" si="40"/>
        <v>0</v>
      </c>
      <c r="AD34" s="90">
        <f t="shared" si="40"/>
        <v>2117.6470588235293</v>
      </c>
      <c r="AE34" s="76" t="str">
        <f t="shared" si="41"/>
        <v>계</v>
      </c>
      <c r="AF34" s="76" t="str">
        <f t="shared" si="42"/>
        <v>4/2</v>
      </c>
      <c r="AH34" s="20" t="str">
        <f t="shared" si="1"/>
        <v>전주효천대방노블랜드에코파크</v>
      </c>
      <c r="AI34" s="86">
        <f t="shared" si="0"/>
        <v>34</v>
      </c>
      <c r="AJ34" s="76" t="str">
        <f t="shared" si="43"/>
        <v>A-</v>
      </c>
      <c r="AK34" s="76" t="s">
        <v>13</v>
      </c>
      <c r="AL34" s="76" t="s">
        <v>62</v>
      </c>
      <c r="AM34" s="76" t="s">
        <v>63</v>
      </c>
      <c r="AN34" s="76" t="str">
        <f t="shared" si="44"/>
        <v>C</v>
      </c>
      <c r="AO34" s="76" t="str">
        <f t="shared" si="45"/>
        <v>X</v>
      </c>
      <c r="AP34" s="76" t="str">
        <f t="shared" si="46"/>
        <v>X</v>
      </c>
      <c r="AQ34" s="76" t="str">
        <f t="shared" si="47"/>
        <v>O</v>
      </c>
      <c r="AR34" s="76" t="str">
        <f t="shared" si="48"/>
        <v>X</v>
      </c>
      <c r="AS34" s="76" t="s">
        <v>2</v>
      </c>
      <c r="AT34" s="76" t="str">
        <f t="shared" si="49"/>
        <v>O</v>
      </c>
      <c r="AU34" s="76" t="str">
        <f t="shared" si="50"/>
        <v>O</v>
      </c>
      <c r="AV34" s="76" t="str">
        <f t="shared" si="51"/>
        <v>X</v>
      </c>
    </row>
    <row r="35" spans="1:48" x14ac:dyDescent="0.3">
      <c r="A35" s="9" t="s">
        <v>1687</v>
      </c>
      <c r="B35" s="10" t="s">
        <v>1936</v>
      </c>
      <c r="C35" s="87">
        <v>1370</v>
      </c>
      <c r="D35" s="85">
        <v>133.1</v>
      </c>
      <c r="E35" s="86">
        <v>40</v>
      </c>
      <c r="F35" s="85">
        <v>108</v>
      </c>
      <c r="G35" s="17">
        <v>33</v>
      </c>
      <c r="H35" s="87">
        <v>200</v>
      </c>
      <c r="I35" s="88">
        <v>89000</v>
      </c>
      <c r="J35" s="88" t="s">
        <v>111</v>
      </c>
      <c r="K35" s="88">
        <v>58000</v>
      </c>
      <c r="L35" s="88" t="s">
        <v>111</v>
      </c>
      <c r="M35" s="89">
        <f t="shared" si="33"/>
        <v>31000</v>
      </c>
      <c r="N35" s="4">
        <f t="shared" si="34"/>
        <v>0.651685393258427</v>
      </c>
      <c r="O35" s="90">
        <f t="shared" si="35"/>
        <v>2225</v>
      </c>
      <c r="P35" s="90">
        <f t="shared" si="36"/>
        <v>1450</v>
      </c>
      <c r="Q35" s="76">
        <v>4</v>
      </c>
      <c r="R35" s="76">
        <v>2</v>
      </c>
      <c r="S35" s="76" t="s">
        <v>61</v>
      </c>
      <c r="T35" s="5" t="s">
        <v>429</v>
      </c>
      <c r="U35" s="9"/>
      <c r="W35" s="85">
        <f t="shared" si="37"/>
        <v>133.1</v>
      </c>
      <c r="X35" s="86">
        <f t="shared" si="37"/>
        <v>40</v>
      </c>
      <c r="Y35" s="91">
        <f t="shared" si="38"/>
        <v>200</v>
      </c>
      <c r="Z35" s="89">
        <f t="shared" si="38"/>
        <v>89000</v>
      </c>
      <c r="AA35" s="89">
        <f t="shared" si="39"/>
        <v>58000</v>
      </c>
      <c r="AB35" s="89">
        <f t="shared" si="40"/>
        <v>31000</v>
      </c>
      <c r="AC35" s="4">
        <f t="shared" si="40"/>
        <v>0.651685393258427</v>
      </c>
      <c r="AD35" s="90">
        <f t="shared" si="40"/>
        <v>2225</v>
      </c>
      <c r="AE35" s="76" t="str">
        <f t="shared" si="41"/>
        <v>계</v>
      </c>
      <c r="AF35" s="76" t="str">
        <f t="shared" si="42"/>
        <v>4/2</v>
      </c>
      <c r="AH35" s="20" t="str">
        <f t="shared" si="1"/>
        <v>전주효천대방노블랜드에코파크</v>
      </c>
      <c r="AI35" s="86">
        <f t="shared" ref="AI35:AI66" si="52">IF(E35="","",E35)</f>
        <v>40</v>
      </c>
      <c r="AJ35" s="76" t="str">
        <f t="shared" si="43"/>
        <v>A-</v>
      </c>
      <c r="AK35" s="76" t="s">
        <v>13</v>
      </c>
      <c r="AL35" s="76" t="s">
        <v>62</v>
      </c>
      <c r="AM35" s="76" t="s">
        <v>63</v>
      </c>
      <c r="AN35" s="76" t="str">
        <f t="shared" si="44"/>
        <v>C</v>
      </c>
      <c r="AO35" s="76" t="str">
        <f t="shared" si="45"/>
        <v>X</v>
      </c>
      <c r="AP35" s="76" t="str">
        <f t="shared" si="46"/>
        <v>X</v>
      </c>
      <c r="AQ35" s="76" t="str">
        <f t="shared" si="47"/>
        <v>O</v>
      </c>
      <c r="AR35" s="76" t="str">
        <f t="shared" si="48"/>
        <v>X</v>
      </c>
      <c r="AS35" s="76" t="s">
        <v>2</v>
      </c>
      <c r="AT35" s="76" t="str">
        <f t="shared" si="49"/>
        <v>X</v>
      </c>
      <c r="AU35" s="76" t="str">
        <f t="shared" si="50"/>
        <v>O</v>
      </c>
      <c r="AV35" s="76" t="str">
        <f t="shared" si="51"/>
        <v>X</v>
      </c>
    </row>
    <row r="36" spans="1:48" x14ac:dyDescent="0.3">
      <c r="A36" s="9" t="s">
        <v>1687</v>
      </c>
      <c r="B36" s="10" t="s">
        <v>1936</v>
      </c>
      <c r="C36" s="87">
        <v>1370</v>
      </c>
      <c r="D36" s="85">
        <v>133.4</v>
      </c>
      <c r="E36" s="86">
        <v>40</v>
      </c>
      <c r="F36" s="85">
        <v>107.6</v>
      </c>
      <c r="G36" s="17">
        <v>33</v>
      </c>
      <c r="H36" s="87">
        <v>190</v>
      </c>
      <c r="I36" s="88">
        <v>95000</v>
      </c>
      <c r="J36" s="88" t="s">
        <v>430</v>
      </c>
      <c r="K36" s="88"/>
      <c r="L36" s="88"/>
      <c r="M36" s="89">
        <f t="shared" si="33"/>
        <v>95000</v>
      </c>
      <c r="N36" s="4">
        <f t="shared" si="34"/>
        <v>0</v>
      </c>
      <c r="O36" s="90">
        <f t="shared" si="35"/>
        <v>2375</v>
      </c>
      <c r="P36" s="90">
        <f t="shared" si="36"/>
        <v>0</v>
      </c>
      <c r="Q36" s="76">
        <v>4</v>
      </c>
      <c r="R36" s="76">
        <v>2</v>
      </c>
      <c r="S36" s="76" t="s">
        <v>61</v>
      </c>
      <c r="T36" s="5" t="s">
        <v>431</v>
      </c>
      <c r="U36" s="9"/>
      <c r="W36" s="85">
        <f t="shared" si="37"/>
        <v>133.4</v>
      </c>
      <c r="X36" s="86">
        <f t="shared" si="37"/>
        <v>40</v>
      </c>
      <c r="Y36" s="91">
        <f t="shared" si="38"/>
        <v>190</v>
      </c>
      <c r="Z36" s="89">
        <f t="shared" si="38"/>
        <v>95000</v>
      </c>
      <c r="AA36" s="89">
        <f t="shared" si="39"/>
        <v>0</v>
      </c>
      <c r="AB36" s="89">
        <f t="shared" si="40"/>
        <v>95000</v>
      </c>
      <c r="AC36" s="4">
        <f t="shared" si="40"/>
        <v>0</v>
      </c>
      <c r="AD36" s="90">
        <f t="shared" si="40"/>
        <v>2375</v>
      </c>
      <c r="AE36" s="76" t="str">
        <f t="shared" si="41"/>
        <v>계</v>
      </c>
      <c r="AF36" s="76" t="str">
        <f t="shared" si="42"/>
        <v>4/2</v>
      </c>
      <c r="AH36" s="20" t="str">
        <f t="shared" si="1"/>
        <v>전주효천대방노블랜드에코파크</v>
      </c>
      <c r="AI36" s="86">
        <f t="shared" si="52"/>
        <v>40</v>
      </c>
      <c r="AJ36" s="76" t="str">
        <f t="shared" si="43"/>
        <v>A-</v>
      </c>
      <c r="AK36" s="76" t="s">
        <v>13</v>
      </c>
      <c r="AL36" s="76" t="s">
        <v>62</v>
      </c>
      <c r="AM36" s="76" t="s">
        <v>63</v>
      </c>
      <c r="AN36" s="76" t="str">
        <f t="shared" si="44"/>
        <v>C</v>
      </c>
      <c r="AO36" s="76" t="str">
        <f t="shared" si="45"/>
        <v>X</v>
      </c>
      <c r="AP36" s="76" t="str">
        <f t="shared" si="46"/>
        <v>X</v>
      </c>
      <c r="AQ36" s="76" t="str">
        <f t="shared" si="47"/>
        <v>O</v>
      </c>
      <c r="AR36" s="76" t="str">
        <f t="shared" si="48"/>
        <v>X</v>
      </c>
      <c r="AS36" s="76" t="s">
        <v>2</v>
      </c>
      <c r="AT36" s="76" t="str">
        <f t="shared" si="49"/>
        <v>X</v>
      </c>
      <c r="AU36" s="76" t="str">
        <f t="shared" si="50"/>
        <v>O</v>
      </c>
      <c r="AV36" s="76" t="str">
        <f t="shared" si="51"/>
        <v>X</v>
      </c>
    </row>
    <row r="37" spans="1:48" x14ac:dyDescent="0.3">
      <c r="A37" s="9" t="s">
        <v>1687</v>
      </c>
      <c r="B37" s="10" t="s">
        <v>1936</v>
      </c>
      <c r="C37" s="87">
        <v>1370</v>
      </c>
      <c r="D37" s="85">
        <v>143.19999999999999</v>
      </c>
      <c r="E37" s="86">
        <v>43</v>
      </c>
      <c r="F37" s="85">
        <v>117.4</v>
      </c>
      <c r="G37" s="17">
        <v>36</v>
      </c>
      <c r="H37" s="87">
        <v>150</v>
      </c>
      <c r="I37" s="88">
        <v>115000</v>
      </c>
      <c r="J37" s="88" t="s">
        <v>89</v>
      </c>
      <c r="K37" s="88"/>
      <c r="L37" s="88"/>
      <c r="M37" s="89">
        <f t="shared" si="33"/>
        <v>115000</v>
      </c>
      <c r="N37" s="4">
        <f t="shared" si="34"/>
        <v>0</v>
      </c>
      <c r="O37" s="90">
        <f t="shared" si="35"/>
        <v>2674.4186046511627</v>
      </c>
      <c r="P37" s="90">
        <f t="shared" si="36"/>
        <v>0</v>
      </c>
      <c r="Q37" s="76">
        <v>4</v>
      </c>
      <c r="R37" s="76">
        <v>2</v>
      </c>
      <c r="S37" s="76" t="s">
        <v>61</v>
      </c>
      <c r="T37" s="5" t="s">
        <v>432</v>
      </c>
      <c r="U37" s="9"/>
      <c r="W37" s="85">
        <f t="shared" si="37"/>
        <v>143.19999999999999</v>
      </c>
      <c r="X37" s="86">
        <f t="shared" si="37"/>
        <v>43</v>
      </c>
      <c r="Y37" s="91">
        <f t="shared" si="38"/>
        <v>150</v>
      </c>
      <c r="Z37" s="89">
        <f t="shared" si="38"/>
        <v>115000</v>
      </c>
      <c r="AA37" s="89">
        <f t="shared" si="39"/>
        <v>0</v>
      </c>
      <c r="AB37" s="89">
        <f t="shared" si="40"/>
        <v>115000</v>
      </c>
      <c r="AC37" s="4">
        <f t="shared" si="40"/>
        <v>0</v>
      </c>
      <c r="AD37" s="90">
        <f t="shared" si="40"/>
        <v>2674.4186046511627</v>
      </c>
      <c r="AE37" s="76" t="str">
        <f t="shared" si="41"/>
        <v>계</v>
      </c>
      <c r="AF37" s="76" t="str">
        <f t="shared" si="42"/>
        <v>4/2</v>
      </c>
      <c r="AH37" s="20" t="str">
        <f t="shared" ref="AH37:AH68" si="53">IF(A37="","",A37)</f>
        <v>전주효천대방노블랜드에코파크</v>
      </c>
      <c r="AI37" s="86">
        <f t="shared" si="52"/>
        <v>43</v>
      </c>
      <c r="AJ37" s="76" t="str">
        <f t="shared" si="43"/>
        <v>A-</v>
      </c>
      <c r="AK37" s="76" t="s">
        <v>13</v>
      </c>
      <c r="AL37" s="76" t="s">
        <v>62</v>
      </c>
      <c r="AM37" s="76" t="s">
        <v>63</v>
      </c>
      <c r="AN37" s="76" t="str">
        <f t="shared" si="44"/>
        <v>C</v>
      </c>
      <c r="AO37" s="76" t="str">
        <f t="shared" si="45"/>
        <v>X</v>
      </c>
      <c r="AP37" s="76" t="str">
        <f t="shared" si="46"/>
        <v>X</v>
      </c>
      <c r="AQ37" s="76" t="str">
        <f t="shared" si="47"/>
        <v>O</v>
      </c>
      <c r="AR37" s="76" t="str">
        <f t="shared" si="48"/>
        <v>X</v>
      </c>
      <c r="AS37" s="76" t="s">
        <v>2</v>
      </c>
      <c r="AT37" s="76" t="str">
        <f t="shared" si="49"/>
        <v>X</v>
      </c>
      <c r="AU37" s="76" t="str">
        <f t="shared" si="50"/>
        <v>O</v>
      </c>
      <c r="AV37" s="76" t="str">
        <f t="shared" si="51"/>
        <v>X</v>
      </c>
    </row>
    <row r="38" spans="1:48" x14ac:dyDescent="0.3">
      <c r="A38" s="9" t="s">
        <v>1687</v>
      </c>
      <c r="B38" s="10" t="s">
        <v>1936</v>
      </c>
      <c r="C38" s="87">
        <v>1370</v>
      </c>
      <c r="D38" s="85">
        <v>143.5</v>
      </c>
      <c r="E38" s="86">
        <v>43</v>
      </c>
      <c r="F38" s="85">
        <v>117.3</v>
      </c>
      <c r="G38" s="17">
        <v>35</v>
      </c>
      <c r="H38" s="87">
        <v>140</v>
      </c>
      <c r="I38" s="88">
        <v>97000</v>
      </c>
      <c r="J38" s="88" t="s">
        <v>310</v>
      </c>
      <c r="K38" s="88"/>
      <c r="L38" s="88"/>
      <c r="M38" s="89">
        <f t="shared" si="33"/>
        <v>97000</v>
      </c>
      <c r="N38" s="4">
        <f t="shared" si="34"/>
        <v>0</v>
      </c>
      <c r="O38" s="90">
        <f t="shared" si="35"/>
        <v>2255.8139534883721</v>
      </c>
      <c r="P38" s="90">
        <f t="shared" si="36"/>
        <v>0</v>
      </c>
      <c r="Q38" s="76">
        <v>5</v>
      </c>
      <c r="R38" s="76">
        <v>2</v>
      </c>
      <c r="S38" s="76" t="s">
        <v>61</v>
      </c>
      <c r="T38" s="5" t="s">
        <v>433</v>
      </c>
      <c r="U38" s="9"/>
      <c r="W38" s="85">
        <f t="shared" si="37"/>
        <v>143.5</v>
      </c>
      <c r="X38" s="86">
        <f t="shared" si="37"/>
        <v>43</v>
      </c>
      <c r="Y38" s="91">
        <f t="shared" si="38"/>
        <v>140</v>
      </c>
      <c r="Z38" s="89">
        <f t="shared" si="38"/>
        <v>97000</v>
      </c>
      <c r="AA38" s="89">
        <f t="shared" si="39"/>
        <v>0</v>
      </c>
      <c r="AB38" s="89">
        <f t="shared" si="40"/>
        <v>97000</v>
      </c>
      <c r="AC38" s="4">
        <f t="shared" si="40"/>
        <v>0</v>
      </c>
      <c r="AD38" s="90">
        <f t="shared" si="40"/>
        <v>2255.8139534883721</v>
      </c>
      <c r="AE38" s="76" t="str">
        <f t="shared" si="41"/>
        <v>계</v>
      </c>
      <c r="AF38" s="76" t="str">
        <f t="shared" si="42"/>
        <v>5/2</v>
      </c>
      <c r="AH38" s="20" t="str">
        <f t="shared" si="53"/>
        <v>전주효천대방노블랜드에코파크</v>
      </c>
      <c r="AI38" s="86">
        <f t="shared" si="52"/>
        <v>43</v>
      </c>
      <c r="AJ38" s="76" t="str">
        <f t="shared" si="43"/>
        <v>A-</v>
      </c>
      <c r="AK38" s="76" t="s">
        <v>13</v>
      </c>
      <c r="AL38" s="76" t="s">
        <v>62</v>
      </c>
      <c r="AM38" s="76" t="s">
        <v>63</v>
      </c>
      <c r="AN38" s="76" t="str">
        <f t="shared" si="44"/>
        <v>C</v>
      </c>
      <c r="AO38" s="76" t="str">
        <f t="shared" si="45"/>
        <v>X</v>
      </c>
      <c r="AP38" s="76" t="str">
        <f t="shared" si="46"/>
        <v>X</v>
      </c>
      <c r="AQ38" s="76" t="str">
        <f t="shared" si="47"/>
        <v>O</v>
      </c>
      <c r="AR38" s="76" t="str">
        <f t="shared" si="48"/>
        <v>X</v>
      </c>
      <c r="AS38" s="76" t="s">
        <v>2</v>
      </c>
      <c r="AT38" s="76" t="str">
        <f t="shared" si="49"/>
        <v>X</v>
      </c>
      <c r="AU38" s="76" t="str">
        <f t="shared" si="50"/>
        <v>O</v>
      </c>
      <c r="AV38" s="76" t="str">
        <f t="shared" si="51"/>
        <v>X</v>
      </c>
    </row>
    <row r="39" spans="1:48" x14ac:dyDescent="0.3">
      <c r="A39" s="9"/>
      <c r="B39" s="76"/>
      <c r="C39" s="6"/>
      <c r="D39" s="9"/>
      <c r="E39" s="14"/>
      <c r="F39" s="85"/>
      <c r="G39" s="9"/>
      <c r="H39" s="9"/>
      <c r="I39" s="9"/>
      <c r="J39" s="9"/>
      <c r="K39" s="9"/>
      <c r="L39" s="9"/>
      <c r="M39" s="9"/>
      <c r="N39" s="9"/>
      <c r="O39" s="90"/>
      <c r="P39" s="90"/>
      <c r="Q39" s="86"/>
      <c r="R39" s="86"/>
      <c r="S39" s="9"/>
      <c r="T39" s="47"/>
      <c r="U39" s="9"/>
      <c r="W39" s="67" t="str">
        <f>$A$4&amp;" "&amp;A40&amp;"("&amp;B40&amp;","&amp;C40&amp;"^)"</f>
        <v>효자동2가 골든팰리스휴먼시아('09.11.,340^)</v>
      </c>
      <c r="X39" s="68"/>
      <c r="Y39" s="68"/>
      <c r="Z39" s="68"/>
      <c r="AA39" s="68"/>
      <c r="AB39" s="68"/>
      <c r="AC39" s="68"/>
      <c r="AD39" s="68"/>
      <c r="AE39" s="68"/>
      <c r="AF39" s="69"/>
      <c r="AH39" s="20" t="str">
        <f t="shared" si="53"/>
        <v/>
      </c>
      <c r="AI39" s="108" t="str">
        <f t="shared" si="52"/>
        <v/>
      </c>
      <c r="AJ39" s="76"/>
      <c r="AK39" s="76"/>
      <c r="AL39" s="76"/>
      <c r="AM39" s="76"/>
      <c r="AN39" s="76"/>
      <c r="AO39" s="76"/>
      <c r="AP39" s="76"/>
      <c r="AQ39" s="76"/>
      <c r="AR39" s="76"/>
      <c r="AS39" s="76"/>
      <c r="AT39" s="76"/>
      <c r="AU39" s="76"/>
      <c r="AV39" s="76"/>
    </row>
    <row r="40" spans="1:48" x14ac:dyDescent="0.3">
      <c r="A40" s="9" t="s">
        <v>1692</v>
      </c>
      <c r="B40" s="10" t="s">
        <v>1937</v>
      </c>
      <c r="C40" s="87">
        <v>340</v>
      </c>
      <c r="D40" s="85">
        <v>149.1</v>
      </c>
      <c r="E40" s="86">
        <v>45</v>
      </c>
      <c r="F40" s="85">
        <v>120</v>
      </c>
      <c r="G40" s="17">
        <v>36</v>
      </c>
      <c r="H40" s="87">
        <v>158</v>
      </c>
      <c r="I40" s="88">
        <v>59000</v>
      </c>
      <c r="J40" s="88" t="s">
        <v>80</v>
      </c>
      <c r="K40" s="88"/>
      <c r="L40" s="88"/>
      <c r="M40" s="89">
        <f>I40-K40</f>
        <v>59000</v>
      </c>
      <c r="N40" s="4">
        <f>IF(ISERROR(K40/I40),"",K40/I40)</f>
        <v>0</v>
      </c>
      <c r="O40" s="90">
        <f>I40/E40</f>
        <v>1311.1111111111111</v>
      </c>
      <c r="P40" s="90">
        <f>K40/E40</f>
        <v>0</v>
      </c>
      <c r="Q40" s="76">
        <v>4</v>
      </c>
      <c r="R40" s="76">
        <v>2</v>
      </c>
      <c r="S40" s="76" t="s">
        <v>61</v>
      </c>
      <c r="T40" s="5">
        <v>149</v>
      </c>
      <c r="U40" s="9"/>
      <c r="W40" s="85">
        <f t="shared" ref="W40:X44" si="54">D40</f>
        <v>149.1</v>
      </c>
      <c r="X40" s="86">
        <f t="shared" si="54"/>
        <v>45</v>
      </c>
      <c r="Y40" s="91">
        <f t="shared" ref="Y40:Z44" si="55">H40</f>
        <v>158</v>
      </c>
      <c r="Z40" s="89">
        <f t="shared" si="55"/>
        <v>59000</v>
      </c>
      <c r="AA40" s="89">
        <f>K40</f>
        <v>0</v>
      </c>
      <c r="AB40" s="89">
        <f t="shared" ref="AB40:AD44" si="56">M40</f>
        <v>59000</v>
      </c>
      <c r="AC40" s="4">
        <f t="shared" si="56"/>
        <v>0</v>
      </c>
      <c r="AD40" s="90">
        <f t="shared" si="56"/>
        <v>1311.1111111111111</v>
      </c>
      <c r="AE40" s="76" t="str">
        <f>S40</f>
        <v>계</v>
      </c>
      <c r="AF40" s="76" t="str">
        <f>Q40&amp;"/"&amp;R40</f>
        <v>4/2</v>
      </c>
      <c r="AH40" s="20" t="str">
        <f t="shared" si="53"/>
        <v>골든팰리스휴먼시아</v>
      </c>
      <c r="AI40" s="86">
        <f t="shared" si="52"/>
        <v>45</v>
      </c>
      <c r="AJ40" s="76" t="str">
        <f>IF(AI40="","",$AJ$2)</f>
        <v>A-</v>
      </c>
      <c r="AK40" s="76" t="s">
        <v>13</v>
      </c>
      <c r="AL40" s="76" t="s">
        <v>62</v>
      </c>
      <c r="AM40" s="76" t="s">
        <v>63</v>
      </c>
      <c r="AN40" s="76" t="str">
        <f>IF(AI40="","",$AN$2)</f>
        <v>C</v>
      </c>
      <c r="AO40" s="76" t="str">
        <f>IF(N40="","",IF(N40&gt;=$AO$1/100,"O","X"))</f>
        <v>X</v>
      </c>
      <c r="AP40" s="76" t="str">
        <f>IF(I40="","",IF(I40&lt;=$AP$1,"O","X"))</f>
        <v>X</v>
      </c>
      <c r="AQ40" s="76" t="str">
        <f>IF(O40="","",IF(O40&lt;=$AQ$1,"O","X"))</f>
        <v>O</v>
      </c>
      <c r="AR40" s="76" t="str">
        <f>IF(M40="","",IF(M40&lt;=$AR$1,"O","X"))</f>
        <v>X</v>
      </c>
      <c r="AS40" s="76" t="s">
        <v>2</v>
      </c>
      <c r="AT40" s="76" t="str">
        <f>IF(OR(F40="",AI40=""),"",IF(AND((F40&lt;=85),(AI40&gt;=15)),"O","X"))</f>
        <v>X</v>
      </c>
      <c r="AU40" s="76" t="str">
        <f>IF(C40="","",IF(C40&gt;=$AU$1,"O","X"))</f>
        <v>O</v>
      </c>
      <c r="AV40" s="76" t="str">
        <f>IF(AO40="","",IF(AND(AO40="O",AP40="O",AR40="O",AT40="O",AU40="O"),"후보","X"))</f>
        <v>X</v>
      </c>
    </row>
    <row r="41" spans="1:48" x14ac:dyDescent="0.3">
      <c r="A41" s="9" t="s">
        <v>1692</v>
      </c>
      <c r="B41" s="10" t="s">
        <v>1937</v>
      </c>
      <c r="C41" s="87">
        <v>340</v>
      </c>
      <c r="D41" s="85">
        <v>167.6</v>
      </c>
      <c r="E41" s="86">
        <v>51</v>
      </c>
      <c r="F41" s="85">
        <v>134.9</v>
      </c>
      <c r="G41" s="17">
        <v>41</v>
      </c>
      <c r="H41" s="87">
        <v>114</v>
      </c>
      <c r="I41" s="88">
        <v>65000</v>
      </c>
      <c r="J41" s="88" t="s">
        <v>83</v>
      </c>
      <c r="K41" s="88"/>
      <c r="L41" s="88"/>
      <c r="M41" s="89">
        <f>I41-K41</f>
        <v>65000</v>
      </c>
      <c r="N41" s="4">
        <f>IF(ISERROR(K41/I41),"",K41/I41)</f>
        <v>0</v>
      </c>
      <c r="O41" s="90">
        <f>I41/E41</f>
        <v>1274.5098039215686</v>
      </c>
      <c r="P41" s="90">
        <f>K41/E41</f>
        <v>0</v>
      </c>
      <c r="Q41" s="76">
        <v>4</v>
      </c>
      <c r="R41" s="76">
        <v>2</v>
      </c>
      <c r="S41" s="76" t="s">
        <v>61</v>
      </c>
      <c r="T41" s="5" t="s">
        <v>436</v>
      </c>
      <c r="U41" s="9"/>
      <c r="W41" s="85">
        <f t="shared" si="54"/>
        <v>167.6</v>
      </c>
      <c r="X41" s="86">
        <f t="shared" si="54"/>
        <v>51</v>
      </c>
      <c r="Y41" s="91">
        <f t="shared" si="55"/>
        <v>114</v>
      </c>
      <c r="Z41" s="89">
        <f t="shared" si="55"/>
        <v>65000</v>
      </c>
      <c r="AA41" s="89">
        <f>K41</f>
        <v>0</v>
      </c>
      <c r="AB41" s="89">
        <f t="shared" si="56"/>
        <v>65000</v>
      </c>
      <c r="AC41" s="4">
        <f t="shared" si="56"/>
        <v>0</v>
      </c>
      <c r="AD41" s="90">
        <f t="shared" si="56"/>
        <v>1274.5098039215686</v>
      </c>
      <c r="AE41" s="76" t="str">
        <f>S41</f>
        <v>계</v>
      </c>
      <c r="AF41" s="76" t="str">
        <f>Q41&amp;"/"&amp;R41</f>
        <v>4/2</v>
      </c>
      <c r="AH41" s="20" t="str">
        <f t="shared" si="53"/>
        <v>골든팰리스휴먼시아</v>
      </c>
      <c r="AI41" s="86">
        <f t="shared" si="52"/>
        <v>51</v>
      </c>
      <c r="AJ41" s="76" t="str">
        <f>IF(AI41="","",$AJ$2)</f>
        <v>A-</v>
      </c>
      <c r="AK41" s="76" t="s">
        <v>13</v>
      </c>
      <c r="AL41" s="76" t="s">
        <v>62</v>
      </c>
      <c r="AM41" s="76" t="s">
        <v>63</v>
      </c>
      <c r="AN41" s="76" t="str">
        <f>IF(AI41="","",$AN$2)</f>
        <v>C</v>
      </c>
      <c r="AO41" s="76" t="str">
        <f>IF(N41="","",IF(N41&gt;=$AO$1/100,"O","X"))</f>
        <v>X</v>
      </c>
      <c r="AP41" s="76" t="str">
        <f>IF(I41="","",IF(I41&lt;=$AP$1,"O","X"))</f>
        <v>X</v>
      </c>
      <c r="AQ41" s="76" t="str">
        <f>IF(O41="","",IF(O41&lt;=$AQ$1,"O","X"))</f>
        <v>O</v>
      </c>
      <c r="AR41" s="76" t="str">
        <f>IF(M41="","",IF(M41&lt;=$AR$1,"O","X"))</f>
        <v>X</v>
      </c>
      <c r="AS41" s="76" t="s">
        <v>2</v>
      </c>
      <c r="AT41" s="76" t="str">
        <f>IF(OR(F41="",AI41=""),"",IF(AND((F41&lt;=85),(AI41&gt;=15)),"O","X"))</f>
        <v>X</v>
      </c>
      <c r="AU41" s="76" t="str">
        <f>IF(C41="","",IF(C41&gt;=$AU$1,"O","X"))</f>
        <v>O</v>
      </c>
      <c r="AV41" s="76" t="str">
        <f>IF(AO41="","",IF(AND(AO41="O",AP41="O",AR41="O",AT41="O",AU41="O"),"후보","X"))</f>
        <v>X</v>
      </c>
    </row>
    <row r="42" spans="1:48" x14ac:dyDescent="0.3">
      <c r="A42" s="9" t="s">
        <v>1692</v>
      </c>
      <c r="B42" s="10" t="s">
        <v>1937</v>
      </c>
      <c r="C42" s="87">
        <v>340</v>
      </c>
      <c r="D42" s="85">
        <v>167.8</v>
      </c>
      <c r="E42" s="86">
        <v>51</v>
      </c>
      <c r="F42" s="85">
        <v>135</v>
      </c>
      <c r="G42" s="17">
        <v>41</v>
      </c>
      <c r="H42" s="87">
        <v>1</v>
      </c>
      <c r="I42" s="88"/>
      <c r="J42" s="88"/>
      <c r="K42" s="88"/>
      <c r="L42" s="88"/>
      <c r="M42" s="89">
        <f>I42-K42</f>
        <v>0</v>
      </c>
      <c r="N42" s="4" t="str">
        <f>IF(ISERROR(K42/I42),"",K42/I42)</f>
        <v/>
      </c>
      <c r="O42" s="90">
        <f>I42/E42</f>
        <v>0</v>
      </c>
      <c r="P42" s="90">
        <f>K42/E42</f>
        <v>0</v>
      </c>
      <c r="Q42" s="76">
        <v>4</v>
      </c>
      <c r="R42" s="76">
        <v>2</v>
      </c>
      <c r="S42" s="76" t="s">
        <v>61</v>
      </c>
      <c r="T42" s="5" t="s">
        <v>437</v>
      </c>
      <c r="U42" s="9"/>
      <c r="W42" s="85">
        <f t="shared" si="54"/>
        <v>167.8</v>
      </c>
      <c r="X42" s="86">
        <f t="shared" si="54"/>
        <v>51</v>
      </c>
      <c r="Y42" s="91">
        <f t="shared" si="55"/>
        <v>1</v>
      </c>
      <c r="Z42" s="89">
        <f t="shared" si="55"/>
        <v>0</v>
      </c>
      <c r="AA42" s="89">
        <f>K42</f>
        <v>0</v>
      </c>
      <c r="AB42" s="89">
        <f t="shared" si="56"/>
        <v>0</v>
      </c>
      <c r="AC42" s="4" t="str">
        <f t="shared" si="56"/>
        <v/>
      </c>
      <c r="AD42" s="90">
        <f t="shared" si="56"/>
        <v>0</v>
      </c>
      <c r="AE42" s="76" t="str">
        <f>S42</f>
        <v>계</v>
      </c>
      <c r="AF42" s="76" t="str">
        <f>Q42&amp;"/"&amp;R42</f>
        <v>4/2</v>
      </c>
      <c r="AH42" s="20" t="str">
        <f t="shared" si="53"/>
        <v>골든팰리스휴먼시아</v>
      </c>
      <c r="AI42" s="86">
        <f t="shared" si="52"/>
        <v>51</v>
      </c>
      <c r="AJ42" s="76" t="str">
        <f>IF(AI42="","",$AJ$2)</f>
        <v>A-</v>
      </c>
      <c r="AK42" s="76" t="s">
        <v>13</v>
      </c>
      <c r="AL42" s="76" t="s">
        <v>62</v>
      </c>
      <c r="AM42" s="76" t="s">
        <v>63</v>
      </c>
      <c r="AN42" s="76" t="str">
        <f>IF(AI42="","",$AN$2)</f>
        <v>C</v>
      </c>
      <c r="AO42" s="76" t="str">
        <f>IF(N42="","",IF(N42&gt;=$AO$1/100,"O","X"))</f>
        <v/>
      </c>
      <c r="AP42" s="76" t="str">
        <f>IF(I42="","",IF(I42&lt;=$AP$1,"O","X"))</f>
        <v/>
      </c>
      <c r="AQ42" s="76" t="str">
        <f>IF(O42="","",IF(O42&lt;=$AQ$1,"O","X"))</f>
        <v>O</v>
      </c>
      <c r="AR42" s="76" t="str">
        <f>IF(M42="","",IF(M42&lt;=$AR$1,"O","X"))</f>
        <v>O</v>
      </c>
      <c r="AS42" s="76" t="s">
        <v>2</v>
      </c>
      <c r="AT42" s="76" t="str">
        <f>IF(OR(F42="",AI42=""),"",IF(AND((F42&lt;=85),(AI42&gt;=15)),"O","X"))</f>
        <v>X</v>
      </c>
      <c r="AU42" s="76" t="str">
        <f>IF(C42="","",IF(C42&gt;=$AU$1,"O","X"))</f>
        <v>O</v>
      </c>
      <c r="AV42" s="76" t="str">
        <f>IF(AO42="","",IF(AND(AO42="O",AP42="O",AR42="O",AT42="O",AU42="O"),"후보","X"))</f>
        <v/>
      </c>
    </row>
    <row r="43" spans="1:48" x14ac:dyDescent="0.3">
      <c r="A43" s="9" t="s">
        <v>1692</v>
      </c>
      <c r="B43" s="10" t="s">
        <v>1937</v>
      </c>
      <c r="C43" s="87">
        <v>340</v>
      </c>
      <c r="D43" s="85">
        <v>186.2</v>
      </c>
      <c r="E43" s="86">
        <v>56</v>
      </c>
      <c r="F43" s="85">
        <v>149.80000000000001</v>
      </c>
      <c r="G43" s="17">
        <v>45</v>
      </c>
      <c r="H43" s="87">
        <v>64</v>
      </c>
      <c r="I43" s="88">
        <v>70000</v>
      </c>
      <c r="J43" s="88" t="s">
        <v>83</v>
      </c>
      <c r="K43" s="88"/>
      <c r="L43" s="88"/>
      <c r="M43" s="89">
        <f>I43-K43</f>
        <v>70000</v>
      </c>
      <c r="N43" s="4">
        <f>IF(ISERROR(K43/I43),"",K43/I43)</f>
        <v>0</v>
      </c>
      <c r="O43" s="90">
        <f>I43/E43</f>
        <v>1250</v>
      </c>
      <c r="P43" s="90">
        <f>K43/E43</f>
        <v>0</v>
      </c>
      <c r="Q43" s="76">
        <v>4</v>
      </c>
      <c r="R43" s="76">
        <v>2</v>
      </c>
      <c r="S43" s="76" t="s">
        <v>61</v>
      </c>
      <c r="T43" s="5" t="s">
        <v>438</v>
      </c>
      <c r="U43" s="9"/>
      <c r="W43" s="85">
        <f t="shared" si="54"/>
        <v>186.2</v>
      </c>
      <c r="X43" s="86">
        <f t="shared" si="54"/>
        <v>56</v>
      </c>
      <c r="Y43" s="91">
        <f t="shared" si="55"/>
        <v>64</v>
      </c>
      <c r="Z43" s="89">
        <f t="shared" si="55"/>
        <v>70000</v>
      </c>
      <c r="AA43" s="89">
        <f>K43</f>
        <v>0</v>
      </c>
      <c r="AB43" s="89">
        <f t="shared" si="56"/>
        <v>70000</v>
      </c>
      <c r="AC43" s="4">
        <f t="shared" si="56"/>
        <v>0</v>
      </c>
      <c r="AD43" s="90">
        <f t="shared" si="56"/>
        <v>1250</v>
      </c>
      <c r="AE43" s="76" t="str">
        <f>S43</f>
        <v>계</v>
      </c>
      <c r="AF43" s="76" t="str">
        <f>Q43&amp;"/"&amp;R43</f>
        <v>4/2</v>
      </c>
      <c r="AH43" s="20" t="str">
        <f t="shared" si="53"/>
        <v>골든팰리스휴먼시아</v>
      </c>
      <c r="AI43" s="86">
        <f t="shared" si="52"/>
        <v>56</v>
      </c>
      <c r="AJ43" s="76" t="str">
        <f>IF(AI43="","",$AJ$2)</f>
        <v>A-</v>
      </c>
      <c r="AK43" s="76" t="s">
        <v>13</v>
      </c>
      <c r="AL43" s="76" t="s">
        <v>62</v>
      </c>
      <c r="AM43" s="76" t="s">
        <v>63</v>
      </c>
      <c r="AN43" s="76" t="str">
        <f>IF(AI43="","",$AN$2)</f>
        <v>C</v>
      </c>
      <c r="AO43" s="76" t="str">
        <f>IF(N43="","",IF(N43&gt;=$AO$1/100,"O","X"))</f>
        <v>X</v>
      </c>
      <c r="AP43" s="76" t="str">
        <f>IF(I43="","",IF(I43&lt;=$AP$1,"O","X"))</f>
        <v>X</v>
      </c>
      <c r="AQ43" s="76" t="str">
        <f>IF(O43="","",IF(O43&lt;=$AQ$1,"O","X"))</f>
        <v>O</v>
      </c>
      <c r="AR43" s="76" t="str">
        <f>IF(M43="","",IF(M43&lt;=$AR$1,"O","X"))</f>
        <v>X</v>
      </c>
      <c r="AS43" s="76" t="s">
        <v>2</v>
      </c>
      <c r="AT43" s="76" t="str">
        <f>IF(OR(F43="",AI43=""),"",IF(AND((F43&lt;=85),(AI43&gt;=15)),"O","X"))</f>
        <v>X</v>
      </c>
      <c r="AU43" s="76" t="str">
        <f>IF(C43="","",IF(C43&gt;=$AU$1,"O","X"))</f>
        <v>O</v>
      </c>
      <c r="AV43" s="76" t="str">
        <f>IF(AO43="","",IF(AND(AO43="O",AP43="O",AR43="O",AT43="O",AU43="O"),"후보","X"))</f>
        <v>X</v>
      </c>
    </row>
    <row r="44" spans="1:48" x14ac:dyDescent="0.3">
      <c r="A44" s="9" t="s">
        <v>1692</v>
      </c>
      <c r="B44" s="10" t="s">
        <v>1937</v>
      </c>
      <c r="C44" s="87">
        <v>340</v>
      </c>
      <c r="D44" s="85">
        <v>186.4</v>
      </c>
      <c r="E44" s="86">
        <v>56</v>
      </c>
      <c r="F44" s="85">
        <v>150</v>
      </c>
      <c r="G44" s="17">
        <v>45</v>
      </c>
      <c r="H44" s="87">
        <v>3</v>
      </c>
      <c r="I44" s="88"/>
      <c r="J44" s="88"/>
      <c r="K44" s="88"/>
      <c r="L44" s="88"/>
      <c r="M44" s="89">
        <f>I44-K44</f>
        <v>0</v>
      </c>
      <c r="N44" s="4" t="str">
        <f>IF(ISERROR(K44/I44),"",K44/I44)</f>
        <v/>
      </c>
      <c r="O44" s="90">
        <f>I44/E44</f>
        <v>0</v>
      </c>
      <c r="P44" s="90">
        <f>K44/E44</f>
        <v>0</v>
      </c>
      <c r="Q44" s="76">
        <v>4</v>
      </c>
      <c r="R44" s="76">
        <v>2</v>
      </c>
      <c r="S44" s="76" t="s">
        <v>61</v>
      </c>
      <c r="T44" s="5" t="s">
        <v>439</v>
      </c>
      <c r="U44" s="9"/>
      <c r="W44" s="85">
        <f t="shared" si="54"/>
        <v>186.4</v>
      </c>
      <c r="X44" s="86">
        <f t="shared" si="54"/>
        <v>56</v>
      </c>
      <c r="Y44" s="91">
        <f t="shared" si="55"/>
        <v>3</v>
      </c>
      <c r="Z44" s="89">
        <f t="shared" si="55"/>
        <v>0</v>
      </c>
      <c r="AA44" s="89">
        <f>K44</f>
        <v>0</v>
      </c>
      <c r="AB44" s="89">
        <f t="shared" si="56"/>
        <v>0</v>
      </c>
      <c r="AC44" s="4" t="str">
        <f t="shared" si="56"/>
        <v/>
      </c>
      <c r="AD44" s="90">
        <f t="shared" si="56"/>
        <v>0</v>
      </c>
      <c r="AE44" s="76" t="str">
        <f>S44</f>
        <v>계</v>
      </c>
      <c r="AF44" s="76" t="str">
        <f>Q44&amp;"/"&amp;R44</f>
        <v>4/2</v>
      </c>
      <c r="AH44" s="20" t="str">
        <f t="shared" si="53"/>
        <v>골든팰리스휴먼시아</v>
      </c>
      <c r="AI44" s="86">
        <f t="shared" si="52"/>
        <v>56</v>
      </c>
      <c r="AJ44" s="76" t="str">
        <f>IF(AI44="","",$AJ$2)</f>
        <v>A-</v>
      </c>
      <c r="AK44" s="76" t="s">
        <v>13</v>
      </c>
      <c r="AL44" s="76" t="s">
        <v>62</v>
      </c>
      <c r="AM44" s="76" t="s">
        <v>63</v>
      </c>
      <c r="AN44" s="76" t="str">
        <f>IF(AI44="","",$AN$2)</f>
        <v>C</v>
      </c>
      <c r="AO44" s="76" t="str">
        <f>IF(N44="","",IF(N44&gt;=$AO$1/100,"O","X"))</f>
        <v/>
      </c>
      <c r="AP44" s="76" t="str">
        <f>IF(I44="","",IF(I44&lt;=$AP$1,"O","X"))</f>
        <v/>
      </c>
      <c r="AQ44" s="76" t="str">
        <f>IF(O44="","",IF(O44&lt;=$AQ$1,"O","X"))</f>
        <v>O</v>
      </c>
      <c r="AR44" s="76" t="str">
        <f>IF(M44="","",IF(M44&lt;=$AR$1,"O","X"))</f>
        <v>O</v>
      </c>
      <c r="AS44" s="76" t="s">
        <v>2</v>
      </c>
      <c r="AT44" s="76" t="str">
        <f>IF(OR(F44="",AI44=""),"",IF(AND((F44&lt;=85),(AI44&gt;=15)),"O","X"))</f>
        <v>X</v>
      </c>
      <c r="AU44" s="76" t="str">
        <f>IF(C44="","",IF(C44&gt;=$AU$1,"O","X"))</f>
        <v>O</v>
      </c>
      <c r="AV44" s="76" t="str">
        <f>IF(AO44="","",IF(AND(AO44="O",AP44="O",AR44="O",AT44="O",AU44="O"),"후보","X"))</f>
        <v/>
      </c>
    </row>
    <row r="45" spans="1:48" x14ac:dyDescent="0.3">
      <c r="A45" s="9"/>
      <c r="B45" s="76"/>
      <c r="C45" s="6"/>
      <c r="D45" s="9"/>
      <c r="E45" s="14"/>
      <c r="F45" s="85"/>
      <c r="G45" s="9"/>
      <c r="H45" s="9"/>
      <c r="I45" s="9"/>
      <c r="J45" s="9"/>
      <c r="K45" s="9"/>
      <c r="L45" s="9"/>
      <c r="M45" s="9"/>
      <c r="N45" s="9"/>
      <c r="O45" s="90"/>
      <c r="P45" s="90"/>
      <c r="Q45" s="86"/>
      <c r="R45" s="86"/>
      <c r="S45" s="9"/>
      <c r="T45" s="47"/>
      <c r="U45" s="9"/>
      <c r="W45" s="67" t="str">
        <f>$A$4&amp;" "&amp;A46&amp;"("&amp;B46&amp;","&amp;C46&amp;"^)"</f>
        <v>효자동2가 아르팰리스휴먼시아8단지('10.11.,604^)</v>
      </c>
      <c r="X45" s="68"/>
      <c r="Y45" s="68"/>
      <c r="Z45" s="68"/>
      <c r="AA45" s="68"/>
      <c r="AB45" s="68"/>
      <c r="AC45" s="68"/>
      <c r="AD45" s="68"/>
      <c r="AE45" s="68"/>
      <c r="AF45" s="69"/>
      <c r="AH45" s="20" t="str">
        <f t="shared" si="53"/>
        <v/>
      </c>
      <c r="AI45" s="108" t="str">
        <f t="shared" si="52"/>
        <v/>
      </c>
      <c r="AJ45" s="76"/>
      <c r="AK45" s="76"/>
      <c r="AL45" s="76"/>
      <c r="AM45" s="76"/>
      <c r="AN45" s="76"/>
      <c r="AO45" s="76"/>
      <c r="AP45" s="76"/>
      <c r="AQ45" s="76"/>
      <c r="AR45" s="76"/>
      <c r="AS45" s="76"/>
      <c r="AT45" s="76"/>
      <c r="AU45" s="76"/>
      <c r="AV45" s="76"/>
    </row>
    <row r="46" spans="1:48" x14ac:dyDescent="0.3">
      <c r="A46" s="9" t="s">
        <v>1697</v>
      </c>
      <c r="B46" s="10" t="s">
        <v>1938</v>
      </c>
      <c r="C46" s="87">
        <v>604</v>
      </c>
      <c r="D46" s="85">
        <v>102.9</v>
      </c>
      <c r="E46" s="86">
        <v>31</v>
      </c>
      <c r="F46" s="85">
        <v>74.7</v>
      </c>
      <c r="G46" s="17">
        <v>23</v>
      </c>
      <c r="H46" s="87">
        <v>38</v>
      </c>
      <c r="I46" s="88">
        <v>39000</v>
      </c>
      <c r="J46" s="88" t="s">
        <v>111</v>
      </c>
      <c r="K46" s="88"/>
      <c r="L46" s="88"/>
      <c r="M46" s="89">
        <f t="shared" ref="M46:M51" si="57">I46-K46</f>
        <v>39000</v>
      </c>
      <c r="N46" s="4">
        <f t="shared" ref="N46:N51" si="58">IF(ISERROR(K46/I46),"",K46/I46)</f>
        <v>0</v>
      </c>
      <c r="O46" s="90">
        <f t="shared" ref="O46:O51" si="59">I46/E46</f>
        <v>1258.0645161290322</v>
      </c>
      <c r="P46" s="90">
        <f t="shared" ref="P46:P51" si="60">K46/E46</f>
        <v>0</v>
      </c>
      <c r="Q46" s="76">
        <v>3</v>
      </c>
      <c r="R46" s="76">
        <v>2</v>
      </c>
      <c r="S46" s="76" t="s">
        <v>61</v>
      </c>
      <c r="T46" s="5" t="s">
        <v>400</v>
      </c>
      <c r="U46" s="9"/>
      <c r="W46" s="85">
        <f t="shared" ref="W46:X51" si="61">D46</f>
        <v>102.9</v>
      </c>
      <c r="X46" s="86">
        <f t="shared" si="61"/>
        <v>31</v>
      </c>
      <c r="Y46" s="91">
        <f t="shared" ref="Y46:Z51" si="62">H46</f>
        <v>38</v>
      </c>
      <c r="Z46" s="89">
        <f t="shared" si="62"/>
        <v>39000</v>
      </c>
      <c r="AA46" s="89">
        <f t="shared" ref="AA46:AA51" si="63">K46</f>
        <v>0</v>
      </c>
      <c r="AB46" s="89">
        <f t="shared" ref="AB46:AD51" si="64">M46</f>
        <v>39000</v>
      </c>
      <c r="AC46" s="4">
        <f t="shared" si="64"/>
        <v>0</v>
      </c>
      <c r="AD46" s="90">
        <f t="shared" si="64"/>
        <v>1258.0645161290322</v>
      </c>
      <c r="AE46" s="76" t="str">
        <f t="shared" ref="AE46:AE51" si="65">S46</f>
        <v>계</v>
      </c>
      <c r="AF46" s="76" t="str">
        <f t="shared" ref="AF46:AF51" si="66">Q46&amp;"/"&amp;R46</f>
        <v>3/2</v>
      </c>
      <c r="AH46" s="20" t="str">
        <f t="shared" si="53"/>
        <v>아르팰리스휴먼시아8단지</v>
      </c>
      <c r="AI46" s="86">
        <f t="shared" si="52"/>
        <v>31</v>
      </c>
      <c r="AJ46" s="76" t="str">
        <f t="shared" ref="AJ46:AJ51" si="67">IF(AI46="","",$AJ$2)</f>
        <v>A-</v>
      </c>
      <c r="AK46" s="76" t="s">
        <v>13</v>
      </c>
      <c r="AL46" s="76" t="s">
        <v>62</v>
      </c>
      <c r="AM46" s="76" t="s">
        <v>63</v>
      </c>
      <c r="AN46" s="76" t="str">
        <f t="shared" ref="AN46:AN51" si="68">IF(AI46="","",$AN$2)</f>
        <v>C</v>
      </c>
      <c r="AO46" s="76" t="str">
        <f t="shared" ref="AO46:AO51" si="69">IF(N46="","",IF(N46&gt;=$AO$1/100,"O","X"))</f>
        <v>X</v>
      </c>
      <c r="AP46" s="76" t="str">
        <f t="shared" ref="AP46:AP51" si="70">IF(I46="","",IF(I46&lt;=$AP$1,"O","X"))</f>
        <v>O</v>
      </c>
      <c r="AQ46" s="76" t="str">
        <f t="shared" ref="AQ46:AQ51" si="71">IF(O46="","",IF(O46&lt;=$AQ$1,"O","X"))</f>
        <v>O</v>
      </c>
      <c r="AR46" s="76" t="str">
        <f t="shared" ref="AR46:AR51" si="72">IF(M46="","",IF(M46&lt;=$AR$1,"O","X"))</f>
        <v>X</v>
      </c>
      <c r="AS46" s="76" t="s">
        <v>2</v>
      </c>
      <c r="AT46" s="76" t="str">
        <f t="shared" ref="AT46:AT51" si="73">IF(OR(F46="",AI46=""),"",IF(AND((F46&lt;=85),(AI46&gt;=15)),"O","X"))</f>
        <v>O</v>
      </c>
      <c r="AU46" s="76" t="str">
        <f t="shared" ref="AU46:AU51" si="74">IF(C46="","",IF(C46&gt;=$AU$1,"O","X"))</f>
        <v>O</v>
      </c>
      <c r="AV46" s="76" t="str">
        <f t="shared" ref="AV46:AV51" si="75">IF(AO46="","",IF(AND(AO46="O",AP46="O",AR46="O",AT46="O",AU46="O"),"후보","X"))</f>
        <v>X</v>
      </c>
    </row>
    <row r="47" spans="1:48" x14ac:dyDescent="0.3">
      <c r="A47" s="9" t="s">
        <v>1697</v>
      </c>
      <c r="B47" s="10" t="s">
        <v>1938</v>
      </c>
      <c r="C47" s="87">
        <v>604</v>
      </c>
      <c r="D47" s="85">
        <v>103.1</v>
      </c>
      <c r="E47" s="86">
        <v>31</v>
      </c>
      <c r="F47" s="85">
        <v>74.900000000000006</v>
      </c>
      <c r="G47" s="17">
        <v>23</v>
      </c>
      <c r="H47" s="87">
        <v>40</v>
      </c>
      <c r="I47" s="88">
        <v>39500</v>
      </c>
      <c r="J47" s="88" t="s">
        <v>75</v>
      </c>
      <c r="K47" s="88"/>
      <c r="L47" s="88"/>
      <c r="M47" s="89">
        <f t="shared" si="57"/>
        <v>39500</v>
      </c>
      <c r="N47" s="4">
        <f t="shared" si="58"/>
        <v>0</v>
      </c>
      <c r="O47" s="90">
        <f t="shared" si="59"/>
        <v>1274.1935483870968</v>
      </c>
      <c r="P47" s="90">
        <f t="shared" si="60"/>
        <v>0</v>
      </c>
      <c r="Q47" s="76">
        <v>3</v>
      </c>
      <c r="R47" s="76">
        <v>2</v>
      </c>
      <c r="S47" s="76" t="s">
        <v>61</v>
      </c>
      <c r="T47" s="5" t="s">
        <v>226</v>
      </c>
      <c r="U47" s="9"/>
      <c r="W47" s="85">
        <f t="shared" si="61"/>
        <v>103.1</v>
      </c>
      <c r="X47" s="86">
        <f t="shared" si="61"/>
        <v>31</v>
      </c>
      <c r="Y47" s="91">
        <f t="shared" si="62"/>
        <v>40</v>
      </c>
      <c r="Z47" s="89">
        <f t="shared" si="62"/>
        <v>39500</v>
      </c>
      <c r="AA47" s="89">
        <f t="shared" si="63"/>
        <v>0</v>
      </c>
      <c r="AB47" s="89">
        <f t="shared" si="64"/>
        <v>39500</v>
      </c>
      <c r="AC47" s="4">
        <f t="shared" si="64"/>
        <v>0</v>
      </c>
      <c r="AD47" s="90">
        <f t="shared" si="64"/>
        <v>1274.1935483870968</v>
      </c>
      <c r="AE47" s="76" t="str">
        <f t="shared" si="65"/>
        <v>계</v>
      </c>
      <c r="AF47" s="76" t="str">
        <f t="shared" si="66"/>
        <v>3/2</v>
      </c>
      <c r="AH47" s="20" t="str">
        <f t="shared" si="53"/>
        <v>아르팰리스휴먼시아8단지</v>
      </c>
      <c r="AI47" s="86">
        <f t="shared" si="52"/>
        <v>31</v>
      </c>
      <c r="AJ47" s="76" t="str">
        <f t="shared" si="67"/>
        <v>A-</v>
      </c>
      <c r="AK47" s="76" t="s">
        <v>13</v>
      </c>
      <c r="AL47" s="76" t="s">
        <v>62</v>
      </c>
      <c r="AM47" s="76" t="s">
        <v>63</v>
      </c>
      <c r="AN47" s="76" t="str">
        <f t="shared" si="68"/>
        <v>C</v>
      </c>
      <c r="AO47" s="76" t="str">
        <f t="shared" si="69"/>
        <v>X</v>
      </c>
      <c r="AP47" s="76" t="str">
        <f t="shared" si="70"/>
        <v>O</v>
      </c>
      <c r="AQ47" s="76" t="str">
        <f t="shared" si="71"/>
        <v>O</v>
      </c>
      <c r="AR47" s="76" t="str">
        <f t="shared" si="72"/>
        <v>X</v>
      </c>
      <c r="AS47" s="76" t="s">
        <v>2</v>
      </c>
      <c r="AT47" s="76" t="str">
        <f t="shared" si="73"/>
        <v>O</v>
      </c>
      <c r="AU47" s="76" t="str">
        <f t="shared" si="74"/>
        <v>O</v>
      </c>
      <c r="AV47" s="76" t="str">
        <f t="shared" si="75"/>
        <v>X</v>
      </c>
    </row>
    <row r="48" spans="1:48" x14ac:dyDescent="0.3">
      <c r="A48" s="9" t="s">
        <v>1697</v>
      </c>
      <c r="B48" s="10" t="s">
        <v>1938</v>
      </c>
      <c r="C48" s="87">
        <v>604</v>
      </c>
      <c r="D48" s="85">
        <v>116.6</v>
      </c>
      <c r="E48" s="86">
        <v>35</v>
      </c>
      <c r="F48" s="85">
        <v>84.7</v>
      </c>
      <c r="G48" s="17">
        <v>26</v>
      </c>
      <c r="H48" s="87">
        <v>220</v>
      </c>
      <c r="I48" s="88">
        <v>43700</v>
      </c>
      <c r="J48" s="88" t="s">
        <v>111</v>
      </c>
      <c r="K48" s="88">
        <v>37000</v>
      </c>
      <c r="L48" s="88" t="s">
        <v>90</v>
      </c>
      <c r="M48" s="89">
        <f t="shared" si="57"/>
        <v>6700</v>
      </c>
      <c r="N48" s="4">
        <f t="shared" si="58"/>
        <v>0.84668192219679639</v>
      </c>
      <c r="O48" s="90">
        <f t="shared" si="59"/>
        <v>1248.5714285714287</v>
      </c>
      <c r="P48" s="90">
        <f t="shared" si="60"/>
        <v>1057.1428571428571</v>
      </c>
      <c r="Q48" s="76">
        <v>3</v>
      </c>
      <c r="R48" s="76">
        <v>2</v>
      </c>
      <c r="S48" s="76" t="s">
        <v>61</v>
      </c>
      <c r="T48" s="5" t="s">
        <v>442</v>
      </c>
      <c r="U48" s="9"/>
      <c r="W48" s="85">
        <f t="shared" si="61"/>
        <v>116.6</v>
      </c>
      <c r="X48" s="86">
        <f t="shared" si="61"/>
        <v>35</v>
      </c>
      <c r="Y48" s="91">
        <f t="shared" si="62"/>
        <v>220</v>
      </c>
      <c r="Z48" s="89">
        <f t="shared" si="62"/>
        <v>43700</v>
      </c>
      <c r="AA48" s="89">
        <f t="shared" si="63"/>
        <v>37000</v>
      </c>
      <c r="AB48" s="89">
        <f t="shared" si="64"/>
        <v>6700</v>
      </c>
      <c r="AC48" s="4">
        <f t="shared" si="64"/>
        <v>0.84668192219679639</v>
      </c>
      <c r="AD48" s="90">
        <f t="shared" si="64"/>
        <v>1248.5714285714287</v>
      </c>
      <c r="AE48" s="76" t="str">
        <f t="shared" si="65"/>
        <v>계</v>
      </c>
      <c r="AF48" s="76" t="str">
        <f t="shared" si="66"/>
        <v>3/2</v>
      </c>
      <c r="AH48" s="20" t="str">
        <f t="shared" si="53"/>
        <v>아르팰리스휴먼시아8단지</v>
      </c>
      <c r="AI48" s="86">
        <f t="shared" si="52"/>
        <v>35</v>
      </c>
      <c r="AJ48" s="76" t="str">
        <f t="shared" si="67"/>
        <v>A-</v>
      </c>
      <c r="AK48" s="76" t="s">
        <v>13</v>
      </c>
      <c r="AL48" s="76" t="s">
        <v>62</v>
      </c>
      <c r="AM48" s="76" t="s">
        <v>63</v>
      </c>
      <c r="AN48" s="76" t="str">
        <f t="shared" si="68"/>
        <v>C</v>
      </c>
      <c r="AO48" s="76" t="str">
        <f t="shared" si="69"/>
        <v>O</v>
      </c>
      <c r="AP48" s="76" t="str">
        <f t="shared" si="70"/>
        <v>O</v>
      </c>
      <c r="AQ48" s="76" t="str">
        <f t="shared" si="71"/>
        <v>O</v>
      </c>
      <c r="AR48" s="76" t="str">
        <f t="shared" si="72"/>
        <v>X</v>
      </c>
      <c r="AS48" s="76" t="s">
        <v>2</v>
      </c>
      <c r="AT48" s="76" t="str">
        <f t="shared" si="73"/>
        <v>O</v>
      </c>
      <c r="AU48" s="76" t="str">
        <f t="shared" si="74"/>
        <v>O</v>
      </c>
      <c r="AV48" s="76" t="str">
        <f t="shared" si="75"/>
        <v>X</v>
      </c>
    </row>
    <row r="49" spans="1:48" x14ac:dyDescent="0.3">
      <c r="A49" s="9" t="s">
        <v>1697</v>
      </c>
      <c r="B49" s="10" t="s">
        <v>1938</v>
      </c>
      <c r="C49" s="87">
        <v>604</v>
      </c>
      <c r="D49" s="85">
        <v>117</v>
      </c>
      <c r="E49" s="86">
        <v>35</v>
      </c>
      <c r="F49" s="85">
        <v>85</v>
      </c>
      <c r="G49" s="17">
        <v>26</v>
      </c>
      <c r="H49" s="87">
        <v>220</v>
      </c>
      <c r="I49" s="88">
        <v>43000</v>
      </c>
      <c r="J49" s="88" t="s">
        <v>75</v>
      </c>
      <c r="K49" s="88"/>
      <c r="L49" s="88"/>
      <c r="M49" s="89">
        <f t="shared" si="57"/>
        <v>43000</v>
      </c>
      <c r="N49" s="4">
        <f t="shared" si="58"/>
        <v>0</v>
      </c>
      <c r="O49" s="90">
        <f t="shared" si="59"/>
        <v>1228.5714285714287</v>
      </c>
      <c r="P49" s="90">
        <f t="shared" si="60"/>
        <v>0</v>
      </c>
      <c r="Q49" s="76">
        <v>3</v>
      </c>
      <c r="R49" s="76">
        <v>2</v>
      </c>
      <c r="S49" s="76" t="s">
        <v>61</v>
      </c>
      <c r="T49" s="5" t="s">
        <v>443</v>
      </c>
      <c r="U49" s="9"/>
      <c r="W49" s="85">
        <f t="shared" si="61"/>
        <v>117</v>
      </c>
      <c r="X49" s="86">
        <f t="shared" si="61"/>
        <v>35</v>
      </c>
      <c r="Y49" s="91">
        <f t="shared" si="62"/>
        <v>220</v>
      </c>
      <c r="Z49" s="89">
        <f t="shared" si="62"/>
        <v>43000</v>
      </c>
      <c r="AA49" s="89">
        <f t="shared" si="63"/>
        <v>0</v>
      </c>
      <c r="AB49" s="89">
        <f t="shared" si="64"/>
        <v>43000</v>
      </c>
      <c r="AC49" s="4">
        <f t="shared" si="64"/>
        <v>0</v>
      </c>
      <c r="AD49" s="90">
        <f t="shared" si="64"/>
        <v>1228.5714285714287</v>
      </c>
      <c r="AE49" s="76" t="str">
        <f t="shared" si="65"/>
        <v>계</v>
      </c>
      <c r="AF49" s="76" t="str">
        <f t="shared" si="66"/>
        <v>3/2</v>
      </c>
      <c r="AH49" s="20" t="str">
        <f t="shared" si="53"/>
        <v>아르팰리스휴먼시아8단지</v>
      </c>
      <c r="AI49" s="86">
        <f t="shared" si="52"/>
        <v>35</v>
      </c>
      <c r="AJ49" s="76" t="str">
        <f t="shared" si="67"/>
        <v>A-</v>
      </c>
      <c r="AK49" s="76" t="s">
        <v>13</v>
      </c>
      <c r="AL49" s="76" t="s">
        <v>62</v>
      </c>
      <c r="AM49" s="76" t="s">
        <v>63</v>
      </c>
      <c r="AN49" s="76" t="str">
        <f t="shared" si="68"/>
        <v>C</v>
      </c>
      <c r="AO49" s="76" t="str">
        <f t="shared" si="69"/>
        <v>X</v>
      </c>
      <c r="AP49" s="76" t="str">
        <f t="shared" si="70"/>
        <v>O</v>
      </c>
      <c r="AQ49" s="76" t="str">
        <f t="shared" si="71"/>
        <v>O</v>
      </c>
      <c r="AR49" s="76" t="str">
        <f t="shared" si="72"/>
        <v>X</v>
      </c>
      <c r="AS49" s="76" t="s">
        <v>2</v>
      </c>
      <c r="AT49" s="76" t="str">
        <f t="shared" si="73"/>
        <v>O</v>
      </c>
      <c r="AU49" s="76" t="str">
        <f t="shared" si="74"/>
        <v>O</v>
      </c>
      <c r="AV49" s="76" t="str">
        <f t="shared" si="75"/>
        <v>X</v>
      </c>
    </row>
    <row r="50" spans="1:48" x14ac:dyDescent="0.3">
      <c r="A50" s="9" t="s">
        <v>1697</v>
      </c>
      <c r="B50" s="10" t="s">
        <v>1938</v>
      </c>
      <c r="C50" s="87">
        <v>604</v>
      </c>
      <c r="D50" s="85">
        <v>117</v>
      </c>
      <c r="E50" s="86">
        <v>35</v>
      </c>
      <c r="F50" s="85">
        <v>85</v>
      </c>
      <c r="G50" s="17">
        <v>26</v>
      </c>
      <c r="H50" s="87">
        <v>44</v>
      </c>
      <c r="I50" s="88">
        <v>43000</v>
      </c>
      <c r="J50" s="88" t="s">
        <v>75</v>
      </c>
      <c r="K50" s="88"/>
      <c r="L50" s="88"/>
      <c r="M50" s="89">
        <f t="shared" si="57"/>
        <v>43000</v>
      </c>
      <c r="N50" s="4">
        <f t="shared" si="58"/>
        <v>0</v>
      </c>
      <c r="O50" s="90">
        <f t="shared" si="59"/>
        <v>1228.5714285714287</v>
      </c>
      <c r="P50" s="90">
        <f t="shared" si="60"/>
        <v>0</v>
      </c>
      <c r="Q50" s="76">
        <v>3</v>
      </c>
      <c r="R50" s="76">
        <v>2</v>
      </c>
      <c r="S50" s="76" t="s">
        <v>61</v>
      </c>
      <c r="T50" s="5" t="s">
        <v>444</v>
      </c>
      <c r="U50" s="9"/>
      <c r="W50" s="85">
        <f t="shared" si="61"/>
        <v>117</v>
      </c>
      <c r="X50" s="86">
        <f t="shared" si="61"/>
        <v>35</v>
      </c>
      <c r="Y50" s="91">
        <f t="shared" si="62"/>
        <v>44</v>
      </c>
      <c r="Z50" s="89">
        <f t="shared" si="62"/>
        <v>43000</v>
      </c>
      <c r="AA50" s="89">
        <f t="shared" si="63"/>
        <v>0</v>
      </c>
      <c r="AB50" s="89">
        <f t="shared" si="64"/>
        <v>43000</v>
      </c>
      <c r="AC50" s="4">
        <f t="shared" si="64"/>
        <v>0</v>
      </c>
      <c r="AD50" s="90">
        <f t="shared" si="64"/>
        <v>1228.5714285714287</v>
      </c>
      <c r="AE50" s="76" t="str">
        <f t="shared" si="65"/>
        <v>계</v>
      </c>
      <c r="AF50" s="76" t="str">
        <f t="shared" si="66"/>
        <v>3/2</v>
      </c>
      <c r="AH50" s="20" t="str">
        <f t="shared" si="53"/>
        <v>아르팰리스휴먼시아8단지</v>
      </c>
      <c r="AI50" s="86">
        <f t="shared" si="52"/>
        <v>35</v>
      </c>
      <c r="AJ50" s="76" t="str">
        <f t="shared" si="67"/>
        <v>A-</v>
      </c>
      <c r="AK50" s="76" t="s">
        <v>13</v>
      </c>
      <c r="AL50" s="76" t="s">
        <v>62</v>
      </c>
      <c r="AM50" s="76" t="s">
        <v>63</v>
      </c>
      <c r="AN50" s="76" t="str">
        <f t="shared" si="68"/>
        <v>C</v>
      </c>
      <c r="AO50" s="76" t="str">
        <f t="shared" si="69"/>
        <v>X</v>
      </c>
      <c r="AP50" s="76" t="str">
        <f t="shared" si="70"/>
        <v>O</v>
      </c>
      <c r="AQ50" s="76" t="str">
        <f t="shared" si="71"/>
        <v>O</v>
      </c>
      <c r="AR50" s="76" t="str">
        <f t="shared" si="72"/>
        <v>X</v>
      </c>
      <c r="AS50" s="76" t="s">
        <v>2</v>
      </c>
      <c r="AT50" s="76" t="str">
        <f t="shared" si="73"/>
        <v>O</v>
      </c>
      <c r="AU50" s="76" t="str">
        <f t="shared" si="74"/>
        <v>O</v>
      </c>
      <c r="AV50" s="76" t="str">
        <f t="shared" si="75"/>
        <v>X</v>
      </c>
    </row>
    <row r="51" spans="1:48" x14ac:dyDescent="0.3">
      <c r="A51" s="9" t="s">
        <v>1697</v>
      </c>
      <c r="B51" s="10" t="s">
        <v>1938</v>
      </c>
      <c r="C51" s="87">
        <v>604</v>
      </c>
      <c r="D51" s="85">
        <v>117</v>
      </c>
      <c r="E51" s="86">
        <v>35</v>
      </c>
      <c r="F51" s="85">
        <v>85</v>
      </c>
      <c r="G51" s="17">
        <v>26</v>
      </c>
      <c r="H51" s="87">
        <v>42</v>
      </c>
      <c r="I51" s="88">
        <v>43000</v>
      </c>
      <c r="J51" s="88" t="s">
        <v>75</v>
      </c>
      <c r="K51" s="88"/>
      <c r="L51" s="88"/>
      <c r="M51" s="89">
        <f t="shared" si="57"/>
        <v>43000</v>
      </c>
      <c r="N51" s="4">
        <f t="shared" si="58"/>
        <v>0</v>
      </c>
      <c r="O51" s="90">
        <f t="shared" si="59"/>
        <v>1228.5714285714287</v>
      </c>
      <c r="P51" s="90">
        <f t="shared" si="60"/>
        <v>0</v>
      </c>
      <c r="Q51" s="76">
        <v>3</v>
      </c>
      <c r="R51" s="76">
        <v>2</v>
      </c>
      <c r="S51" s="76" t="s">
        <v>61</v>
      </c>
      <c r="T51" s="5" t="s">
        <v>445</v>
      </c>
      <c r="U51" s="9"/>
      <c r="W51" s="85">
        <f t="shared" si="61"/>
        <v>117</v>
      </c>
      <c r="X51" s="86">
        <f t="shared" si="61"/>
        <v>35</v>
      </c>
      <c r="Y51" s="91">
        <f t="shared" si="62"/>
        <v>42</v>
      </c>
      <c r="Z51" s="89">
        <f t="shared" si="62"/>
        <v>43000</v>
      </c>
      <c r="AA51" s="89">
        <f t="shared" si="63"/>
        <v>0</v>
      </c>
      <c r="AB51" s="89">
        <f t="shared" si="64"/>
        <v>43000</v>
      </c>
      <c r="AC51" s="4">
        <f t="shared" si="64"/>
        <v>0</v>
      </c>
      <c r="AD51" s="90">
        <f t="shared" si="64"/>
        <v>1228.5714285714287</v>
      </c>
      <c r="AE51" s="76" t="str">
        <f t="shared" si="65"/>
        <v>계</v>
      </c>
      <c r="AF51" s="76" t="str">
        <f t="shared" si="66"/>
        <v>3/2</v>
      </c>
      <c r="AH51" s="20" t="str">
        <f t="shared" si="53"/>
        <v>아르팰리스휴먼시아8단지</v>
      </c>
      <c r="AI51" s="86">
        <f t="shared" si="52"/>
        <v>35</v>
      </c>
      <c r="AJ51" s="76" t="str">
        <f t="shared" si="67"/>
        <v>A-</v>
      </c>
      <c r="AK51" s="76" t="s">
        <v>13</v>
      </c>
      <c r="AL51" s="76" t="s">
        <v>62</v>
      </c>
      <c r="AM51" s="76" t="s">
        <v>63</v>
      </c>
      <c r="AN51" s="76" t="str">
        <f t="shared" si="68"/>
        <v>C</v>
      </c>
      <c r="AO51" s="76" t="str">
        <f t="shared" si="69"/>
        <v>X</v>
      </c>
      <c r="AP51" s="76" t="str">
        <f t="shared" si="70"/>
        <v>O</v>
      </c>
      <c r="AQ51" s="76" t="str">
        <f t="shared" si="71"/>
        <v>O</v>
      </c>
      <c r="AR51" s="76" t="str">
        <f t="shared" si="72"/>
        <v>X</v>
      </c>
      <c r="AS51" s="76" t="s">
        <v>2</v>
      </c>
      <c r="AT51" s="76" t="str">
        <f t="shared" si="73"/>
        <v>O</v>
      </c>
      <c r="AU51" s="76" t="str">
        <f t="shared" si="74"/>
        <v>O</v>
      </c>
      <c r="AV51" s="76" t="str">
        <f t="shared" si="75"/>
        <v>X</v>
      </c>
    </row>
    <row r="52" spans="1:48" x14ac:dyDescent="0.3">
      <c r="A52" s="9"/>
      <c r="B52" s="76"/>
      <c r="C52" s="6"/>
      <c r="D52" s="9"/>
      <c r="E52" s="14"/>
      <c r="F52" s="85"/>
      <c r="G52" s="9"/>
      <c r="H52" s="9"/>
      <c r="I52" s="9"/>
      <c r="J52" s="9"/>
      <c r="K52" s="9"/>
      <c r="L52" s="9"/>
      <c r="M52" s="9"/>
      <c r="N52" s="9"/>
      <c r="O52" s="90"/>
      <c r="P52" s="90"/>
      <c r="Q52" s="86"/>
      <c r="R52" s="86"/>
      <c r="S52" s="9"/>
      <c r="T52" s="47"/>
      <c r="U52" s="9"/>
      <c r="W52" s="67" t="str">
        <f>$A$4&amp;" "&amp;A53&amp;"("&amp;B53&amp;","&amp;C53&amp;"^)"</f>
        <v>효자동2가 LH세븐팰리스('13.12.,560^)</v>
      </c>
      <c r="X52" s="68"/>
      <c r="Y52" s="68"/>
      <c r="Z52" s="68"/>
      <c r="AA52" s="68"/>
      <c r="AB52" s="68"/>
      <c r="AC52" s="68"/>
      <c r="AD52" s="68"/>
      <c r="AE52" s="68"/>
      <c r="AF52" s="69"/>
      <c r="AH52" s="20" t="str">
        <f t="shared" si="53"/>
        <v/>
      </c>
      <c r="AI52" s="108" t="str">
        <f t="shared" si="52"/>
        <v/>
      </c>
      <c r="AJ52" s="76"/>
      <c r="AK52" s="76"/>
      <c r="AL52" s="76"/>
      <c r="AM52" s="76"/>
      <c r="AN52" s="76"/>
      <c r="AO52" s="76"/>
      <c r="AP52" s="76"/>
      <c r="AQ52" s="76"/>
      <c r="AR52" s="76"/>
      <c r="AS52" s="76"/>
      <c r="AT52" s="76"/>
      <c r="AU52" s="76"/>
      <c r="AV52" s="76"/>
    </row>
    <row r="53" spans="1:48" x14ac:dyDescent="0.3">
      <c r="A53" s="9" t="s">
        <v>1702</v>
      </c>
      <c r="B53" s="10" t="s">
        <v>1897</v>
      </c>
      <c r="C53" s="87">
        <v>560</v>
      </c>
      <c r="D53" s="85">
        <v>109.9</v>
      </c>
      <c r="E53" s="86">
        <v>33</v>
      </c>
      <c r="F53" s="85">
        <v>84.7</v>
      </c>
      <c r="G53" s="17">
        <v>26</v>
      </c>
      <c r="H53" s="87">
        <v>379</v>
      </c>
      <c r="I53" s="88">
        <v>43000</v>
      </c>
      <c r="J53" s="88" t="s">
        <v>89</v>
      </c>
      <c r="K53" s="88">
        <v>36000</v>
      </c>
      <c r="L53" s="88" t="s">
        <v>189</v>
      </c>
      <c r="M53" s="89">
        <f>I53-K53</f>
        <v>7000</v>
      </c>
      <c r="N53" s="4">
        <f>IF(ISERROR(K53/I53),"",K53/I53)</f>
        <v>0.83720930232558144</v>
      </c>
      <c r="O53" s="90">
        <f>I53/E53</f>
        <v>1303.030303030303</v>
      </c>
      <c r="P53" s="90">
        <f>K53/E53</f>
        <v>1090.909090909091</v>
      </c>
      <c r="Q53" s="76">
        <v>3</v>
      </c>
      <c r="R53" s="76">
        <v>2</v>
      </c>
      <c r="S53" s="76" t="s">
        <v>61</v>
      </c>
      <c r="T53" s="5" t="s">
        <v>124</v>
      </c>
      <c r="U53" s="9"/>
      <c r="W53" s="85">
        <f t="shared" ref="W53:X56" si="76">D53</f>
        <v>109.9</v>
      </c>
      <c r="X53" s="86">
        <f t="shared" si="76"/>
        <v>33</v>
      </c>
      <c r="Y53" s="91">
        <f t="shared" ref="Y53:Z56" si="77">H53</f>
        <v>379</v>
      </c>
      <c r="Z53" s="89">
        <f t="shared" si="77"/>
        <v>43000</v>
      </c>
      <c r="AA53" s="89">
        <f>K53</f>
        <v>36000</v>
      </c>
      <c r="AB53" s="89">
        <f t="shared" ref="AB53:AD56" si="78">M53</f>
        <v>7000</v>
      </c>
      <c r="AC53" s="4">
        <f t="shared" si="78"/>
        <v>0.83720930232558144</v>
      </c>
      <c r="AD53" s="90">
        <f t="shared" si="78"/>
        <v>1303.030303030303</v>
      </c>
      <c r="AE53" s="76" t="str">
        <f>S53</f>
        <v>계</v>
      </c>
      <c r="AF53" s="76" t="str">
        <f>Q53&amp;"/"&amp;R53</f>
        <v>3/2</v>
      </c>
      <c r="AH53" s="20" t="str">
        <f t="shared" si="53"/>
        <v>LH세븐팰리스</v>
      </c>
      <c r="AI53" s="86">
        <f t="shared" si="52"/>
        <v>33</v>
      </c>
      <c r="AJ53" s="76" t="str">
        <f>IF(AI53="","",$AJ$2)</f>
        <v>A-</v>
      </c>
      <c r="AK53" s="76" t="s">
        <v>13</v>
      </c>
      <c r="AL53" s="76" t="s">
        <v>62</v>
      </c>
      <c r="AM53" s="76" t="s">
        <v>63</v>
      </c>
      <c r="AN53" s="76" t="str">
        <f>IF(AI53="","",$AN$2)</f>
        <v>C</v>
      </c>
      <c r="AO53" s="76" t="str">
        <f>IF(N53="","",IF(N53&gt;=$AO$1/100,"O","X"))</f>
        <v>O</v>
      </c>
      <c r="AP53" s="76" t="str">
        <f>IF(I53="","",IF(I53&lt;=$AP$1,"O","X"))</f>
        <v>O</v>
      </c>
      <c r="AQ53" s="76" t="str">
        <f>IF(O53="","",IF(O53&lt;=$AQ$1,"O","X"))</f>
        <v>O</v>
      </c>
      <c r="AR53" s="76" t="str">
        <f>IF(M53="","",IF(M53&lt;=$AR$1,"O","X"))</f>
        <v>X</v>
      </c>
      <c r="AS53" s="76" t="s">
        <v>2</v>
      </c>
      <c r="AT53" s="76" t="str">
        <f>IF(OR(F53="",AI53=""),"",IF(AND((F53&lt;=85),(AI53&gt;=15)),"O","X"))</f>
        <v>O</v>
      </c>
      <c r="AU53" s="76" t="str">
        <f>IF(C53="","",IF(C53&gt;=$AU$1,"O","X"))</f>
        <v>O</v>
      </c>
      <c r="AV53" s="76" t="str">
        <f>IF(AO53="","",IF(AND(AO53="O",AP53="O",AR53="O",AT53="O",AU53="O"),"후보","X"))</f>
        <v>X</v>
      </c>
    </row>
    <row r="54" spans="1:48" x14ac:dyDescent="0.3">
      <c r="A54" s="9" t="s">
        <v>1702</v>
      </c>
      <c r="B54" s="10" t="s">
        <v>1897</v>
      </c>
      <c r="C54" s="87">
        <v>560</v>
      </c>
      <c r="D54" s="85">
        <v>110.2</v>
      </c>
      <c r="E54" s="86">
        <v>33</v>
      </c>
      <c r="F54" s="85">
        <v>84.9</v>
      </c>
      <c r="G54" s="17">
        <v>26</v>
      </c>
      <c r="H54" s="87">
        <v>105</v>
      </c>
      <c r="I54" s="88">
        <v>43000</v>
      </c>
      <c r="J54" s="88" t="s">
        <v>89</v>
      </c>
      <c r="K54" s="88"/>
      <c r="L54" s="88"/>
      <c r="M54" s="89">
        <f>I54-K54</f>
        <v>43000</v>
      </c>
      <c r="N54" s="4">
        <f>IF(ISERROR(K54/I54),"",K54/I54)</f>
        <v>0</v>
      </c>
      <c r="O54" s="90">
        <f>I54/E54</f>
        <v>1303.030303030303</v>
      </c>
      <c r="P54" s="90">
        <f>K54/E54</f>
        <v>0</v>
      </c>
      <c r="Q54" s="76">
        <v>3</v>
      </c>
      <c r="R54" s="76">
        <v>2</v>
      </c>
      <c r="S54" s="76" t="s">
        <v>61</v>
      </c>
      <c r="T54" s="5" t="s">
        <v>125</v>
      </c>
      <c r="U54" s="9"/>
      <c r="W54" s="85">
        <f t="shared" si="76"/>
        <v>110.2</v>
      </c>
      <c r="X54" s="86">
        <f t="shared" si="76"/>
        <v>33</v>
      </c>
      <c r="Y54" s="91">
        <f t="shared" si="77"/>
        <v>105</v>
      </c>
      <c r="Z54" s="89">
        <f t="shared" si="77"/>
        <v>43000</v>
      </c>
      <c r="AA54" s="89">
        <f>K54</f>
        <v>0</v>
      </c>
      <c r="AB54" s="89">
        <f t="shared" si="78"/>
        <v>43000</v>
      </c>
      <c r="AC54" s="4">
        <f t="shared" si="78"/>
        <v>0</v>
      </c>
      <c r="AD54" s="90">
        <f t="shared" si="78"/>
        <v>1303.030303030303</v>
      </c>
      <c r="AE54" s="76" t="str">
        <f>S54</f>
        <v>계</v>
      </c>
      <c r="AF54" s="76" t="str">
        <f>Q54&amp;"/"&amp;R54</f>
        <v>3/2</v>
      </c>
      <c r="AH54" s="20" t="str">
        <f t="shared" si="53"/>
        <v>LH세븐팰리스</v>
      </c>
      <c r="AI54" s="86">
        <f t="shared" si="52"/>
        <v>33</v>
      </c>
      <c r="AJ54" s="76" t="str">
        <f>IF(AI54="","",$AJ$2)</f>
        <v>A-</v>
      </c>
      <c r="AK54" s="76" t="s">
        <v>13</v>
      </c>
      <c r="AL54" s="76" t="s">
        <v>62</v>
      </c>
      <c r="AM54" s="76" t="s">
        <v>63</v>
      </c>
      <c r="AN54" s="76" t="str">
        <f>IF(AI54="","",$AN$2)</f>
        <v>C</v>
      </c>
      <c r="AO54" s="76" t="str">
        <f>IF(N54="","",IF(N54&gt;=$AO$1/100,"O","X"))</f>
        <v>X</v>
      </c>
      <c r="AP54" s="76" t="str">
        <f>IF(I54="","",IF(I54&lt;=$AP$1,"O","X"))</f>
        <v>O</v>
      </c>
      <c r="AQ54" s="76" t="str">
        <f>IF(O54="","",IF(O54&lt;=$AQ$1,"O","X"))</f>
        <v>O</v>
      </c>
      <c r="AR54" s="76" t="str">
        <f>IF(M54="","",IF(M54&lt;=$AR$1,"O","X"))</f>
        <v>X</v>
      </c>
      <c r="AS54" s="76" t="s">
        <v>2</v>
      </c>
      <c r="AT54" s="76" t="str">
        <f>IF(OR(F54="",AI54=""),"",IF(AND((F54&lt;=85),(AI54&gt;=15)),"O","X"))</f>
        <v>O</v>
      </c>
      <c r="AU54" s="76" t="str">
        <f>IF(C54="","",IF(C54&gt;=$AU$1,"O","X"))</f>
        <v>O</v>
      </c>
      <c r="AV54" s="76" t="str">
        <f>IF(AO54="","",IF(AND(AO54="O",AP54="O",AR54="O",AT54="O",AU54="O"),"후보","X"))</f>
        <v>X</v>
      </c>
    </row>
    <row r="55" spans="1:48" x14ac:dyDescent="0.3">
      <c r="A55" s="9" t="s">
        <v>1702</v>
      </c>
      <c r="B55" s="10" t="s">
        <v>1897</v>
      </c>
      <c r="C55" s="87">
        <v>560</v>
      </c>
      <c r="D55" s="85">
        <v>110.3</v>
      </c>
      <c r="E55" s="86">
        <v>33</v>
      </c>
      <c r="F55" s="85">
        <v>85</v>
      </c>
      <c r="G55" s="17">
        <v>26</v>
      </c>
      <c r="H55" s="87">
        <v>40</v>
      </c>
      <c r="I55" s="88">
        <v>46000</v>
      </c>
      <c r="J55" s="88" t="s">
        <v>131</v>
      </c>
      <c r="K55" s="88">
        <v>37500</v>
      </c>
      <c r="L55" s="88" t="s">
        <v>248</v>
      </c>
      <c r="M55" s="89">
        <f>I55-K55</f>
        <v>8500</v>
      </c>
      <c r="N55" s="4">
        <f>IF(ISERROR(K55/I55),"",K55/I55)</f>
        <v>0.81521739130434778</v>
      </c>
      <c r="O55" s="90">
        <f>I55/E55</f>
        <v>1393.939393939394</v>
      </c>
      <c r="P55" s="90">
        <f>K55/E55</f>
        <v>1136.3636363636363</v>
      </c>
      <c r="Q55" s="76">
        <v>3</v>
      </c>
      <c r="R55" s="76">
        <v>2</v>
      </c>
      <c r="S55" s="76" t="s">
        <v>61</v>
      </c>
      <c r="T55" s="5" t="s">
        <v>447</v>
      </c>
      <c r="U55" s="9"/>
      <c r="W55" s="85">
        <f t="shared" si="76"/>
        <v>110.3</v>
      </c>
      <c r="X55" s="86">
        <f t="shared" si="76"/>
        <v>33</v>
      </c>
      <c r="Y55" s="91">
        <f t="shared" si="77"/>
        <v>40</v>
      </c>
      <c r="Z55" s="89">
        <f t="shared" si="77"/>
        <v>46000</v>
      </c>
      <c r="AA55" s="89">
        <f>K55</f>
        <v>37500</v>
      </c>
      <c r="AB55" s="89">
        <f t="shared" si="78"/>
        <v>8500</v>
      </c>
      <c r="AC55" s="4">
        <f t="shared" si="78"/>
        <v>0.81521739130434778</v>
      </c>
      <c r="AD55" s="90">
        <f t="shared" si="78"/>
        <v>1393.939393939394</v>
      </c>
      <c r="AE55" s="76" t="str">
        <f>S55</f>
        <v>계</v>
      </c>
      <c r="AF55" s="76" t="str">
        <f>Q55&amp;"/"&amp;R55</f>
        <v>3/2</v>
      </c>
      <c r="AH55" s="20" t="str">
        <f t="shared" si="53"/>
        <v>LH세븐팰리스</v>
      </c>
      <c r="AI55" s="86">
        <f t="shared" si="52"/>
        <v>33</v>
      </c>
      <c r="AJ55" s="76" t="str">
        <f>IF(AI55="","",$AJ$2)</f>
        <v>A-</v>
      </c>
      <c r="AK55" s="76" t="s">
        <v>13</v>
      </c>
      <c r="AL55" s="76" t="s">
        <v>62</v>
      </c>
      <c r="AM55" s="76" t="s">
        <v>63</v>
      </c>
      <c r="AN55" s="76" t="str">
        <f>IF(AI55="","",$AN$2)</f>
        <v>C</v>
      </c>
      <c r="AO55" s="76" t="str">
        <f>IF(N55="","",IF(N55&gt;=$AO$1/100,"O","X"))</f>
        <v>O</v>
      </c>
      <c r="AP55" s="76" t="str">
        <f>IF(I55="","",IF(I55&lt;=$AP$1,"O","X"))</f>
        <v>O</v>
      </c>
      <c r="AQ55" s="76" t="str">
        <f>IF(O55="","",IF(O55&lt;=$AQ$1,"O","X"))</f>
        <v>O</v>
      </c>
      <c r="AR55" s="76" t="str">
        <f>IF(M55="","",IF(M55&lt;=$AR$1,"O","X"))</f>
        <v>X</v>
      </c>
      <c r="AS55" s="76" t="s">
        <v>2</v>
      </c>
      <c r="AT55" s="76" t="str">
        <f>IF(OR(F55="",AI55=""),"",IF(AND((F55&lt;=85),(AI55&gt;=15)),"O","X"))</f>
        <v>O</v>
      </c>
      <c r="AU55" s="76" t="str">
        <f>IF(C55="","",IF(C55&gt;=$AU$1,"O","X"))</f>
        <v>O</v>
      </c>
      <c r="AV55" s="76" t="str">
        <f>IF(AO55="","",IF(AND(AO55="O",AP55="O",AR55="O",AT55="O",AU55="O"),"후보","X"))</f>
        <v>X</v>
      </c>
    </row>
    <row r="56" spans="1:48" x14ac:dyDescent="0.3">
      <c r="A56" s="9" t="s">
        <v>1702</v>
      </c>
      <c r="B56" s="10" t="s">
        <v>1897</v>
      </c>
      <c r="C56" s="87">
        <v>560</v>
      </c>
      <c r="D56" s="85">
        <v>110.2</v>
      </c>
      <c r="E56" s="86">
        <v>33</v>
      </c>
      <c r="F56" s="85">
        <v>85</v>
      </c>
      <c r="G56" s="17">
        <v>26</v>
      </c>
      <c r="H56" s="87">
        <v>36</v>
      </c>
      <c r="I56" s="88">
        <v>46000</v>
      </c>
      <c r="J56" s="88" t="s">
        <v>71</v>
      </c>
      <c r="K56" s="88"/>
      <c r="L56" s="88"/>
      <c r="M56" s="89">
        <f>I56-K56</f>
        <v>46000</v>
      </c>
      <c r="N56" s="4">
        <f>IF(ISERROR(K56/I56),"",K56/I56)</f>
        <v>0</v>
      </c>
      <c r="O56" s="90">
        <f>I56/E56</f>
        <v>1393.939393939394</v>
      </c>
      <c r="P56" s="90">
        <f>K56/E56</f>
        <v>0</v>
      </c>
      <c r="Q56" s="76">
        <v>3</v>
      </c>
      <c r="R56" s="76">
        <v>2</v>
      </c>
      <c r="S56" s="76" t="s">
        <v>61</v>
      </c>
      <c r="T56" s="5" t="s">
        <v>293</v>
      </c>
      <c r="U56" s="9"/>
      <c r="W56" s="85">
        <f t="shared" si="76"/>
        <v>110.2</v>
      </c>
      <c r="X56" s="86">
        <f t="shared" si="76"/>
        <v>33</v>
      </c>
      <c r="Y56" s="91">
        <f t="shared" si="77"/>
        <v>36</v>
      </c>
      <c r="Z56" s="89">
        <f t="shared" si="77"/>
        <v>46000</v>
      </c>
      <c r="AA56" s="89">
        <f>K56</f>
        <v>0</v>
      </c>
      <c r="AB56" s="89">
        <f t="shared" si="78"/>
        <v>46000</v>
      </c>
      <c r="AC56" s="4">
        <f t="shared" si="78"/>
        <v>0</v>
      </c>
      <c r="AD56" s="90">
        <f t="shared" si="78"/>
        <v>1393.939393939394</v>
      </c>
      <c r="AE56" s="76" t="str">
        <f>S56</f>
        <v>계</v>
      </c>
      <c r="AF56" s="76" t="str">
        <f>Q56&amp;"/"&amp;R56</f>
        <v>3/2</v>
      </c>
      <c r="AH56" s="20" t="str">
        <f t="shared" si="53"/>
        <v>LH세븐팰리스</v>
      </c>
      <c r="AI56" s="86">
        <f t="shared" si="52"/>
        <v>33</v>
      </c>
      <c r="AJ56" s="76" t="str">
        <f>IF(AI56="","",$AJ$2)</f>
        <v>A-</v>
      </c>
      <c r="AK56" s="76" t="s">
        <v>13</v>
      </c>
      <c r="AL56" s="76" t="s">
        <v>62</v>
      </c>
      <c r="AM56" s="76" t="s">
        <v>63</v>
      </c>
      <c r="AN56" s="76" t="str">
        <f>IF(AI56="","",$AN$2)</f>
        <v>C</v>
      </c>
      <c r="AO56" s="76" t="str">
        <f>IF(N56="","",IF(N56&gt;=$AO$1/100,"O","X"))</f>
        <v>X</v>
      </c>
      <c r="AP56" s="76" t="str">
        <f>IF(I56="","",IF(I56&lt;=$AP$1,"O","X"))</f>
        <v>O</v>
      </c>
      <c r="AQ56" s="76" t="str">
        <f>IF(O56="","",IF(O56&lt;=$AQ$1,"O","X"))</f>
        <v>O</v>
      </c>
      <c r="AR56" s="76" t="str">
        <f>IF(M56="","",IF(M56&lt;=$AR$1,"O","X"))</f>
        <v>X</v>
      </c>
      <c r="AS56" s="76" t="s">
        <v>2</v>
      </c>
      <c r="AT56" s="76" t="str">
        <f>IF(OR(F56="",AI56=""),"",IF(AND((F56&lt;=85),(AI56&gt;=15)),"O","X"))</f>
        <v>O</v>
      </c>
      <c r="AU56" s="76" t="str">
        <f>IF(C56="","",IF(C56&gt;=$AU$1,"O","X"))</f>
        <v>O</v>
      </c>
      <c r="AV56" s="76" t="str">
        <f>IF(AO56="","",IF(AND(AO56="O",AP56="O",AR56="O",AT56="O",AU56="O"),"후보","X"))</f>
        <v>X</v>
      </c>
    </row>
    <row r="57" spans="1:48" x14ac:dyDescent="0.3">
      <c r="A57" s="9"/>
      <c r="B57" s="76"/>
      <c r="C57" s="6"/>
      <c r="D57" s="9"/>
      <c r="E57" s="14"/>
      <c r="F57" s="85"/>
      <c r="G57" s="9"/>
      <c r="H57" s="9"/>
      <c r="I57" s="9"/>
      <c r="J57" s="9"/>
      <c r="K57" s="9"/>
      <c r="L57" s="9"/>
      <c r="M57" s="9"/>
      <c r="N57" s="9"/>
      <c r="O57" s="90"/>
      <c r="P57" s="90"/>
      <c r="Q57" s="86"/>
      <c r="R57" s="86"/>
      <c r="S57" s="9"/>
      <c r="T57" s="47"/>
      <c r="U57" s="9"/>
      <c r="W57" s="67" t="str">
        <f>$A$4&amp;" "&amp;A58&amp;"("&amp;B58&amp;","&amp;C58&amp;"^)"</f>
        <v>효자동2가 효자더샵('05.10.,888^)</v>
      </c>
      <c r="X57" s="68"/>
      <c r="Y57" s="68"/>
      <c r="Z57" s="68"/>
      <c r="AA57" s="68"/>
      <c r="AB57" s="68"/>
      <c r="AC57" s="68"/>
      <c r="AD57" s="68"/>
      <c r="AE57" s="68"/>
      <c r="AF57" s="69"/>
      <c r="AH57" s="20" t="str">
        <f t="shared" si="53"/>
        <v/>
      </c>
      <c r="AI57" s="108" t="str">
        <f t="shared" si="52"/>
        <v/>
      </c>
      <c r="AJ57" s="76"/>
      <c r="AK57" s="76"/>
      <c r="AL57" s="76"/>
      <c r="AM57" s="76"/>
      <c r="AN57" s="76"/>
      <c r="AO57" s="76"/>
      <c r="AP57" s="76"/>
      <c r="AQ57" s="76"/>
      <c r="AR57" s="76"/>
      <c r="AS57" s="76"/>
      <c r="AT57" s="76"/>
      <c r="AU57" s="76"/>
      <c r="AV57" s="76"/>
    </row>
    <row r="58" spans="1:48" x14ac:dyDescent="0.3">
      <c r="A58" s="9" t="s">
        <v>1712</v>
      </c>
      <c r="B58" s="10" t="s">
        <v>1939</v>
      </c>
      <c r="C58" s="87">
        <v>888</v>
      </c>
      <c r="D58" s="85">
        <v>128.69999999999999</v>
      </c>
      <c r="E58" s="86">
        <v>39</v>
      </c>
      <c r="F58" s="85">
        <v>101.9</v>
      </c>
      <c r="G58" s="17">
        <v>31</v>
      </c>
      <c r="H58" s="87">
        <v>156</v>
      </c>
      <c r="I58" s="88">
        <v>51000</v>
      </c>
      <c r="J58" s="88" t="s">
        <v>72</v>
      </c>
      <c r="K58" s="88">
        <v>47000</v>
      </c>
      <c r="L58" s="88" t="s">
        <v>71</v>
      </c>
      <c r="M58" s="89">
        <f t="shared" ref="M58:M63" si="79">I58-K58</f>
        <v>4000</v>
      </c>
      <c r="N58" s="4">
        <f t="shared" ref="N58:N63" si="80">IF(ISERROR(K58/I58),"",K58/I58)</f>
        <v>0.92156862745098034</v>
      </c>
      <c r="O58" s="90">
        <f t="shared" ref="O58:O63" si="81">I58/E58</f>
        <v>1307.6923076923076</v>
      </c>
      <c r="P58" s="90">
        <f t="shared" ref="P58:P63" si="82">K58/E58</f>
        <v>1205.1282051282051</v>
      </c>
      <c r="Q58" s="76">
        <v>3</v>
      </c>
      <c r="R58" s="76">
        <v>2</v>
      </c>
      <c r="S58" s="76" t="s">
        <v>61</v>
      </c>
      <c r="T58" s="5">
        <v>128</v>
      </c>
      <c r="U58" s="9"/>
      <c r="W58" s="85">
        <f t="shared" ref="W58:X63" si="83">D58</f>
        <v>128.69999999999999</v>
      </c>
      <c r="X58" s="86">
        <f t="shared" si="83"/>
        <v>39</v>
      </c>
      <c r="Y58" s="91">
        <f t="shared" ref="Y58:Z63" si="84">H58</f>
        <v>156</v>
      </c>
      <c r="Z58" s="89">
        <f t="shared" si="84"/>
        <v>51000</v>
      </c>
      <c r="AA58" s="89">
        <f t="shared" ref="AA58:AA63" si="85">K58</f>
        <v>47000</v>
      </c>
      <c r="AB58" s="89">
        <f t="shared" ref="AB58:AD63" si="86">M58</f>
        <v>4000</v>
      </c>
      <c r="AC58" s="4">
        <f t="shared" si="86"/>
        <v>0.92156862745098034</v>
      </c>
      <c r="AD58" s="90">
        <f t="shared" si="86"/>
        <v>1307.6923076923076</v>
      </c>
      <c r="AE58" s="76" t="str">
        <f t="shared" ref="AE58:AE63" si="87">S58</f>
        <v>계</v>
      </c>
      <c r="AF58" s="76" t="str">
        <f t="shared" ref="AF58:AF63" si="88">Q58&amp;"/"&amp;R58</f>
        <v>3/2</v>
      </c>
      <c r="AH58" s="20" t="str">
        <f t="shared" si="53"/>
        <v>효자더샵</v>
      </c>
      <c r="AI58" s="86">
        <f t="shared" si="52"/>
        <v>39</v>
      </c>
      <c r="AJ58" s="76" t="str">
        <f t="shared" ref="AJ58:AJ63" si="89">IF(AI58="","",$AJ$2)</f>
        <v>A-</v>
      </c>
      <c r="AK58" s="76" t="s">
        <v>13</v>
      </c>
      <c r="AL58" s="76" t="s">
        <v>62</v>
      </c>
      <c r="AM58" s="76" t="s">
        <v>63</v>
      </c>
      <c r="AN58" s="76" t="str">
        <f t="shared" ref="AN58:AN63" si="90">IF(AI58="","",$AN$2)</f>
        <v>C</v>
      </c>
      <c r="AO58" s="76" t="str">
        <f t="shared" ref="AO58:AO63" si="91">IF(N58="","",IF(N58&gt;=$AO$1/100,"O","X"))</f>
        <v>O</v>
      </c>
      <c r="AP58" s="76" t="str">
        <f t="shared" ref="AP58:AP63" si="92">IF(I58="","",IF(I58&lt;=$AP$1,"O","X"))</f>
        <v>X</v>
      </c>
      <c r="AQ58" s="76" t="str">
        <f t="shared" ref="AQ58:AQ63" si="93">IF(O58="","",IF(O58&lt;=$AQ$1,"O","X"))</f>
        <v>O</v>
      </c>
      <c r="AR58" s="76" t="str">
        <f t="shared" ref="AR58:AR63" si="94">IF(M58="","",IF(M58&lt;=$AR$1,"O","X"))</f>
        <v>O</v>
      </c>
      <c r="AS58" s="76" t="s">
        <v>2</v>
      </c>
      <c r="AT58" s="76" t="str">
        <f t="shared" ref="AT58:AT63" si="95">IF(OR(F58="",AI58=""),"",IF(AND((F58&lt;=85),(AI58&gt;=15)),"O","X"))</f>
        <v>X</v>
      </c>
      <c r="AU58" s="76" t="str">
        <f t="shared" ref="AU58:AU63" si="96">IF(C58="","",IF(C58&gt;=$AU$1,"O","X"))</f>
        <v>O</v>
      </c>
      <c r="AV58" s="76" t="str">
        <f t="shared" ref="AV58:AV63" si="97">IF(AO58="","",IF(AND(AO58="O",AP58="O",AR58="O",AT58="O",AU58="O"),"후보","X"))</f>
        <v>X</v>
      </c>
    </row>
    <row r="59" spans="1:48" x14ac:dyDescent="0.3">
      <c r="A59" s="9" t="s">
        <v>1712</v>
      </c>
      <c r="B59" s="10" t="s">
        <v>1939</v>
      </c>
      <c r="C59" s="87">
        <v>888</v>
      </c>
      <c r="D59" s="85">
        <v>156.80000000000001</v>
      </c>
      <c r="E59" s="86">
        <v>47</v>
      </c>
      <c r="F59" s="85">
        <v>125.9</v>
      </c>
      <c r="G59" s="17">
        <v>38</v>
      </c>
      <c r="H59" s="87">
        <v>473</v>
      </c>
      <c r="I59" s="88">
        <v>57000</v>
      </c>
      <c r="J59" s="88" t="s">
        <v>131</v>
      </c>
      <c r="K59" s="88"/>
      <c r="L59" s="88"/>
      <c r="M59" s="89">
        <f t="shared" si="79"/>
        <v>57000</v>
      </c>
      <c r="N59" s="4">
        <f t="shared" si="80"/>
        <v>0</v>
      </c>
      <c r="O59" s="90">
        <f t="shared" si="81"/>
        <v>1212.7659574468084</v>
      </c>
      <c r="P59" s="90">
        <f t="shared" si="82"/>
        <v>0</v>
      </c>
      <c r="Q59" s="76">
        <v>4</v>
      </c>
      <c r="R59" s="76">
        <v>2</v>
      </c>
      <c r="S59" s="76" t="s">
        <v>61</v>
      </c>
      <c r="T59" s="5">
        <v>156</v>
      </c>
      <c r="U59" s="9"/>
      <c r="W59" s="85">
        <f t="shared" si="83"/>
        <v>156.80000000000001</v>
      </c>
      <c r="X59" s="86">
        <f t="shared" si="83"/>
        <v>47</v>
      </c>
      <c r="Y59" s="91">
        <f t="shared" si="84"/>
        <v>473</v>
      </c>
      <c r="Z59" s="89">
        <f t="shared" si="84"/>
        <v>57000</v>
      </c>
      <c r="AA59" s="89">
        <f t="shared" si="85"/>
        <v>0</v>
      </c>
      <c r="AB59" s="89">
        <f t="shared" si="86"/>
        <v>57000</v>
      </c>
      <c r="AC59" s="4">
        <f t="shared" si="86"/>
        <v>0</v>
      </c>
      <c r="AD59" s="90">
        <f t="shared" si="86"/>
        <v>1212.7659574468084</v>
      </c>
      <c r="AE59" s="76" t="str">
        <f t="shared" si="87"/>
        <v>계</v>
      </c>
      <c r="AF59" s="76" t="str">
        <f t="shared" si="88"/>
        <v>4/2</v>
      </c>
      <c r="AH59" s="20" t="str">
        <f t="shared" si="53"/>
        <v>효자더샵</v>
      </c>
      <c r="AI59" s="86">
        <f t="shared" si="52"/>
        <v>47</v>
      </c>
      <c r="AJ59" s="76" t="str">
        <f t="shared" si="89"/>
        <v>A-</v>
      </c>
      <c r="AK59" s="76" t="s">
        <v>13</v>
      </c>
      <c r="AL59" s="76" t="s">
        <v>62</v>
      </c>
      <c r="AM59" s="76" t="s">
        <v>63</v>
      </c>
      <c r="AN59" s="76" t="str">
        <f t="shared" si="90"/>
        <v>C</v>
      </c>
      <c r="AO59" s="76" t="str">
        <f t="shared" si="91"/>
        <v>X</v>
      </c>
      <c r="AP59" s="76" t="str">
        <f t="shared" si="92"/>
        <v>X</v>
      </c>
      <c r="AQ59" s="76" t="str">
        <f t="shared" si="93"/>
        <v>O</v>
      </c>
      <c r="AR59" s="76" t="str">
        <f t="shared" si="94"/>
        <v>X</v>
      </c>
      <c r="AS59" s="76" t="s">
        <v>2</v>
      </c>
      <c r="AT59" s="76" t="str">
        <f t="shared" si="95"/>
        <v>X</v>
      </c>
      <c r="AU59" s="76" t="str">
        <f t="shared" si="96"/>
        <v>O</v>
      </c>
      <c r="AV59" s="76" t="str">
        <f t="shared" si="97"/>
        <v>X</v>
      </c>
    </row>
    <row r="60" spans="1:48" x14ac:dyDescent="0.3">
      <c r="A60" s="9" t="s">
        <v>1712</v>
      </c>
      <c r="B60" s="10" t="s">
        <v>1939</v>
      </c>
      <c r="C60" s="87">
        <v>888</v>
      </c>
      <c r="D60" s="85">
        <v>181.8</v>
      </c>
      <c r="E60" s="86">
        <v>55</v>
      </c>
      <c r="F60" s="85">
        <v>148.4</v>
      </c>
      <c r="G60" s="17">
        <v>45</v>
      </c>
      <c r="H60" s="87">
        <v>165</v>
      </c>
      <c r="I60" s="88">
        <v>65000</v>
      </c>
      <c r="J60" s="88" t="s">
        <v>89</v>
      </c>
      <c r="K60" s="88">
        <v>55000</v>
      </c>
      <c r="L60" s="88" t="s">
        <v>172</v>
      </c>
      <c r="M60" s="89">
        <f t="shared" si="79"/>
        <v>10000</v>
      </c>
      <c r="N60" s="4">
        <f t="shared" si="80"/>
        <v>0.84615384615384615</v>
      </c>
      <c r="O60" s="90">
        <f t="shared" si="81"/>
        <v>1181.8181818181818</v>
      </c>
      <c r="P60" s="90">
        <f t="shared" si="82"/>
        <v>1000</v>
      </c>
      <c r="Q60" s="76">
        <v>4</v>
      </c>
      <c r="R60" s="76">
        <v>2</v>
      </c>
      <c r="S60" s="76" t="s">
        <v>61</v>
      </c>
      <c r="T60" s="5" t="s">
        <v>450</v>
      </c>
      <c r="U60" s="9"/>
      <c r="W60" s="85">
        <f t="shared" si="83"/>
        <v>181.8</v>
      </c>
      <c r="X60" s="86">
        <f t="shared" si="83"/>
        <v>55</v>
      </c>
      <c r="Y60" s="91">
        <f t="shared" si="84"/>
        <v>165</v>
      </c>
      <c r="Z60" s="89">
        <f t="shared" si="84"/>
        <v>65000</v>
      </c>
      <c r="AA60" s="89">
        <f t="shared" si="85"/>
        <v>55000</v>
      </c>
      <c r="AB60" s="89">
        <f t="shared" si="86"/>
        <v>10000</v>
      </c>
      <c r="AC60" s="4">
        <f t="shared" si="86"/>
        <v>0.84615384615384615</v>
      </c>
      <c r="AD60" s="90">
        <f t="shared" si="86"/>
        <v>1181.8181818181818</v>
      </c>
      <c r="AE60" s="76" t="str">
        <f t="shared" si="87"/>
        <v>계</v>
      </c>
      <c r="AF60" s="76" t="str">
        <f t="shared" si="88"/>
        <v>4/2</v>
      </c>
      <c r="AH60" s="20" t="str">
        <f t="shared" si="53"/>
        <v>효자더샵</v>
      </c>
      <c r="AI60" s="86">
        <f t="shared" si="52"/>
        <v>55</v>
      </c>
      <c r="AJ60" s="76" t="str">
        <f t="shared" si="89"/>
        <v>A-</v>
      </c>
      <c r="AK60" s="76" t="s">
        <v>13</v>
      </c>
      <c r="AL60" s="76" t="s">
        <v>62</v>
      </c>
      <c r="AM60" s="76" t="s">
        <v>63</v>
      </c>
      <c r="AN60" s="76" t="str">
        <f t="shared" si="90"/>
        <v>C</v>
      </c>
      <c r="AO60" s="76" t="str">
        <f t="shared" si="91"/>
        <v>O</v>
      </c>
      <c r="AP60" s="76" t="str">
        <f t="shared" si="92"/>
        <v>X</v>
      </c>
      <c r="AQ60" s="76" t="str">
        <f t="shared" si="93"/>
        <v>O</v>
      </c>
      <c r="AR60" s="76" t="str">
        <f t="shared" si="94"/>
        <v>X</v>
      </c>
      <c r="AS60" s="76" t="s">
        <v>2</v>
      </c>
      <c r="AT60" s="76" t="str">
        <f t="shared" si="95"/>
        <v>X</v>
      </c>
      <c r="AU60" s="76" t="str">
        <f t="shared" si="96"/>
        <v>O</v>
      </c>
      <c r="AV60" s="76" t="str">
        <f t="shared" si="97"/>
        <v>X</v>
      </c>
    </row>
    <row r="61" spans="1:48" x14ac:dyDescent="0.3">
      <c r="A61" s="9" t="s">
        <v>1712</v>
      </c>
      <c r="B61" s="10" t="s">
        <v>1939</v>
      </c>
      <c r="C61" s="87">
        <v>888</v>
      </c>
      <c r="D61" s="85">
        <v>181.8</v>
      </c>
      <c r="E61" s="86">
        <v>55</v>
      </c>
      <c r="F61" s="85">
        <v>148.4</v>
      </c>
      <c r="G61" s="17">
        <v>45</v>
      </c>
      <c r="H61" s="87">
        <v>20</v>
      </c>
      <c r="I61" s="88">
        <v>65000</v>
      </c>
      <c r="J61" s="88" t="s">
        <v>89</v>
      </c>
      <c r="K61" s="88">
        <v>55000</v>
      </c>
      <c r="L61" s="88" t="s">
        <v>172</v>
      </c>
      <c r="M61" s="89">
        <f t="shared" si="79"/>
        <v>10000</v>
      </c>
      <c r="N61" s="4">
        <f t="shared" si="80"/>
        <v>0.84615384615384615</v>
      </c>
      <c r="O61" s="90">
        <f t="shared" si="81"/>
        <v>1181.8181818181818</v>
      </c>
      <c r="P61" s="90">
        <f t="shared" si="82"/>
        <v>1000</v>
      </c>
      <c r="Q61" s="76">
        <v>4</v>
      </c>
      <c r="R61" s="76">
        <v>2</v>
      </c>
      <c r="S61" s="76" t="s">
        <v>61</v>
      </c>
      <c r="T61" s="5" t="s">
        <v>451</v>
      </c>
      <c r="U61" s="9"/>
      <c r="W61" s="85">
        <f t="shared" si="83"/>
        <v>181.8</v>
      </c>
      <c r="X61" s="86">
        <f t="shared" si="83"/>
        <v>55</v>
      </c>
      <c r="Y61" s="91">
        <f t="shared" si="84"/>
        <v>20</v>
      </c>
      <c r="Z61" s="89">
        <f t="shared" si="84"/>
        <v>65000</v>
      </c>
      <c r="AA61" s="89">
        <f t="shared" si="85"/>
        <v>55000</v>
      </c>
      <c r="AB61" s="89">
        <f t="shared" si="86"/>
        <v>10000</v>
      </c>
      <c r="AC61" s="4">
        <f t="shared" si="86"/>
        <v>0.84615384615384615</v>
      </c>
      <c r="AD61" s="90">
        <f t="shared" si="86"/>
        <v>1181.8181818181818</v>
      </c>
      <c r="AE61" s="76" t="str">
        <f t="shared" si="87"/>
        <v>계</v>
      </c>
      <c r="AF61" s="76" t="str">
        <f t="shared" si="88"/>
        <v>4/2</v>
      </c>
      <c r="AH61" s="20" t="str">
        <f t="shared" si="53"/>
        <v>효자더샵</v>
      </c>
      <c r="AI61" s="86">
        <f t="shared" si="52"/>
        <v>55</v>
      </c>
      <c r="AJ61" s="76" t="str">
        <f t="shared" si="89"/>
        <v>A-</v>
      </c>
      <c r="AK61" s="76" t="s">
        <v>13</v>
      </c>
      <c r="AL61" s="76" t="s">
        <v>62</v>
      </c>
      <c r="AM61" s="76" t="s">
        <v>63</v>
      </c>
      <c r="AN61" s="76" t="str">
        <f t="shared" si="90"/>
        <v>C</v>
      </c>
      <c r="AO61" s="76" t="str">
        <f t="shared" si="91"/>
        <v>O</v>
      </c>
      <c r="AP61" s="76" t="str">
        <f t="shared" si="92"/>
        <v>X</v>
      </c>
      <c r="AQ61" s="76" t="str">
        <f t="shared" si="93"/>
        <v>O</v>
      </c>
      <c r="AR61" s="76" t="str">
        <f t="shared" si="94"/>
        <v>X</v>
      </c>
      <c r="AS61" s="76" t="s">
        <v>2</v>
      </c>
      <c r="AT61" s="76" t="str">
        <f t="shared" si="95"/>
        <v>X</v>
      </c>
      <c r="AU61" s="76" t="str">
        <f t="shared" si="96"/>
        <v>O</v>
      </c>
      <c r="AV61" s="76" t="str">
        <f t="shared" si="97"/>
        <v>X</v>
      </c>
    </row>
    <row r="62" spans="1:48" x14ac:dyDescent="0.3">
      <c r="A62" s="9" t="s">
        <v>1712</v>
      </c>
      <c r="B62" s="10" t="s">
        <v>1939</v>
      </c>
      <c r="C62" s="87">
        <v>888</v>
      </c>
      <c r="D62" s="85">
        <v>214.5</v>
      </c>
      <c r="E62" s="86">
        <v>65</v>
      </c>
      <c r="F62" s="85">
        <v>179.1</v>
      </c>
      <c r="G62" s="17">
        <v>54</v>
      </c>
      <c r="H62" s="87">
        <v>57</v>
      </c>
      <c r="I62" s="88"/>
      <c r="J62" s="88"/>
      <c r="K62" s="88"/>
      <c r="L62" s="88"/>
      <c r="M62" s="89">
        <f t="shared" si="79"/>
        <v>0</v>
      </c>
      <c r="N62" s="4" t="str">
        <f t="shared" si="80"/>
        <v/>
      </c>
      <c r="O62" s="90">
        <f t="shared" si="81"/>
        <v>0</v>
      </c>
      <c r="P62" s="90">
        <f t="shared" si="82"/>
        <v>0</v>
      </c>
      <c r="Q62" s="76">
        <v>4</v>
      </c>
      <c r="R62" s="76">
        <v>3</v>
      </c>
      <c r="S62" s="76" t="s">
        <v>61</v>
      </c>
      <c r="T62" s="5" t="s">
        <v>452</v>
      </c>
      <c r="U62" s="9"/>
      <c r="W62" s="85">
        <f t="shared" si="83"/>
        <v>214.5</v>
      </c>
      <c r="X62" s="86">
        <f t="shared" si="83"/>
        <v>65</v>
      </c>
      <c r="Y62" s="91">
        <f t="shared" si="84"/>
        <v>57</v>
      </c>
      <c r="Z62" s="89">
        <f t="shared" si="84"/>
        <v>0</v>
      </c>
      <c r="AA62" s="89">
        <f t="shared" si="85"/>
        <v>0</v>
      </c>
      <c r="AB62" s="89">
        <f t="shared" si="86"/>
        <v>0</v>
      </c>
      <c r="AC62" s="4" t="str">
        <f t="shared" si="86"/>
        <v/>
      </c>
      <c r="AD62" s="90">
        <f t="shared" si="86"/>
        <v>0</v>
      </c>
      <c r="AE62" s="76" t="str">
        <f t="shared" si="87"/>
        <v>계</v>
      </c>
      <c r="AF62" s="76" t="str">
        <f t="shared" si="88"/>
        <v>4/3</v>
      </c>
      <c r="AH62" s="20" t="str">
        <f t="shared" si="53"/>
        <v>효자더샵</v>
      </c>
      <c r="AI62" s="86">
        <f t="shared" si="52"/>
        <v>65</v>
      </c>
      <c r="AJ62" s="76" t="str">
        <f t="shared" si="89"/>
        <v>A-</v>
      </c>
      <c r="AK62" s="76" t="s">
        <v>13</v>
      </c>
      <c r="AL62" s="76" t="s">
        <v>62</v>
      </c>
      <c r="AM62" s="76" t="s">
        <v>63</v>
      </c>
      <c r="AN62" s="76" t="str">
        <f t="shared" si="90"/>
        <v>C</v>
      </c>
      <c r="AO62" s="76" t="str">
        <f t="shared" si="91"/>
        <v/>
      </c>
      <c r="AP62" s="76" t="str">
        <f t="shared" si="92"/>
        <v/>
      </c>
      <c r="AQ62" s="76" t="str">
        <f t="shared" si="93"/>
        <v>O</v>
      </c>
      <c r="AR62" s="76" t="str">
        <f t="shared" si="94"/>
        <v>O</v>
      </c>
      <c r="AS62" s="76" t="s">
        <v>2</v>
      </c>
      <c r="AT62" s="76" t="str">
        <f t="shared" si="95"/>
        <v>X</v>
      </c>
      <c r="AU62" s="76" t="str">
        <f t="shared" si="96"/>
        <v>O</v>
      </c>
      <c r="AV62" s="76" t="str">
        <f t="shared" si="97"/>
        <v/>
      </c>
    </row>
    <row r="63" spans="1:48" x14ac:dyDescent="0.3">
      <c r="A63" s="9" t="s">
        <v>1712</v>
      </c>
      <c r="B63" s="10" t="s">
        <v>1939</v>
      </c>
      <c r="C63" s="87">
        <v>888</v>
      </c>
      <c r="D63" s="85">
        <v>214.5</v>
      </c>
      <c r="E63" s="86">
        <v>65</v>
      </c>
      <c r="F63" s="85">
        <v>179.1</v>
      </c>
      <c r="G63" s="17">
        <v>54</v>
      </c>
      <c r="H63" s="87">
        <v>17</v>
      </c>
      <c r="I63" s="88"/>
      <c r="J63" s="88"/>
      <c r="K63" s="88"/>
      <c r="L63" s="88"/>
      <c r="M63" s="89">
        <f t="shared" si="79"/>
        <v>0</v>
      </c>
      <c r="N63" s="4" t="str">
        <f t="shared" si="80"/>
        <v/>
      </c>
      <c r="O63" s="90">
        <f t="shared" si="81"/>
        <v>0</v>
      </c>
      <c r="P63" s="90">
        <f t="shared" si="82"/>
        <v>0</v>
      </c>
      <c r="Q63" s="76">
        <v>4</v>
      </c>
      <c r="R63" s="76">
        <v>3</v>
      </c>
      <c r="S63" s="76" t="s">
        <v>61</v>
      </c>
      <c r="T63" s="5" t="s">
        <v>453</v>
      </c>
      <c r="U63" s="9"/>
      <c r="W63" s="85">
        <f t="shared" si="83"/>
        <v>214.5</v>
      </c>
      <c r="X63" s="86">
        <f t="shared" si="83"/>
        <v>65</v>
      </c>
      <c r="Y63" s="91">
        <f t="shared" si="84"/>
        <v>17</v>
      </c>
      <c r="Z63" s="89">
        <f t="shared" si="84"/>
        <v>0</v>
      </c>
      <c r="AA63" s="89">
        <f t="shared" si="85"/>
        <v>0</v>
      </c>
      <c r="AB63" s="89">
        <f t="shared" si="86"/>
        <v>0</v>
      </c>
      <c r="AC63" s="4" t="str">
        <f t="shared" si="86"/>
        <v/>
      </c>
      <c r="AD63" s="90">
        <f t="shared" si="86"/>
        <v>0</v>
      </c>
      <c r="AE63" s="76" t="str">
        <f t="shared" si="87"/>
        <v>계</v>
      </c>
      <c r="AF63" s="76" t="str">
        <f t="shared" si="88"/>
        <v>4/3</v>
      </c>
      <c r="AH63" s="20" t="str">
        <f t="shared" si="53"/>
        <v>효자더샵</v>
      </c>
      <c r="AI63" s="86">
        <f t="shared" si="52"/>
        <v>65</v>
      </c>
      <c r="AJ63" s="76" t="str">
        <f t="shared" si="89"/>
        <v>A-</v>
      </c>
      <c r="AK63" s="76" t="s">
        <v>13</v>
      </c>
      <c r="AL63" s="76" t="s">
        <v>62</v>
      </c>
      <c r="AM63" s="76" t="s">
        <v>63</v>
      </c>
      <c r="AN63" s="76" t="str">
        <f t="shared" si="90"/>
        <v>C</v>
      </c>
      <c r="AO63" s="76" t="str">
        <f t="shared" si="91"/>
        <v/>
      </c>
      <c r="AP63" s="76" t="str">
        <f t="shared" si="92"/>
        <v/>
      </c>
      <c r="AQ63" s="76" t="str">
        <f t="shared" si="93"/>
        <v>O</v>
      </c>
      <c r="AR63" s="76" t="str">
        <f t="shared" si="94"/>
        <v>O</v>
      </c>
      <c r="AS63" s="76" t="s">
        <v>2</v>
      </c>
      <c r="AT63" s="76" t="str">
        <f t="shared" si="95"/>
        <v>X</v>
      </c>
      <c r="AU63" s="76" t="str">
        <f t="shared" si="96"/>
        <v>O</v>
      </c>
      <c r="AV63" s="76" t="str">
        <f t="shared" si="97"/>
        <v/>
      </c>
    </row>
    <row r="64" spans="1:48" x14ac:dyDescent="0.3">
      <c r="A64" s="9"/>
      <c r="B64" s="76"/>
      <c r="C64" s="6"/>
      <c r="D64" s="9"/>
      <c r="E64" s="14"/>
      <c r="F64" s="85"/>
      <c r="G64" s="9"/>
      <c r="H64" s="9"/>
      <c r="I64" s="9"/>
      <c r="J64" s="9"/>
      <c r="K64" s="9"/>
      <c r="L64" s="9"/>
      <c r="M64" s="9"/>
      <c r="N64" s="9"/>
      <c r="O64" s="90"/>
      <c r="P64" s="90"/>
      <c r="Q64" s="86"/>
      <c r="R64" s="86"/>
      <c r="S64" s="9"/>
      <c r="T64" s="47"/>
      <c r="U64" s="9"/>
      <c r="W64" s="67" t="str">
        <f>$A$4&amp;" "&amp;A65&amp;"("&amp;B65&amp;","&amp;C65&amp;"^)"</f>
        <v>효자동2가 전주효자SK리더스뷰('16.01.,392^)</v>
      </c>
      <c r="X64" s="68"/>
      <c r="Y64" s="68"/>
      <c r="Z64" s="68"/>
      <c r="AA64" s="68"/>
      <c r="AB64" s="68"/>
      <c r="AC64" s="68"/>
      <c r="AD64" s="68"/>
      <c r="AE64" s="68"/>
      <c r="AF64" s="69"/>
      <c r="AH64" s="20" t="str">
        <f t="shared" si="53"/>
        <v/>
      </c>
      <c r="AI64" s="108" t="str">
        <f t="shared" si="52"/>
        <v/>
      </c>
      <c r="AJ64" s="76"/>
      <c r="AK64" s="76"/>
      <c r="AL64" s="76"/>
      <c r="AM64" s="76"/>
      <c r="AN64" s="76"/>
      <c r="AO64" s="76"/>
      <c r="AP64" s="76"/>
      <c r="AQ64" s="76"/>
      <c r="AR64" s="76"/>
      <c r="AS64" s="76"/>
      <c r="AT64" s="76"/>
      <c r="AU64" s="76"/>
      <c r="AV64" s="76"/>
    </row>
    <row r="65" spans="1:48" x14ac:dyDescent="0.3">
      <c r="A65" s="9" t="s">
        <v>1722</v>
      </c>
      <c r="B65" s="10" t="s">
        <v>1940</v>
      </c>
      <c r="C65" s="87">
        <v>392</v>
      </c>
      <c r="D65" s="85">
        <v>116.8</v>
      </c>
      <c r="E65" s="86">
        <v>35</v>
      </c>
      <c r="F65" s="85">
        <v>84.9</v>
      </c>
      <c r="G65" s="17">
        <v>26</v>
      </c>
      <c r="H65" s="87">
        <v>125</v>
      </c>
      <c r="I65" s="88"/>
      <c r="J65" s="88"/>
      <c r="K65" s="88"/>
      <c r="L65" s="88"/>
      <c r="M65" s="89">
        <f t="shared" ref="M65:M70" si="98">I65-K65</f>
        <v>0</v>
      </c>
      <c r="N65" s="4" t="str">
        <f t="shared" ref="N65:N70" si="99">IF(ISERROR(K65/I65),"",K65/I65)</f>
        <v/>
      </c>
      <c r="O65" s="90">
        <f t="shared" ref="O65:O70" si="100">I65/E65</f>
        <v>0</v>
      </c>
      <c r="P65" s="90">
        <f t="shared" ref="P65:P70" si="101">K65/E65</f>
        <v>0</v>
      </c>
      <c r="Q65" s="76">
        <v>3</v>
      </c>
      <c r="R65" s="76">
        <v>2</v>
      </c>
      <c r="S65" s="76" t="s">
        <v>61</v>
      </c>
      <c r="T65" s="5" t="s">
        <v>442</v>
      </c>
      <c r="U65" s="9"/>
      <c r="W65" s="85">
        <f t="shared" ref="W65:X70" si="102">D65</f>
        <v>116.8</v>
      </c>
      <c r="X65" s="86">
        <f t="shared" si="102"/>
        <v>35</v>
      </c>
      <c r="Y65" s="91">
        <f t="shared" ref="Y65:Z70" si="103">H65</f>
        <v>125</v>
      </c>
      <c r="Z65" s="89">
        <f t="shared" si="103"/>
        <v>0</v>
      </c>
      <c r="AA65" s="89">
        <f t="shared" ref="AA65:AA70" si="104">K65</f>
        <v>0</v>
      </c>
      <c r="AB65" s="89">
        <f t="shared" ref="AB65:AD70" si="105">M65</f>
        <v>0</v>
      </c>
      <c r="AC65" s="4" t="str">
        <f t="shared" si="105"/>
        <v/>
      </c>
      <c r="AD65" s="90">
        <f t="shared" si="105"/>
        <v>0</v>
      </c>
      <c r="AE65" s="76" t="str">
        <f t="shared" ref="AE65:AE70" si="106">S65</f>
        <v>계</v>
      </c>
      <c r="AF65" s="76" t="str">
        <f t="shared" ref="AF65:AF70" si="107">Q65&amp;"/"&amp;R65</f>
        <v>3/2</v>
      </c>
      <c r="AH65" s="20" t="str">
        <f t="shared" si="53"/>
        <v>전주효자SK리더스뷰</v>
      </c>
      <c r="AI65" s="86">
        <f t="shared" si="52"/>
        <v>35</v>
      </c>
      <c r="AJ65" s="76" t="str">
        <f t="shared" ref="AJ65:AJ70" si="108">IF(AI65="","",$AJ$2)</f>
        <v>A-</v>
      </c>
      <c r="AK65" s="76" t="s">
        <v>13</v>
      </c>
      <c r="AL65" s="76" t="s">
        <v>62</v>
      </c>
      <c r="AM65" s="76" t="s">
        <v>63</v>
      </c>
      <c r="AN65" s="76" t="str">
        <f t="shared" ref="AN65:AN70" si="109">IF(AI65="","",$AN$2)</f>
        <v>C</v>
      </c>
      <c r="AO65" s="76" t="str">
        <f t="shared" ref="AO65:AO70" si="110">IF(N65="","",IF(N65&gt;=$AO$1/100,"O","X"))</f>
        <v/>
      </c>
      <c r="AP65" s="76" t="str">
        <f t="shared" ref="AP65:AP70" si="111">IF(I65="","",IF(I65&lt;=$AP$1,"O","X"))</f>
        <v/>
      </c>
      <c r="AQ65" s="76" t="str">
        <f t="shared" ref="AQ65:AQ70" si="112">IF(O65="","",IF(O65&lt;=$AQ$1,"O","X"))</f>
        <v>O</v>
      </c>
      <c r="AR65" s="76" t="str">
        <f t="shared" ref="AR65:AR70" si="113">IF(M65="","",IF(M65&lt;=$AR$1,"O","X"))</f>
        <v>O</v>
      </c>
      <c r="AS65" s="76" t="s">
        <v>2</v>
      </c>
      <c r="AT65" s="76" t="str">
        <f t="shared" ref="AT65:AT70" si="114">IF(OR(F65="",AI65=""),"",IF(AND((F65&lt;=85),(AI65&gt;=15)),"O","X"))</f>
        <v>O</v>
      </c>
      <c r="AU65" s="76" t="str">
        <f t="shared" ref="AU65:AU70" si="115">IF(C65="","",IF(C65&gt;=$AU$1,"O","X"))</f>
        <v>O</v>
      </c>
      <c r="AV65" s="76" t="str">
        <f t="shared" ref="AV65:AV70" si="116">IF(AO65="","",IF(AND(AO65="O",AP65="O",AR65="O",AT65="O",AU65="O"),"후보","X"))</f>
        <v/>
      </c>
    </row>
    <row r="66" spans="1:48" x14ac:dyDescent="0.3">
      <c r="A66" s="9" t="s">
        <v>1722</v>
      </c>
      <c r="B66" s="10" t="s">
        <v>1940</v>
      </c>
      <c r="C66" s="87">
        <v>392</v>
      </c>
      <c r="D66" s="85">
        <v>116.5</v>
      </c>
      <c r="E66" s="86">
        <v>35</v>
      </c>
      <c r="F66" s="85">
        <v>85</v>
      </c>
      <c r="G66" s="17">
        <v>26</v>
      </c>
      <c r="H66" s="87">
        <v>116</v>
      </c>
      <c r="I66" s="88"/>
      <c r="J66" s="88"/>
      <c r="K66" s="88"/>
      <c r="L66" s="88"/>
      <c r="M66" s="89">
        <f t="shared" si="98"/>
        <v>0</v>
      </c>
      <c r="N66" s="4" t="str">
        <f t="shared" si="99"/>
        <v/>
      </c>
      <c r="O66" s="90">
        <f t="shared" si="100"/>
        <v>0</v>
      </c>
      <c r="P66" s="90">
        <f t="shared" si="101"/>
        <v>0</v>
      </c>
      <c r="Q66" s="76">
        <v>3</v>
      </c>
      <c r="R66" s="76">
        <v>2</v>
      </c>
      <c r="S66" s="76" t="s">
        <v>61</v>
      </c>
      <c r="T66" s="5" t="s">
        <v>444</v>
      </c>
      <c r="U66" s="9"/>
      <c r="W66" s="85">
        <f t="shared" si="102"/>
        <v>116.5</v>
      </c>
      <c r="X66" s="86">
        <f t="shared" si="102"/>
        <v>35</v>
      </c>
      <c r="Y66" s="91">
        <f t="shared" si="103"/>
        <v>116</v>
      </c>
      <c r="Z66" s="89">
        <f t="shared" si="103"/>
        <v>0</v>
      </c>
      <c r="AA66" s="89">
        <f t="shared" si="104"/>
        <v>0</v>
      </c>
      <c r="AB66" s="89">
        <f t="shared" si="105"/>
        <v>0</v>
      </c>
      <c r="AC66" s="4" t="str">
        <f t="shared" si="105"/>
        <v/>
      </c>
      <c r="AD66" s="90">
        <f t="shared" si="105"/>
        <v>0</v>
      </c>
      <c r="AE66" s="76" t="str">
        <f t="shared" si="106"/>
        <v>계</v>
      </c>
      <c r="AF66" s="76" t="str">
        <f t="shared" si="107"/>
        <v>3/2</v>
      </c>
      <c r="AH66" s="20" t="str">
        <f t="shared" si="53"/>
        <v>전주효자SK리더스뷰</v>
      </c>
      <c r="AI66" s="86">
        <f t="shared" si="52"/>
        <v>35</v>
      </c>
      <c r="AJ66" s="76" t="str">
        <f t="shared" si="108"/>
        <v>A-</v>
      </c>
      <c r="AK66" s="76" t="s">
        <v>13</v>
      </c>
      <c r="AL66" s="76" t="s">
        <v>62</v>
      </c>
      <c r="AM66" s="76" t="s">
        <v>63</v>
      </c>
      <c r="AN66" s="76" t="str">
        <f t="shared" si="109"/>
        <v>C</v>
      </c>
      <c r="AO66" s="76" t="str">
        <f t="shared" si="110"/>
        <v/>
      </c>
      <c r="AP66" s="76" t="str">
        <f t="shared" si="111"/>
        <v/>
      </c>
      <c r="AQ66" s="76" t="str">
        <f t="shared" si="112"/>
        <v>O</v>
      </c>
      <c r="AR66" s="76" t="str">
        <f t="shared" si="113"/>
        <v>O</v>
      </c>
      <c r="AS66" s="76" t="s">
        <v>2</v>
      </c>
      <c r="AT66" s="76" t="str">
        <f t="shared" si="114"/>
        <v>O</v>
      </c>
      <c r="AU66" s="76" t="str">
        <f t="shared" si="115"/>
        <v>O</v>
      </c>
      <c r="AV66" s="76" t="str">
        <f t="shared" si="116"/>
        <v/>
      </c>
    </row>
    <row r="67" spans="1:48" x14ac:dyDescent="0.3">
      <c r="A67" s="9" t="s">
        <v>1722</v>
      </c>
      <c r="B67" s="10" t="s">
        <v>1940</v>
      </c>
      <c r="C67" s="87">
        <v>392</v>
      </c>
      <c r="D67" s="85">
        <v>116.5</v>
      </c>
      <c r="E67" s="86">
        <v>35</v>
      </c>
      <c r="F67" s="85">
        <v>85</v>
      </c>
      <c r="G67" s="17">
        <v>26</v>
      </c>
      <c r="H67" s="87">
        <v>95</v>
      </c>
      <c r="I67" s="88"/>
      <c r="J67" s="88"/>
      <c r="K67" s="88"/>
      <c r="L67" s="88"/>
      <c r="M67" s="89">
        <f t="shared" si="98"/>
        <v>0</v>
      </c>
      <c r="N67" s="4" t="str">
        <f t="shared" si="99"/>
        <v/>
      </c>
      <c r="O67" s="90">
        <f t="shared" si="100"/>
        <v>0</v>
      </c>
      <c r="P67" s="90">
        <f t="shared" si="101"/>
        <v>0</v>
      </c>
      <c r="Q67" s="76">
        <v>3</v>
      </c>
      <c r="R67" s="76">
        <v>2</v>
      </c>
      <c r="S67" s="76" t="s">
        <v>61</v>
      </c>
      <c r="T67" s="5" t="s">
        <v>445</v>
      </c>
      <c r="U67" s="9"/>
      <c r="W67" s="85">
        <f t="shared" si="102"/>
        <v>116.5</v>
      </c>
      <c r="X67" s="86">
        <f t="shared" si="102"/>
        <v>35</v>
      </c>
      <c r="Y67" s="91">
        <f t="shared" si="103"/>
        <v>95</v>
      </c>
      <c r="Z67" s="89">
        <f t="shared" si="103"/>
        <v>0</v>
      </c>
      <c r="AA67" s="89">
        <f t="shared" si="104"/>
        <v>0</v>
      </c>
      <c r="AB67" s="89">
        <f t="shared" si="105"/>
        <v>0</v>
      </c>
      <c r="AC67" s="4" t="str">
        <f t="shared" si="105"/>
        <v/>
      </c>
      <c r="AD67" s="90">
        <f t="shared" si="105"/>
        <v>0</v>
      </c>
      <c r="AE67" s="76" t="str">
        <f t="shared" si="106"/>
        <v>계</v>
      </c>
      <c r="AF67" s="76" t="str">
        <f t="shared" si="107"/>
        <v>3/2</v>
      </c>
      <c r="AH67" s="20" t="str">
        <f t="shared" si="53"/>
        <v>전주효자SK리더스뷰</v>
      </c>
      <c r="AI67" s="86">
        <f t="shared" ref="AI67:AI76" si="117">IF(E67="","",E67)</f>
        <v>35</v>
      </c>
      <c r="AJ67" s="76" t="str">
        <f t="shared" si="108"/>
        <v>A-</v>
      </c>
      <c r="AK67" s="76" t="s">
        <v>13</v>
      </c>
      <c r="AL67" s="76" t="s">
        <v>62</v>
      </c>
      <c r="AM67" s="76" t="s">
        <v>63</v>
      </c>
      <c r="AN67" s="76" t="str">
        <f t="shared" si="109"/>
        <v>C</v>
      </c>
      <c r="AO67" s="76" t="str">
        <f t="shared" si="110"/>
        <v/>
      </c>
      <c r="AP67" s="76" t="str">
        <f t="shared" si="111"/>
        <v/>
      </c>
      <c r="AQ67" s="76" t="str">
        <f t="shared" si="112"/>
        <v>O</v>
      </c>
      <c r="AR67" s="76" t="str">
        <f t="shared" si="113"/>
        <v>O</v>
      </c>
      <c r="AS67" s="76" t="s">
        <v>2</v>
      </c>
      <c r="AT67" s="76" t="str">
        <f t="shared" si="114"/>
        <v>O</v>
      </c>
      <c r="AU67" s="76" t="str">
        <f t="shared" si="115"/>
        <v>O</v>
      </c>
      <c r="AV67" s="76" t="str">
        <f t="shared" si="116"/>
        <v/>
      </c>
    </row>
    <row r="68" spans="1:48" x14ac:dyDescent="0.3">
      <c r="A68" s="9" t="s">
        <v>1722</v>
      </c>
      <c r="B68" s="10" t="s">
        <v>1940</v>
      </c>
      <c r="C68" s="87">
        <v>392</v>
      </c>
      <c r="D68" s="85">
        <v>118.8</v>
      </c>
      <c r="E68" s="86">
        <v>36</v>
      </c>
      <c r="F68" s="85">
        <v>84.9</v>
      </c>
      <c r="G68" s="17">
        <v>26</v>
      </c>
      <c r="H68" s="87">
        <v>47</v>
      </c>
      <c r="I68" s="88"/>
      <c r="J68" s="88"/>
      <c r="K68" s="88"/>
      <c r="L68" s="88"/>
      <c r="M68" s="89">
        <f t="shared" si="98"/>
        <v>0</v>
      </c>
      <c r="N68" s="4" t="str">
        <f t="shared" si="99"/>
        <v/>
      </c>
      <c r="O68" s="90">
        <f t="shared" si="100"/>
        <v>0</v>
      </c>
      <c r="P68" s="90">
        <f t="shared" si="101"/>
        <v>0</v>
      </c>
      <c r="Q68" s="76">
        <v>3</v>
      </c>
      <c r="R68" s="76">
        <v>2</v>
      </c>
      <c r="S68" s="76" t="s">
        <v>61</v>
      </c>
      <c r="T68" s="5" t="s">
        <v>456</v>
      </c>
      <c r="U68" s="9"/>
      <c r="W68" s="85">
        <f t="shared" si="102"/>
        <v>118.8</v>
      </c>
      <c r="X68" s="86">
        <f t="shared" si="102"/>
        <v>36</v>
      </c>
      <c r="Y68" s="91">
        <f t="shared" si="103"/>
        <v>47</v>
      </c>
      <c r="Z68" s="89">
        <f t="shared" si="103"/>
        <v>0</v>
      </c>
      <c r="AA68" s="89">
        <f t="shared" si="104"/>
        <v>0</v>
      </c>
      <c r="AB68" s="89">
        <f t="shared" si="105"/>
        <v>0</v>
      </c>
      <c r="AC68" s="4" t="str">
        <f t="shared" si="105"/>
        <v/>
      </c>
      <c r="AD68" s="90">
        <f t="shared" si="105"/>
        <v>0</v>
      </c>
      <c r="AE68" s="76" t="str">
        <f t="shared" si="106"/>
        <v>계</v>
      </c>
      <c r="AF68" s="76" t="str">
        <f t="shared" si="107"/>
        <v>3/2</v>
      </c>
      <c r="AH68" s="20" t="str">
        <f t="shared" si="53"/>
        <v>전주효자SK리더스뷰</v>
      </c>
      <c r="AI68" s="86">
        <f t="shared" si="117"/>
        <v>36</v>
      </c>
      <c r="AJ68" s="76" t="str">
        <f t="shared" si="108"/>
        <v>A-</v>
      </c>
      <c r="AK68" s="76" t="s">
        <v>13</v>
      </c>
      <c r="AL68" s="76" t="s">
        <v>62</v>
      </c>
      <c r="AM68" s="76" t="s">
        <v>63</v>
      </c>
      <c r="AN68" s="76" t="str">
        <f t="shared" si="109"/>
        <v>C</v>
      </c>
      <c r="AO68" s="76" t="str">
        <f t="shared" si="110"/>
        <v/>
      </c>
      <c r="AP68" s="76" t="str">
        <f t="shared" si="111"/>
        <v/>
      </c>
      <c r="AQ68" s="76" t="str">
        <f t="shared" si="112"/>
        <v>O</v>
      </c>
      <c r="AR68" s="76" t="str">
        <f t="shared" si="113"/>
        <v>O</v>
      </c>
      <c r="AS68" s="76" t="s">
        <v>2</v>
      </c>
      <c r="AT68" s="76" t="str">
        <f t="shared" si="114"/>
        <v>O</v>
      </c>
      <c r="AU68" s="76" t="str">
        <f t="shared" si="115"/>
        <v>O</v>
      </c>
      <c r="AV68" s="76" t="str">
        <f t="shared" si="116"/>
        <v/>
      </c>
    </row>
    <row r="69" spans="1:48" x14ac:dyDescent="0.3">
      <c r="A69" s="9" t="s">
        <v>1722</v>
      </c>
      <c r="B69" s="10" t="s">
        <v>1940</v>
      </c>
      <c r="C69" s="87">
        <v>392</v>
      </c>
      <c r="D69" s="85">
        <v>119.3</v>
      </c>
      <c r="E69" s="86">
        <v>36</v>
      </c>
      <c r="F69" s="85">
        <v>84.9</v>
      </c>
      <c r="G69" s="17">
        <v>26</v>
      </c>
      <c r="H69" s="87">
        <v>4</v>
      </c>
      <c r="I69" s="88"/>
      <c r="J69" s="88"/>
      <c r="K69" s="88"/>
      <c r="L69" s="88"/>
      <c r="M69" s="89">
        <f t="shared" si="98"/>
        <v>0</v>
      </c>
      <c r="N69" s="4" t="str">
        <f t="shared" si="99"/>
        <v/>
      </c>
      <c r="O69" s="90">
        <f t="shared" si="100"/>
        <v>0</v>
      </c>
      <c r="P69" s="90">
        <f t="shared" si="101"/>
        <v>0</v>
      </c>
      <c r="Q69" s="76">
        <v>3</v>
      </c>
      <c r="R69" s="76">
        <v>2</v>
      </c>
      <c r="S69" s="76" t="s">
        <v>61</v>
      </c>
      <c r="T69" s="5" t="s">
        <v>457</v>
      </c>
      <c r="U69" s="9"/>
      <c r="W69" s="85">
        <f t="shared" si="102"/>
        <v>119.3</v>
      </c>
      <c r="X69" s="86">
        <f t="shared" si="102"/>
        <v>36</v>
      </c>
      <c r="Y69" s="91">
        <f t="shared" si="103"/>
        <v>4</v>
      </c>
      <c r="Z69" s="89">
        <f t="shared" si="103"/>
        <v>0</v>
      </c>
      <c r="AA69" s="89">
        <f t="shared" si="104"/>
        <v>0</v>
      </c>
      <c r="AB69" s="89">
        <f t="shared" si="105"/>
        <v>0</v>
      </c>
      <c r="AC69" s="4" t="str">
        <f t="shared" si="105"/>
        <v/>
      </c>
      <c r="AD69" s="90">
        <f t="shared" si="105"/>
        <v>0</v>
      </c>
      <c r="AE69" s="76" t="str">
        <f t="shared" si="106"/>
        <v>계</v>
      </c>
      <c r="AF69" s="76" t="str">
        <f t="shared" si="107"/>
        <v>3/2</v>
      </c>
      <c r="AH69" s="20" t="str">
        <f t="shared" ref="AH69:AH76" si="118">IF(A69="","",A69)</f>
        <v>전주효자SK리더스뷰</v>
      </c>
      <c r="AI69" s="86">
        <f t="shared" si="117"/>
        <v>36</v>
      </c>
      <c r="AJ69" s="76" t="str">
        <f t="shared" si="108"/>
        <v>A-</v>
      </c>
      <c r="AK69" s="76" t="s">
        <v>13</v>
      </c>
      <c r="AL69" s="76" t="s">
        <v>62</v>
      </c>
      <c r="AM69" s="76" t="s">
        <v>63</v>
      </c>
      <c r="AN69" s="76" t="str">
        <f t="shared" si="109"/>
        <v>C</v>
      </c>
      <c r="AO69" s="76" t="str">
        <f t="shared" si="110"/>
        <v/>
      </c>
      <c r="AP69" s="76" t="str">
        <f t="shared" si="111"/>
        <v/>
      </c>
      <c r="AQ69" s="76" t="str">
        <f t="shared" si="112"/>
        <v>O</v>
      </c>
      <c r="AR69" s="76" t="str">
        <f t="shared" si="113"/>
        <v>O</v>
      </c>
      <c r="AS69" s="76" t="s">
        <v>2</v>
      </c>
      <c r="AT69" s="76" t="str">
        <f t="shared" si="114"/>
        <v>O</v>
      </c>
      <c r="AU69" s="76" t="str">
        <f t="shared" si="115"/>
        <v>O</v>
      </c>
      <c r="AV69" s="76" t="str">
        <f t="shared" si="116"/>
        <v/>
      </c>
    </row>
    <row r="70" spans="1:48" x14ac:dyDescent="0.3">
      <c r="A70" s="9" t="s">
        <v>1722</v>
      </c>
      <c r="B70" s="10" t="s">
        <v>1940</v>
      </c>
      <c r="C70" s="87">
        <v>392</v>
      </c>
      <c r="D70" s="85">
        <v>121.6</v>
      </c>
      <c r="E70" s="86">
        <v>37</v>
      </c>
      <c r="F70" s="85">
        <v>84.9</v>
      </c>
      <c r="G70" s="17">
        <v>26</v>
      </c>
      <c r="H70" s="87">
        <v>5</v>
      </c>
      <c r="I70" s="88"/>
      <c r="J70" s="88"/>
      <c r="K70" s="88"/>
      <c r="L70" s="88"/>
      <c r="M70" s="89">
        <f t="shared" si="98"/>
        <v>0</v>
      </c>
      <c r="N70" s="4" t="str">
        <f t="shared" si="99"/>
        <v/>
      </c>
      <c r="O70" s="90">
        <f t="shared" si="100"/>
        <v>0</v>
      </c>
      <c r="P70" s="90">
        <f t="shared" si="101"/>
        <v>0</v>
      </c>
      <c r="Q70" s="76">
        <v>3</v>
      </c>
      <c r="R70" s="76">
        <v>2</v>
      </c>
      <c r="S70" s="76" t="s">
        <v>61</v>
      </c>
      <c r="T70" s="5" t="s">
        <v>458</v>
      </c>
      <c r="U70" s="9"/>
      <c r="W70" s="85">
        <f t="shared" si="102"/>
        <v>121.6</v>
      </c>
      <c r="X70" s="86">
        <f t="shared" si="102"/>
        <v>37</v>
      </c>
      <c r="Y70" s="91">
        <f t="shared" si="103"/>
        <v>5</v>
      </c>
      <c r="Z70" s="89">
        <f t="shared" si="103"/>
        <v>0</v>
      </c>
      <c r="AA70" s="89">
        <f t="shared" si="104"/>
        <v>0</v>
      </c>
      <c r="AB70" s="89">
        <f t="shared" si="105"/>
        <v>0</v>
      </c>
      <c r="AC70" s="4" t="str">
        <f t="shared" si="105"/>
        <v/>
      </c>
      <c r="AD70" s="90">
        <f t="shared" si="105"/>
        <v>0</v>
      </c>
      <c r="AE70" s="76" t="str">
        <f t="shared" si="106"/>
        <v>계</v>
      </c>
      <c r="AF70" s="76" t="str">
        <f t="shared" si="107"/>
        <v>3/2</v>
      </c>
      <c r="AH70" s="20" t="str">
        <f t="shared" si="118"/>
        <v>전주효자SK리더스뷰</v>
      </c>
      <c r="AI70" s="86">
        <f t="shared" si="117"/>
        <v>37</v>
      </c>
      <c r="AJ70" s="76" t="str">
        <f t="shared" si="108"/>
        <v>A-</v>
      </c>
      <c r="AK70" s="76" t="s">
        <v>13</v>
      </c>
      <c r="AL70" s="76" t="s">
        <v>62</v>
      </c>
      <c r="AM70" s="76" t="s">
        <v>63</v>
      </c>
      <c r="AN70" s="76" t="str">
        <f t="shared" si="109"/>
        <v>C</v>
      </c>
      <c r="AO70" s="76" t="str">
        <f t="shared" si="110"/>
        <v/>
      </c>
      <c r="AP70" s="76" t="str">
        <f t="shared" si="111"/>
        <v/>
      </c>
      <c r="AQ70" s="76" t="str">
        <f t="shared" si="112"/>
        <v>O</v>
      </c>
      <c r="AR70" s="76" t="str">
        <f t="shared" si="113"/>
        <v>O</v>
      </c>
      <c r="AS70" s="76" t="s">
        <v>2</v>
      </c>
      <c r="AT70" s="76" t="str">
        <f t="shared" si="114"/>
        <v>O</v>
      </c>
      <c r="AU70" s="76" t="str">
        <f t="shared" si="115"/>
        <v>O</v>
      </c>
      <c r="AV70" s="76" t="str">
        <f t="shared" si="116"/>
        <v/>
      </c>
    </row>
    <row r="71" spans="1:48" x14ac:dyDescent="0.3">
      <c r="A71" s="9"/>
      <c r="B71" s="76"/>
      <c r="C71" s="6"/>
      <c r="D71" s="9"/>
      <c r="E71" s="14"/>
      <c r="F71" s="85"/>
      <c r="G71" s="9"/>
      <c r="H71" s="9"/>
      <c r="I71" s="9"/>
      <c r="J71" s="9"/>
      <c r="K71" s="9"/>
      <c r="L71" s="9"/>
      <c r="M71" s="9"/>
      <c r="N71" s="9"/>
      <c r="O71" s="90"/>
      <c r="P71" s="90"/>
      <c r="Q71" s="86"/>
      <c r="R71" s="86"/>
      <c r="S71" s="9"/>
      <c r="T71" s="47"/>
      <c r="U71" s="9"/>
      <c r="W71" s="67" t="str">
        <f>$A$4&amp;" "&amp;A72&amp;"("&amp;B72&amp;","&amp;C72&amp;"^)"</f>
        <v>효자동2가 효자엘드수목토1차('05.08.,419^)</v>
      </c>
      <c r="X71" s="68"/>
      <c r="Y71" s="68"/>
      <c r="Z71" s="68"/>
      <c r="AA71" s="68"/>
      <c r="AB71" s="68"/>
      <c r="AC71" s="68"/>
      <c r="AD71" s="68"/>
      <c r="AE71" s="68"/>
      <c r="AF71" s="69"/>
      <c r="AH71" s="20" t="str">
        <f t="shared" si="118"/>
        <v/>
      </c>
      <c r="AI71" s="108" t="str">
        <f t="shared" si="117"/>
        <v/>
      </c>
      <c r="AJ71" s="76"/>
      <c r="AK71" s="76"/>
      <c r="AL71" s="76"/>
      <c r="AM71" s="76"/>
      <c r="AN71" s="76"/>
      <c r="AO71" s="76"/>
      <c r="AP71" s="76"/>
      <c r="AQ71" s="76"/>
      <c r="AR71" s="76"/>
      <c r="AS71" s="76"/>
      <c r="AT71" s="76"/>
      <c r="AU71" s="76"/>
      <c r="AV71" s="76"/>
    </row>
    <row r="72" spans="1:48" x14ac:dyDescent="0.3">
      <c r="A72" s="9" t="s">
        <v>1727</v>
      </c>
      <c r="B72" s="10" t="s">
        <v>1881</v>
      </c>
      <c r="C72" s="87">
        <v>419</v>
      </c>
      <c r="D72" s="85">
        <v>100.5</v>
      </c>
      <c r="E72" s="86">
        <v>30</v>
      </c>
      <c r="F72" s="85">
        <v>84.8</v>
      </c>
      <c r="G72" s="17">
        <v>26</v>
      </c>
      <c r="H72" s="87">
        <v>269</v>
      </c>
      <c r="I72" s="88">
        <v>33000</v>
      </c>
      <c r="J72" s="88" t="s">
        <v>90</v>
      </c>
      <c r="K72" s="88"/>
      <c r="L72" s="88"/>
      <c r="M72" s="89">
        <f>I72-K72</f>
        <v>33000</v>
      </c>
      <c r="N72" s="4">
        <f>IF(ISERROR(K72/I72),"",K72/I72)</f>
        <v>0</v>
      </c>
      <c r="O72" s="90">
        <f>I72/E72</f>
        <v>1100</v>
      </c>
      <c r="P72" s="90">
        <f>K72/E72</f>
        <v>0</v>
      </c>
      <c r="Q72" s="76">
        <v>3</v>
      </c>
      <c r="R72" s="76">
        <v>2</v>
      </c>
      <c r="S72" s="76" t="s">
        <v>61</v>
      </c>
      <c r="T72" s="5" t="s">
        <v>460</v>
      </c>
      <c r="U72" s="9"/>
      <c r="W72" s="85">
        <f>D72</f>
        <v>100.5</v>
      </c>
      <c r="X72" s="86">
        <f>E72</f>
        <v>30</v>
      </c>
      <c r="Y72" s="91">
        <f>H72</f>
        <v>269</v>
      </c>
      <c r="Z72" s="89">
        <f>I72</f>
        <v>33000</v>
      </c>
      <c r="AA72" s="89">
        <f>K72</f>
        <v>0</v>
      </c>
      <c r="AB72" s="89">
        <f t="shared" ref="AB72:AD73" si="119">M72</f>
        <v>33000</v>
      </c>
      <c r="AC72" s="4">
        <f t="shared" si="119"/>
        <v>0</v>
      </c>
      <c r="AD72" s="90">
        <f t="shared" si="119"/>
        <v>1100</v>
      </c>
      <c r="AE72" s="76" t="str">
        <f>S72</f>
        <v>계</v>
      </c>
      <c r="AF72" s="76" t="str">
        <f>Q72&amp;"/"&amp;R72</f>
        <v>3/2</v>
      </c>
      <c r="AH72" s="20" t="str">
        <f t="shared" si="118"/>
        <v>효자엘드수목토1차</v>
      </c>
      <c r="AI72" s="86">
        <f t="shared" si="117"/>
        <v>30</v>
      </c>
      <c r="AJ72" s="76" t="str">
        <f>IF(AI72="","",$AJ$2)</f>
        <v>A-</v>
      </c>
      <c r="AK72" s="76" t="s">
        <v>13</v>
      </c>
      <c r="AL72" s="76" t="s">
        <v>62</v>
      </c>
      <c r="AM72" s="76" t="s">
        <v>63</v>
      </c>
      <c r="AN72" s="76" t="str">
        <f>IF(AI72="","",$AN$2)</f>
        <v>C</v>
      </c>
      <c r="AO72" s="76" t="str">
        <f>IF(N72="","",IF(N72&gt;=$AO$1/100,"O","X"))</f>
        <v>X</v>
      </c>
      <c r="AP72" s="76" t="str">
        <f>IF(I72="","",IF(I72&lt;=$AP$1,"O","X"))</f>
        <v>O</v>
      </c>
      <c r="AQ72" s="76" t="str">
        <f>IF(O72="","",IF(O72&lt;=$AQ$1,"O","X"))</f>
        <v>O</v>
      </c>
      <c r="AR72" s="76" t="str">
        <f>IF(M72="","",IF(M72&lt;=$AR$1,"O","X"))</f>
        <v>X</v>
      </c>
      <c r="AS72" s="76" t="s">
        <v>2</v>
      </c>
      <c r="AT72" s="76" t="str">
        <f>IF(OR(F72="",AI72=""),"",IF(AND((F72&lt;=85),(AI72&gt;=15)),"O","X"))</f>
        <v>O</v>
      </c>
      <c r="AU72" s="76" t="str">
        <f>IF(C72="","",IF(C72&gt;=$AU$1,"O","X"))</f>
        <v>O</v>
      </c>
      <c r="AV72" s="76" t="str">
        <f>IF(AO72="","",IF(AND(AO72="O",AP72="O",AR72="O",AT72="O",AU72="O"),"후보","X"))</f>
        <v>X</v>
      </c>
    </row>
    <row r="73" spans="1:48" x14ac:dyDescent="0.3">
      <c r="A73" s="9" t="s">
        <v>1727</v>
      </c>
      <c r="B73" s="10" t="s">
        <v>1881</v>
      </c>
      <c r="C73" s="87">
        <v>419</v>
      </c>
      <c r="D73" s="85">
        <v>100.5</v>
      </c>
      <c r="E73" s="86">
        <v>30</v>
      </c>
      <c r="F73" s="85">
        <v>85</v>
      </c>
      <c r="G73" s="17">
        <v>26</v>
      </c>
      <c r="H73" s="87">
        <v>150</v>
      </c>
      <c r="I73" s="88">
        <v>36300</v>
      </c>
      <c r="J73" s="88" t="s">
        <v>248</v>
      </c>
      <c r="K73" s="88"/>
      <c r="L73" s="88"/>
      <c r="M73" s="89">
        <f>I73-K73</f>
        <v>36300</v>
      </c>
      <c r="N73" s="4">
        <f>IF(ISERROR(K73/I73),"",K73/I73)</f>
        <v>0</v>
      </c>
      <c r="O73" s="90">
        <f>I73/E73</f>
        <v>1210</v>
      </c>
      <c r="P73" s="90">
        <f>K73/E73</f>
        <v>0</v>
      </c>
      <c r="Q73" s="76">
        <v>3</v>
      </c>
      <c r="R73" s="76">
        <v>2</v>
      </c>
      <c r="S73" s="76" t="s">
        <v>61</v>
      </c>
      <c r="T73" s="5" t="s">
        <v>461</v>
      </c>
      <c r="U73" s="9"/>
      <c r="W73" s="85">
        <f>D73</f>
        <v>100.5</v>
      </c>
      <c r="X73" s="86">
        <f>E73</f>
        <v>30</v>
      </c>
      <c r="Y73" s="91">
        <f>H73</f>
        <v>150</v>
      </c>
      <c r="Z73" s="89">
        <f>I73</f>
        <v>36300</v>
      </c>
      <c r="AA73" s="89">
        <f>K73</f>
        <v>0</v>
      </c>
      <c r="AB73" s="89">
        <f t="shared" si="119"/>
        <v>36300</v>
      </c>
      <c r="AC73" s="4">
        <f t="shared" si="119"/>
        <v>0</v>
      </c>
      <c r="AD73" s="90">
        <f t="shared" si="119"/>
        <v>1210</v>
      </c>
      <c r="AE73" s="76" t="str">
        <f>S73</f>
        <v>계</v>
      </c>
      <c r="AF73" s="76" t="str">
        <f>Q73&amp;"/"&amp;R73</f>
        <v>3/2</v>
      </c>
      <c r="AH73" s="20" t="str">
        <f t="shared" si="118"/>
        <v>효자엘드수목토1차</v>
      </c>
      <c r="AI73" s="86">
        <f t="shared" si="117"/>
        <v>30</v>
      </c>
      <c r="AJ73" s="76" t="str">
        <f>IF(AI73="","",$AJ$2)</f>
        <v>A-</v>
      </c>
      <c r="AK73" s="76" t="s">
        <v>13</v>
      </c>
      <c r="AL73" s="76" t="s">
        <v>62</v>
      </c>
      <c r="AM73" s="76" t="s">
        <v>63</v>
      </c>
      <c r="AN73" s="76" t="str">
        <f>IF(AI73="","",$AN$2)</f>
        <v>C</v>
      </c>
      <c r="AO73" s="76" t="str">
        <f>IF(N73="","",IF(N73&gt;=$AO$1/100,"O","X"))</f>
        <v>X</v>
      </c>
      <c r="AP73" s="76" t="str">
        <f>IF(I73="","",IF(I73&lt;=$AP$1,"O","X"))</f>
        <v>O</v>
      </c>
      <c r="AQ73" s="76" t="str">
        <f>IF(O73="","",IF(O73&lt;=$AQ$1,"O","X"))</f>
        <v>O</v>
      </c>
      <c r="AR73" s="76" t="str">
        <f>IF(M73="","",IF(M73&lt;=$AR$1,"O","X"))</f>
        <v>X</v>
      </c>
      <c r="AS73" s="76" t="s">
        <v>2</v>
      </c>
      <c r="AT73" s="76" t="str">
        <f>IF(OR(F73="",AI73=""),"",IF(AND((F73&lt;=85),(AI73&gt;=15)),"O","X"))</f>
        <v>O</v>
      </c>
      <c r="AU73" s="76" t="str">
        <f>IF(C73="","",IF(C73&gt;=$AU$1,"O","X"))</f>
        <v>O</v>
      </c>
      <c r="AV73" s="76" t="str">
        <f>IF(AO73="","",IF(AND(AO73="O",AP73="O",AR73="O",AT73="O",AU73="O"),"후보","X"))</f>
        <v>X</v>
      </c>
    </row>
    <row r="74" spans="1:48" x14ac:dyDescent="0.3">
      <c r="A74" s="9"/>
      <c r="B74" s="76"/>
      <c r="C74" s="6"/>
      <c r="D74" s="9"/>
      <c r="E74" s="14"/>
      <c r="F74" s="85"/>
      <c r="G74" s="9"/>
      <c r="H74" s="9"/>
      <c r="I74" s="9"/>
      <c r="J74" s="9"/>
      <c r="K74" s="9"/>
      <c r="L74" s="9"/>
      <c r="M74" s="9"/>
      <c r="N74" s="9"/>
      <c r="O74" s="90"/>
      <c r="P74" s="90"/>
      <c r="Q74" s="86"/>
      <c r="R74" s="86"/>
      <c r="S74" s="9"/>
      <c r="T74" s="47"/>
      <c r="U74" s="9"/>
      <c r="W74" s="67" t="str">
        <f>$A$4&amp;" "&amp;A75&amp;"("&amp;B75&amp;","&amp;C75&amp;"^)"</f>
        <v>효자동2가 효자풍림아이원('07.05.,202^)</v>
      </c>
      <c r="X74" s="68"/>
      <c r="Y74" s="68"/>
      <c r="Z74" s="68"/>
      <c r="AA74" s="68"/>
      <c r="AB74" s="68"/>
      <c r="AC74" s="68"/>
      <c r="AD74" s="68"/>
      <c r="AE74" s="68"/>
      <c r="AF74" s="69"/>
      <c r="AH74" s="20" t="str">
        <f t="shared" si="118"/>
        <v/>
      </c>
      <c r="AI74" s="108" t="str">
        <f t="shared" si="117"/>
        <v/>
      </c>
      <c r="AJ74" s="76"/>
      <c r="AK74" s="76"/>
      <c r="AL74" s="76"/>
      <c r="AM74" s="76"/>
      <c r="AN74" s="76"/>
      <c r="AO74" s="76"/>
      <c r="AP74" s="76"/>
      <c r="AQ74" s="76"/>
      <c r="AR74" s="76"/>
      <c r="AS74" s="76"/>
      <c r="AT74" s="76"/>
      <c r="AU74" s="76"/>
      <c r="AV74" s="76"/>
    </row>
    <row r="75" spans="1:48" x14ac:dyDescent="0.3">
      <c r="A75" s="9" t="s">
        <v>1735</v>
      </c>
      <c r="B75" s="10" t="s">
        <v>1941</v>
      </c>
      <c r="C75" s="87">
        <v>202</v>
      </c>
      <c r="D75" s="85">
        <v>131.9</v>
      </c>
      <c r="E75" s="86">
        <v>40</v>
      </c>
      <c r="F75" s="85">
        <v>99.8</v>
      </c>
      <c r="G75" s="17">
        <v>30</v>
      </c>
      <c r="H75" s="87">
        <v>126</v>
      </c>
      <c r="I75" s="88"/>
      <c r="J75" s="88"/>
      <c r="K75" s="88"/>
      <c r="L75" s="88"/>
      <c r="M75" s="89">
        <f>I75-K75</f>
        <v>0</v>
      </c>
      <c r="N75" s="4" t="str">
        <f>IF(ISERROR(K75/I75),"",K75/I75)</f>
        <v/>
      </c>
      <c r="O75" s="90">
        <f>I75/E75</f>
        <v>0</v>
      </c>
      <c r="P75" s="90">
        <f>K75/E75</f>
        <v>0</v>
      </c>
      <c r="Q75" s="76">
        <v>3</v>
      </c>
      <c r="R75" s="76">
        <v>2</v>
      </c>
      <c r="S75" s="76" t="s">
        <v>61</v>
      </c>
      <c r="T75" s="5">
        <v>131</v>
      </c>
      <c r="U75" s="9"/>
      <c r="W75" s="85">
        <f>D75</f>
        <v>131.9</v>
      </c>
      <c r="X75" s="86">
        <f>E75</f>
        <v>40</v>
      </c>
      <c r="Y75" s="91">
        <f>H75</f>
        <v>126</v>
      </c>
      <c r="Z75" s="89">
        <f>I75</f>
        <v>0</v>
      </c>
      <c r="AA75" s="89">
        <f>K75</f>
        <v>0</v>
      </c>
      <c r="AB75" s="89">
        <f t="shared" ref="AB75:AD76" si="120">M75</f>
        <v>0</v>
      </c>
      <c r="AC75" s="4" t="str">
        <f t="shared" si="120"/>
        <v/>
      </c>
      <c r="AD75" s="90">
        <f t="shared" si="120"/>
        <v>0</v>
      </c>
      <c r="AE75" s="76" t="str">
        <f>S75</f>
        <v>계</v>
      </c>
      <c r="AF75" s="76" t="str">
        <f>Q75&amp;"/"&amp;R75</f>
        <v>3/2</v>
      </c>
      <c r="AH75" s="20" t="str">
        <f t="shared" si="118"/>
        <v>효자풍림아이원</v>
      </c>
      <c r="AI75" s="86">
        <f t="shared" si="117"/>
        <v>40</v>
      </c>
      <c r="AJ75" s="76" t="str">
        <f>IF(AI75="","",$AJ$2)</f>
        <v>A-</v>
      </c>
      <c r="AK75" s="76" t="s">
        <v>13</v>
      </c>
      <c r="AL75" s="76" t="s">
        <v>62</v>
      </c>
      <c r="AM75" s="76" t="s">
        <v>63</v>
      </c>
      <c r="AN75" s="76" t="str">
        <f>IF(AI75="","",$AN$2)</f>
        <v>C</v>
      </c>
      <c r="AO75" s="76" t="str">
        <f>IF(N75="","",IF(N75&gt;=$AO$1/100,"O","X"))</f>
        <v/>
      </c>
      <c r="AP75" s="76" t="str">
        <f>IF(I75="","",IF(I75&lt;=$AP$1,"O","X"))</f>
        <v/>
      </c>
      <c r="AQ75" s="76" t="str">
        <f>IF(O75="","",IF(O75&lt;=$AQ$1,"O","X"))</f>
        <v>O</v>
      </c>
      <c r="AR75" s="76" t="str">
        <f>IF(M75="","",IF(M75&lt;=$AR$1,"O","X"))</f>
        <v>O</v>
      </c>
      <c r="AS75" s="76" t="s">
        <v>2</v>
      </c>
      <c r="AT75" s="76" t="str">
        <f>IF(OR(F75="",AI75=""),"",IF(AND((F75&lt;=85),(AI75&gt;=15)),"O","X"))</f>
        <v>X</v>
      </c>
      <c r="AU75" s="76" t="str">
        <f>IF(C75="","",IF(C75&gt;=$AU$1,"O","X"))</f>
        <v>X</v>
      </c>
      <c r="AV75" s="76" t="str">
        <f>IF(AO75="","",IF(AND(AO75="O",AP75="O",AR75="O",AT75="O",AU75="O"),"후보","X"))</f>
        <v/>
      </c>
    </row>
    <row r="76" spans="1:48" x14ac:dyDescent="0.3">
      <c r="A76" s="9" t="s">
        <v>1735</v>
      </c>
      <c r="B76" s="10" t="s">
        <v>1941</v>
      </c>
      <c r="C76" s="87">
        <v>202</v>
      </c>
      <c r="D76" s="85">
        <v>160.80000000000001</v>
      </c>
      <c r="E76" s="86">
        <v>49</v>
      </c>
      <c r="F76" s="85">
        <v>121.7</v>
      </c>
      <c r="G76" s="17">
        <v>37</v>
      </c>
      <c r="H76" s="87">
        <v>76</v>
      </c>
      <c r="I76" s="88"/>
      <c r="J76" s="88"/>
      <c r="K76" s="88"/>
      <c r="L76" s="88"/>
      <c r="M76" s="89">
        <f>I76-K76</f>
        <v>0</v>
      </c>
      <c r="N76" s="4" t="str">
        <f>IF(ISERROR(K76/I76),"",K76/I76)</f>
        <v/>
      </c>
      <c r="O76" s="90">
        <f>I76/E76</f>
        <v>0</v>
      </c>
      <c r="P76" s="90">
        <f>K76/E76</f>
        <v>0</v>
      </c>
      <c r="Q76" s="76">
        <v>4</v>
      </c>
      <c r="R76" s="76">
        <v>2</v>
      </c>
      <c r="S76" s="76" t="s">
        <v>61</v>
      </c>
      <c r="T76" s="5">
        <v>160</v>
      </c>
      <c r="U76" s="9"/>
      <c r="W76" s="85">
        <f>D76</f>
        <v>160.80000000000001</v>
      </c>
      <c r="X76" s="86">
        <f>E76</f>
        <v>49</v>
      </c>
      <c r="Y76" s="91">
        <f>H76</f>
        <v>76</v>
      </c>
      <c r="Z76" s="89">
        <f>I76</f>
        <v>0</v>
      </c>
      <c r="AA76" s="89">
        <f>K76</f>
        <v>0</v>
      </c>
      <c r="AB76" s="89">
        <f t="shared" si="120"/>
        <v>0</v>
      </c>
      <c r="AC76" s="4" t="str">
        <f t="shared" si="120"/>
        <v/>
      </c>
      <c r="AD76" s="90">
        <f t="shared" si="120"/>
        <v>0</v>
      </c>
      <c r="AE76" s="76" t="str">
        <f>S76</f>
        <v>계</v>
      </c>
      <c r="AF76" s="76" t="str">
        <f>Q76&amp;"/"&amp;R76</f>
        <v>4/2</v>
      </c>
      <c r="AH76" s="20" t="str">
        <f t="shared" si="118"/>
        <v>효자풍림아이원</v>
      </c>
      <c r="AI76" s="86">
        <f t="shared" si="117"/>
        <v>49</v>
      </c>
      <c r="AJ76" s="76" t="str">
        <f>IF(AI76="","",$AJ$2)</f>
        <v>A-</v>
      </c>
      <c r="AK76" s="76" t="s">
        <v>13</v>
      </c>
      <c r="AL76" s="76" t="s">
        <v>62</v>
      </c>
      <c r="AM76" s="76" t="s">
        <v>63</v>
      </c>
      <c r="AN76" s="76" t="str">
        <f>IF(AI76="","",$AN$2)</f>
        <v>C</v>
      </c>
      <c r="AO76" s="76" t="str">
        <f>IF(N76="","",IF(N76&gt;=$AO$1/100,"O","X"))</f>
        <v/>
      </c>
      <c r="AP76" s="76" t="str">
        <f>IF(I76="","",IF(I76&lt;=$AP$1,"O","X"))</f>
        <v/>
      </c>
      <c r="AQ76" s="76" t="str">
        <f>IF(O76="","",IF(O76&lt;=$AQ$1,"O","X"))</f>
        <v>O</v>
      </c>
      <c r="AR76" s="76" t="str">
        <f>IF(M76="","",IF(M76&lt;=$AR$1,"O","X"))</f>
        <v>O</v>
      </c>
      <c r="AS76" s="76" t="s">
        <v>2</v>
      </c>
      <c r="AT76" s="76" t="str">
        <f>IF(OR(F76="",AI76=""),"",IF(AND((F76&lt;=85),(AI76&gt;=15)),"O","X"))</f>
        <v>X</v>
      </c>
      <c r="AU76" s="76" t="str">
        <f>IF(C76="","",IF(C76&gt;=$AU$1,"O","X"))</f>
        <v>X</v>
      </c>
      <c r="AV76" s="76" t="str">
        <f>IF(AO76="","",IF(AND(AO76="O",AP76="O",AR76="O",AT76="O",AU76="O"),"후보","X"))</f>
        <v/>
      </c>
    </row>
  </sheetData>
  <mergeCells count="1">
    <mergeCell ref="AJ1:AN1"/>
  </mergeCells>
  <phoneticPr fontId="2" type="noConversion"/>
  <conditionalFormatting sqref="AV4:AV6">
    <cfRule type="expression" dxfId="12697" priority="1182">
      <formula>AV4="X"</formula>
    </cfRule>
    <cfRule type="expression" dxfId="12696" priority="1183">
      <formula>AV4="후보"</formula>
    </cfRule>
  </conditionalFormatting>
  <conditionalFormatting sqref="AC1:AC2 AC4:AC6 N4:N5">
    <cfRule type="cellIs" dxfId="12695" priority="1179" operator="greaterThan">
      <formula>0.9</formula>
    </cfRule>
    <cfRule type="cellIs" dxfId="12694" priority="1180" operator="greaterThan">
      <formula>0.85</formula>
    </cfRule>
  </conditionalFormatting>
  <conditionalFormatting sqref="N1:N2">
    <cfRule type="cellIs" dxfId="12693" priority="1177" operator="greaterThan">
      <formula>0.9</formula>
    </cfRule>
    <cfRule type="cellIs" dxfId="12692" priority="1178" operator="greaterThan">
      <formula>0.85</formula>
    </cfRule>
  </conditionalFormatting>
  <conditionalFormatting sqref="N6">
    <cfRule type="cellIs" dxfId="12691" priority="1175" operator="greaterThan">
      <formula>0.9</formula>
    </cfRule>
    <cfRule type="cellIs" dxfId="12690" priority="1176" operator="greaterThan">
      <formula>0.85</formula>
    </cfRule>
  </conditionalFormatting>
  <conditionalFormatting sqref="E6">
    <cfRule type="expression" dxfId="12689" priority="1171">
      <formula>AND(IF(OR($Q6=1,$Q6=2),1,0),IF($X6&lt;=20,1,0))</formula>
    </cfRule>
    <cfRule type="expression" dxfId="12688" priority="1172">
      <formula>AND(IF($Q6=2,1,0),IF($X6&lt;30,1,0))</formula>
    </cfRule>
    <cfRule type="expression" dxfId="12687" priority="1173">
      <formula>AND(IF($Q6=3,1,0),IF($X6&lt;30,1,0))</formula>
    </cfRule>
    <cfRule type="expression" dxfId="12686" priority="1174">
      <formula>AND(IF($Q6=3,1,IF($Q6=4,1,0)),IF($F6&lt;=85,1,0))</formula>
    </cfRule>
  </conditionalFormatting>
  <conditionalFormatting sqref="X6">
    <cfRule type="expression" dxfId="12685" priority="1167">
      <formula>AND(IF(OR($Q6=1,$Q6=2),1,0),IF($X6&lt;=20,1,0))</formula>
    </cfRule>
    <cfRule type="expression" dxfId="12684" priority="1168">
      <formula>AND(IF($Q6=2,1,0),IF($X6&lt;30,1,0))</formula>
    </cfRule>
    <cfRule type="expression" dxfId="12683" priority="1169">
      <formula>AND(IF($Q6=3,1,0),IF($X6&lt;30,1,0))</formula>
    </cfRule>
    <cfRule type="expression" dxfId="12682" priority="1170">
      <formula>AND(IF($Q6=3,1,IF($Q6=4,1,0)),IF($F6&lt;=85,1,0))</formula>
    </cfRule>
  </conditionalFormatting>
  <conditionalFormatting sqref="AI6">
    <cfRule type="expression" dxfId="12681" priority="1163">
      <formula>AND(IF(OR($Q6=1,$Q6=2),1,0),IF($X6&lt;=20,1,0))</formula>
    </cfRule>
    <cfRule type="expression" dxfId="12680" priority="1164">
      <formula>AND(IF($Q6=2,1,0),IF($X6&lt;30,1,0))</formula>
    </cfRule>
    <cfRule type="expression" dxfId="12679" priority="1165">
      <formula>AND(IF($Q6=3,1,0),IF($X6&lt;30,1,0))</formula>
    </cfRule>
    <cfRule type="expression" dxfId="12678" priority="1166">
      <formula>AND(IF($Q6=3,1,IF($Q6=4,1,0)),IF($F6&lt;=85,1,0))</formula>
    </cfRule>
  </conditionalFormatting>
  <conditionalFormatting sqref="AV7">
    <cfRule type="expression" dxfId="12677" priority="1161">
      <formula>AV7="X"</formula>
    </cfRule>
    <cfRule type="expression" dxfId="12676" priority="1162">
      <formula>AV7="후보"</formula>
    </cfRule>
  </conditionalFormatting>
  <conditionalFormatting sqref="AC7">
    <cfRule type="cellIs" dxfId="12675" priority="1158" operator="greaterThan">
      <formula>0.9</formula>
    </cfRule>
    <cfRule type="cellIs" dxfId="12674" priority="1159" operator="greaterThan">
      <formula>0.85</formula>
    </cfRule>
  </conditionalFormatting>
  <conditionalFormatting sqref="N7">
    <cfRule type="cellIs" dxfId="12673" priority="1156" operator="greaterThan">
      <formula>0.9</formula>
    </cfRule>
    <cfRule type="cellIs" dxfId="12672" priority="1157" operator="greaterThan">
      <formula>0.85</formula>
    </cfRule>
  </conditionalFormatting>
  <conditionalFormatting sqref="E7">
    <cfRule type="expression" dxfId="12671" priority="1152">
      <formula>AND(IF(OR($Q7=1,$Q7=2),1,0),IF($X7&lt;=20,1,0))</formula>
    </cfRule>
    <cfRule type="expression" dxfId="12670" priority="1153">
      <formula>AND(IF($Q7=2,1,0),IF($X7&lt;30,1,0))</formula>
    </cfRule>
    <cfRule type="expression" dxfId="12669" priority="1154">
      <formula>AND(IF($Q7=3,1,0),IF($X7&lt;30,1,0))</formula>
    </cfRule>
    <cfRule type="expression" dxfId="12668" priority="1155">
      <formula>AND(IF($Q7=3,1,IF($Q7=4,1,0)),IF($F7&lt;=85,1,0))</formula>
    </cfRule>
  </conditionalFormatting>
  <conditionalFormatting sqref="X7">
    <cfRule type="expression" dxfId="12667" priority="1148">
      <formula>AND(IF(OR($Q7=1,$Q7=2),1,0),IF($X7&lt;=20,1,0))</formula>
    </cfRule>
    <cfRule type="expression" dxfId="12666" priority="1149">
      <formula>AND(IF($Q7=2,1,0),IF($X7&lt;30,1,0))</formula>
    </cfRule>
    <cfRule type="expression" dxfId="12665" priority="1150">
      <formula>AND(IF($Q7=3,1,0),IF($X7&lt;30,1,0))</formula>
    </cfRule>
    <cfRule type="expression" dxfId="12664" priority="1151">
      <formula>AND(IF($Q7=3,1,IF($Q7=4,1,0)),IF($F7&lt;=85,1,0))</formula>
    </cfRule>
  </conditionalFormatting>
  <conditionalFormatting sqref="AI7">
    <cfRule type="expression" dxfId="12663" priority="1144">
      <formula>AND(IF(OR($Q7=1,$Q7=2),1,0),IF($X7&lt;=20,1,0))</formula>
    </cfRule>
    <cfRule type="expression" dxfId="12662" priority="1145">
      <formula>AND(IF($Q7=2,1,0),IF($X7&lt;30,1,0))</formula>
    </cfRule>
    <cfRule type="expression" dxfId="12661" priority="1146">
      <formula>AND(IF($Q7=3,1,0),IF($X7&lt;30,1,0))</formula>
    </cfRule>
    <cfRule type="expression" dxfId="12660" priority="1147">
      <formula>AND(IF($Q7=3,1,IF($Q7=4,1,0)),IF($F7&lt;=85,1,0))</formula>
    </cfRule>
  </conditionalFormatting>
  <conditionalFormatting sqref="AV8">
    <cfRule type="expression" dxfId="12659" priority="1142">
      <formula>AV8="X"</formula>
    </cfRule>
    <cfRule type="expression" dxfId="12658" priority="1143">
      <formula>AV8="후보"</formula>
    </cfRule>
  </conditionalFormatting>
  <conditionalFormatting sqref="AC8">
    <cfRule type="cellIs" dxfId="12657" priority="1139" operator="greaterThan">
      <formula>0.9</formula>
    </cfRule>
    <cfRule type="cellIs" dxfId="12656" priority="1140" operator="greaterThan">
      <formula>0.85</formula>
    </cfRule>
  </conditionalFormatting>
  <conditionalFormatting sqref="N8">
    <cfRule type="cellIs" dxfId="12655" priority="1137" operator="greaterThan">
      <formula>0.9</formula>
    </cfRule>
    <cfRule type="cellIs" dxfId="12654" priority="1138" operator="greaterThan">
      <formula>0.85</formula>
    </cfRule>
  </conditionalFormatting>
  <conditionalFormatting sqref="E8">
    <cfRule type="expression" dxfId="12653" priority="1133">
      <formula>AND(IF(OR($Q8=1,$Q8=2),1,0),IF($X8&lt;=20,1,0))</formula>
    </cfRule>
    <cfRule type="expression" dxfId="12652" priority="1134">
      <formula>AND(IF($Q8=2,1,0),IF($X8&lt;30,1,0))</formula>
    </cfRule>
    <cfRule type="expression" dxfId="12651" priority="1135">
      <formula>AND(IF($Q8=3,1,0),IF($X8&lt;30,1,0))</formula>
    </cfRule>
    <cfRule type="expression" dxfId="12650" priority="1136">
      <formula>AND(IF($Q8=3,1,IF($Q8=4,1,0)),IF($F8&lt;=85,1,0))</formula>
    </cfRule>
  </conditionalFormatting>
  <conditionalFormatting sqref="X8">
    <cfRule type="expression" dxfId="12649" priority="1129">
      <formula>AND(IF(OR($Q8=1,$Q8=2),1,0),IF($X8&lt;=20,1,0))</formula>
    </cfRule>
    <cfRule type="expression" dxfId="12648" priority="1130">
      <formula>AND(IF($Q8=2,1,0),IF($X8&lt;30,1,0))</formula>
    </cfRule>
    <cfRule type="expression" dxfId="12647" priority="1131">
      <formula>AND(IF($Q8=3,1,0),IF($X8&lt;30,1,0))</formula>
    </cfRule>
    <cfRule type="expression" dxfId="12646" priority="1132">
      <formula>AND(IF($Q8=3,1,IF($Q8=4,1,0)),IF($F8&lt;=85,1,0))</formula>
    </cfRule>
  </conditionalFormatting>
  <conditionalFormatting sqref="AI8">
    <cfRule type="expression" dxfId="12645" priority="1125">
      <formula>AND(IF(OR($Q8=1,$Q8=2),1,0),IF($X8&lt;=20,1,0))</formula>
    </cfRule>
    <cfRule type="expression" dxfId="12644" priority="1126">
      <formula>AND(IF($Q8=2,1,0),IF($X8&lt;30,1,0))</formula>
    </cfRule>
    <cfRule type="expression" dxfId="12643" priority="1127">
      <formula>AND(IF($Q8=3,1,0),IF($X8&lt;30,1,0))</formula>
    </cfRule>
    <cfRule type="expression" dxfId="12642" priority="1128">
      <formula>AND(IF($Q8=3,1,IF($Q8=4,1,0)),IF($F8&lt;=85,1,0))</formula>
    </cfRule>
  </conditionalFormatting>
  <conditionalFormatting sqref="AV9">
    <cfRule type="expression" dxfId="12641" priority="1123">
      <formula>AV9="X"</formula>
    </cfRule>
    <cfRule type="expression" dxfId="12640" priority="1124">
      <formula>AV9="후보"</formula>
    </cfRule>
  </conditionalFormatting>
  <conditionalFormatting sqref="AC9">
    <cfRule type="cellIs" dxfId="12639" priority="1120" operator="greaterThan">
      <formula>0.9</formula>
    </cfRule>
    <cfRule type="cellIs" dxfId="12638" priority="1121" operator="greaterThan">
      <formula>0.85</formula>
    </cfRule>
  </conditionalFormatting>
  <conditionalFormatting sqref="N9">
    <cfRule type="cellIs" dxfId="12637" priority="1118" operator="greaterThan">
      <formula>0.9</formula>
    </cfRule>
    <cfRule type="cellIs" dxfId="12636" priority="1119" operator="greaterThan">
      <formula>0.85</formula>
    </cfRule>
  </conditionalFormatting>
  <conditionalFormatting sqref="E9">
    <cfRule type="expression" dxfId="12635" priority="1114">
      <formula>AND(IF(OR($Q9=1,$Q9=2),1,0),IF($X9&lt;=20,1,0))</formula>
    </cfRule>
    <cfRule type="expression" dxfId="12634" priority="1115">
      <formula>AND(IF($Q9=2,1,0),IF($X9&lt;30,1,0))</formula>
    </cfRule>
    <cfRule type="expression" dxfId="12633" priority="1116">
      <formula>AND(IF($Q9=3,1,0),IF($X9&lt;30,1,0))</formula>
    </cfRule>
    <cfRule type="expression" dxfId="12632" priority="1117">
      <formula>AND(IF($Q9=3,1,IF($Q9=4,1,0)),IF($F9&lt;=85,1,0))</formula>
    </cfRule>
  </conditionalFormatting>
  <conditionalFormatting sqref="X9">
    <cfRule type="expression" dxfId="12631" priority="1110">
      <formula>AND(IF(OR($Q9=1,$Q9=2),1,0),IF($X9&lt;=20,1,0))</formula>
    </cfRule>
    <cfRule type="expression" dxfId="12630" priority="1111">
      <formula>AND(IF($Q9=2,1,0),IF($X9&lt;30,1,0))</formula>
    </cfRule>
    <cfRule type="expression" dxfId="12629" priority="1112">
      <formula>AND(IF($Q9=3,1,0),IF($X9&lt;30,1,0))</formula>
    </cfRule>
    <cfRule type="expression" dxfId="12628" priority="1113">
      <formula>AND(IF($Q9=3,1,IF($Q9=4,1,0)),IF($F9&lt;=85,1,0))</formula>
    </cfRule>
  </conditionalFormatting>
  <conditionalFormatting sqref="AI9">
    <cfRule type="expression" dxfId="12627" priority="1106">
      <formula>AND(IF(OR($Q9=1,$Q9=2),1,0),IF($X9&lt;=20,1,0))</formula>
    </cfRule>
    <cfRule type="expression" dxfId="12626" priority="1107">
      <formula>AND(IF($Q9=2,1,0),IF($X9&lt;30,1,0))</formula>
    </cfRule>
    <cfRule type="expression" dxfId="12625" priority="1108">
      <formula>AND(IF($Q9=3,1,0),IF($X9&lt;30,1,0))</formula>
    </cfRule>
    <cfRule type="expression" dxfId="12624" priority="1109">
      <formula>AND(IF($Q9=3,1,IF($Q9=4,1,0)),IF($F9&lt;=85,1,0))</formula>
    </cfRule>
  </conditionalFormatting>
  <conditionalFormatting sqref="AV10">
    <cfRule type="expression" dxfId="12623" priority="1104">
      <formula>AV10="X"</formula>
    </cfRule>
    <cfRule type="expression" dxfId="12622" priority="1105">
      <formula>AV10="후보"</formula>
    </cfRule>
  </conditionalFormatting>
  <conditionalFormatting sqref="AC10 N10">
    <cfRule type="cellIs" dxfId="12621" priority="1101" operator="greaterThan">
      <formula>0.9</formula>
    </cfRule>
    <cfRule type="cellIs" dxfId="12620" priority="1102" operator="greaterThan">
      <formula>0.85</formula>
    </cfRule>
  </conditionalFormatting>
  <conditionalFormatting sqref="AV11">
    <cfRule type="expression" dxfId="12619" priority="1099">
      <formula>AV11="X"</formula>
    </cfRule>
    <cfRule type="expression" dxfId="12618" priority="1100">
      <formula>AV11="후보"</formula>
    </cfRule>
  </conditionalFormatting>
  <conditionalFormatting sqref="AC11">
    <cfRule type="cellIs" dxfId="12617" priority="1096" operator="greaterThan">
      <formula>0.9</formula>
    </cfRule>
    <cfRule type="cellIs" dxfId="12616" priority="1097" operator="greaterThan">
      <formula>0.85</formula>
    </cfRule>
  </conditionalFormatting>
  <conditionalFormatting sqref="N11">
    <cfRule type="cellIs" dxfId="12615" priority="1094" operator="greaterThan">
      <formula>0.9</formula>
    </cfRule>
    <cfRule type="cellIs" dxfId="12614" priority="1095" operator="greaterThan">
      <formula>0.85</formula>
    </cfRule>
  </conditionalFormatting>
  <conditionalFormatting sqref="E11">
    <cfRule type="expression" dxfId="12613" priority="1090">
      <formula>AND(IF(OR($Q11=1,$Q11=2),1,0),IF($X11&lt;=20,1,0))</formula>
    </cfRule>
    <cfRule type="expression" dxfId="12612" priority="1091">
      <formula>AND(IF($Q11=2,1,0),IF($X11&lt;30,1,0))</formula>
    </cfRule>
    <cfRule type="expression" dxfId="12611" priority="1092">
      <formula>AND(IF($Q11=3,1,0),IF($X11&lt;30,1,0))</formula>
    </cfRule>
    <cfRule type="expression" dxfId="12610" priority="1093">
      <formula>AND(IF($Q11=3,1,IF($Q11=4,1,0)),IF($F11&lt;=85,1,0))</formula>
    </cfRule>
  </conditionalFormatting>
  <conditionalFormatting sqref="X11">
    <cfRule type="expression" dxfId="12609" priority="1086">
      <formula>AND(IF(OR($Q11=1,$Q11=2),1,0),IF($X11&lt;=20,1,0))</formula>
    </cfRule>
    <cfRule type="expression" dxfId="12608" priority="1087">
      <formula>AND(IF($Q11=2,1,0),IF($X11&lt;30,1,0))</formula>
    </cfRule>
    <cfRule type="expression" dxfId="12607" priority="1088">
      <formula>AND(IF($Q11=3,1,0),IF($X11&lt;30,1,0))</formula>
    </cfRule>
    <cfRule type="expression" dxfId="12606" priority="1089">
      <formula>AND(IF($Q11=3,1,IF($Q11=4,1,0)),IF($F11&lt;=85,1,0))</formula>
    </cfRule>
  </conditionalFormatting>
  <conditionalFormatting sqref="AI11">
    <cfRule type="expression" dxfId="12605" priority="1082">
      <formula>AND(IF(OR($Q11=1,$Q11=2),1,0),IF($X11&lt;=20,1,0))</formula>
    </cfRule>
    <cfRule type="expression" dxfId="12604" priority="1083">
      <formula>AND(IF($Q11=2,1,0),IF($X11&lt;30,1,0))</formula>
    </cfRule>
    <cfRule type="expression" dxfId="12603" priority="1084">
      <formula>AND(IF($Q11=3,1,0),IF($X11&lt;30,1,0))</formula>
    </cfRule>
    <cfRule type="expression" dxfId="12602" priority="1085">
      <formula>AND(IF($Q11=3,1,IF($Q11=4,1,0)),IF($F11&lt;=85,1,0))</formula>
    </cfRule>
  </conditionalFormatting>
  <conditionalFormatting sqref="AV12">
    <cfRule type="expression" dxfId="12601" priority="1080">
      <formula>AV12="X"</formula>
    </cfRule>
    <cfRule type="expression" dxfId="12600" priority="1081">
      <formula>AV12="후보"</formula>
    </cfRule>
  </conditionalFormatting>
  <conditionalFormatting sqref="AC12">
    <cfRule type="cellIs" dxfId="12599" priority="1077" operator="greaterThan">
      <formula>0.9</formula>
    </cfRule>
    <cfRule type="cellIs" dxfId="12598" priority="1078" operator="greaterThan">
      <formula>0.85</formula>
    </cfRule>
  </conditionalFormatting>
  <conditionalFormatting sqref="N12">
    <cfRule type="cellIs" dxfId="12597" priority="1075" operator="greaterThan">
      <formula>0.9</formula>
    </cfRule>
    <cfRule type="cellIs" dxfId="12596" priority="1076" operator="greaterThan">
      <formula>0.85</formula>
    </cfRule>
  </conditionalFormatting>
  <conditionalFormatting sqref="E12">
    <cfRule type="expression" dxfId="12595" priority="1071">
      <formula>AND(IF(OR($Q12=1,$Q12=2),1,0),IF($X12&lt;=20,1,0))</formula>
    </cfRule>
    <cfRule type="expression" dxfId="12594" priority="1072">
      <formula>AND(IF($Q12=2,1,0),IF($X12&lt;30,1,0))</formula>
    </cfRule>
    <cfRule type="expression" dxfId="12593" priority="1073">
      <formula>AND(IF($Q12=3,1,0),IF($X12&lt;30,1,0))</formula>
    </cfRule>
    <cfRule type="expression" dxfId="12592" priority="1074">
      <formula>AND(IF($Q12=3,1,IF($Q12=4,1,0)),IF($F12&lt;=85,1,0))</formula>
    </cfRule>
  </conditionalFormatting>
  <conditionalFormatting sqref="X12">
    <cfRule type="expression" dxfId="12591" priority="1067">
      <formula>AND(IF(OR($Q12=1,$Q12=2),1,0),IF($X12&lt;=20,1,0))</formula>
    </cfRule>
    <cfRule type="expression" dxfId="12590" priority="1068">
      <formula>AND(IF($Q12=2,1,0),IF($X12&lt;30,1,0))</formula>
    </cfRule>
    <cfRule type="expression" dxfId="12589" priority="1069">
      <formula>AND(IF($Q12=3,1,0),IF($X12&lt;30,1,0))</formula>
    </cfRule>
    <cfRule type="expression" dxfId="12588" priority="1070">
      <formula>AND(IF($Q12=3,1,IF($Q12=4,1,0)),IF($F12&lt;=85,1,0))</formula>
    </cfRule>
  </conditionalFormatting>
  <conditionalFormatting sqref="AI12">
    <cfRule type="expression" dxfId="12587" priority="1063">
      <formula>AND(IF(OR($Q12=1,$Q12=2),1,0),IF($X12&lt;=20,1,0))</formula>
    </cfRule>
    <cfRule type="expression" dxfId="12586" priority="1064">
      <formula>AND(IF($Q12=2,1,0),IF($X12&lt;30,1,0))</formula>
    </cfRule>
    <cfRule type="expression" dxfId="12585" priority="1065">
      <formula>AND(IF($Q12=3,1,0),IF($X12&lt;30,1,0))</formula>
    </cfRule>
    <cfRule type="expression" dxfId="12584" priority="1066">
      <formula>AND(IF($Q12=3,1,IF($Q12=4,1,0)),IF($F12&lt;=85,1,0))</formula>
    </cfRule>
  </conditionalFormatting>
  <conditionalFormatting sqref="AV13">
    <cfRule type="expression" dxfId="12583" priority="1061">
      <formula>AV13="X"</formula>
    </cfRule>
    <cfRule type="expression" dxfId="12582" priority="1062">
      <formula>AV13="후보"</formula>
    </cfRule>
  </conditionalFormatting>
  <conditionalFormatting sqref="AC13">
    <cfRule type="cellIs" dxfId="12581" priority="1058" operator="greaterThan">
      <formula>0.9</formula>
    </cfRule>
    <cfRule type="cellIs" dxfId="12580" priority="1059" operator="greaterThan">
      <formula>0.85</formula>
    </cfRule>
  </conditionalFormatting>
  <conditionalFormatting sqref="N13">
    <cfRule type="cellIs" dxfId="12579" priority="1056" operator="greaterThan">
      <formula>0.9</formula>
    </cfRule>
    <cfRule type="cellIs" dxfId="12578" priority="1057" operator="greaterThan">
      <formula>0.85</formula>
    </cfRule>
  </conditionalFormatting>
  <conditionalFormatting sqref="E13">
    <cfRule type="expression" dxfId="12577" priority="1052">
      <formula>AND(IF(OR($Q13=1,$Q13=2),1,0),IF($X13&lt;=20,1,0))</formula>
    </cfRule>
    <cfRule type="expression" dxfId="12576" priority="1053">
      <formula>AND(IF($Q13=2,1,0),IF($X13&lt;30,1,0))</formula>
    </cfRule>
    <cfRule type="expression" dxfId="12575" priority="1054">
      <formula>AND(IF($Q13=3,1,0),IF($X13&lt;30,1,0))</formula>
    </cfRule>
    <cfRule type="expression" dxfId="12574" priority="1055">
      <formula>AND(IF($Q13=3,1,IF($Q13=4,1,0)),IF($F13&lt;=85,1,0))</formula>
    </cfRule>
  </conditionalFormatting>
  <conditionalFormatting sqref="X13">
    <cfRule type="expression" dxfId="12573" priority="1048">
      <formula>AND(IF(OR($Q13=1,$Q13=2),1,0),IF($X13&lt;=20,1,0))</formula>
    </cfRule>
    <cfRule type="expression" dxfId="12572" priority="1049">
      <formula>AND(IF($Q13=2,1,0),IF($X13&lt;30,1,0))</formula>
    </cfRule>
    <cfRule type="expression" dxfId="12571" priority="1050">
      <formula>AND(IF($Q13=3,1,0),IF($X13&lt;30,1,0))</formula>
    </cfRule>
    <cfRule type="expression" dxfId="12570" priority="1051">
      <formula>AND(IF($Q13=3,1,IF($Q13=4,1,0)),IF($F13&lt;=85,1,0))</formula>
    </cfRule>
  </conditionalFormatting>
  <conditionalFormatting sqref="AI13">
    <cfRule type="expression" dxfId="12569" priority="1044">
      <formula>AND(IF(OR($Q13=1,$Q13=2),1,0),IF($X13&lt;=20,1,0))</formula>
    </cfRule>
    <cfRule type="expression" dxfId="12568" priority="1045">
      <formula>AND(IF($Q13=2,1,0),IF($X13&lt;30,1,0))</formula>
    </cfRule>
    <cfRule type="expression" dxfId="12567" priority="1046">
      <formula>AND(IF($Q13=3,1,0),IF($X13&lt;30,1,0))</formula>
    </cfRule>
    <cfRule type="expression" dxfId="12566" priority="1047">
      <formula>AND(IF($Q13=3,1,IF($Q13=4,1,0)),IF($F13&lt;=85,1,0))</formula>
    </cfRule>
  </conditionalFormatting>
  <conditionalFormatting sqref="AV14">
    <cfRule type="expression" dxfId="12565" priority="1042">
      <formula>AV14="X"</formula>
    </cfRule>
    <cfRule type="expression" dxfId="12564" priority="1043">
      <formula>AV14="후보"</formula>
    </cfRule>
  </conditionalFormatting>
  <conditionalFormatting sqref="AC14">
    <cfRule type="cellIs" dxfId="12563" priority="1039" operator="greaterThan">
      <formula>0.9</formula>
    </cfRule>
    <cfRule type="cellIs" dxfId="12562" priority="1040" operator="greaterThan">
      <formula>0.85</formula>
    </cfRule>
  </conditionalFormatting>
  <conditionalFormatting sqref="N14">
    <cfRule type="cellIs" dxfId="12561" priority="1037" operator="greaterThan">
      <formula>0.9</formula>
    </cfRule>
    <cfRule type="cellIs" dxfId="12560" priority="1038" operator="greaterThan">
      <formula>0.85</formula>
    </cfRule>
  </conditionalFormatting>
  <conditionalFormatting sqref="E14">
    <cfRule type="expression" dxfId="12559" priority="1033">
      <formula>AND(IF(OR($Q14=1,$Q14=2),1,0),IF($X14&lt;=20,1,0))</formula>
    </cfRule>
    <cfRule type="expression" dxfId="12558" priority="1034">
      <formula>AND(IF($Q14=2,1,0),IF($X14&lt;30,1,0))</formula>
    </cfRule>
    <cfRule type="expression" dxfId="12557" priority="1035">
      <formula>AND(IF($Q14=3,1,0),IF($X14&lt;30,1,0))</formula>
    </cfRule>
    <cfRule type="expression" dxfId="12556" priority="1036">
      <formula>AND(IF($Q14=3,1,IF($Q14=4,1,0)),IF($F14&lt;=85,1,0))</formula>
    </cfRule>
  </conditionalFormatting>
  <conditionalFormatting sqref="X14">
    <cfRule type="expression" dxfId="12555" priority="1029">
      <formula>AND(IF(OR($Q14=1,$Q14=2),1,0),IF($X14&lt;=20,1,0))</formula>
    </cfRule>
    <cfRule type="expression" dxfId="12554" priority="1030">
      <formula>AND(IF($Q14=2,1,0),IF($X14&lt;30,1,0))</formula>
    </cfRule>
    <cfRule type="expression" dxfId="12553" priority="1031">
      <formula>AND(IF($Q14=3,1,0),IF($X14&lt;30,1,0))</formula>
    </cfRule>
    <cfRule type="expression" dxfId="12552" priority="1032">
      <formula>AND(IF($Q14=3,1,IF($Q14=4,1,0)),IF($F14&lt;=85,1,0))</formula>
    </cfRule>
  </conditionalFormatting>
  <conditionalFormatting sqref="AI14">
    <cfRule type="expression" dxfId="12551" priority="1025">
      <formula>AND(IF(OR($Q14=1,$Q14=2),1,0),IF($X14&lt;=20,1,0))</formula>
    </cfRule>
    <cfRule type="expression" dxfId="12550" priority="1026">
      <formula>AND(IF($Q14=2,1,0),IF($X14&lt;30,1,0))</formula>
    </cfRule>
    <cfRule type="expression" dxfId="12549" priority="1027">
      <formula>AND(IF($Q14=3,1,0),IF($X14&lt;30,1,0))</formula>
    </cfRule>
    <cfRule type="expression" dxfId="12548" priority="1028">
      <formula>AND(IF($Q14=3,1,IF($Q14=4,1,0)),IF($F14&lt;=85,1,0))</formula>
    </cfRule>
  </conditionalFormatting>
  <conditionalFormatting sqref="AV15">
    <cfRule type="expression" dxfId="12547" priority="1023">
      <formula>AV15="X"</formula>
    </cfRule>
    <cfRule type="expression" dxfId="12546" priority="1024">
      <formula>AV15="후보"</formula>
    </cfRule>
  </conditionalFormatting>
  <conditionalFormatting sqref="AC15 N15">
    <cfRule type="cellIs" dxfId="12545" priority="1020" operator="greaterThan">
      <formula>0.9</formula>
    </cfRule>
    <cfRule type="cellIs" dxfId="12544" priority="1021" operator="greaterThan">
      <formula>0.85</formula>
    </cfRule>
  </conditionalFormatting>
  <conditionalFormatting sqref="AV16">
    <cfRule type="expression" dxfId="12543" priority="1018">
      <formula>AV16="X"</formula>
    </cfRule>
    <cfRule type="expression" dxfId="12542" priority="1019">
      <formula>AV16="후보"</formula>
    </cfRule>
  </conditionalFormatting>
  <conditionalFormatting sqref="AC16">
    <cfRule type="cellIs" dxfId="12541" priority="1015" operator="greaterThan">
      <formula>0.9</formula>
    </cfRule>
    <cfRule type="cellIs" dxfId="12540" priority="1016" operator="greaterThan">
      <formula>0.85</formula>
    </cfRule>
  </conditionalFormatting>
  <conditionalFormatting sqref="N16">
    <cfRule type="cellIs" dxfId="12539" priority="1013" operator="greaterThan">
      <formula>0.9</formula>
    </cfRule>
    <cfRule type="cellIs" dxfId="12538" priority="1014" operator="greaterThan">
      <formula>0.85</formula>
    </cfRule>
  </conditionalFormatting>
  <conditionalFormatting sqref="E16">
    <cfRule type="expression" dxfId="12537" priority="1009">
      <formula>AND(IF(OR($Q16=1,$Q16=2),1,0),IF($X16&lt;=20,1,0))</formula>
    </cfRule>
    <cfRule type="expression" dxfId="12536" priority="1010">
      <formula>AND(IF($Q16=2,1,0),IF($X16&lt;30,1,0))</formula>
    </cfRule>
    <cfRule type="expression" dxfId="12535" priority="1011">
      <formula>AND(IF($Q16=3,1,0),IF($X16&lt;30,1,0))</formula>
    </cfRule>
    <cfRule type="expression" dxfId="12534" priority="1012">
      <formula>AND(IF($Q16=3,1,IF($Q16=4,1,0)),IF($F16&lt;=85,1,0))</formula>
    </cfRule>
  </conditionalFormatting>
  <conditionalFormatting sqref="X16">
    <cfRule type="expression" dxfId="12533" priority="1005">
      <formula>AND(IF(OR($Q16=1,$Q16=2),1,0),IF($X16&lt;=20,1,0))</formula>
    </cfRule>
    <cfRule type="expression" dxfId="12532" priority="1006">
      <formula>AND(IF($Q16=2,1,0),IF($X16&lt;30,1,0))</formula>
    </cfRule>
    <cfRule type="expression" dxfId="12531" priority="1007">
      <formula>AND(IF($Q16=3,1,0),IF($X16&lt;30,1,0))</formula>
    </cfRule>
    <cfRule type="expression" dxfId="12530" priority="1008">
      <formula>AND(IF($Q16=3,1,IF($Q16=4,1,0)),IF($F16&lt;=85,1,0))</formula>
    </cfRule>
  </conditionalFormatting>
  <conditionalFormatting sqref="AI16">
    <cfRule type="expression" dxfId="12529" priority="1001">
      <formula>AND(IF(OR($Q16=1,$Q16=2),1,0),IF($X16&lt;=20,1,0))</formula>
    </cfRule>
    <cfRule type="expression" dxfId="12528" priority="1002">
      <formula>AND(IF($Q16=2,1,0),IF($X16&lt;30,1,0))</formula>
    </cfRule>
    <cfRule type="expression" dxfId="12527" priority="1003">
      <formula>AND(IF($Q16=3,1,0),IF($X16&lt;30,1,0))</formula>
    </cfRule>
    <cfRule type="expression" dxfId="12526" priority="1004">
      <formula>AND(IF($Q16=3,1,IF($Q16=4,1,0)),IF($F16&lt;=85,1,0))</formula>
    </cfRule>
  </conditionalFormatting>
  <conditionalFormatting sqref="AV17">
    <cfRule type="expression" dxfId="12525" priority="999">
      <formula>AV17="X"</formula>
    </cfRule>
    <cfRule type="expression" dxfId="12524" priority="1000">
      <formula>AV17="후보"</formula>
    </cfRule>
  </conditionalFormatting>
  <conditionalFormatting sqref="AC17">
    <cfRule type="cellIs" dxfId="12523" priority="996" operator="greaterThan">
      <formula>0.9</formula>
    </cfRule>
    <cfRule type="cellIs" dxfId="12522" priority="997" operator="greaterThan">
      <formula>0.85</formula>
    </cfRule>
  </conditionalFormatting>
  <conditionalFormatting sqref="N17">
    <cfRule type="cellIs" dxfId="12521" priority="994" operator="greaterThan">
      <formula>0.9</formula>
    </cfRule>
    <cfRule type="cellIs" dxfId="12520" priority="995" operator="greaterThan">
      <formula>0.85</formula>
    </cfRule>
  </conditionalFormatting>
  <conditionalFormatting sqref="E17">
    <cfRule type="expression" dxfId="12519" priority="990">
      <formula>AND(IF(OR($Q17=1,$Q17=2),1,0),IF($X17&lt;=20,1,0))</formula>
    </cfRule>
    <cfRule type="expression" dxfId="12518" priority="991">
      <formula>AND(IF($Q17=2,1,0),IF($X17&lt;30,1,0))</formula>
    </cfRule>
    <cfRule type="expression" dxfId="12517" priority="992">
      <formula>AND(IF($Q17=3,1,0),IF($X17&lt;30,1,0))</formula>
    </cfRule>
    <cfRule type="expression" dxfId="12516" priority="993">
      <formula>AND(IF($Q17=3,1,IF($Q17=4,1,0)),IF($F17&lt;=85,1,0))</formula>
    </cfRule>
  </conditionalFormatting>
  <conditionalFormatting sqref="X17">
    <cfRule type="expression" dxfId="12515" priority="986">
      <formula>AND(IF(OR($Q17=1,$Q17=2),1,0),IF($X17&lt;=20,1,0))</formula>
    </cfRule>
    <cfRule type="expression" dxfId="12514" priority="987">
      <formula>AND(IF($Q17=2,1,0),IF($X17&lt;30,1,0))</formula>
    </cfRule>
    <cfRule type="expression" dxfId="12513" priority="988">
      <formula>AND(IF($Q17=3,1,0),IF($X17&lt;30,1,0))</formula>
    </cfRule>
    <cfRule type="expression" dxfId="12512" priority="989">
      <formula>AND(IF($Q17=3,1,IF($Q17=4,1,0)),IF($F17&lt;=85,1,0))</formula>
    </cfRule>
  </conditionalFormatting>
  <conditionalFormatting sqref="AI17">
    <cfRule type="expression" dxfId="12511" priority="982">
      <formula>AND(IF(OR($Q17=1,$Q17=2),1,0),IF($X17&lt;=20,1,0))</formula>
    </cfRule>
    <cfRule type="expression" dxfId="12510" priority="983">
      <formula>AND(IF($Q17=2,1,0),IF($X17&lt;30,1,0))</formula>
    </cfRule>
    <cfRule type="expression" dxfId="12509" priority="984">
      <formula>AND(IF($Q17=3,1,0),IF($X17&lt;30,1,0))</formula>
    </cfRule>
    <cfRule type="expression" dxfId="12508" priority="985">
      <formula>AND(IF($Q17=3,1,IF($Q17=4,1,0)),IF($F17&lt;=85,1,0))</formula>
    </cfRule>
  </conditionalFormatting>
  <conditionalFormatting sqref="AV18">
    <cfRule type="expression" dxfId="12507" priority="980">
      <formula>AV18="X"</formula>
    </cfRule>
    <cfRule type="expression" dxfId="12506" priority="981">
      <formula>AV18="후보"</formula>
    </cfRule>
  </conditionalFormatting>
  <conditionalFormatting sqref="AC18">
    <cfRule type="cellIs" dxfId="12505" priority="977" operator="greaterThan">
      <formula>0.9</formula>
    </cfRule>
    <cfRule type="cellIs" dxfId="12504" priority="978" operator="greaterThan">
      <formula>0.85</formula>
    </cfRule>
  </conditionalFormatting>
  <conditionalFormatting sqref="N18">
    <cfRule type="cellIs" dxfId="12503" priority="975" operator="greaterThan">
      <formula>0.9</formula>
    </cfRule>
    <cfRule type="cellIs" dxfId="12502" priority="976" operator="greaterThan">
      <formula>0.85</formula>
    </cfRule>
  </conditionalFormatting>
  <conditionalFormatting sqref="E18">
    <cfRule type="expression" dxfId="12501" priority="971">
      <formula>AND(IF(OR($Q18=1,$Q18=2),1,0),IF($X18&lt;=20,1,0))</formula>
    </cfRule>
    <cfRule type="expression" dxfId="12500" priority="972">
      <formula>AND(IF($Q18=2,1,0),IF($X18&lt;30,1,0))</formula>
    </cfRule>
    <cfRule type="expression" dxfId="12499" priority="973">
      <formula>AND(IF($Q18=3,1,0),IF($X18&lt;30,1,0))</formula>
    </cfRule>
    <cfRule type="expression" dxfId="12498" priority="974">
      <formula>AND(IF($Q18=3,1,IF($Q18=4,1,0)),IF($F18&lt;=85,1,0))</formula>
    </cfRule>
  </conditionalFormatting>
  <conditionalFormatting sqref="X18">
    <cfRule type="expression" dxfId="12497" priority="967">
      <formula>AND(IF(OR($Q18=1,$Q18=2),1,0),IF($X18&lt;=20,1,0))</formula>
    </cfRule>
    <cfRule type="expression" dxfId="12496" priority="968">
      <formula>AND(IF($Q18=2,1,0),IF($X18&lt;30,1,0))</formula>
    </cfRule>
    <cfRule type="expression" dxfId="12495" priority="969">
      <formula>AND(IF($Q18=3,1,0),IF($X18&lt;30,1,0))</formula>
    </cfRule>
    <cfRule type="expression" dxfId="12494" priority="970">
      <formula>AND(IF($Q18=3,1,IF($Q18=4,1,0)),IF($F18&lt;=85,1,0))</formula>
    </cfRule>
  </conditionalFormatting>
  <conditionalFormatting sqref="AI18">
    <cfRule type="expression" dxfId="12493" priority="963">
      <formula>AND(IF(OR($Q18=1,$Q18=2),1,0),IF($X18&lt;=20,1,0))</formula>
    </cfRule>
    <cfRule type="expression" dxfId="12492" priority="964">
      <formula>AND(IF($Q18=2,1,0),IF($X18&lt;30,1,0))</formula>
    </cfRule>
    <cfRule type="expression" dxfId="12491" priority="965">
      <formula>AND(IF($Q18=3,1,0),IF($X18&lt;30,1,0))</formula>
    </cfRule>
    <cfRule type="expression" dxfId="12490" priority="966">
      <formula>AND(IF($Q18=3,1,IF($Q18=4,1,0)),IF($F18&lt;=85,1,0))</formula>
    </cfRule>
  </conditionalFormatting>
  <conditionalFormatting sqref="AV19">
    <cfRule type="expression" dxfId="12489" priority="961">
      <formula>AV19="X"</formula>
    </cfRule>
    <cfRule type="expression" dxfId="12488" priority="962">
      <formula>AV19="후보"</formula>
    </cfRule>
  </conditionalFormatting>
  <conditionalFormatting sqref="AC19 N19">
    <cfRule type="cellIs" dxfId="12487" priority="958" operator="greaterThan">
      <formula>0.9</formula>
    </cfRule>
    <cfRule type="cellIs" dxfId="12486" priority="959" operator="greaterThan">
      <formula>0.85</formula>
    </cfRule>
  </conditionalFormatting>
  <conditionalFormatting sqref="AV20">
    <cfRule type="expression" dxfId="12485" priority="956">
      <formula>AV20="X"</formula>
    </cfRule>
    <cfRule type="expression" dxfId="12484" priority="957">
      <formula>AV20="후보"</formula>
    </cfRule>
  </conditionalFormatting>
  <conditionalFormatting sqref="AC20">
    <cfRule type="cellIs" dxfId="12483" priority="953" operator="greaterThan">
      <formula>0.9</formula>
    </cfRule>
    <cfRule type="cellIs" dxfId="12482" priority="954" operator="greaterThan">
      <formula>0.85</formula>
    </cfRule>
  </conditionalFormatting>
  <conditionalFormatting sqref="N20">
    <cfRule type="cellIs" dxfId="12481" priority="951" operator="greaterThan">
      <formula>0.9</formula>
    </cfRule>
    <cfRule type="cellIs" dxfId="12480" priority="952" operator="greaterThan">
      <formula>0.85</formula>
    </cfRule>
  </conditionalFormatting>
  <conditionalFormatting sqref="E20">
    <cfRule type="expression" dxfId="12479" priority="947">
      <formula>AND(IF(OR($Q20=1,$Q20=2),1,0),IF($X20&lt;=20,1,0))</formula>
    </cfRule>
    <cfRule type="expression" dxfId="12478" priority="948">
      <formula>AND(IF($Q20=2,1,0),IF($X20&lt;30,1,0))</formula>
    </cfRule>
    <cfRule type="expression" dxfId="12477" priority="949">
      <formula>AND(IF($Q20=3,1,0),IF($X20&lt;30,1,0))</formula>
    </cfRule>
    <cfRule type="expression" dxfId="12476" priority="950">
      <formula>AND(IF($Q20=3,1,IF($Q20=4,1,0)),IF($F20&lt;=85,1,0))</formula>
    </cfRule>
  </conditionalFormatting>
  <conditionalFormatting sqref="X20">
    <cfRule type="expression" dxfId="12475" priority="943">
      <formula>AND(IF(OR($Q20=1,$Q20=2),1,0),IF($X20&lt;=20,1,0))</formula>
    </cfRule>
    <cfRule type="expression" dxfId="12474" priority="944">
      <formula>AND(IF($Q20=2,1,0),IF($X20&lt;30,1,0))</formula>
    </cfRule>
    <cfRule type="expression" dxfId="12473" priority="945">
      <formula>AND(IF($Q20=3,1,0),IF($X20&lt;30,1,0))</formula>
    </cfRule>
    <cfRule type="expression" dxfId="12472" priority="946">
      <formula>AND(IF($Q20=3,1,IF($Q20=4,1,0)),IF($F20&lt;=85,1,0))</formula>
    </cfRule>
  </conditionalFormatting>
  <conditionalFormatting sqref="AI20">
    <cfRule type="expression" dxfId="12471" priority="939">
      <formula>AND(IF(OR($Q20=1,$Q20=2),1,0),IF($X20&lt;=20,1,0))</formula>
    </cfRule>
    <cfRule type="expression" dxfId="12470" priority="940">
      <formula>AND(IF($Q20=2,1,0),IF($X20&lt;30,1,0))</formula>
    </cfRule>
    <cfRule type="expression" dxfId="12469" priority="941">
      <formula>AND(IF($Q20=3,1,0),IF($X20&lt;30,1,0))</formula>
    </cfRule>
    <cfRule type="expression" dxfId="12468" priority="942">
      <formula>AND(IF($Q20=3,1,IF($Q20=4,1,0)),IF($F20&lt;=85,1,0))</formula>
    </cfRule>
  </conditionalFormatting>
  <conditionalFormatting sqref="AV21">
    <cfRule type="expression" dxfId="12467" priority="937">
      <formula>AV21="X"</formula>
    </cfRule>
    <cfRule type="expression" dxfId="12466" priority="938">
      <formula>AV21="후보"</formula>
    </cfRule>
  </conditionalFormatting>
  <conditionalFormatting sqref="AC21">
    <cfRule type="cellIs" dxfId="12465" priority="934" operator="greaterThan">
      <formula>0.9</formula>
    </cfRule>
    <cfRule type="cellIs" dxfId="12464" priority="935" operator="greaterThan">
      <formula>0.85</formula>
    </cfRule>
  </conditionalFormatting>
  <conditionalFormatting sqref="N21">
    <cfRule type="cellIs" dxfId="12463" priority="932" operator="greaterThan">
      <formula>0.9</formula>
    </cfRule>
    <cfRule type="cellIs" dxfId="12462" priority="933" operator="greaterThan">
      <formula>0.85</formula>
    </cfRule>
  </conditionalFormatting>
  <conditionalFormatting sqref="E21">
    <cfRule type="expression" dxfId="12461" priority="928">
      <formula>AND(IF(OR($Q21=1,$Q21=2),1,0),IF($X21&lt;=20,1,0))</formula>
    </cfRule>
    <cfRule type="expression" dxfId="12460" priority="929">
      <formula>AND(IF($Q21=2,1,0),IF($X21&lt;30,1,0))</formula>
    </cfRule>
    <cfRule type="expression" dxfId="12459" priority="930">
      <formula>AND(IF($Q21=3,1,0),IF($X21&lt;30,1,0))</formula>
    </cfRule>
    <cfRule type="expression" dxfId="12458" priority="931">
      <formula>AND(IF($Q21=3,1,IF($Q21=4,1,0)),IF($F21&lt;=85,1,0))</formula>
    </cfRule>
  </conditionalFormatting>
  <conditionalFormatting sqref="X21">
    <cfRule type="expression" dxfId="12457" priority="924">
      <formula>AND(IF(OR($Q21=1,$Q21=2),1,0),IF($X21&lt;=20,1,0))</formula>
    </cfRule>
    <cfRule type="expression" dxfId="12456" priority="925">
      <formula>AND(IF($Q21=2,1,0),IF($X21&lt;30,1,0))</formula>
    </cfRule>
    <cfRule type="expression" dxfId="12455" priority="926">
      <formula>AND(IF($Q21=3,1,0),IF($X21&lt;30,1,0))</formula>
    </cfRule>
    <cfRule type="expression" dxfId="12454" priority="927">
      <formula>AND(IF($Q21=3,1,IF($Q21=4,1,0)),IF($F21&lt;=85,1,0))</formula>
    </cfRule>
  </conditionalFormatting>
  <conditionalFormatting sqref="AI21">
    <cfRule type="expression" dxfId="12453" priority="920">
      <formula>AND(IF(OR($Q21=1,$Q21=2),1,0),IF($X21&lt;=20,1,0))</formula>
    </cfRule>
    <cfRule type="expression" dxfId="12452" priority="921">
      <formula>AND(IF($Q21=2,1,0),IF($X21&lt;30,1,0))</formula>
    </cfRule>
    <cfRule type="expression" dxfId="12451" priority="922">
      <formula>AND(IF($Q21=3,1,0),IF($X21&lt;30,1,0))</formula>
    </cfRule>
    <cfRule type="expression" dxfId="12450" priority="923">
      <formula>AND(IF($Q21=3,1,IF($Q21=4,1,0)),IF($F21&lt;=85,1,0))</formula>
    </cfRule>
  </conditionalFormatting>
  <conditionalFormatting sqref="AV22">
    <cfRule type="expression" dxfId="12449" priority="918">
      <formula>AV22="X"</formula>
    </cfRule>
    <cfRule type="expression" dxfId="12448" priority="919">
      <formula>AV22="후보"</formula>
    </cfRule>
  </conditionalFormatting>
  <conditionalFormatting sqref="AC22">
    <cfRule type="cellIs" dxfId="12447" priority="915" operator="greaterThan">
      <formula>0.9</formula>
    </cfRule>
    <cfRule type="cellIs" dxfId="12446" priority="916" operator="greaterThan">
      <formula>0.85</formula>
    </cfRule>
  </conditionalFormatting>
  <conditionalFormatting sqref="N22">
    <cfRule type="cellIs" dxfId="12445" priority="913" operator="greaterThan">
      <formula>0.9</formula>
    </cfRule>
    <cfRule type="cellIs" dxfId="12444" priority="914" operator="greaterThan">
      <formula>0.85</formula>
    </cfRule>
  </conditionalFormatting>
  <conditionalFormatting sqref="E22">
    <cfRule type="expression" dxfId="12443" priority="909">
      <formula>AND(IF(OR($Q22=1,$Q22=2),1,0),IF($X22&lt;=20,1,0))</formula>
    </cfRule>
    <cfRule type="expression" dxfId="12442" priority="910">
      <formula>AND(IF($Q22=2,1,0),IF($X22&lt;30,1,0))</formula>
    </cfRule>
    <cfRule type="expression" dxfId="12441" priority="911">
      <formula>AND(IF($Q22=3,1,0),IF($X22&lt;30,1,0))</formula>
    </cfRule>
    <cfRule type="expression" dxfId="12440" priority="912">
      <formula>AND(IF($Q22=3,1,IF($Q22=4,1,0)),IF($F22&lt;=85,1,0))</formula>
    </cfRule>
  </conditionalFormatting>
  <conditionalFormatting sqref="X22">
    <cfRule type="expression" dxfId="12439" priority="905">
      <formula>AND(IF(OR($Q22=1,$Q22=2),1,0),IF($X22&lt;=20,1,0))</formula>
    </cfRule>
    <cfRule type="expression" dxfId="12438" priority="906">
      <formula>AND(IF($Q22=2,1,0),IF($X22&lt;30,1,0))</formula>
    </cfRule>
    <cfRule type="expression" dxfId="12437" priority="907">
      <formula>AND(IF($Q22=3,1,0),IF($X22&lt;30,1,0))</formula>
    </cfRule>
    <cfRule type="expression" dxfId="12436" priority="908">
      <formula>AND(IF($Q22=3,1,IF($Q22=4,1,0)),IF($F22&lt;=85,1,0))</formula>
    </cfRule>
  </conditionalFormatting>
  <conditionalFormatting sqref="AI22">
    <cfRule type="expression" dxfId="12435" priority="901">
      <formula>AND(IF(OR($Q22=1,$Q22=2),1,0),IF($X22&lt;=20,1,0))</formula>
    </cfRule>
    <cfRule type="expression" dxfId="12434" priority="902">
      <formula>AND(IF($Q22=2,1,0),IF($X22&lt;30,1,0))</formula>
    </cfRule>
    <cfRule type="expression" dxfId="12433" priority="903">
      <formula>AND(IF($Q22=3,1,0),IF($X22&lt;30,1,0))</formula>
    </cfRule>
    <cfRule type="expression" dxfId="12432" priority="904">
      <formula>AND(IF($Q22=3,1,IF($Q22=4,1,0)),IF($F22&lt;=85,1,0))</formula>
    </cfRule>
  </conditionalFormatting>
  <conditionalFormatting sqref="AV23">
    <cfRule type="expression" dxfId="12431" priority="899">
      <formula>AV23="X"</formula>
    </cfRule>
    <cfRule type="expression" dxfId="12430" priority="900">
      <formula>AV23="후보"</formula>
    </cfRule>
  </conditionalFormatting>
  <conditionalFormatting sqref="AC23">
    <cfRule type="cellIs" dxfId="12429" priority="896" operator="greaterThan">
      <formula>0.9</formula>
    </cfRule>
    <cfRule type="cellIs" dxfId="12428" priority="897" operator="greaterThan">
      <formula>0.85</formula>
    </cfRule>
  </conditionalFormatting>
  <conditionalFormatting sqref="N23">
    <cfRule type="cellIs" dxfId="12427" priority="894" operator="greaterThan">
      <formula>0.9</formula>
    </cfRule>
    <cfRule type="cellIs" dxfId="12426" priority="895" operator="greaterThan">
      <formula>0.85</formula>
    </cfRule>
  </conditionalFormatting>
  <conditionalFormatting sqref="E23">
    <cfRule type="expression" dxfId="12425" priority="890">
      <formula>AND(IF(OR($Q23=1,$Q23=2),1,0),IF($X23&lt;=20,1,0))</formula>
    </cfRule>
    <cfRule type="expression" dxfId="12424" priority="891">
      <formula>AND(IF($Q23=2,1,0),IF($X23&lt;30,1,0))</formula>
    </cfRule>
    <cfRule type="expression" dxfId="12423" priority="892">
      <formula>AND(IF($Q23=3,1,0),IF($X23&lt;30,1,0))</formula>
    </cfRule>
    <cfRule type="expression" dxfId="12422" priority="893">
      <formula>AND(IF($Q23=3,1,IF($Q23=4,1,0)),IF($F23&lt;=85,1,0))</formula>
    </cfRule>
  </conditionalFormatting>
  <conditionalFormatting sqref="X23">
    <cfRule type="expression" dxfId="12421" priority="886">
      <formula>AND(IF(OR($Q23=1,$Q23=2),1,0),IF($X23&lt;=20,1,0))</formula>
    </cfRule>
    <cfRule type="expression" dxfId="12420" priority="887">
      <formula>AND(IF($Q23=2,1,0),IF($X23&lt;30,1,0))</formula>
    </cfRule>
    <cfRule type="expression" dxfId="12419" priority="888">
      <formula>AND(IF($Q23=3,1,0),IF($X23&lt;30,1,0))</formula>
    </cfRule>
    <cfRule type="expression" dxfId="12418" priority="889">
      <formula>AND(IF($Q23=3,1,IF($Q23=4,1,0)),IF($F23&lt;=85,1,0))</formula>
    </cfRule>
  </conditionalFormatting>
  <conditionalFormatting sqref="AI23">
    <cfRule type="expression" dxfId="12417" priority="882">
      <formula>AND(IF(OR($Q23=1,$Q23=2),1,0),IF($X23&lt;=20,1,0))</formula>
    </cfRule>
    <cfRule type="expression" dxfId="12416" priority="883">
      <formula>AND(IF($Q23=2,1,0),IF($X23&lt;30,1,0))</formula>
    </cfRule>
    <cfRule type="expression" dxfId="12415" priority="884">
      <formula>AND(IF($Q23=3,1,0),IF($X23&lt;30,1,0))</formula>
    </cfRule>
    <cfRule type="expression" dxfId="12414" priority="885">
      <formula>AND(IF($Q23=3,1,IF($Q23=4,1,0)),IF($F23&lt;=85,1,0))</formula>
    </cfRule>
  </conditionalFormatting>
  <conditionalFormatting sqref="AV24">
    <cfRule type="expression" dxfId="12413" priority="880">
      <formula>AV24="X"</formula>
    </cfRule>
    <cfRule type="expression" dxfId="12412" priority="881">
      <formula>AV24="후보"</formula>
    </cfRule>
  </conditionalFormatting>
  <conditionalFormatting sqref="AC24">
    <cfRule type="cellIs" dxfId="12411" priority="877" operator="greaterThan">
      <formula>0.9</formula>
    </cfRule>
    <cfRule type="cellIs" dxfId="12410" priority="878" operator="greaterThan">
      <formula>0.85</formula>
    </cfRule>
  </conditionalFormatting>
  <conditionalFormatting sqref="N24">
    <cfRule type="cellIs" dxfId="12409" priority="875" operator="greaterThan">
      <formula>0.9</formula>
    </cfRule>
    <cfRule type="cellIs" dxfId="12408" priority="876" operator="greaterThan">
      <formula>0.85</formula>
    </cfRule>
  </conditionalFormatting>
  <conditionalFormatting sqref="E24">
    <cfRule type="expression" dxfId="12407" priority="871">
      <formula>AND(IF(OR($Q24=1,$Q24=2),1,0),IF($X24&lt;=20,1,0))</formula>
    </cfRule>
    <cfRule type="expression" dxfId="12406" priority="872">
      <formula>AND(IF($Q24=2,1,0),IF($X24&lt;30,1,0))</formula>
    </cfRule>
    <cfRule type="expression" dxfId="12405" priority="873">
      <formula>AND(IF($Q24=3,1,0),IF($X24&lt;30,1,0))</formula>
    </cfRule>
    <cfRule type="expression" dxfId="12404" priority="874">
      <formula>AND(IF($Q24=3,1,IF($Q24=4,1,0)),IF($F24&lt;=85,1,0))</formula>
    </cfRule>
  </conditionalFormatting>
  <conditionalFormatting sqref="X24">
    <cfRule type="expression" dxfId="12403" priority="867">
      <formula>AND(IF(OR($Q24=1,$Q24=2),1,0),IF($X24&lt;=20,1,0))</formula>
    </cfRule>
    <cfRule type="expression" dxfId="12402" priority="868">
      <formula>AND(IF($Q24=2,1,0),IF($X24&lt;30,1,0))</formula>
    </cfRule>
    <cfRule type="expression" dxfId="12401" priority="869">
      <formula>AND(IF($Q24=3,1,0),IF($X24&lt;30,1,0))</formula>
    </cfRule>
    <cfRule type="expression" dxfId="12400" priority="870">
      <formula>AND(IF($Q24=3,1,IF($Q24=4,1,0)),IF($F24&lt;=85,1,0))</formula>
    </cfRule>
  </conditionalFormatting>
  <conditionalFormatting sqref="AI24">
    <cfRule type="expression" dxfId="12399" priority="863">
      <formula>AND(IF(OR($Q24=1,$Q24=2),1,0),IF($X24&lt;=20,1,0))</formula>
    </cfRule>
    <cfRule type="expression" dxfId="12398" priority="864">
      <formula>AND(IF($Q24=2,1,0),IF($X24&lt;30,1,0))</formula>
    </cfRule>
    <cfRule type="expression" dxfId="12397" priority="865">
      <formula>AND(IF($Q24=3,1,0),IF($X24&lt;30,1,0))</formula>
    </cfRule>
    <cfRule type="expression" dxfId="12396" priority="866">
      <formula>AND(IF($Q24=3,1,IF($Q24=4,1,0)),IF($F24&lt;=85,1,0))</formula>
    </cfRule>
  </conditionalFormatting>
  <conditionalFormatting sqref="AV25">
    <cfRule type="expression" dxfId="12395" priority="861">
      <formula>AV25="X"</formula>
    </cfRule>
    <cfRule type="expression" dxfId="12394" priority="862">
      <formula>AV25="후보"</formula>
    </cfRule>
  </conditionalFormatting>
  <conditionalFormatting sqref="AC25">
    <cfRule type="cellIs" dxfId="12393" priority="858" operator="greaterThan">
      <formula>0.9</formula>
    </cfRule>
    <cfRule type="cellIs" dxfId="12392" priority="859" operator="greaterThan">
      <formula>0.85</formula>
    </cfRule>
  </conditionalFormatting>
  <conditionalFormatting sqref="N25">
    <cfRule type="cellIs" dxfId="12391" priority="856" operator="greaterThan">
      <formula>0.9</formula>
    </cfRule>
    <cfRule type="cellIs" dxfId="12390" priority="857" operator="greaterThan">
      <formula>0.85</formula>
    </cfRule>
  </conditionalFormatting>
  <conditionalFormatting sqref="E25">
    <cfRule type="expression" dxfId="12389" priority="852">
      <formula>AND(IF(OR($Q25=1,$Q25=2),1,0),IF($X25&lt;=20,1,0))</formula>
    </cfRule>
    <cfRule type="expression" dxfId="12388" priority="853">
      <formula>AND(IF($Q25=2,1,0),IF($X25&lt;30,1,0))</formula>
    </cfRule>
    <cfRule type="expression" dxfId="12387" priority="854">
      <formula>AND(IF($Q25=3,1,0),IF($X25&lt;30,1,0))</formula>
    </cfRule>
    <cfRule type="expression" dxfId="12386" priority="855">
      <formula>AND(IF($Q25=3,1,IF($Q25=4,1,0)),IF($F25&lt;=85,1,0))</formula>
    </cfRule>
  </conditionalFormatting>
  <conditionalFormatting sqref="X25">
    <cfRule type="expression" dxfId="12385" priority="848">
      <formula>AND(IF(OR($Q25=1,$Q25=2),1,0),IF($X25&lt;=20,1,0))</formula>
    </cfRule>
    <cfRule type="expression" dxfId="12384" priority="849">
      <formula>AND(IF($Q25=2,1,0),IF($X25&lt;30,1,0))</formula>
    </cfRule>
    <cfRule type="expression" dxfId="12383" priority="850">
      <formula>AND(IF($Q25=3,1,0),IF($X25&lt;30,1,0))</formula>
    </cfRule>
    <cfRule type="expression" dxfId="12382" priority="851">
      <formula>AND(IF($Q25=3,1,IF($Q25=4,1,0)),IF($F25&lt;=85,1,0))</formula>
    </cfRule>
  </conditionalFormatting>
  <conditionalFormatting sqref="AI25">
    <cfRule type="expression" dxfId="12381" priority="844">
      <formula>AND(IF(OR($Q25=1,$Q25=2),1,0),IF($X25&lt;=20,1,0))</formula>
    </cfRule>
    <cfRule type="expression" dxfId="12380" priority="845">
      <formula>AND(IF($Q25=2,1,0),IF($X25&lt;30,1,0))</formula>
    </cfRule>
    <cfRule type="expression" dxfId="12379" priority="846">
      <formula>AND(IF($Q25=3,1,0),IF($X25&lt;30,1,0))</formula>
    </cfRule>
    <cfRule type="expression" dxfId="12378" priority="847">
      <formula>AND(IF($Q25=3,1,IF($Q25=4,1,0)),IF($F25&lt;=85,1,0))</formula>
    </cfRule>
  </conditionalFormatting>
  <conditionalFormatting sqref="AV26">
    <cfRule type="expression" dxfId="12377" priority="842">
      <formula>AV26="X"</formula>
    </cfRule>
    <cfRule type="expression" dxfId="12376" priority="843">
      <formula>AV26="후보"</formula>
    </cfRule>
  </conditionalFormatting>
  <conditionalFormatting sqref="AC26">
    <cfRule type="cellIs" dxfId="12375" priority="839" operator="greaterThan">
      <formula>0.9</formula>
    </cfRule>
    <cfRule type="cellIs" dxfId="12374" priority="840" operator="greaterThan">
      <formula>0.85</formula>
    </cfRule>
  </conditionalFormatting>
  <conditionalFormatting sqref="N26">
    <cfRule type="cellIs" dxfId="12373" priority="837" operator="greaterThan">
      <formula>0.9</formula>
    </cfRule>
    <cfRule type="cellIs" dxfId="12372" priority="838" operator="greaterThan">
      <formula>0.85</formula>
    </cfRule>
  </conditionalFormatting>
  <conditionalFormatting sqref="E26">
    <cfRule type="expression" dxfId="12371" priority="833">
      <formula>AND(IF(OR($Q26=1,$Q26=2),1,0),IF($X26&lt;=20,1,0))</formula>
    </cfRule>
    <cfRule type="expression" dxfId="12370" priority="834">
      <formula>AND(IF($Q26=2,1,0),IF($X26&lt;30,1,0))</formula>
    </cfRule>
    <cfRule type="expression" dxfId="12369" priority="835">
      <formula>AND(IF($Q26=3,1,0),IF($X26&lt;30,1,0))</formula>
    </cfRule>
    <cfRule type="expression" dxfId="12368" priority="836">
      <formula>AND(IF($Q26=3,1,IF($Q26=4,1,0)),IF($F26&lt;=85,1,0))</formula>
    </cfRule>
  </conditionalFormatting>
  <conditionalFormatting sqref="X26">
    <cfRule type="expression" dxfId="12367" priority="829">
      <formula>AND(IF(OR($Q26=1,$Q26=2),1,0),IF($X26&lt;=20,1,0))</formula>
    </cfRule>
    <cfRule type="expression" dxfId="12366" priority="830">
      <formula>AND(IF($Q26=2,1,0),IF($X26&lt;30,1,0))</formula>
    </cfRule>
    <cfRule type="expression" dxfId="12365" priority="831">
      <formula>AND(IF($Q26=3,1,0),IF($X26&lt;30,1,0))</formula>
    </cfRule>
    <cfRule type="expression" dxfId="12364" priority="832">
      <formula>AND(IF($Q26=3,1,IF($Q26=4,1,0)),IF($F26&lt;=85,1,0))</formula>
    </cfRule>
  </conditionalFormatting>
  <conditionalFormatting sqref="AI26">
    <cfRule type="expression" dxfId="12363" priority="825">
      <formula>AND(IF(OR($Q26=1,$Q26=2),1,0),IF($X26&lt;=20,1,0))</formula>
    </cfRule>
    <cfRule type="expression" dxfId="12362" priority="826">
      <formula>AND(IF($Q26=2,1,0),IF($X26&lt;30,1,0))</formula>
    </cfRule>
    <cfRule type="expression" dxfId="12361" priority="827">
      <formula>AND(IF($Q26=3,1,0),IF($X26&lt;30,1,0))</formula>
    </cfRule>
    <cfRule type="expression" dxfId="12360" priority="828">
      <formula>AND(IF($Q26=3,1,IF($Q26=4,1,0)),IF($F26&lt;=85,1,0))</formula>
    </cfRule>
  </conditionalFormatting>
  <conditionalFormatting sqref="AV27">
    <cfRule type="expression" dxfId="12359" priority="823">
      <formula>AV27="X"</formula>
    </cfRule>
    <cfRule type="expression" dxfId="12358" priority="824">
      <formula>AV27="후보"</formula>
    </cfRule>
  </conditionalFormatting>
  <conditionalFormatting sqref="AC27 N27">
    <cfRule type="cellIs" dxfId="12357" priority="820" operator="greaterThan">
      <formula>0.9</formula>
    </cfRule>
    <cfRule type="cellIs" dxfId="12356" priority="821" operator="greaterThan">
      <formula>0.85</formula>
    </cfRule>
  </conditionalFormatting>
  <conditionalFormatting sqref="AV28">
    <cfRule type="expression" dxfId="12355" priority="818">
      <formula>AV28="X"</formula>
    </cfRule>
    <cfRule type="expression" dxfId="12354" priority="819">
      <formula>AV28="후보"</formula>
    </cfRule>
  </conditionalFormatting>
  <conditionalFormatting sqref="AC28">
    <cfRule type="cellIs" dxfId="12353" priority="815" operator="greaterThan">
      <formula>0.9</formula>
    </cfRule>
    <cfRule type="cellIs" dxfId="12352" priority="816" operator="greaterThan">
      <formula>0.85</formula>
    </cfRule>
  </conditionalFormatting>
  <conditionalFormatting sqref="N28">
    <cfRule type="cellIs" dxfId="12351" priority="813" operator="greaterThan">
      <formula>0.9</formula>
    </cfRule>
    <cfRule type="cellIs" dxfId="12350" priority="814" operator="greaterThan">
      <formula>0.85</formula>
    </cfRule>
  </conditionalFormatting>
  <conditionalFormatting sqref="E28">
    <cfRule type="expression" dxfId="12349" priority="809">
      <formula>AND(IF(OR($Q28=1,$Q28=2),1,0),IF($X28&lt;=20,1,0))</formula>
    </cfRule>
    <cfRule type="expression" dxfId="12348" priority="810">
      <formula>AND(IF($Q28=2,1,0),IF($X28&lt;30,1,0))</formula>
    </cfRule>
    <cfRule type="expression" dxfId="12347" priority="811">
      <formula>AND(IF($Q28=3,1,0),IF($X28&lt;30,1,0))</formula>
    </cfRule>
    <cfRule type="expression" dxfId="12346" priority="812">
      <formula>AND(IF($Q28=3,1,IF($Q28=4,1,0)),IF($F28&lt;=85,1,0))</formula>
    </cfRule>
  </conditionalFormatting>
  <conditionalFormatting sqref="X28">
    <cfRule type="expression" dxfId="12345" priority="805">
      <formula>AND(IF(OR($Q28=1,$Q28=2),1,0),IF($X28&lt;=20,1,0))</formula>
    </cfRule>
    <cfRule type="expression" dxfId="12344" priority="806">
      <formula>AND(IF($Q28=2,1,0),IF($X28&lt;30,1,0))</formula>
    </cfRule>
    <cfRule type="expression" dxfId="12343" priority="807">
      <formula>AND(IF($Q28=3,1,0),IF($X28&lt;30,1,0))</formula>
    </cfRule>
    <cfRule type="expression" dxfId="12342" priority="808">
      <formula>AND(IF($Q28=3,1,IF($Q28=4,1,0)),IF($F28&lt;=85,1,0))</formula>
    </cfRule>
  </conditionalFormatting>
  <conditionalFormatting sqref="AI28">
    <cfRule type="expression" dxfId="12341" priority="801">
      <formula>AND(IF(OR($Q28=1,$Q28=2),1,0),IF($X28&lt;=20,1,0))</formula>
    </cfRule>
    <cfRule type="expression" dxfId="12340" priority="802">
      <formula>AND(IF($Q28=2,1,0),IF($X28&lt;30,1,0))</formula>
    </cfRule>
    <cfRule type="expression" dxfId="12339" priority="803">
      <formula>AND(IF($Q28=3,1,0),IF($X28&lt;30,1,0))</formula>
    </cfRule>
    <cfRule type="expression" dxfId="12338" priority="804">
      <formula>AND(IF($Q28=3,1,IF($Q28=4,1,0)),IF($F28&lt;=85,1,0))</formula>
    </cfRule>
  </conditionalFormatting>
  <conditionalFormatting sqref="AV29">
    <cfRule type="expression" dxfId="12337" priority="799">
      <formula>AV29="X"</formula>
    </cfRule>
    <cfRule type="expression" dxfId="12336" priority="800">
      <formula>AV29="후보"</formula>
    </cfRule>
  </conditionalFormatting>
  <conditionalFormatting sqref="AC29">
    <cfRule type="cellIs" dxfId="12335" priority="796" operator="greaterThan">
      <formula>0.9</formula>
    </cfRule>
    <cfRule type="cellIs" dxfId="12334" priority="797" operator="greaterThan">
      <formula>0.85</formula>
    </cfRule>
  </conditionalFormatting>
  <conditionalFormatting sqref="N29">
    <cfRule type="cellIs" dxfId="12333" priority="794" operator="greaterThan">
      <formula>0.9</formula>
    </cfRule>
    <cfRule type="cellIs" dxfId="12332" priority="795" operator="greaterThan">
      <formula>0.85</formula>
    </cfRule>
  </conditionalFormatting>
  <conditionalFormatting sqref="E29">
    <cfRule type="expression" dxfId="12331" priority="790">
      <formula>AND(IF(OR($Q29=1,$Q29=2),1,0),IF($X29&lt;=20,1,0))</formula>
    </cfRule>
    <cfRule type="expression" dxfId="12330" priority="791">
      <formula>AND(IF($Q29=2,1,0),IF($X29&lt;30,1,0))</formula>
    </cfRule>
    <cfRule type="expression" dxfId="12329" priority="792">
      <formula>AND(IF($Q29=3,1,0),IF($X29&lt;30,1,0))</formula>
    </cfRule>
    <cfRule type="expression" dxfId="12328" priority="793">
      <formula>AND(IF($Q29=3,1,IF($Q29=4,1,0)),IF($F29&lt;=85,1,0))</formula>
    </cfRule>
  </conditionalFormatting>
  <conditionalFormatting sqref="X29">
    <cfRule type="expression" dxfId="12327" priority="786">
      <formula>AND(IF(OR($Q29=1,$Q29=2),1,0),IF($X29&lt;=20,1,0))</formula>
    </cfRule>
    <cfRule type="expression" dxfId="12326" priority="787">
      <formula>AND(IF($Q29=2,1,0),IF($X29&lt;30,1,0))</formula>
    </cfRule>
    <cfRule type="expression" dxfId="12325" priority="788">
      <formula>AND(IF($Q29=3,1,0),IF($X29&lt;30,1,0))</formula>
    </cfRule>
    <cfRule type="expression" dxfId="12324" priority="789">
      <formula>AND(IF($Q29=3,1,IF($Q29=4,1,0)),IF($F29&lt;=85,1,0))</formula>
    </cfRule>
  </conditionalFormatting>
  <conditionalFormatting sqref="AI29">
    <cfRule type="expression" dxfId="12323" priority="782">
      <formula>AND(IF(OR($Q29=1,$Q29=2),1,0),IF($X29&lt;=20,1,0))</formula>
    </cfRule>
    <cfRule type="expression" dxfId="12322" priority="783">
      <formula>AND(IF($Q29=2,1,0),IF($X29&lt;30,1,0))</formula>
    </cfRule>
    <cfRule type="expression" dxfId="12321" priority="784">
      <formula>AND(IF($Q29=3,1,0),IF($X29&lt;30,1,0))</formula>
    </cfRule>
    <cfRule type="expression" dxfId="12320" priority="785">
      <formula>AND(IF($Q29=3,1,IF($Q29=4,1,0)),IF($F29&lt;=85,1,0))</formula>
    </cfRule>
  </conditionalFormatting>
  <conditionalFormatting sqref="AV30">
    <cfRule type="expression" dxfId="12319" priority="780">
      <formula>AV30="X"</formula>
    </cfRule>
    <cfRule type="expression" dxfId="12318" priority="781">
      <formula>AV30="후보"</formula>
    </cfRule>
  </conditionalFormatting>
  <conditionalFormatting sqref="AC30">
    <cfRule type="cellIs" dxfId="12317" priority="777" operator="greaterThan">
      <formula>0.9</formula>
    </cfRule>
    <cfRule type="cellIs" dxfId="12316" priority="778" operator="greaterThan">
      <formula>0.85</formula>
    </cfRule>
  </conditionalFormatting>
  <conditionalFormatting sqref="N30">
    <cfRule type="cellIs" dxfId="12315" priority="775" operator="greaterThan">
      <formula>0.9</formula>
    </cfRule>
    <cfRule type="cellIs" dxfId="12314" priority="776" operator="greaterThan">
      <formula>0.85</formula>
    </cfRule>
  </conditionalFormatting>
  <conditionalFormatting sqref="E30">
    <cfRule type="expression" dxfId="12313" priority="771">
      <formula>AND(IF(OR($Q30=1,$Q30=2),1,0),IF($X30&lt;=20,1,0))</formula>
    </cfRule>
    <cfRule type="expression" dxfId="12312" priority="772">
      <formula>AND(IF($Q30=2,1,0),IF($X30&lt;30,1,0))</formula>
    </cfRule>
    <cfRule type="expression" dxfId="12311" priority="773">
      <formula>AND(IF($Q30=3,1,0),IF($X30&lt;30,1,0))</formula>
    </cfRule>
    <cfRule type="expression" dxfId="12310" priority="774">
      <formula>AND(IF($Q30=3,1,IF($Q30=4,1,0)),IF($F30&lt;=85,1,0))</formula>
    </cfRule>
  </conditionalFormatting>
  <conditionalFormatting sqref="X30">
    <cfRule type="expression" dxfId="12309" priority="767">
      <formula>AND(IF(OR($Q30=1,$Q30=2),1,0),IF($X30&lt;=20,1,0))</formula>
    </cfRule>
    <cfRule type="expression" dxfId="12308" priority="768">
      <formula>AND(IF($Q30=2,1,0),IF($X30&lt;30,1,0))</formula>
    </cfRule>
    <cfRule type="expression" dxfId="12307" priority="769">
      <formula>AND(IF($Q30=3,1,0),IF($X30&lt;30,1,0))</formula>
    </cfRule>
    <cfRule type="expression" dxfId="12306" priority="770">
      <formula>AND(IF($Q30=3,1,IF($Q30=4,1,0)),IF($F30&lt;=85,1,0))</formula>
    </cfRule>
  </conditionalFormatting>
  <conditionalFormatting sqref="AI30">
    <cfRule type="expression" dxfId="12305" priority="763">
      <formula>AND(IF(OR($Q30=1,$Q30=2),1,0),IF($X30&lt;=20,1,0))</formula>
    </cfRule>
    <cfRule type="expression" dxfId="12304" priority="764">
      <formula>AND(IF($Q30=2,1,0),IF($X30&lt;30,1,0))</formula>
    </cfRule>
    <cfRule type="expression" dxfId="12303" priority="765">
      <formula>AND(IF($Q30=3,1,0),IF($X30&lt;30,1,0))</formula>
    </cfRule>
    <cfRule type="expression" dxfId="12302" priority="766">
      <formula>AND(IF($Q30=3,1,IF($Q30=4,1,0)),IF($F30&lt;=85,1,0))</formula>
    </cfRule>
  </conditionalFormatting>
  <conditionalFormatting sqref="AV31">
    <cfRule type="expression" dxfId="12301" priority="761">
      <formula>AV31="X"</formula>
    </cfRule>
    <cfRule type="expression" dxfId="12300" priority="762">
      <formula>AV31="후보"</formula>
    </cfRule>
  </conditionalFormatting>
  <conditionalFormatting sqref="AC31 N31">
    <cfRule type="cellIs" dxfId="12299" priority="758" operator="greaterThan">
      <formula>0.9</formula>
    </cfRule>
    <cfRule type="cellIs" dxfId="12298" priority="759" operator="greaterThan">
      <formula>0.85</formula>
    </cfRule>
  </conditionalFormatting>
  <conditionalFormatting sqref="AV32">
    <cfRule type="expression" dxfId="12297" priority="756">
      <formula>AV32="X"</formula>
    </cfRule>
    <cfRule type="expression" dxfId="12296" priority="757">
      <formula>AV32="후보"</formula>
    </cfRule>
  </conditionalFormatting>
  <conditionalFormatting sqref="AC32">
    <cfRule type="cellIs" dxfId="12295" priority="753" operator="greaterThan">
      <formula>0.9</formula>
    </cfRule>
    <cfRule type="cellIs" dxfId="12294" priority="754" operator="greaterThan">
      <formula>0.85</formula>
    </cfRule>
  </conditionalFormatting>
  <conditionalFormatting sqref="N32">
    <cfRule type="cellIs" dxfId="12293" priority="751" operator="greaterThan">
      <formula>0.9</formula>
    </cfRule>
    <cfRule type="cellIs" dxfId="12292" priority="752" operator="greaterThan">
      <formula>0.85</formula>
    </cfRule>
  </conditionalFormatting>
  <conditionalFormatting sqref="E32">
    <cfRule type="expression" dxfId="12291" priority="747">
      <formula>AND(IF(OR($Q32=1,$Q32=2),1,0),IF($X32&lt;=20,1,0))</formula>
    </cfRule>
    <cfRule type="expression" dxfId="12290" priority="748">
      <formula>AND(IF($Q32=2,1,0),IF($X32&lt;30,1,0))</formula>
    </cfRule>
    <cfRule type="expression" dxfId="12289" priority="749">
      <formula>AND(IF($Q32=3,1,0),IF($X32&lt;30,1,0))</formula>
    </cfRule>
    <cfRule type="expression" dxfId="12288" priority="750">
      <formula>AND(IF($Q32=3,1,IF($Q32=4,1,0)),IF($F32&lt;=85,1,0))</formula>
    </cfRule>
  </conditionalFormatting>
  <conditionalFormatting sqref="X32">
    <cfRule type="expression" dxfId="12287" priority="743">
      <formula>AND(IF(OR($Q32=1,$Q32=2),1,0),IF($X32&lt;=20,1,0))</formula>
    </cfRule>
    <cfRule type="expression" dxfId="12286" priority="744">
      <formula>AND(IF($Q32=2,1,0),IF($X32&lt;30,1,0))</formula>
    </cfRule>
    <cfRule type="expression" dxfId="12285" priority="745">
      <formula>AND(IF($Q32=3,1,0),IF($X32&lt;30,1,0))</formula>
    </cfRule>
    <cfRule type="expression" dxfId="12284" priority="746">
      <formula>AND(IF($Q32=3,1,IF($Q32=4,1,0)),IF($F32&lt;=85,1,0))</formula>
    </cfRule>
  </conditionalFormatting>
  <conditionalFormatting sqref="AI32">
    <cfRule type="expression" dxfId="12283" priority="739">
      <formula>AND(IF(OR($Q32=1,$Q32=2),1,0),IF($X32&lt;=20,1,0))</formula>
    </cfRule>
    <cfRule type="expression" dxfId="12282" priority="740">
      <formula>AND(IF($Q32=2,1,0),IF($X32&lt;30,1,0))</formula>
    </cfRule>
    <cfRule type="expression" dxfId="12281" priority="741">
      <formula>AND(IF($Q32=3,1,0),IF($X32&lt;30,1,0))</formula>
    </cfRule>
    <cfRule type="expression" dxfId="12280" priority="742">
      <formula>AND(IF($Q32=3,1,IF($Q32=4,1,0)),IF($F32&lt;=85,1,0))</formula>
    </cfRule>
  </conditionalFormatting>
  <conditionalFormatting sqref="AV33">
    <cfRule type="expression" dxfId="12279" priority="737">
      <formula>AV33="X"</formula>
    </cfRule>
    <cfRule type="expression" dxfId="12278" priority="738">
      <formula>AV33="후보"</formula>
    </cfRule>
  </conditionalFormatting>
  <conditionalFormatting sqref="AC33">
    <cfRule type="cellIs" dxfId="12277" priority="734" operator="greaterThan">
      <formula>0.9</formula>
    </cfRule>
    <cfRule type="cellIs" dxfId="12276" priority="735" operator="greaterThan">
      <formula>0.85</formula>
    </cfRule>
  </conditionalFormatting>
  <conditionalFormatting sqref="N33">
    <cfRule type="cellIs" dxfId="12275" priority="732" operator="greaterThan">
      <formula>0.9</formula>
    </cfRule>
    <cfRule type="cellIs" dxfId="12274" priority="733" operator="greaterThan">
      <formula>0.85</formula>
    </cfRule>
  </conditionalFormatting>
  <conditionalFormatting sqref="E33">
    <cfRule type="expression" dxfId="12273" priority="728">
      <formula>AND(IF(OR($Q33=1,$Q33=2),1,0),IF($X33&lt;=20,1,0))</formula>
    </cfRule>
    <cfRule type="expression" dxfId="12272" priority="729">
      <formula>AND(IF($Q33=2,1,0),IF($X33&lt;30,1,0))</formula>
    </cfRule>
    <cfRule type="expression" dxfId="12271" priority="730">
      <formula>AND(IF($Q33=3,1,0),IF($X33&lt;30,1,0))</formula>
    </cfRule>
    <cfRule type="expression" dxfId="12270" priority="731">
      <formula>AND(IF($Q33=3,1,IF($Q33=4,1,0)),IF($F33&lt;=85,1,0))</formula>
    </cfRule>
  </conditionalFormatting>
  <conditionalFormatting sqref="X33">
    <cfRule type="expression" dxfId="12269" priority="724">
      <formula>AND(IF(OR($Q33=1,$Q33=2),1,0),IF($X33&lt;=20,1,0))</formula>
    </cfRule>
    <cfRule type="expression" dxfId="12268" priority="725">
      <formula>AND(IF($Q33=2,1,0),IF($X33&lt;30,1,0))</formula>
    </cfRule>
    <cfRule type="expression" dxfId="12267" priority="726">
      <formula>AND(IF($Q33=3,1,0),IF($X33&lt;30,1,0))</formula>
    </cfRule>
    <cfRule type="expression" dxfId="12266" priority="727">
      <formula>AND(IF($Q33=3,1,IF($Q33=4,1,0)),IF($F33&lt;=85,1,0))</formula>
    </cfRule>
  </conditionalFormatting>
  <conditionalFormatting sqref="AI33">
    <cfRule type="expression" dxfId="12265" priority="720">
      <formula>AND(IF(OR($Q33=1,$Q33=2),1,0),IF($X33&lt;=20,1,0))</formula>
    </cfRule>
    <cfRule type="expression" dxfId="12264" priority="721">
      <formula>AND(IF($Q33=2,1,0),IF($X33&lt;30,1,0))</formula>
    </cfRule>
    <cfRule type="expression" dxfId="12263" priority="722">
      <formula>AND(IF($Q33=3,1,0),IF($X33&lt;30,1,0))</formula>
    </cfRule>
    <cfRule type="expression" dxfId="12262" priority="723">
      <formula>AND(IF($Q33=3,1,IF($Q33=4,1,0)),IF($F33&lt;=85,1,0))</formula>
    </cfRule>
  </conditionalFormatting>
  <conditionalFormatting sqref="AV34">
    <cfRule type="expression" dxfId="12261" priority="718">
      <formula>AV34="X"</formula>
    </cfRule>
    <cfRule type="expression" dxfId="12260" priority="719">
      <formula>AV34="후보"</formula>
    </cfRule>
  </conditionalFormatting>
  <conditionalFormatting sqref="AC34">
    <cfRule type="cellIs" dxfId="12259" priority="715" operator="greaterThan">
      <formula>0.9</formula>
    </cfRule>
    <cfRule type="cellIs" dxfId="12258" priority="716" operator="greaterThan">
      <formula>0.85</formula>
    </cfRule>
  </conditionalFormatting>
  <conditionalFormatting sqref="N34">
    <cfRule type="cellIs" dxfId="12257" priority="713" operator="greaterThan">
      <formula>0.9</formula>
    </cfRule>
    <cfRule type="cellIs" dxfId="12256" priority="714" operator="greaterThan">
      <formula>0.85</formula>
    </cfRule>
  </conditionalFormatting>
  <conditionalFormatting sqref="E34">
    <cfRule type="expression" dxfId="12255" priority="709">
      <formula>AND(IF(OR($Q34=1,$Q34=2),1,0),IF($X34&lt;=20,1,0))</formula>
    </cfRule>
    <cfRule type="expression" dxfId="12254" priority="710">
      <formula>AND(IF($Q34=2,1,0),IF($X34&lt;30,1,0))</formula>
    </cfRule>
    <cfRule type="expression" dxfId="12253" priority="711">
      <formula>AND(IF($Q34=3,1,0),IF($X34&lt;30,1,0))</formula>
    </cfRule>
    <cfRule type="expression" dxfId="12252" priority="712">
      <formula>AND(IF($Q34=3,1,IF($Q34=4,1,0)),IF($F34&lt;=85,1,0))</formula>
    </cfRule>
  </conditionalFormatting>
  <conditionalFormatting sqref="X34">
    <cfRule type="expression" dxfId="12251" priority="705">
      <formula>AND(IF(OR($Q34=1,$Q34=2),1,0),IF($X34&lt;=20,1,0))</formula>
    </cfRule>
    <cfRule type="expression" dxfId="12250" priority="706">
      <formula>AND(IF($Q34=2,1,0),IF($X34&lt;30,1,0))</formula>
    </cfRule>
    <cfRule type="expression" dxfId="12249" priority="707">
      <formula>AND(IF($Q34=3,1,0),IF($X34&lt;30,1,0))</formula>
    </cfRule>
    <cfRule type="expression" dxfId="12248" priority="708">
      <formula>AND(IF($Q34=3,1,IF($Q34=4,1,0)),IF($F34&lt;=85,1,0))</formula>
    </cfRule>
  </conditionalFormatting>
  <conditionalFormatting sqref="AI34">
    <cfRule type="expression" dxfId="12247" priority="701">
      <formula>AND(IF(OR($Q34=1,$Q34=2),1,0),IF($X34&lt;=20,1,0))</formula>
    </cfRule>
    <cfRule type="expression" dxfId="12246" priority="702">
      <formula>AND(IF($Q34=2,1,0),IF($X34&lt;30,1,0))</formula>
    </cfRule>
    <cfRule type="expression" dxfId="12245" priority="703">
      <formula>AND(IF($Q34=3,1,0),IF($X34&lt;30,1,0))</formula>
    </cfRule>
    <cfRule type="expression" dxfId="12244" priority="704">
      <formula>AND(IF($Q34=3,1,IF($Q34=4,1,0)),IF($F34&lt;=85,1,0))</formula>
    </cfRule>
  </conditionalFormatting>
  <conditionalFormatting sqref="AV35">
    <cfRule type="expression" dxfId="12243" priority="699">
      <formula>AV35="X"</formula>
    </cfRule>
    <cfRule type="expression" dxfId="12242" priority="700">
      <formula>AV35="후보"</formula>
    </cfRule>
  </conditionalFormatting>
  <conditionalFormatting sqref="AC35">
    <cfRule type="cellIs" dxfId="12241" priority="696" operator="greaterThan">
      <formula>0.9</formula>
    </cfRule>
    <cfRule type="cellIs" dxfId="12240" priority="697" operator="greaterThan">
      <formula>0.85</formula>
    </cfRule>
  </conditionalFormatting>
  <conditionalFormatting sqref="N35">
    <cfRule type="cellIs" dxfId="12239" priority="694" operator="greaterThan">
      <formula>0.9</formula>
    </cfRule>
    <cfRule type="cellIs" dxfId="12238" priority="695" operator="greaterThan">
      <formula>0.85</formula>
    </cfRule>
  </conditionalFormatting>
  <conditionalFormatting sqref="E35">
    <cfRule type="expression" dxfId="12237" priority="690">
      <formula>AND(IF(OR($Q35=1,$Q35=2),1,0),IF($X35&lt;=20,1,0))</formula>
    </cfRule>
    <cfRule type="expression" dxfId="12236" priority="691">
      <formula>AND(IF($Q35=2,1,0),IF($X35&lt;30,1,0))</formula>
    </cfRule>
    <cfRule type="expression" dxfId="12235" priority="692">
      <formula>AND(IF($Q35=3,1,0),IF($X35&lt;30,1,0))</formula>
    </cfRule>
    <cfRule type="expression" dxfId="12234" priority="693">
      <formula>AND(IF($Q35=3,1,IF($Q35=4,1,0)),IF($F35&lt;=85,1,0))</formula>
    </cfRule>
  </conditionalFormatting>
  <conditionalFormatting sqref="X35">
    <cfRule type="expression" dxfId="12233" priority="686">
      <formula>AND(IF(OR($Q35=1,$Q35=2),1,0),IF($X35&lt;=20,1,0))</formula>
    </cfRule>
    <cfRule type="expression" dxfId="12232" priority="687">
      <formula>AND(IF($Q35=2,1,0),IF($X35&lt;30,1,0))</formula>
    </cfRule>
    <cfRule type="expression" dxfId="12231" priority="688">
      <formula>AND(IF($Q35=3,1,0),IF($X35&lt;30,1,0))</formula>
    </cfRule>
    <cfRule type="expression" dxfId="12230" priority="689">
      <formula>AND(IF($Q35=3,1,IF($Q35=4,1,0)),IF($F35&lt;=85,1,0))</formula>
    </cfRule>
  </conditionalFormatting>
  <conditionalFormatting sqref="AI35">
    <cfRule type="expression" dxfId="12229" priority="682">
      <formula>AND(IF(OR($Q35=1,$Q35=2),1,0),IF($X35&lt;=20,1,0))</formula>
    </cfRule>
    <cfRule type="expression" dxfId="12228" priority="683">
      <formula>AND(IF($Q35=2,1,0),IF($X35&lt;30,1,0))</formula>
    </cfRule>
    <cfRule type="expression" dxfId="12227" priority="684">
      <formula>AND(IF($Q35=3,1,0),IF($X35&lt;30,1,0))</formula>
    </cfRule>
    <cfRule type="expression" dxfId="12226" priority="685">
      <formula>AND(IF($Q35=3,1,IF($Q35=4,1,0)),IF($F35&lt;=85,1,0))</formula>
    </cfRule>
  </conditionalFormatting>
  <conditionalFormatting sqref="AV36">
    <cfRule type="expression" dxfId="12225" priority="680">
      <formula>AV36="X"</formula>
    </cfRule>
    <cfRule type="expression" dxfId="12224" priority="681">
      <formula>AV36="후보"</formula>
    </cfRule>
  </conditionalFormatting>
  <conditionalFormatting sqref="AC36">
    <cfRule type="cellIs" dxfId="12223" priority="677" operator="greaterThan">
      <formula>0.9</formula>
    </cfRule>
    <cfRule type="cellIs" dxfId="12222" priority="678" operator="greaterThan">
      <formula>0.85</formula>
    </cfRule>
  </conditionalFormatting>
  <conditionalFormatting sqref="N36">
    <cfRule type="cellIs" dxfId="12221" priority="675" operator="greaterThan">
      <formula>0.9</formula>
    </cfRule>
    <cfRule type="cellIs" dxfId="12220" priority="676" operator="greaterThan">
      <formula>0.85</formula>
    </cfRule>
  </conditionalFormatting>
  <conditionalFormatting sqref="E36">
    <cfRule type="expression" dxfId="12219" priority="671">
      <formula>AND(IF(OR($Q36=1,$Q36=2),1,0),IF($X36&lt;=20,1,0))</formula>
    </cfRule>
    <cfRule type="expression" dxfId="12218" priority="672">
      <formula>AND(IF($Q36=2,1,0),IF($X36&lt;30,1,0))</formula>
    </cfRule>
    <cfRule type="expression" dxfId="12217" priority="673">
      <formula>AND(IF($Q36=3,1,0),IF($X36&lt;30,1,0))</formula>
    </cfRule>
    <cfRule type="expression" dxfId="12216" priority="674">
      <formula>AND(IF($Q36=3,1,IF($Q36=4,1,0)),IF($F36&lt;=85,1,0))</formula>
    </cfRule>
  </conditionalFormatting>
  <conditionalFormatting sqref="X36">
    <cfRule type="expression" dxfId="12215" priority="667">
      <formula>AND(IF(OR($Q36=1,$Q36=2),1,0),IF($X36&lt;=20,1,0))</formula>
    </cfRule>
    <cfRule type="expression" dxfId="12214" priority="668">
      <formula>AND(IF($Q36=2,1,0),IF($X36&lt;30,1,0))</formula>
    </cfRule>
    <cfRule type="expression" dxfId="12213" priority="669">
      <formula>AND(IF($Q36=3,1,0),IF($X36&lt;30,1,0))</formula>
    </cfRule>
    <cfRule type="expression" dxfId="12212" priority="670">
      <formula>AND(IF($Q36=3,1,IF($Q36=4,1,0)),IF($F36&lt;=85,1,0))</formula>
    </cfRule>
  </conditionalFormatting>
  <conditionalFormatting sqref="AI36">
    <cfRule type="expression" dxfId="12211" priority="663">
      <formula>AND(IF(OR($Q36=1,$Q36=2),1,0),IF($X36&lt;=20,1,0))</formula>
    </cfRule>
    <cfRule type="expression" dxfId="12210" priority="664">
      <formula>AND(IF($Q36=2,1,0),IF($X36&lt;30,1,0))</formula>
    </cfRule>
    <cfRule type="expression" dxfId="12209" priority="665">
      <formula>AND(IF($Q36=3,1,0),IF($X36&lt;30,1,0))</formula>
    </cfRule>
    <cfRule type="expression" dxfId="12208" priority="666">
      <formula>AND(IF($Q36=3,1,IF($Q36=4,1,0)),IF($F36&lt;=85,1,0))</formula>
    </cfRule>
  </conditionalFormatting>
  <conditionalFormatting sqref="AV37">
    <cfRule type="expression" dxfId="12207" priority="661">
      <formula>AV37="X"</formula>
    </cfRule>
    <cfRule type="expression" dxfId="12206" priority="662">
      <formula>AV37="후보"</formula>
    </cfRule>
  </conditionalFormatting>
  <conditionalFormatting sqref="AC37">
    <cfRule type="cellIs" dxfId="12205" priority="658" operator="greaterThan">
      <formula>0.9</formula>
    </cfRule>
    <cfRule type="cellIs" dxfId="12204" priority="659" operator="greaterThan">
      <formula>0.85</formula>
    </cfRule>
  </conditionalFormatting>
  <conditionalFormatting sqref="N37">
    <cfRule type="cellIs" dxfId="12203" priority="656" operator="greaterThan">
      <formula>0.9</formula>
    </cfRule>
    <cfRule type="cellIs" dxfId="12202" priority="657" operator="greaterThan">
      <formula>0.85</formula>
    </cfRule>
  </conditionalFormatting>
  <conditionalFormatting sqref="E37">
    <cfRule type="expression" dxfId="12201" priority="652">
      <formula>AND(IF(OR($Q37=1,$Q37=2),1,0),IF($X37&lt;=20,1,0))</formula>
    </cfRule>
    <cfRule type="expression" dxfId="12200" priority="653">
      <formula>AND(IF($Q37=2,1,0),IF($X37&lt;30,1,0))</formula>
    </cfRule>
    <cfRule type="expression" dxfId="12199" priority="654">
      <formula>AND(IF($Q37=3,1,0),IF($X37&lt;30,1,0))</formula>
    </cfRule>
    <cfRule type="expression" dxfId="12198" priority="655">
      <formula>AND(IF($Q37=3,1,IF($Q37=4,1,0)),IF($F37&lt;=85,1,0))</formula>
    </cfRule>
  </conditionalFormatting>
  <conditionalFormatting sqref="X37">
    <cfRule type="expression" dxfId="12197" priority="648">
      <formula>AND(IF(OR($Q37=1,$Q37=2),1,0),IF($X37&lt;=20,1,0))</formula>
    </cfRule>
    <cfRule type="expression" dxfId="12196" priority="649">
      <formula>AND(IF($Q37=2,1,0),IF($X37&lt;30,1,0))</formula>
    </cfRule>
    <cfRule type="expression" dxfId="12195" priority="650">
      <formula>AND(IF($Q37=3,1,0),IF($X37&lt;30,1,0))</formula>
    </cfRule>
    <cfRule type="expression" dxfId="12194" priority="651">
      <formula>AND(IF($Q37=3,1,IF($Q37=4,1,0)),IF($F37&lt;=85,1,0))</formula>
    </cfRule>
  </conditionalFormatting>
  <conditionalFormatting sqref="AI37">
    <cfRule type="expression" dxfId="12193" priority="644">
      <formula>AND(IF(OR($Q37=1,$Q37=2),1,0),IF($X37&lt;=20,1,0))</formula>
    </cfRule>
    <cfRule type="expression" dxfId="12192" priority="645">
      <formula>AND(IF($Q37=2,1,0),IF($X37&lt;30,1,0))</formula>
    </cfRule>
    <cfRule type="expression" dxfId="12191" priority="646">
      <formula>AND(IF($Q37=3,1,0),IF($X37&lt;30,1,0))</formula>
    </cfRule>
    <cfRule type="expression" dxfId="12190" priority="647">
      <formula>AND(IF($Q37=3,1,IF($Q37=4,1,0)),IF($F37&lt;=85,1,0))</formula>
    </cfRule>
  </conditionalFormatting>
  <conditionalFormatting sqref="AV38">
    <cfRule type="expression" dxfId="12189" priority="642">
      <formula>AV38="X"</formula>
    </cfRule>
    <cfRule type="expression" dxfId="12188" priority="643">
      <formula>AV38="후보"</formula>
    </cfRule>
  </conditionalFormatting>
  <conditionalFormatting sqref="AC38">
    <cfRule type="cellIs" dxfId="12187" priority="639" operator="greaterThan">
      <formula>0.9</formula>
    </cfRule>
    <cfRule type="cellIs" dxfId="12186" priority="640" operator="greaterThan">
      <formula>0.85</formula>
    </cfRule>
  </conditionalFormatting>
  <conditionalFormatting sqref="N38">
    <cfRule type="cellIs" dxfId="12185" priority="637" operator="greaterThan">
      <formula>0.9</formula>
    </cfRule>
    <cfRule type="cellIs" dxfId="12184" priority="638" operator="greaterThan">
      <formula>0.85</formula>
    </cfRule>
  </conditionalFormatting>
  <conditionalFormatting sqref="E38">
    <cfRule type="expression" dxfId="12183" priority="633">
      <formula>AND(IF(OR($Q38=1,$Q38=2),1,0),IF($X38&lt;=20,1,0))</formula>
    </cfRule>
    <cfRule type="expression" dxfId="12182" priority="634">
      <formula>AND(IF($Q38=2,1,0),IF($X38&lt;30,1,0))</formula>
    </cfRule>
    <cfRule type="expression" dxfId="12181" priority="635">
      <formula>AND(IF($Q38=3,1,0),IF($X38&lt;30,1,0))</formula>
    </cfRule>
    <cfRule type="expression" dxfId="12180" priority="636">
      <formula>AND(IF($Q38=3,1,IF($Q38=4,1,0)),IF($F38&lt;=85,1,0))</formula>
    </cfRule>
  </conditionalFormatting>
  <conditionalFormatting sqref="X38">
    <cfRule type="expression" dxfId="12179" priority="629">
      <formula>AND(IF(OR($Q38=1,$Q38=2),1,0),IF($X38&lt;=20,1,0))</formula>
    </cfRule>
    <cfRule type="expression" dxfId="12178" priority="630">
      <formula>AND(IF($Q38=2,1,0),IF($X38&lt;30,1,0))</formula>
    </cfRule>
    <cfRule type="expression" dxfId="12177" priority="631">
      <formula>AND(IF($Q38=3,1,0),IF($X38&lt;30,1,0))</formula>
    </cfRule>
    <cfRule type="expression" dxfId="12176" priority="632">
      <formula>AND(IF($Q38=3,1,IF($Q38=4,1,0)),IF($F38&lt;=85,1,0))</formula>
    </cfRule>
  </conditionalFormatting>
  <conditionalFormatting sqref="AI38">
    <cfRule type="expression" dxfId="12175" priority="625">
      <formula>AND(IF(OR($Q38=1,$Q38=2),1,0),IF($X38&lt;=20,1,0))</formula>
    </cfRule>
    <cfRule type="expression" dxfId="12174" priority="626">
      <formula>AND(IF($Q38=2,1,0),IF($X38&lt;30,1,0))</formula>
    </cfRule>
    <cfRule type="expression" dxfId="12173" priority="627">
      <formula>AND(IF($Q38=3,1,0),IF($X38&lt;30,1,0))</formula>
    </cfRule>
    <cfRule type="expression" dxfId="12172" priority="628">
      <formula>AND(IF($Q38=3,1,IF($Q38=4,1,0)),IF($F38&lt;=85,1,0))</formula>
    </cfRule>
  </conditionalFormatting>
  <conditionalFormatting sqref="AV39">
    <cfRule type="expression" dxfId="12171" priority="623">
      <formula>AV39="X"</formula>
    </cfRule>
    <cfRule type="expression" dxfId="12170" priority="624">
      <formula>AV39="후보"</formula>
    </cfRule>
  </conditionalFormatting>
  <conditionalFormatting sqref="AC39 N39">
    <cfRule type="cellIs" dxfId="12169" priority="620" operator="greaterThan">
      <formula>0.9</formula>
    </cfRule>
    <cfRule type="cellIs" dxfId="12168" priority="621" operator="greaterThan">
      <formula>0.85</formula>
    </cfRule>
  </conditionalFormatting>
  <conditionalFormatting sqref="AV40">
    <cfRule type="expression" dxfId="12167" priority="618">
      <formula>AV40="X"</formula>
    </cfRule>
    <cfRule type="expression" dxfId="12166" priority="619">
      <formula>AV40="후보"</formula>
    </cfRule>
  </conditionalFormatting>
  <conditionalFormatting sqref="AC40">
    <cfRule type="cellIs" dxfId="12165" priority="615" operator="greaterThan">
      <formula>0.9</formula>
    </cfRule>
    <cfRule type="cellIs" dxfId="12164" priority="616" operator="greaterThan">
      <formula>0.85</formula>
    </cfRule>
  </conditionalFormatting>
  <conditionalFormatting sqref="N40">
    <cfRule type="cellIs" dxfId="12163" priority="613" operator="greaterThan">
      <formula>0.9</formula>
    </cfRule>
    <cfRule type="cellIs" dxfId="12162" priority="614" operator="greaterThan">
      <formula>0.85</formula>
    </cfRule>
  </conditionalFormatting>
  <conditionalFormatting sqref="E40">
    <cfRule type="expression" dxfId="12161" priority="609">
      <formula>AND(IF(OR($Q40=1,$Q40=2),1,0),IF($X40&lt;=20,1,0))</formula>
    </cfRule>
    <cfRule type="expression" dxfId="12160" priority="610">
      <formula>AND(IF($Q40=2,1,0),IF($X40&lt;30,1,0))</formula>
    </cfRule>
    <cfRule type="expression" dxfId="12159" priority="611">
      <formula>AND(IF($Q40=3,1,0),IF($X40&lt;30,1,0))</formula>
    </cfRule>
    <cfRule type="expression" dxfId="12158" priority="612">
      <formula>AND(IF($Q40=3,1,IF($Q40=4,1,0)),IF($F40&lt;=85,1,0))</formula>
    </cfRule>
  </conditionalFormatting>
  <conditionalFormatting sqref="X40">
    <cfRule type="expression" dxfId="12157" priority="605">
      <formula>AND(IF(OR($Q40=1,$Q40=2),1,0),IF($X40&lt;=20,1,0))</formula>
    </cfRule>
    <cfRule type="expression" dxfId="12156" priority="606">
      <formula>AND(IF($Q40=2,1,0),IF($X40&lt;30,1,0))</formula>
    </cfRule>
    <cfRule type="expression" dxfId="12155" priority="607">
      <formula>AND(IF($Q40=3,1,0),IF($X40&lt;30,1,0))</formula>
    </cfRule>
    <cfRule type="expression" dxfId="12154" priority="608">
      <formula>AND(IF($Q40=3,1,IF($Q40=4,1,0)),IF($F40&lt;=85,1,0))</formula>
    </cfRule>
  </conditionalFormatting>
  <conditionalFormatting sqref="AI40">
    <cfRule type="expression" dxfId="12153" priority="601">
      <formula>AND(IF(OR($Q40=1,$Q40=2),1,0),IF($X40&lt;=20,1,0))</formula>
    </cfRule>
    <cfRule type="expression" dxfId="12152" priority="602">
      <formula>AND(IF($Q40=2,1,0),IF($X40&lt;30,1,0))</formula>
    </cfRule>
    <cfRule type="expression" dxfId="12151" priority="603">
      <formula>AND(IF($Q40=3,1,0),IF($X40&lt;30,1,0))</formula>
    </cfRule>
    <cfRule type="expression" dxfId="12150" priority="604">
      <formula>AND(IF($Q40=3,1,IF($Q40=4,1,0)),IF($F40&lt;=85,1,0))</formula>
    </cfRule>
  </conditionalFormatting>
  <conditionalFormatting sqref="AV41">
    <cfRule type="expression" dxfId="12149" priority="599">
      <formula>AV41="X"</formula>
    </cfRule>
    <cfRule type="expression" dxfId="12148" priority="600">
      <formula>AV41="후보"</formula>
    </cfRule>
  </conditionalFormatting>
  <conditionalFormatting sqref="AC41">
    <cfRule type="cellIs" dxfId="12147" priority="596" operator="greaterThan">
      <formula>0.9</formula>
    </cfRule>
    <cfRule type="cellIs" dxfId="12146" priority="597" operator="greaterThan">
      <formula>0.85</formula>
    </cfRule>
  </conditionalFormatting>
  <conditionalFormatting sqref="N41">
    <cfRule type="cellIs" dxfId="12145" priority="594" operator="greaterThan">
      <formula>0.9</formula>
    </cfRule>
    <cfRule type="cellIs" dxfId="12144" priority="595" operator="greaterThan">
      <formula>0.85</formula>
    </cfRule>
  </conditionalFormatting>
  <conditionalFormatting sqref="E41">
    <cfRule type="expression" dxfId="12143" priority="590">
      <formula>AND(IF(OR($Q41=1,$Q41=2),1,0),IF($X41&lt;=20,1,0))</formula>
    </cfRule>
    <cfRule type="expression" dxfId="12142" priority="591">
      <formula>AND(IF($Q41=2,1,0),IF($X41&lt;30,1,0))</formula>
    </cfRule>
    <cfRule type="expression" dxfId="12141" priority="592">
      <formula>AND(IF($Q41=3,1,0),IF($X41&lt;30,1,0))</formula>
    </cfRule>
    <cfRule type="expression" dxfId="12140" priority="593">
      <formula>AND(IF($Q41=3,1,IF($Q41=4,1,0)),IF($F41&lt;=85,1,0))</formula>
    </cfRule>
  </conditionalFormatting>
  <conditionalFormatting sqref="X41">
    <cfRule type="expression" dxfId="12139" priority="586">
      <formula>AND(IF(OR($Q41=1,$Q41=2),1,0),IF($X41&lt;=20,1,0))</formula>
    </cfRule>
    <cfRule type="expression" dxfId="12138" priority="587">
      <formula>AND(IF($Q41=2,1,0),IF($X41&lt;30,1,0))</formula>
    </cfRule>
    <cfRule type="expression" dxfId="12137" priority="588">
      <formula>AND(IF($Q41=3,1,0),IF($X41&lt;30,1,0))</formula>
    </cfRule>
    <cfRule type="expression" dxfId="12136" priority="589">
      <formula>AND(IF($Q41=3,1,IF($Q41=4,1,0)),IF($F41&lt;=85,1,0))</formula>
    </cfRule>
  </conditionalFormatting>
  <conditionalFormatting sqref="AI41">
    <cfRule type="expression" dxfId="12135" priority="582">
      <formula>AND(IF(OR($Q41=1,$Q41=2),1,0),IF($X41&lt;=20,1,0))</formula>
    </cfRule>
    <cfRule type="expression" dxfId="12134" priority="583">
      <formula>AND(IF($Q41=2,1,0),IF($X41&lt;30,1,0))</formula>
    </cfRule>
    <cfRule type="expression" dxfId="12133" priority="584">
      <formula>AND(IF($Q41=3,1,0),IF($X41&lt;30,1,0))</formula>
    </cfRule>
    <cfRule type="expression" dxfId="12132" priority="585">
      <formula>AND(IF($Q41=3,1,IF($Q41=4,1,0)),IF($F41&lt;=85,1,0))</formula>
    </cfRule>
  </conditionalFormatting>
  <conditionalFormatting sqref="AV42">
    <cfRule type="expression" dxfId="12131" priority="580">
      <formula>AV42="X"</formula>
    </cfRule>
    <cfRule type="expression" dxfId="12130" priority="581">
      <formula>AV42="후보"</formula>
    </cfRule>
  </conditionalFormatting>
  <conditionalFormatting sqref="AC42">
    <cfRule type="cellIs" dxfId="12129" priority="577" operator="greaterThan">
      <formula>0.9</formula>
    </cfRule>
    <cfRule type="cellIs" dxfId="12128" priority="578" operator="greaterThan">
      <formula>0.85</formula>
    </cfRule>
  </conditionalFormatting>
  <conditionalFormatting sqref="N42">
    <cfRule type="cellIs" dxfId="12127" priority="575" operator="greaterThan">
      <formula>0.9</formula>
    </cfRule>
    <cfRule type="cellIs" dxfId="12126" priority="576" operator="greaterThan">
      <formula>0.85</formula>
    </cfRule>
  </conditionalFormatting>
  <conditionalFormatting sqref="E42">
    <cfRule type="expression" dxfId="12125" priority="571">
      <formula>AND(IF(OR($Q42=1,$Q42=2),1,0),IF($X42&lt;=20,1,0))</formula>
    </cfRule>
    <cfRule type="expression" dxfId="12124" priority="572">
      <formula>AND(IF($Q42=2,1,0),IF($X42&lt;30,1,0))</formula>
    </cfRule>
    <cfRule type="expression" dxfId="12123" priority="573">
      <formula>AND(IF($Q42=3,1,0),IF($X42&lt;30,1,0))</formula>
    </cfRule>
    <cfRule type="expression" dxfId="12122" priority="574">
      <formula>AND(IF($Q42=3,1,IF($Q42=4,1,0)),IF($F42&lt;=85,1,0))</formula>
    </cfRule>
  </conditionalFormatting>
  <conditionalFormatting sqref="X42">
    <cfRule type="expression" dxfId="12121" priority="567">
      <formula>AND(IF(OR($Q42=1,$Q42=2),1,0),IF($X42&lt;=20,1,0))</formula>
    </cfRule>
    <cfRule type="expression" dxfId="12120" priority="568">
      <formula>AND(IF($Q42=2,1,0),IF($X42&lt;30,1,0))</formula>
    </cfRule>
    <cfRule type="expression" dxfId="12119" priority="569">
      <formula>AND(IF($Q42=3,1,0),IF($X42&lt;30,1,0))</formula>
    </cfRule>
    <cfRule type="expression" dxfId="12118" priority="570">
      <formula>AND(IF($Q42=3,1,IF($Q42=4,1,0)),IF($F42&lt;=85,1,0))</formula>
    </cfRule>
  </conditionalFormatting>
  <conditionalFormatting sqref="AI42">
    <cfRule type="expression" dxfId="12117" priority="563">
      <formula>AND(IF(OR($Q42=1,$Q42=2),1,0),IF($X42&lt;=20,1,0))</formula>
    </cfRule>
    <cfRule type="expression" dxfId="12116" priority="564">
      <formula>AND(IF($Q42=2,1,0),IF($X42&lt;30,1,0))</formula>
    </cfRule>
    <cfRule type="expression" dxfId="12115" priority="565">
      <formula>AND(IF($Q42=3,1,0),IF($X42&lt;30,1,0))</formula>
    </cfRule>
    <cfRule type="expression" dxfId="12114" priority="566">
      <formula>AND(IF($Q42=3,1,IF($Q42=4,1,0)),IF($F42&lt;=85,1,0))</formula>
    </cfRule>
  </conditionalFormatting>
  <conditionalFormatting sqref="AV43">
    <cfRule type="expression" dxfId="12113" priority="561">
      <formula>AV43="X"</formula>
    </cfRule>
    <cfRule type="expression" dxfId="12112" priority="562">
      <formula>AV43="후보"</formula>
    </cfRule>
  </conditionalFormatting>
  <conditionalFormatting sqref="AC43">
    <cfRule type="cellIs" dxfId="12111" priority="558" operator="greaterThan">
      <formula>0.9</formula>
    </cfRule>
    <cfRule type="cellIs" dxfId="12110" priority="559" operator="greaterThan">
      <formula>0.85</formula>
    </cfRule>
  </conditionalFormatting>
  <conditionalFormatting sqref="N43">
    <cfRule type="cellIs" dxfId="12109" priority="556" operator="greaterThan">
      <formula>0.9</formula>
    </cfRule>
    <cfRule type="cellIs" dxfId="12108" priority="557" operator="greaterThan">
      <formula>0.85</formula>
    </cfRule>
  </conditionalFormatting>
  <conditionalFormatting sqref="E43">
    <cfRule type="expression" dxfId="12107" priority="552">
      <formula>AND(IF(OR($Q43=1,$Q43=2),1,0),IF($X43&lt;=20,1,0))</formula>
    </cfRule>
    <cfRule type="expression" dxfId="12106" priority="553">
      <formula>AND(IF($Q43=2,1,0),IF($X43&lt;30,1,0))</formula>
    </cfRule>
    <cfRule type="expression" dxfId="12105" priority="554">
      <formula>AND(IF($Q43=3,1,0),IF($X43&lt;30,1,0))</formula>
    </cfRule>
    <cfRule type="expression" dxfId="12104" priority="555">
      <formula>AND(IF($Q43=3,1,IF($Q43=4,1,0)),IF($F43&lt;=85,1,0))</formula>
    </cfRule>
  </conditionalFormatting>
  <conditionalFormatting sqref="X43">
    <cfRule type="expression" dxfId="12103" priority="548">
      <formula>AND(IF(OR($Q43=1,$Q43=2),1,0),IF($X43&lt;=20,1,0))</formula>
    </cfRule>
    <cfRule type="expression" dxfId="12102" priority="549">
      <formula>AND(IF($Q43=2,1,0),IF($X43&lt;30,1,0))</formula>
    </cfRule>
    <cfRule type="expression" dxfId="12101" priority="550">
      <formula>AND(IF($Q43=3,1,0),IF($X43&lt;30,1,0))</formula>
    </cfRule>
    <cfRule type="expression" dxfId="12100" priority="551">
      <formula>AND(IF($Q43=3,1,IF($Q43=4,1,0)),IF($F43&lt;=85,1,0))</formula>
    </cfRule>
  </conditionalFormatting>
  <conditionalFormatting sqref="AI43">
    <cfRule type="expression" dxfId="12099" priority="544">
      <formula>AND(IF(OR($Q43=1,$Q43=2),1,0),IF($X43&lt;=20,1,0))</formula>
    </cfRule>
    <cfRule type="expression" dxfId="12098" priority="545">
      <formula>AND(IF($Q43=2,1,0),IF($X43&lt;30,1,0))</formula>
    </cfRule>
    <cfRule type="expression" dxfId="12097" priority="546">
      <formula>AND(IF($Q43=3,1,0),IF($X43&lt;30,1,0))</formula>
    </cfRule>
    <cfRule type="expression" dxfId="12096" priority="547">
      <formula>AND(IF($Q43=3,1,IF($Q43=4,1,0)),IF($F43&lt;=85,1,0))</formula>
    </cfRule>
  </conditionalFormatting>
  <conditionalFormatting sqref="AV44">
    <cfRule type="expression" dxfId="12095" priority="542">
      <formula>AV44="X"</formula>
    </cfRule>
    <cfRule type="expression" dxfId="12094" priority="543">
      <formula>AV44="후보"</formula>
    </cfRule>
  </conditionalFormatting>
  <conditionalFormatting sqref="AC44">
    <cfRule type="cellIs" dxfId="12093" priority="539" operator="greaterThan">
      <formula>0.9</formula>
    </cfRule>
    <cfRule type="cellIs" dxfId="12092" priority="540" operator="greaterThan">
      <formula>0.85</formula>
    </cfRule>
  </conditionalFormatting>
  <conditionalFormatting sqref="N44">
    <cfRule type="cellIs" dxfId="12091" priority="537" operator="greaterThan">
      <formula>0.9</formula>
    </cfRule>
    <cfRule type="cellIs" dxfId="12090" priority="538" operator="greaterThan">
      <formula>0.85</formula>
    </cfRule>
  </conditionalFormatting>
  <conditionalFormatting sqref="E44">
    <cfRule type="expression" dxfId="12089" priority="533">
      <formula>AND(IF(OR($Q44=1,$Q44=2),1,0),IF($X44&lt;=20,1,0))</formula>
    </cfRule>
    <cfRule type="expression" dxfId="12088" priority="534">
      <formula>AND(IF($Q44=2,1,0),IF($X44&lt;30,1,0))</formula>
    </cfRule>
    <cfRule type="expression" dxfId="12087" priority="535">
      <formula>AND(IF($Q44=3,1,0),IF($X44&lt;30,1,0))</formula>
    </cfRule>
    <cfRule type="expression" dxfId="12086" priority="536">
      <formula>AND(IF($Q44=3,1,IF($Q44=4,1,0)),IF($F44&lt;=85,1,0))</formula>
    </cfRule>
  </conditionalFormatting>
  <conditionalFormatting sqref="X44">
    <cfRule type="expression" dxfId="12085" priority="529">
      <formula>AND(IF(OR($Q44=1,$Q44=2),1,0),IF($X44&lt;=20,1,0))</formula>
    </cfRule>
    <cfRule type="expression" dxfId="12084" priority="530">
      <formula>AND(IF($Q44=2,1,0),IF($X44&lt;30,1,0))</formula>
    </cfRule>
    <cfRule type="expression" dxfId="12083" priority="531">
      <formula>AND(IF($Q44=3,1,0),IF($X44&lt;30,1,0))</formula>
    </cfRule>
    <cfRule type="expression" dxfId="12082" priority="532">
      <formula>AND(IF($Q44=3,1,IF($Q44=4,1,0)),IF($F44&lt;=85,1,0))</formula>
    </cfRule>
  </conditionalFormatting>
  <conditionalFormatting sqref="AI44">
    <cfRule type="expression" dxfId="12081" priority="525">
      <formula>AND(IF(OR($Q44=1,$Q44=2),1,0),IF($X44&lt;=20,1,0))</formula>
    </cfRule>
    <cfRule type="expression" dxfId="12080" priority="526">
      <formula>AND(IF($Q44=2,1,0),IF($X44&lt;30,1,0))</formula>
    </cfRule>
    <cfRule type="expression" dxfId="12079" priority="527">
      <formula>AND(IF($Q44=3,1,0),IF($X44&lt;30,1,0))</formula>
    </cfRule>
    <cfRule type="expression" dxfId="12078" priority="528">
      <formula>AND(IF($Q44=3,1,IF($Q44=4,1,0)),IF($F44&lt;=85,1,0))</formula>
    </cfRule>
  </conditionalFormatting>
  <conditionalFormatting sqref="AV45">
    <cfRule type="expression" dxfId="12077" priority="523">
      <formula>AV45="X"</formula>
    </cfRule>
    <cfRule type="expression" dxfId="12076" priority="524">
      <formula>AV45="후보"</formula>
    </cfRule>
  </conditionalFormatting>
  <conditionalFormatting sqref="AC45 N45">
    <cfRule type="cellIs" dxfId="12075" priority="520" operator="greaterThan">
      <formula>0.9</formula>
    </cfRule>
    <cfRule type="cellIs" dxfId="12074" priority="521" operator="greaterThan">
      <formula>0.85</formula>
    </cfRule>
  </conditionalFormatting>
  <conditionalFormatting sqref="AV46">
    <cfRule type="expression" dxfId="12073" priority="518">
      <formula>AV46="X"</formula>
    </cfRule>
    <cfRule type="expression" dxfId="12072" priority="519">
      <formula>AV46="후보"</formula>
    </cfRule>
  </conditionalFormatting>
  <conditionalFormatting sqref="AC46">
    <cfRule type="cellIs" dxfId="12071" priority="515" operator="greaterThan">
      <formula>0.9</formula>
    </cfRule>
    <cfRule type="cellIs" dxfId="12070" priority="516" operator="greaterThan">
      <formula>0.85</formula>
    </cfRule>
  </conditionalFormatting>
  <conditionalFormatting sqref="N46">
    <cfRule type="cellIs" dxfId="12069" priority="513" operator="greaterThan">
      <formula>0.9</formula>
    </cfRule>
    <cfRule type="cellIs" dxfId="12068" priority="514" operator="greaterThan">
      <formula>0.85</formula>
    </cfRule>
  </conditionalFormatting>
  <conditionalFormatting sqref="E46">
    <cfRule type="expression" dxfId="12067" priority="509">
      <formula>AND(IF(OR($Q46=1,$Q46=2),1,0),IF($X46&lt;=20,1,0))</formula>
    </cfRule>
    <cfRule type="expression" dxfId="12066" priority="510">
      <formula>AND(IF($Q46=2,1,0),IF($X46&lt;30,1,0))</formula>
    </cfRule>
    <cfRule type="expression" dxfId="12065" priority="511">
      <formula>AND(IF($Q46=3,1,0),IF($X46&lt;30,1,0))</formula>
    </cfRule>
    <cfRule type="expression" dxfId="12064" priority="512">
      <formula>AND(IF($Q46=3,1,IF($Q46=4,1,0)),IF($F46&lt;=85,1,0))</formula>
    </cfRule>
  </conditionalFormatting>
  <conditionalFormatting sqref="X46">
    <cfRule type="expression" dxfId="12063" priority="505">
      <formula>AND(IF(OR($Q46=1,$Q46=2),1,0),IF($X46&lt;=20,1,0))</formula>
    </cfRule>
    <cfRule type="expression" dxfId="12062" priority="506">
      <formula>AND(IF($Q46=2,1,0),IF($X46&lt;30,1,0))</formula>
    </cfRule>
    <cfRule type="expression" dxfId="12061" priority="507">
      <formula>AND(IF($Q46=3,1,0),IF($X46&lt;30,1,0))</formula>
    </cfRule>
    <cfRule type="expression" dxfId="12060" priority="508">
      <formula>AND(IF($Q46=3,1,IF($Q46=4,1,0)),IF($F46&lt;=85,1,0))</formula>
    </cfRule>
  </conditionalFormatting>
  <conditionalFormatting sqref="AI46">
    <cfRule type="expression" dxfId="12059" priority="501">
      <formula>AND(IF(OR($Q46=1,$Q46=2),1,0),IF($X46&lt;=20,1,0))</formula>
    </cfRule>
    <cfRule type="expression" dxfId="12058" priority="502">
      <formula>AND(IF($Q46=2,1,0),IF($X46&lt;30,1,0))</formula>
    </cfRule>
    <cfRule type="expression" dxfId="12057" priority="503">
      <formula>AND(IF($Q46=3,1,0),IF($X46&lt;30,1,0))</formula>
    </cfRule>
    <cfRule type="expression" dxfId="12056" priority="504">
      <formula>AND(IF($Q46=3,1,IF($Q46=4,1,0)),IF($F46&lt;=85,1,0))</formula>
    </cfRule>
  </conditionalFormatting>
  <conditionalFormatting sqref="AV47">
    <cfRule type="expression" dxfId="12055" priority="499">
      <formula>AV47="X"</formula>
    </cfRule>
    <cfRule type="expression" dxfId="12054" priority="500">
      <formula>AV47="후보"</formula>
    </cfRule>
  </conditionalFormatting>
  <conditionalFormatting sqref="AC47">
    <cfRule type="cellIs" dxfId="12053" priority="496" operator="greaterThan">
      <formula>0.9</formula>
    </cfRule>
    <cfRule type="cellIs" dxfId="12052" priority="497" operator="greaterThan">
      <formula>0.85</formula>
    </cfRule>
  </conditionalFormatting>
  <conditionalFormatting sqref="N47">
    <cfRule type="cellIs" dxfId="12051" priority="494" operator="greaterThan">
      <formula>0.9</formula>
    </cfRule>
    <cfRule type="cellIs" dxfId="12050" priority="495" operator="greaterThan">
      <formula>0.85</formula>
    </cfRule>
  </conditionalFormatting>
  <conditionalFormatting sqref="E47">
    <cfRule type="expression" dxfId="12049" priority="490">
      <formula>AND(IF(OR($Q47=1,$Q47=2),1,0),IF($X47&lt;=20,1,0))</formula>
    </cfRule>
    <cfRule type="expression" dxfId="12048" priority="491">
      <formula>AND(IF($Q47=2,1,0),IF($X47&lt;30,1,0))</formula>
    </cfRule>
    <cfRule type="expression" dxfId="12047" priority="492">
      <formula>AND(IF($Q47=3,1,0),IF($X47&lt;30,1,0))</formula>
    </cfRule>
    <cfRule type="expression" dxfId="12046" priority="493">
      <formula>AND(IF($Q47=3,1,IF($Q47=4,1,0)),IF($F47&lt;=85,1,0))</formula>
    </cfRule>
  </conditionalFormatting>
  <conditionalFormatting sqref="X47">
    <cfRule type="expression" dxfId="12045" priority="486">
      <formula>AND(IF(OR($Q47=1,$Q47=2),1,0),IF($X47&lt;=20,1,0))</formula>
    </cfRule>
    <cfRule type="expression" dxfId="12044" priority="487">
      <formula>AND(IF($Q47=2,1,0),IF($X47&lt;30,1,0))</formula>
    </cfRule>
    <cfRule type="expression" dxfId="12043" priority="488">
      <formula>AND(IF($Q47=3,1,0),IF($X47&lt;30,1,0))</formula>
    </cfRule>
    <cfRule type="expression" dxfId="12042" priority="489">
      <formula>AND(IF($Q47=3,1,IF($Q47=4,1,0)),IF($F47&lt;=85,1,0))</formula>
    </cfRule>
  </conditionalFormatting>
  <conditionalFormatting sqref="AI47">
    <cfRule type="expression" dxfId="12041" priority="482">
      <formula>AND(IF(OR($Q47=1,$Q47=2),1,0),IF($X47&lt;=20,1,0))</formula>
    </cfRule>
    <cfRule type="expression" dxfId="12040" priority="483">
      <formula>AND(IF($Q47=2,1,0),IF($X47&lt;30,1,0))</formula>
    </cfRule>
    <cfRule type="expression" dxfId="12039" priority="484">
      <formula>AND(IF($Q47=3,1,0),IF($X47&lt;30,1,0))</formula>
    </cfRule>
    <cfRule type="expression" dxfId="12038" priority="485">
      <formula>AND(IF($Q47=3,1,IF($Q47=4,1,0)),IF($F47&lt;=85,1,0))</formula>
    </cfRule>
  </conditionalFormatting>
  <conditionalFormatting sqref="AV48">
    <cfRule type="expression" dxfId="12037" priority="480">
      <formula>AV48="X"</formula>
    </cfRule>
    <cfRule type="expression" dxfId="12036" priority="481">
      <formula>AV48="후보"</formula>
    </cfRule>
  </conditionalFormatting>
  <conditionalFormatting sqref="AC48">
    <cfRule type="cellIs" dxfId="12035" priority="477" operator="greaterThan">
      <formula>0.9</formula>
    </cfRule>
    <cfRule type="cellIs" dxfId="12034" priority="478" operator="greaterThan">
      <formula>0.85</formula>
    </cfRule>
  </conditionalFormatting>
  <conditionalFormatting sqref="N48">
    <cfRule type="cellIs" dxfId="12033" priority="475" operator="greaterThan">
      <formula>0.9</formula>
    </cfRule>
    <cfRule type="cellIs" dxfId="12032" priority="476" operator="greaterThan">
      <formula>0.85</formula>
    </cfRule>
  </conditionalFormatting>
  <conditionalFormatting sqref="E48">
    <cfRule type="expression" dxfId="12031" priority="471">
      <formula>AND(IF(OR($Q48=1,$Q48=2),1,0),IF($X48&lt;=20,1,0))</formula>
    </cfRule>
    <cfRule type="expression" dxfId="12030" priority="472">
      <formula>AND(IF($Q48=2,1,0),IF($X48&lt;30,1,0))</formula>
    </cfRule>
    <cfRule type="expression" dxfId="12029" priority="473">
      <formula>AND(IF($Q48=3,1,0),IF($X48&lt;30,1,0))</formula>
    </cfRule>
    <cfRule type="expression" dxfId="12028" priority="474">
      <formula>AND(IF($Q48=3,1,IF($Q48=4,1,0)),IF($F48&lt;=85,1,0))</formula>
    </cfRule>
  </conditionalFormatting>
  <conditionalFormatting sqref="X48">
    <cfRule type="expression" dxfId="12027" priority="467">
      <formula>AND(IF(OR($Q48=1,$Q48=2),1,0),IF($X48&lt;=20,1,0))</formula>
    </cfRule>
    <cfRule type="expression" dxfId="12026" priority="468">
      <formula>AND(IF($Q48=2,1,0),IF($X48&lt;30,1,0))</formula>
    </cfRule>
    <cfRule type="expression" dxfId="12025" priority="469">
      <formula>AND(IF($Q48=3,1,0),IF($X48&lt;30,1,0))</formula>
    </cfRule>
    <cfRule type="expression" dxfId="12024" priority="470">
      <formula>AND(IF($Q48=3,1,IF($Q48=4,1,0)),IF($F48&lt;=85,1,0))</formula>
    </cfRule>
  </conditionalFormatting>
  <conditionalFormatting sqref="AI48">
    <cfRule type="expression" dxfId="12023" priority="463">
      <formula>AND(IF(OR($Q48=1,$Q48=2),1,0),IF($X48&lt;=20,1,0))</formula>
    </cfRule>
    <cfRule type="expression" dxfId="12022" priority="464">
      <formula>AND(IF($Q48=2,1,0),IF($X48&lt;30,1,0))</formula>
    </cfRule>
    <cfRule type="expression" dxfId="12021" priority="465">
      <formula>AND(IF($Q48=3,1,0),IF($X48&lt;30,1,0))</formula>
    </cfRule>
    <cfRule type="expression" dxfId="12020" priority="466">
      <formula>AND(IF($Q48=3,1,IF($Q48=4,1,0)),IF($F48&lt;=85,1,0))</formula>
    </cfRule>
  </conditionalFormatting>
  <conditionalFormatting sqref="AV49">
    <cfRule type="expression" dxfId="12019" priority="461">
      <formula>AV49="X"</formula>
    </cfRule>
    <cfRule type="expression" dxfId="12018" priority="462">
      <formula>AV49="후보"</formula>
    </cfRule>
  </conditionalFormatting>
  <conditionalFormatting sqref="AC49">
    <cfRule type="cellIs" dxfId="12017" priority="458" operator="greaterThan">
      <formula>0.9</formula>
    </cfRule>
    <cfRule type="cellIs" dxfId="12016" priority="459" operator="greaterThan">
      <formula>0.85</formula>
    </cfRule>
  </conditionalFormatting>
  <conditionalFormatting sqref="N49">
    <cfRule type="cellIs" dxfId="12015" priority="456" operator="greaterThan">
      <formula>0.9</formula>
    </cfRule>
    <cfRule type="cellIs" dxfId="12014" priority="457" operator="greaterThan">
      <formula>0.85</formula>
    </cfRule>
  </conditionalFormatting>
  <conditionalFormatting sqref="E49">
    <cfRule type="expression" dxfId="12013" priority="452">
      <formula>AND(IF(OR($Q49=1,$Q49=2),1,0),IF($X49&lt;=20,1,0))</formula>
    </cfRule>
    <cfRule type="expression" dxfId="12012" priority="453">
      <formula>AND(IF($Q49=2,1,0),IF($X49&lt;30,1,0))</formula>
    </cfRule>
    <cfRule type="expression" dxfId="12011" priority="454">
      <formula>AND(IF($Q49=3,1,0),IF($X49&lt;30,1,0))</formula>
    </cfRule>
    <cfRule type="expression" dxfId="12010" priority="455">
      <formula>AND(IF($Q49=3,1,IF($Q49=4,1,0)),IF($F49&lt;=85,1,0))</formula>
    </cfRule>
  </conditionalFormatting>
  <conditionalFormatting sqref="X49">
    <cfRule type="expression" dxfId="12009" priority="448">
      <formula>AND(IF(OR($Q49=1,$Q49=2),1,0),IF($X49&lt;=20,1,0))</formula>
    </cfRule>
    <cfRule type="expression" dxfId="12008" priority="449">
      <formula>AND(IF($Q49=2,1,0),IF($X49&lt;30,1,0))</formula>
    </cfRule>
    <cfRule type="expression" dxfId="12007" priority="450">
      <formula>AND(IF($Q49=3,1,0),IF($X49&lt;30,1,0))</formula>
    </cfRule>
    <cfRule type="expression" dxfId="12006" priority="451">
      <formula>AND(IF($Q49=3,1,IF($Q49=4,1,0)),IF($F49&lt;=85,1,0))</formula>
    </cfRule>
  </conditionalFormatting>
  <conditionalFormatting sqref="AI49">
    <cfRule type="expression" dxfId="12005" priority="444">
      <formula>AND(IF(OR($Q49=1,$Q49=2),1,0),IF($X49&lt;=20,1,0))</formula>
    </cfRule>
    <cfRule type="expression" dxfId="12004" priority="445">
      <formula>AND(IF($Q49=2,1,0),IF($X49&lt;30,1,0))</formula>
    </cfRule>
    <cfRule type="expression" dxfId="12003" priority="446">
      <formula>AND(IF($Q49=3,1,0),IF($X49&lt;30,1,0))</formula>
    </cfRule>
    <cfRule type="expression" dxfId="12002" priority="447">
      <formula>AND(IF($Q49=3,1,IF($Q49=4,1,0)),IF($F49&lt;=85,1,0))</formula>
    </cfRule>
  </conditionalFormatting>
  <conditionalFormatting sqref="AV50">
    <cfRule type="expression" dxfId="12001" priority="442">
      <formula>AV50="X"</formula>
    </cfRule>
    <cfRule type="expression" dxfId="12000" priority="443">
      <formula>AV50="후보"</formula>
    </cfRule>
  </conditionalFormatting>
  <conditionalFormatting sqref="AC50">
    <cfRule type="cellIs" dxfId="11999" priority="439" operator="greaterThan">
      <formula>0.9</formula>
    </cfRule>
    <cfRule type="cellIs" dxfId="11998" priority="440" operator="greaterThan">
      <formula>0.85</formula>
    </cfRule>
  </conditionalFormatting>
  <conditionalFormatting sqref="N50">
    <cfRule type="cellIs" dxfId="11997" priority="437" operator="greaterThan">
      <formula>0.9</formula>
    </cfRule>
    <cfRule type="cellIs" dxfId="11996" priority="438" operator="greaterThan">
      <formula>0.85</formula>
    </cfRule>
  </conditionalFormatting>
  <conditionalFormatting sqref="E50">
    <cfRule type="expression" dxfId="11995" priority="433">
      <formula>AND(IF(OR($Q50=1,$Q50=2),1,0),IF($X50&lt;=20,1,0))</formula>
    </cfRule>
    <cfRule type="expression" dxfId="11994" priority="434">
      <formula>AND(IF($Q50=2,1,0),IF($X50&lt;30,1,0))</formula>
    </cfRule>
    <cfRule type="expression" dxfId="11993" priority="435">
      <formula>AND(IF($Q50=3,1,0),IF($X50&lt;30,1,0))</formula>
    </cfRule>
    <cfRule type="expression" dxfId="11992" priority="436">
      <formula>AND(IF($Q50=3,1,IF($Q50=4,1,0)),IF($F50&lt;=85,1,0))</formula>
    </cfRule>
  </conditionalFormatting>
  <conditionalFormatting sqref="X50">
    <cfRule type="expression" dxfId="11991" priority="429">
      <formula>AND(IF(OR($Q50=1,$Q50=2),1,0),IF($X50&lt;=20,1,0))</formula>
    </cfRule>
    <cfRule type="expression" dxfId="11990" priority="430">
      <formula>AND(IF($Q50=2,1,0),IF($X50&lt;30,1,0))</formula>
    </cfRule>
    <cfRule type="expression" dxfId="11989" priority="431">
      <formula>AND(IF($Q50=3,1,0),IF($X50&lt;30,1,0))</formula>
    </cfRule>
    <cfRule type="expression" dxfId="11988" priority="432">
      <formula>AND(IF($Q50=3,1,IF($Q50=4,1,0)),IF($F50&lt;=85,1,0))</formula>
    </cfRule>
  </conditionalFormatting>
  <conditionalFormatting sqref="AI50">
    <cfRule type="expression" dxfId="11987" priority="425">
      <formula>AND(IF(OR($Q50=1,$Q50=2),1,0),IF($X50&lt;=20,1,0))</formula>
    </cfRule>
    <cfRule type="expression" dxfId="11986" priority="426">
      <formula>AND(IF($Q50=2,1,0),IF($X50&lt;30,1,0))</formula>
    </cfRule>
    <cfRule type="expression" dxfId="11985" priority="427">
      <formula>AND(IF($Q50=3,1,0),IF($X50&lt;30,1,0))</formula>
    </cfRule>
    <cfRule type="expression" dxfId="11984" priority="428">
      <formula>AND(IF($Q50=3,1,IF($Q50=4,1,0)),IF($F50&lt;=85,1,0))</formula>
    </cfRule>
  </conditionalFormatting>
  <conditionalFormatting sqref="AV51">
    <cfRule type="expression" dxfId="11983" priority="423">
      <formula>AV51="X"</formula>
    </cfRule>
    <cfRule type="expression" dxfId="11982" priority="424">
      <formula>AV51="후보"</formula>
    </cfRule>
  </conditionalFormatting>
  <conditionalFormatting sqref="AC51">
    <cfRule type="cellIs" dxfId="11981" priority="420" operator="greaterThan">
      <formula>0.9</formula>
    </cfRule>
    <cfRule type="cellIs" dxfId="11980" priority="421" operator="greaterThan">
      <formula>0.85</formula>
    </cfRule>
  </conditionalFormatting>
  <conditionalFormatting sqref="N51">
    <cfRule type="cellIs" dxfId="11979" priority="418" operator="greaterThan">
      <formula>0.9</formula>
    </cfRule>
    <cfRule type="cellIs" dxfId="11978" priority="419" operator="greaterThan">
      <formula>0.85</formula>
    </cfRule>
  </conditionalFormatting>
  <conditionalFormatting sqref="E51">
    <cfRule type="expression" dxfId="11977" priority="414">
      <formula>AND(IF(OR($Q51=1,$Q51=2),1,0),IF($X51&lt;=20,1,0))</formula>
    </cfRule>
    <cfRule type="expression" dxfId="11976" priority="415">
      <formula>AND(IF($Q51=2,1,0),IF($X51&lt;30,1,0))</formula>
    </cfRule>
    <cfRule type="expression" dxfId="11975" priority="416">
      <formula>AND(IF($Q51=3,1,0),IF($X51&lt;30,1,0))</formula>
    </cfRule>
    <cfRule type="expression" dxfId="11974" priority="417">
      <formula>AND(IF($Q51=3,1,IF($Q51=4,1,0)),IF($F51&lt;=85,1,0))</formula>
    </cfRule>
  </conditionalFormatting>
  <conditionalFormatting sqref="X51">
    <cfRule type="expression" dxfId="11973" priority="410">
      <formula>AND(IF(OR($Q51=1,$Q51=2),1,0),IF($X51&lt;=20,1,0))</formula>
    </cfRule>
    <cfRule type="expression" dxfId="11972" priority="411">
      <formula>AND(IF($Q51=2,1,0),IF($X51&lt;30,1,0))</formula>
    </cfRule>
    <cfRule type="expression" dxfId="11971" priority="412">
      <formula>AND(IF($Q51=3,1,0),IF($X51&lt;30,1,0))</formula>
    </cfRule>
    <cfRule type="expression" dxfId="11970" priority="413">
      <formula>AND(IF($Q51=3,1,IF($Q51=4,1,0)),IF($F51&lt;=85,1,0))</formula>
    </cfRule>
  </conditionalFormatting>
  <conditionalFormatting sqref="AI51">
    <cfRule type="expression" dxfId="11969" priority="406">
      <formula>AND(IF(OR($Q51=1,$Q51=2),1,0),IF($X51&lt;=20,1,0))</formula>
    </cfRule>
    <cfRule type="expression" dxfId="11968" priority="407">
      <formula>AND(IF($Q51=2,1,0),IF($X51&lt;30,1,0))</formula>
    </cfRule>
    <cfRule type="expression" dxfId="11967" priority="408">
      <formula>AND(IF($Q51=3,1,0),IF($X51&lt;30,1,0))</formula>
    </cfRule>
    <cfRule type="expression" dxfId="11966" priority="409">
      <formula>AND(IF($Q51=3,1,IF($Q51=4,1,0)),IF($F51&lt;=85,1,0))</formula>
    </cfRule>
  </conditionalFormatting>
  <conditionalFormatting sqref="AV52">
    <cfRule type="expression" dxfId="11965" priority="404">
      <formula>AV52="X"</formula>
    </cfRule>
    <cfRule type="expression" dxfId="11964" priority="405">
      <formula>AV52="후보"</formula>
    </cfRule>
  </conditionalFormatting>
  <conditionalFormatting sqref="AC52 N52">
    <cfRule type="cellIs" dxfId="11963" priority="401" operator="greaterThan">
      <formula>0.9</formula>
    </cfRule>
    <cfRule type="cellIs" dxfId="11962" priority="402" operator="greaterThan">
      <formula>0.85</formula>
    </cfRule>
  </conditionalFormatting>
  <conditionalFormatting sqref="AV53">
    <cfRule type="expression" dxfId="11961" priority="399">
      <formula>AV53="X"</formula>
    </cfRule>
    <cfRule type="expression" dxfId="11960" priority="400">
      <formula>AV53="후보"</formula>
    </cfRule>
  </conditionalFormatting>
  <conditionalFormatting sqref="AC53">
    <cfRule type="cellIs" dxfId="11959" priority="396" operator="greaterThan">
      <formula>0.9</formula>
    </cfRule>
    <cfRule type="cellIs" dxfId="11958" priority="397" operator="greaterThan">
      <formula>0.85</formula>
    </cfRule>
  </conditionalFormatting>
  <conditionalFormatting sqref="N53">
    <cfRule type="cellIs" dxfId="11957" priority="394" operator="greaterThan">
      <formula>0.9</formula>
    </cfRule>
    <cfRule type="cellIs" dxfId="11956" priority="395" operator="greaterThan">
      <formula>0.85</formula>
    </cfRule>
  </conditionalFormatting>
  <conditionalFormatting sqref="E53">
    <cfRule type="expression" dxfId="11955" priority="390">
      <formula>AND(IF(OR($Q53=1,$Q53=2),1,0),IF($X53&lt;=20,1,0))</formula>
    </cfRule>
    <cfRule type="expression" dxfId="11954" priority="391">
      <formula>AND(IF($Q53=2,1,0),IF($X53&lt;30,1,0))</formula>
    </cfRule>
    <cfRule type="expression" dxfId="11953" priority="392">
      <formula>AND(IF($Q53=3,1,0),IF($X53&lt;30,1,0))</formula>
    </cfRule>
    <cfRule type="expression" dxfId="11952" priority="393">
      <formula>AND(IF($Q53=3,1,IF($Q53=4,1,0)),IF($F53&lt;=85,1,0))</formula>
    </cfRule>
  </conditionalFormatting>
  <conditionalFormatting sqref="X53">
    <cfRule type="expression" dxfId="11951" priority="386">
      <formula>AND(IF(OR($Q53=1,$Q53=2),1,0),IF($X53&lt;=20,1,0))</formula>
    </cfRule>
    <cfRule type="expression" dxfId="11950" priority="387">
      <formula>AND(IF($Q53=2,1,0),IF($X53&lt;30,1,0))</formula>
    </cfRule>
    <cfRule type="expression" dxfId="11949" priority="388">
      <formula>AND(IF($Q53=3,1,0),IF($X53&lt;30,1,0))</formula>
    </cfRule>
    <cfRule type="expression" dxfId="11948" priority="389">
      <formula>AND(IF($Q53=3,1,IF($Q53=4,1,0)),IF($F53&lt;=85,1,0))</formula>
    </cfRule>
  </conditionalFormatting>
  <conditionalFormatting sqref="AI53">
    <cfRule type="expression" dxfId="11947" priority="382">
      <formula>AND(IF(OR($Q53=1,$Q53=2),1,0),IF($X53&lt;=20,1,0))</formula>
    </cfRule>
    <cfRule type="expression" dxfId="11946" priority="383">
      <formula>AND(IF($Q53=2,1,0),IF($X53&lt;30,1,0))</formula>
    </cfRule>
    <cfRule type="expression" dxfId="11945" priority="384">
      <formula>AND(IF($Q53=3,1,0),IF($X53&lt;30,1,0))</formula>
    </cfRule>
    <cfRule type="expression" dxfId="11944" priority="385">
      <formula>AND(IF($Q53=3,1,IF($Q53=4,1,0)),IF($F53&lt;=85,1,0))</formula>
    </cfRule>
  </conditionalFormatting>
  <conditionalFormatting sqref="AV54">
    <cfRule type="expression" dxfId="11943" priority="380">
      <formula>AV54="X"</formula>
    </cfRule>
    <cfRule type="expression" dxfId="11942" priority="381">
      <formula>AV54="후보"</formula>
    </cfRule>
  </conditionalFormatting>
  <conditionalFormatting sqref="AC54">
    <cfRule type="cellIs" dxfId="11941" priority="377" operator="greaterThan">
      <formula>0.9</formula>
    </cfRule>
    <cfRule type="cellIs" dxfId="11940" priority="378" operator="greaterThan">
      <formula>0.85</formula>
    </cfRule>
  </conditionalFormatting>
  <conditionalFormatting sqref="N54">
    <cfRule type="cellIs" dxfId="11939" priority="375" operator="greaterThan">
      <formula>0.9</formula>
    </cfRule>
    <cfRule type="cellIs" dxfId="11938" priority="376" operator="greaterThan">
      <formula>0.85</formula>
    </cfRule>
  </conditionalFormatting>
  <conditionalFormatting sqref="E54">
    <cfRule type="expression" dxfId="11937" priority="371">
      <formula>AND(IF(OR($Q54=1,$Q54=2),1,0),IF($X54&lt;=20,1,0))</formula>
    </cfRule>
    <cfRule type="expression" dxfId="11936" priority="372">
      <formula>AND(IF($Q54=2,1,0),IF($X54&lt;30,1,0))</formula>
    </cfRule>
    <cfRule type="expression" dxfId="11935" priority="373">
      <formula>AND(IF($Q54=3,1,0),IF($X54&lt;30,1,0))</formula>
    </cfRule>
    <cfRule type="expression" dxfId="11934" priority="374">
      <formula>AND(IF($Q54=3,1,IF($Q54=4,1,0)),IF($F54&lt;=85,1,0))</formula>
    </cfRule>
  </conditionalFormatting>
  <conditionalFormatting sqref="X54">
    <cfRule type="expression" dxfId="11933" priority="367">
      <formula>AND(IF(OR($Q54=1,$Q54=2),1,0),IF($X54&lt;=20,1,0))</formula>
    </cfRule>
    <cfRule type="expression" dxfId="11932" priority="368">
      <formula>AND(IF($Q54=2,1,0),IF($X54&lt;30,1,0))</formula>
    </cfRule>
    <cfRule type="expression" dxfId="11931" priority="369">
      <formula>AND(IF($Q54=3,1,0),IF($X54&lt;30,1,0))</formula>
    </cfRule>
    <cfRule type="expression" dxfId="11930" priority="370">
      <formula>AND(IF($Q54=3,1,IF($Q54=4,1,0)),IF($F54&lt;=85,1,0))</formula>
    </cfRule>
  </conditionalFormatting>
  <conditionalFormatting sqref="AI54">
    <cfRule type="expression" dxfId="11929" priority="363">
      <formula>AND(IF(OR($Q54=1,$Q54=2),1,0),IF($X54&lt;=20,1,0))</formula>
    </cfRule>
    <cfRule type="expression" dxfId="11928" priority="364">
      <formula>AND(IF($Q54=2,1,0),IF($X54&lt;30,1,0))</formula>
    </cfRule>
    <cfRule type="expression" dxfId="11927" priority="365">
      <formula>AND(IF($Q54=3,1,0),IF($X54&lt;30,1,0))</formula>
    </cfRule>
    <cfRule type="expression" dxfId="11926" priority="366">
      <formula>AND(IF($Q54=3,1,IF($Q54=4,1,0)),IF($F54&lt;=85,1,0))</formula>
    </cfRule>
  </conditionalFormatting>
  <conditionalFormatting sqref="AV55">
    <cfRule type="expression" dxfId="11925" priority="361">
      <formula>AV55="X"</formula>
    </cfRule>
    <cfRule type="expression" dxfId="11924" priority="362">
      <formula>AV55="후보"</formula>
    </cfRule>
  </conditionalFormatting>
  <conditionalFormatting sqref="AC55">
    <cfRule type="cellIs" dxfId="11923" priority="358" operator="greaterThan">
      <formula>0.9</formula>
    </cfRule>
    <cfRule type="cellIs" dxfId="11922" priority="359" operator="greaterThan">
      <formula>0.85</formula>
    </cfRule>
  </conditionalFormatting>
  <conditionalFormatting sqref="N55">
    <cfRule type="cellIs" dxfId="11921" priority="356" operator="greaterThan">
      <formula>0.9</formula>
    </cfRule>
    <cfRule type="cellIs" dxfId="11920" priority="357" operator="greaterThan">
      <formula>0.85</formula>
    </cfRule>
  </conditionalFormatting>
  <conditionalFormatting sqref="E55">
    <cfRule type="expression" dxfId="11919" priority="352">
      <formula>AND(IF(OR($Q55=1,$Q55=2),1,0),IF($X55&lt;=20,1,0))</formula>
    </cfRule>
    <cfRule type="expression" dxfId="11918" priority="353">
      <formula>AND(IF($Q55=2,1,0),IF($X55&lt;30,1,0))</formula>
    </cfRule>
    <cfRule type="expression" dxfId="11917" priority="354">
      <formula>AND(IF($Q55=3,1,0),IF($X55&lt;30,1,0))</formula>
    </cfRule>
    <cfRule type="expression" dxfId="11916" priority="355">
      <formula>AND(IF($Q55=3,1,IF($Q55=4,1,0)),IF($F55&lt;=85,1,0))</formula>
    </cfRule>
  </conditionalFormatting>
  <conditionalFormatting sqref="X55">
    <cfRule type="expression" dxfId="11915" priority="348">
      <formula>AND(IF(OR($Q55=1,$Q55=2),1,0),IF($X55&lt;=20,1,0))</formula>
    </cfRule>
    <cfRule type="expression" dxfId="11914" priority="349">
      <formula>AND(IF($Q55=2,1,0),IF($X55&lt;30,1,0))</formula>
    </cfRule>
    <cfRule type="expression" dxfId="11913" priority="350">
      <formula>AND(IF($Q55=3,1,0),IF($X55&lt;30,1,0))</formula>
    </cfRule>
    <cfRule type="expression" dxfId="11912" priority="351">
      <formula>AND(IF($Q55=3,1,IF($Q55=4,1,0)),IF($F55&lt;=85,1,0))</formula>
    </cfRule>
  </conditionalFormatting>
  <conditionalFormatting sqref="AI55">
    <cfRule type="expression" dxfId="11911" priority="344">
      <formula>AND(IF(OR($Q55=1,$Q55=2),1,0),IF($X55&lt;=20,1,0))</formula>
    </cfRule>
    <cfRule type="expression" dxfId="11910" priority="345">
      <formula>AND(IF($Q55=2,1,0),IF($X55&lt;30,1,0))</formula>
    </cfRule>
    <cfRule type="expression" dxfId="11909" priority="346">
      <formula>AND(IF($Q55=3,1,0),IF($X55&lt;30,1,0))</formula>
    </cfRule>
    <cfRule type="expression" dxfId="11908" priority="347">
      <formula>AND(IF($Q55=3,1,IF($Q55=4,1,0)),IF($F55&lt;=85,1,0))</formula>
    </cfRule>
  </conditionalFormatting>
  <conditionalFormatting sqref="AV56">
    <cfRule type="expression" dxfId="11907" priority="342">
      <formula>AV56="X"</formula>
    </cfRule>
    <cfRule type="expression" dxfId="11906" priority="343">
      <formula>AV56="후보"</formula>
    </cfRule>
  </conditionalFormatting>
  <conditionalFormatting sqref="AC56">
    <cfRule type="cellIs" dxfId="11905" priority="339" operator="greaterThan">
      <formula>0.9</formula>
    </cfRule>
    <cfRule type="cellIs" dxfId="11904" priority="340" operator="greaterThan">
      <formula>0.85</formula>
    </cfRule>
  </conditionalFormatting>
  <conditionalFormatting sqref="N56">
    <cfRule type="cellIs" dxfId="11903" priority="337" operator="greaterThan">
      <formula>0.9</formula>
    </cfRule>
    <cfRule type="cellIs" dxfId="11902" priority="338" operator="greaterThan">
      <formula>0.85</formula>
    </cfRule>
  </conditionalFormatting>
  <conditionalFormatting sqref="E56">
    <cfRule type="expression" dxfId="11901" priority="333">
      <formula>AND(IF(OR($Q56=1,$Q56=2),1,0),IF($X56&lt;=20,1,0))</formula>
    </cfRule>
    <cfRule type="expression" dxfId="11900" priority="334">
      <formula>AND(IF($Q56=2,1,0),IF($X56&lt;30,1,0))</formula>
    </cfRule>
    <cfRule type="expression" dxfId="11899" priority="335">
      <formula>AND(IF($Q56=3,1,0),IF($X56&lt;30,1,0))</formula>
    </cfRule>
    <cfRule type="expression" dxfId="11898" priority="336">
      <formula>AND(IF($Q56=3,1,IF($Q56=4,1,0)),IF($F56&lt;=85,1,0))</formula>
    </cfRule>
  </conditionalFormatting>
  <conditionalFormatting sqref="X56">
    <cfRule type="expression" dxfId="11897" priority="329">
      <formula>AND(IF(OR($Q56=1,$Q56=2),1,0),IF($X56&lt;=20,1,0))</formula>
    </cfRule>
    <cfRule type="expression" dxfId="11896" priority="330">
      <formula>AND(IF($Q56=2,1,0),IF($X56&lt;30,1,0))</formula>
    </cfRule>
    <cfRule type="expression" dxfId="11895" priority="331">
      <formula>AND(IF($Q56=3,1,0),IF($X56&lt;30,1,0))</formula>
    </cfRule>
    <cfRule type="expression" dxfId="11894" priority="332">
      <formula>AND(IF($Q56=3,1,IF($Q56=4,1,0)),IF($F56&lt;=85,1,0))</formula>
    </cfRule>
  </conditionalFormatting>
  <conditionalFormatting sqref="AI56">
    <cfRule type="expression" dxfId="11893" priority="325">
      <formula>AND(IF(OR($Q56=1,$Q56=2),1,0),IF($X56&lt;=20,1,0))</formula>
    </cfRule>
    <cfRule type="expression" dxfId="11892" priority="326">
      <formula>AND(IF($Q56=2,1,0),IF($X56&lt;30,1,0))</formula>
    </cfRule>
    <cfRule type="expression" dxfId="11891" priority="327">
      <formula>AND(IF($Q56=3,1,0),IF($X56&lt;30,1,0))</formula>
    </cfRule>
    <cfRule type="expression" dxfId="11890" priority="328">
      <formula>AND(IF($Q56=3,1,IF($Q56=4,1,0)),IF($F56&lt;=85,1,0))</formula>
    </cfRule>
  </conditionalFormatting>
  <conditionalFormatting sqref="AV57">
    <cfRule type="expression" dxfId="11889" priority="323">
      <formula>AV57="X"</formula>
    </cfRule>
    <cfRule type="expression" dxfId="11888" priority="324">
      <formula>AV57="후보"</formula>
    </cfRule>
  </conditionalFormatting>
  <conditionalFormatting sqref="AC57 N57">
    <cfRule type="cellIs" dxfId="11887" priority="320" operator="greaterThan">
      <formula>0.9</formula>
    </cfRule>
    <cfRule type="cellIs" dxfId="11886" priority="321" operator="greaterThan">
      <formula>0.85</formula>
    </cfRule>
  </conditionalFormatting>
  <conditionalFormatting sqref="AV58">
    <cfRule type="expression" dxfId="11885" priority="318">
      <formula>AV58="X"</formula>
    </cfRule>
    <cfRule type="expression" dxfId="11884" priority="319">
      <formula>AV58="후보"</formula>
    </cfRule>
  </conditionalFormatting>
  <conditionalFormatting sqref="AC58">
    <cfRule type="cellIs" dxfId="11883" priority="315" operator="greaterThan">
      <formula>0.9</formula>
    </cfRule>
    <cfRule type="cellIs" dxfId="11882" priority="316" operator="greaterThan">
      <formula>0.85</formula>
    </cfRule>
  </conditionalFormatting>
  <conditionalFormatting sqref="N58">
    <cfRule type="cellIs" dxfId="11881" priority="313" operator="greaterThan">
      <formula>0.9</formula>
    </cfRule>
    <cfRule type="cellIs" dxfId="11880" priority="314" operator="greaterThan">
      <formula>0.85</formula>
    </cfRule>
  </conditionalFormatting>
  <conditionalFormatting sqref="E58">
    <cfRule type="expression" dxfId="11879" priority="309">
      <formula>AND(IF(OR($Q58=1,$Q58=2),1,0),IF($X58&lt;=20,1,0))</formula>
    </cfRule>
    <cfRule type="expression" dxfId="11878" priority="310">
      <formula>AND(IF($Q58=2,1,0),IF($X58&lt;30,1,0))</formula>
    </cfRule>
    <cfRule type="expression" dxfId="11877" priority="311">
      <formula>AND(IF($Q58=3,1,0),IF($X58&lt;30,1,0))</formula>
    </cfRule>
    <cfRule type="expression" dxfId="11876" priority="312">
      <formula>AND(IF($Q58=3,1,IF($Q58=4,1,0)),IF($F58&lt;=85,1,0))</formula>
    </cfRule>
  </conditionalFormatting>
  <conditionalFormatting sqref="X58">
    <cfRule type="expression" dxfId="11875" priority="305">
      <formula>AND(IF(OR($Q58=1,$Q58=2),1,0),IF($X58&lt;=20,1,0))</formula>
    </cfRule>
    <cfRule type="expression" dxfId="11874" priority="306">
      <formula>AND(IF($Q58=2,1,0),IF($X58&lt;30,1,0))</formula>
    </cfRule>
    <cfRule type="expression" dxfId="11873" priority="307">
      <formula>AND(IF($Q58=3,1,0),IF($X58&lt;30,1,0))</formula>
    </cfRule>
    <cfRule type="expression" dxfId="11872" priority="308">
      <formula>AND(IF($Q58=3,1,IF($Q58=4,1,0)),IF($F58&lt;=85,1,0))</formula>
    </cfRule>
  </conditionalFormatting>
  <conditionalFormatting sqref="AI58">
    <cfRule type="expression" dxfId="11871" priority="301">
      <formula>AND(IF(OR($Q58=1,$Q58=2),1,0),IF($X58&lt;=20,1,0))</formula>
    </cfRule>
    <cfRule type="expression" dxfId="11870" priority="302">
      <formula>AND(IF($Q58=2,1,0),IF($X58&lt;30,1,0))</formula>
    </cfRule>
    <cfRule type="expression" dxfId="11869" priority="303">
      <formula>AND(IF($Q58=3,1,0),IF($X58&lt;30,1,0))</formula>
    </cfRule>
    <cfRule type="expression" dxfId="11868" priority="304">
      <formula>AND(IF($Q58=3,1,IF($Q58=4,1,0)),IF($F58&lt;=85,1,0))</formula>
    </cfRule>
  </conditionalFormatting>
  <conditionalFormatting sqref="AV59">
    <cfRule type="expression" dxfId="11867" priority="299">
      <formula>AV59="X"</formula>
    </cfRule>
    <cfRule type="expression" dxfId="11866" priority="300">
      <formula>AV59="후보"</formula>
    </cfRule>
  </conditionalFormatting>
  <conditionalFormatting sqref="AC59">
    <cfRule type="cellIs" dxfId="11865" priority="296" operator="greaterThan">
      <formula>0.9</formula>
    </cfRule>
    <cfRule type="cellIs" dxfId="11864" priority="297" operator="greaterThan">
      <formula>0.85</formula>
    </cfRule>
  </conditionalFormatting>
  <conditionalFormatting sqref="N59">
    <cfRule type="cellIs" dxfId="11863" priority="294" operator="greaterThan">
      <formula>0.9</formula>
    </cfRule>
    <cfRule type="cellIs" dxfId="11862" priority="295" operator="greaterThan">
      <formula>0.85</formula>
    </cfRule>
  </conditionalFormatting>
  <conditionalFormatting sqref="E59">
    <cfRule type="expression" dxfId="11861" priority="290">
      <formula>AND(IF(OR($Q59=1,$Q59=2),1,0),IF($X59&lt;=20,1,0))</formula>
    </cfRule>
    <cfRule type="expression" dxfId="11860" priority="291">
      <formula>AND(IF($Q59=2,1,0),IF($X59&lt;30,1,0))</formula>
    </cfRule>
    <cfRule type="expression" dxfId="11859" priority="292">
      <formula>AND(IF($Q59=3,1,0),IF($X59&lt;30,1,0))</formula>
    </cfRule>
    <cfRule type="expression" dxfId="11858" priority="293">
      <formula>AND(IF($Q59=3,1,IF($Q59=4,1,0)),IF($F59&lt;=85,1,0))</formula>
    </cfRule>
  </conditionalFormatting>
  <conditionalFormatting sqref="X59">
    <cfRule type="expression" dxfId="11857" priority="286">
      <formula>AND(IF(OR($Q59=1,$Q59=2),1,0),IF($X59&lt;=20,1,0))</formula>
    </cfRule>
    <cfRule type="expression" dxfId="11856" priority="287">
      <formula>AND(IF($Q59=2,1,0),IF($X59&lt;30,1,0))</formula>
    </cfRule>
    <cfRule type="expression" dxfId="11855" priority="288">
      <formula>AND(IF($Q59=3,1,0),IF($X59&lt;30,1,0))</formula>
    </cfRule>
    <cfRule type="expression" dxfId="11854" priority="289">
      <formula>AND(IF($Q59=3,1,IF($Q59=4,1,0)),IF($F59&lt;=85,1,0))</formula>
    </cfRule>
  </conditionalFormatting>
  <conditionalFormatting sqref="AI59">
    <cfRule type="expression" dxfId="11853" priority="282">
      <formula>AND(IF(OR($Q59=1,$Q59=2),1,0),IF($X59&lt;=20,1,0))</formula>
    </cfRule>
    <cfRule type="expression" dxfId="11852" priority="283">
      <formula>AND(IF($Q59=2,1,0),IF($X59&lt;30,1,0))</formula>
    </cfRule>
    <cfRule type="expression" dxfId="11851" priority="284">
      <formula>AND(IF($Q59=3,1,0),IF($X59&lt;30,1,0))</formula>
    </cfRule>
    <cfRule type="expression" dxfId="11850" priority="285">
      <formula>AND(IF($Q59=3,1,IF($Q59=4,1,0)),IF($F59&lt;=85,1,0))</formula>
    </cfRule>
  </conditionalFormatting>
  <conditionalFormatting sqref="AV60">
    <cfRule type="expression" dxfId="11849" priority="280">
      <formula>AV60="X"</formula>
    </cfRule>
    <cfRule type="expression" dxfId="11848" priority="281">
      <formula>AV60="후보"</formula>
    </cfRule>
  </conditionalFormatting>
  <conditionalFormatting sqref="AC60">
    <cfRule type="cellIs" dxfId="11847" priority="277" operator="greaterThan">
      <formula>0.9</formula>
    </cfRule>
    <cfRule type="cellIs" dxfId="11846" priority="278" operator="greaterThan">
      <formula>0.85</formula>
    </cfRule>
  </conditionalFormatting>
  <conditionalFormatting sqref="N60">
    <cfRule type="cellIs" dxfId="11845" priority="275" operator="greaterThan">
      <formula>0.9</formula>
    </cfRule>
    <cfRule type="cellIs" dxfId="11844" priority="276" operator="greaterThan">
      <formula>0.85</formula>
    </cfRule>
  </conditionalFormatting>
  <conditionalFormatting sqref="E60">
    <cfRule type="expression" dxfId="11843" priority="271">
      <formula>AND(IF(OR($Q60=1,$Q60=2),1,0),IF($X60&lt;=20,1,0))</formula>
    </cfRule>
    <cfRule type="expression" dxfId="11842" priority="272">
      <formula>AND(IF($Q60=2,1,0),IF($X60&lt;30,1,0))</formula>
    </cfRule>
    <cfRule type="expression" dxfId="11841" priority="273">
      <formula>AND(IF($Q60=3,1,0),IF($X60&lt;30,1,0))</formula>
    </cfRule>
    <cfRule type="expression" dxfId="11840" priority="274">
      <formula>AND(IF($Q60=3,1,IF($Q60=4,1,0)),IF($F60&lt;=85,1,0))</formula>
    </cfRule>
  </conditionalFormatting>
  <conditionalFormatting sqref="X60">
    <cfRule type="expression" dxfId="11839" priority="267">
      <formula>AND(IF(OR($Q60=1,$Q60=2),1,0),IF($X60&lt;=20,1,0))</formula>
    </cfRule>
    <cfRule type="expression" dxfId="11838" priority="268">
      <formula>AND(IF($Q60=2,1,0),IF($X60&lt;30,1,0))</formula>
    </cfRule>
    <cfRule type="expression" dxfId="11837" priority="269">
      <formula>AND(IF($Q60=3,1,0),IF($X60&lt;30,1,0))</formula>
    </cfRule>
    <cfRule type="expression" dxfId="11836" priority="270">
      <formula>AND(IF($Q60=3,1,IF($Q60=4,1,0)),IF($F60&lt;=85,1,0))</formula>
    </cfRule>
  </conditionalFormatting>
  <conditionalFormatting sqref="AI60">
    <cfRule type="expression" dxfId="11835" priority="263">
      <formula>AND(IF(OR($Q60=1,$Q60=2),1,0),IF($X60&lt;=20,1,0))</formula>
    </cfRule>
    <cfRule type="expression" dxfId="11834" priority="264">
      <formula>AND(IF($Q60=2,1,0),IF($X60&lt;30,1,0))</formula>
    </cfRule>
    <cfRule type="expression" dxfId="11833" priority="265">
      <formula>AND(IF($Q60=3,1,0),IF($X60&lt;30,1,0))</formula>
    </cfRule>
    <cfRule type="expression" dxfId="11832" priority="266">
      <formula>AND(IF($Q60=3,1,IF($Q60=4,1,0)),IF($F60&lt;=85,1,0))</formula>
    </cfRule>
  </conditionalFormatting>
  <conditionalFormatting sqref="AV61">
    <cfRule type="expression" dxfId="11831" priority="261">
      <formula>AV61="X"</formula>
    </cfRule>
    <cfRule type="expression" dxfId="11830" priority="262">
      <formula>AV61="후보"</formula>
    </cfRule>
  </conditionalFormatting>
  <conditionalFormatting sqref="AC61">
    <cfRule type="cellIs" dxfId="11829" priority="258" operator="greaterThan">
      <formula>0.9</formula>
    </cfRule>
    <cfRule type="cellIs" dxfId="11828" priority="259" operator="greaterThan">
      <formula>0.85</formula>
    </cfRule>
  </conditionalFormatting>
  <conditionalFormatting sqref="N61">
    <cfRule type="cellIs" dxfId="11827" priority="256" operator="greaterThan">
      <formula>0.9</formula>
    </cfRule>
    <cfRule type="cellIs" dxfId="11826" priority="257" operator="greaterThan">
      <formula>0.85</formula>
    </cfRule>
  </conditionalFormatting>
  <conditionalFormatting sqref="E61">
    <cfRule type="expression" dxfId="11825" priority="252">
      <formula>AND(IF(OR($Q61=1,$Q61=2),1,0),IF($X61&lt;=20,1,0))</formula>
    </cfRule>
    <cfRule type="expression" dxfId="11824" priority="253">
      <formula>AND(IF($Q61=2,1,0),IF($X61&lt;30,1,0))</formula>
    </cfRule>
    <cfRule type="expression" dxfId="11823" priority="254">
      <formula>AND(IF($Q61=3,1,0),IF($X61&lt;30,1,0))</formula>
    </cfRule>
    <cfRule type="expression" dxfId="11822" priority="255">
      <formula>AND(IF($Q61=3,1,IF($Q61=4,1,0)),IF($F61&lt;=85,1,0))</formula>
    </cfRule>
  </conditionalFormatting>
  <conditionalFormatting sqref="X61">
    <cfRule type="expression" dxfId="11821" priority="248">
      <formula>AND(IF(OR($Q61=1,$Q61=2),1,0),IF($X61&lt;=20,1,0))</formula>
    </cfRule>
    <cfRule type="expression" dxfId="11820" priority="249">
      <formula>AND(IF($Q61=2,1,0),IF($X61&lt;30,1,0))</formula>
    </cfRule>
    <cfRule type="expression" dxfId="11819" priority="250">
      <formula>AND(IF($Q61=3,1,0),IF($X61&lt;30,1,0))</formula>
    </cfRule>
    <cfRule type="expression" dxfId="11818" priority="251">
      <formula>AND(IF($Q61=3,1,IF($Q61=4,1,0)),IF($F61&lt;=85,1,0))</formula>
    </cfRule>
  </conditionalFormatting>
  <conditionalFormatting sqref="AI61">
    <cfRule type="expression" dxfId="11817" priority="244">
      <formula>AND(IF(OR($Q61=1,$Q61=2),1,0),IF($X61&lt;=20,1,0))</formula>
    </cfRule>
    <cfRule type="expression" dxfId="11816" priority="245">
      <formula>AND(IF($Q61=2,1,0),IF($X61&lt;30,1,0))</formula>
    </cfRule>
    <cfRule type="expression" dxfId="11815" priority="246">
      <formula>AND(IF($Q61=3,1,0),IF($X61&lt;30,1,0))</formula>
    </cfRule>
    <cfRule type="expression" dxfId="11814" priority="247">
      <formula>AND(IF($Q61=3,1,IF($Q61=4,1,0)),IF($F61&lt;=85,1,0))</formula>
    </cfRule>
  </conditionalFormatting>
  <conditionalFormatting sqref="AV62">
    <cfRule type="expression" dxfId="11813" priority="242">
      <formula>AV62="X"</formula>
    </cfRule>
    <cfRule type="expression" dxfId="11812" priority="243">
      <formula>AV62="후보"</formula>
    </cfRule>
  </conditionalFormatting>
  <conditionalFormatting sqref="AC62">
    <cfRule type="cellIs" dxfId="11811" priority="239" operator="greaterThan">
      <formula>0.9</formula>
    </cfRule>
    <cfRule type="cellIs" dxfId="11810" priority="240" operator="greaterThan">
      <formula>0.85</formula>
    </cfRule>
  </conditionalFormatting>
  <conditionalFormatting sqref="N62">
    <cfRule type="cellIs" dxfId="11809" priority="237" operator="greaterThan">
      <formula>0.9</formula>
    </cfRule>
    <cfRule type="cellIs" dxfId="11808" priority="238" operator="greaterThan">
      <formula>0.85</formula>
    </cfRule>
  </conditionalFormatting>
  <conditionalFormatting sqref="E62">
    <cfRule type="expression" dxfId="11807" priority="233">
      <formula>AND(IF(OR($Q62=1,$Q62=2),1,0),IF($X62&lt;=20,1,0))</formula>
    </cfRule>
    <cfRule type="expression" dxfId="11806" priority="234">
      <formula>AND(IF($Q62=2,1,0),IF($X62&lt;30,1,0))</formula>
    </cfRule>
    <cfRule type="expression" dxfId="11805" priority="235">
      <formula>AND(IF($Q62=3,1,0),IF($X62&lt;30,1,0))</formula>
    </cfRule>
    <cfRule type="expression" dxfId="11804" priority="236">
      <formula>AND(IF($Q62=3,1,IF($Q62=4,1,0)),IF($F62&lt;=85,1,0))</formula>
    </cfRule>
  </conditionalFormatting>
  <conditionalFormatting sqref="X62">
    <cfRule type="expression" dxfId="11803" priority="229">
      <formula>AND(IF(OR($Q62=1,$Q62=2),1,0),IF($X62&lt;=20,1,0))</formula>
    </cfRule>
    <cfRule type="expression" dxfId="11802" priority="230">
      <formula>AND(IF($Q62=2,1,0),IF($X62&lt;30,1,0))</formula>
    </cfRule>
    <cfRule type="expression" dxfId="11801" priority="231">
      <formula>AND(IF($Q62=3,1,0),IF($X62&lt;30,1,0))</formula>
    </cfRule>
    <cfRule type="expression" dxfId="11800" priority="232">
      <formula>AND(IF($Q62=3,1,IF($Q62=4,1,0)),IF($F62&lt;=85,1,0))</formula>
    </cfRule>
  </conditionalFormatting>
  <conditionalFormatting sqref="AI62">
    <cfRule type="expression" dxfId="11799" priority="225">
      <formula>AND(IF(OR($Q62=1,$Q62=2),1,0),IF($X62&lt;=20,1,0))</formula>
    </cfRule>
    <cfRule type="expression" dxfId="11798" priority="226">
      <formula>AND(IF($Q62=2,1,0),IF($X62&lt;30,1,0))</formula>
    </cfRule>
    <cfRule type="expression" dxfId="11797" priority="227">
      <formula>AND(IF($Q62=3,1,0),IF($X62&lt;30,1,0))</formula>
    </cfRule>
    <cfRule type="expression" dxfId="11796" priority="228">
      <formula>AND(IF($Q62=3,1,IF($Q62=4,1,0)),IF($F62&lt;=85,1,0))</formula>
    </cfRule>
  </conditionalFormatting>
  <conditionalFormatting sqref="AV63">
    <cfRule type="expression" dxfId="11795" priority="223">
      <formula>AV63="X"</formula>
    </cfRule>
    <cfRule type="expression" dxfId="11794" priority="224">
      <formula>AV63="후보"</formula>
    </cfRule>
  </conditionalFormatting>
  <conditionalFormatting sqref="AC63">
    <cfRule type="cellIs" dxfId="11793" priority="220" operator="greaterThan">
      <formula>0.9</formula>
    </cfRule>
    <cfRule type="cellIs" dxfId="11792" priority="221" operator="greaterThan">
      <formula>0.85</formula>
    </cfRule>
  </conditionalFormatting>
  <conditionalFormatting sqref="N63">
    <cfRule type="cellIs" dxfId="11791" priority="218" operator="greaterThan">
      <formula>0.9</formula>
    </cfRule>
    <cfRule type="cellIs" dxfId="11790" priority="219" operator="greaterThan">
      <formula>0.85</formula>
    </cfRule>
  </conditionalFormatting>
  <conditionalFormatting sqref="E63">
    <cfRule type="expression" dxfId="11789" priority="214">
      <formula>AND(IF(OR($Q63=1,$Q63=2),1,0),IF($X63&lt;=20,1,0))</formula>
    </cfRule>
    <cfRule type="expression" dxfId="11788" priority="215">
      <formula>AND(IF($Q63=2,1,0),IF($X63&lt;30,1,0))</formula>
    </cfRule>
    <cfRule type="expression" dxfId="11787" priority="216">
      <formula>AND(IF($Q63=3,1,0),IF($X63&lt;30,1,0))</formula>
    </cfRule>
    <cfRule type="expression" dxfId="11786" priority="217">
      <formula>AND(IF($Q63=3,1,IF($Q63=4,1,0)),IF($F63&lt;=85,1,0))</formula>
    </cfRule>
  </conditionalFormatting>
  <conditionalFormatting sqref="X63">
    <cfRule type="expression" dxfId="11785" priority="210">
      <formula>AND(IF(OR($Q63=1,$Q63=2),1,0),IF($X63&lt;=20,1,0))</formula>
    </cfRule>
    <cfRule type="expression" dxfId="11784" priority="211">
      <formula>AND(IF($Q63=2,1,0),IF($X63&lt;30,1,0))</formula>
    </cfRule>
    <cfRule type="expression" dxfId="11783" priority="212">
      <formula>AND(IF($Q63=3,1,0),IF($X63&lt;30,1,0))</formula>
    </cfRule>
    <cfRule type="expression" dxfId="11782" priority="213">
      <formula>AND(IF($Q63=3,1,IF($Q63=4,1,0)),IF($F63&lt;=85,1,0))</formula>
    </cfRule>
  </conditionalFormatting>
  <conditionalFormatting sqref="AI63">
    <cfRule type="expression" dxfId="11781" priority="206">
      <formula>AND(IF(OR($Q63=1,$Q63=2),1,0),IF($X63&lt;=20,1,0))</formula>
    </cfRule>
    <cfRule type="expression" dxfId="11780" priority="207">
      <formula>AND(IF($Q63=2,1,0),IF($X63&lt;30,1,0))</formula>
    </cfRule>
    <cfRule type="expression" dxfId="11779" priority="208">
      <formula>AND(IF($Q63=3,1,0),IF($X63&lt;30,1,0))</formula>
    </cfRule>
    <cfRule type="expression" dxfId="11778" priority="209">
      <formula>AND(IF($Q63=3,1,IF($Q63=4,1,0)),IF($F63&lt;=85,1,0))</formula>
    </cfRule>
  </conditionalFormatting>
  <conditionalFormatting sqref="AV64">
    <cfRule type="expression" dxfId="11777" priority="204">
      <formula>AV64="X"</formula>
    </cfRule>
    <cfRule type="expression" dxfId="11776" priority="205">
      <formula>AV64="후보"</formula>
    </cfRule>
  </conditionalFormatting>
  <conditionalFormatting sqref="AC64 N64">
    <cfRule type="cellIs" dxfId="11775" priority="201" operator="greaterThan">
      <formula>0.9</formula>
    </cfRule>
    <cfRule type="cellIs" dxfId="11774" priority="202" operator="greaterThan">
      <formula>0.85</formula>
    </cfRule>
  </conditionalFormatting>
  <conditionalFormatting sqref="AV65">
    <cfRule type="expression" dxfId="11773" priority="199">
      <formula>AV65="X"</formula>
    </cfRule>
    <cfRule type="expression" dxfId="11772" priority="200">
      <formula>AV65="후보"</formula>
    </cfRule>
  </conditionalFormatting>
  <conditionalFormatting sqref="AC65">
    <cfRule type="cellIs" dxfId="11771" priority="196" operator="greaterThan">
      <formula>0.9</formula>
    </cfRule>
    <cfRule type="cellIs" dxfId="11770" priority="197" operator="greaterThan">
      <formula>0.85</formula>
    </cfRule>
  </conditionalFormatting>
  <conditionalFormatting sqref="N65">
    <cfRule type="cellIs" dxfId="11769" priority="194" operator="greaterThan">
      <formula>0.9</formula>
    </cfRule>
    <cfRule type="cellIs" dxfId="11768" priority="195" operator="greaterThan">
      <formula>0.85</formula>
    </cfRule>
  </conditionalFormatting>
  <conditionalFormatting sqref="E65">
    <cfRule type="expression" dxfId="11767" priority="190">
      <formula>AND(IF(OR($Q65=1,$Q65=2),1,0),IF($X65&lt;=20,1,0))</formula>
    </cfRule>
    <cfRule type="expression" dxfId="11766" priority="191">
      <formula>AND(IF($Q65=2,1,0),IF($X65&lt;30,1,0))</formula>
    </cfRule>
    <cfRule type="expression" dxfId="11765" priority="192">
      <formula>AND(IF($Q65=3,1,0),IF($X65&lt;30,1,0))</formula>
    </cfRule>
    <cfRule type="expression" dxfId="11764" priority="193">
      <formula>AND(IF($Q65=3,1,IF($Q65=4,1,0)),IF($F65&lt;=85,1,0))</formula>
    </cfRule>
  </conditionalFormatting>
  <conditionalFormatting sqref="X65">
    <cfRule type="expression" dxfId="11763" priority="186">
      <formula>AND(IF(OR($Q65=1,$Q65=2),1,0),IF($X65&lt;=20,1,0))</formula>
    </cfRule>
    <cfRule type="expression" dxfId="11762" priority="187">
      <formula>AND(IF($Q65=2,1,0),IF($X65&lt;30,1,0))</formula>
    </cfRule>
    <cfRule type="expression" dxfId="11761" priority="188">
      <formula>AND(IF($Q65=3,1,0),IF($X65&lt;30,1,0))</formula>
    </cfRule>
    <cfRule type="expression" dxfId="11760" priority="189">
      <formula>AND(IF($Q65=3,1,IF($Q65=4,1,0)),IF($F65&lt;=85,1,0))</formula>
    </cfRule>
  </conditionalFormatting>
  <conditionalFormatting sqref="AI65">
    <cfRule type="expression" dxfId="11759" priority="182">
      <formula>AND(IF(OR($Q65=1,$Q65=2),1,0),IF($X65&lt;=20,1,0))</formula>
    </cfRule>
    <cfRule type="expression" dxfId="11758" priority="183">
      <formula>AND(IF($Q65=2,1,0),IF($X65&lt;30,1,0))</formula>
    </cfRule>
    <cfRule type="expression" dxfId="11757" priority="184">
      <formula>AND(IF($Q65=3,1,0),IF($X65&lt;30,1,0))</formula>
    </cfRule>
    <cfRule type="expression" dxfId="11756" priority="185">
      <formula>AND(IF($Q65=3,1,IF($Q65=4,1,0)),IF($F65&lt;=85,1,0))</formula>
    </cfRule>
  </conditionalFormatting>
  <conditionalFormatting sqref="AV66">
    <cfRule type="expression" dxfId="11755" priority="180">
      <formula>AV66="X"</formula>
    </cfRule>
    <cfRule type="expression" dxfId="11754" priority="181">
      <formula>AV66="후보"</formula>
    </cfRule>
  </conditionalFormatting>
  <conditionalFormatting sqref="AC66">
    <cfRule type="cellIs" dxfId="11753" priority="177" operator="greaterThan">
      <formula>0.9</formula>
    </cfRule>
    <cfRule type="cellIs" dxfId="11752" priority="178" operator="greaterThan">
      <formula>0.85</formula>
    </cfRule>
  </conditionalFormatting>
  <conditionalFormatting sqref="N66">
    <cfRule type="cellIs" dxfId="11751" priority="175" operator="greaterThan">
      <formula>0.9</formula>
    </cfRule>
    <cfRule type="cellIs" dxfId="11750" priority="176" operator="greaterThan">
      <formula>0.85</formula>
    </cfRule>
  </conditionalFormatting>
  <conditionalFormatting sqref="E66">
    <cfRule type="expression" dxfId="11749" priority="171">
      <formula>AND(IF(OR($Q66=1,$Q66=2),1,0),IF($X66&lt;=20,1,0))</formula>
    </cfRule>
    <cfRule type="expression" dxfId="11748" priority="172">
      <formula>AND(IF($Q66=2,1,0),IF($X66&lt;30,1,0))</formula>
    </cfRule>
    <cfRule type="expression" dxfId="11747" priority="173">
      <formula>AND(IF($Q66=3,1,0),IF($X66&lt;30,1,0))</formula>
    </cfRule>
    <cfRule type="expression" dxfId="11746" priority="174">
      <formula>AND(IF($Q66=3,1,IF($Q66=4,1,0)),IF($F66&lt;=85,1,0))</formula>
    </cfRule>
  </conditionalFormatting>
  <conditionalFormatting sqref="X66">
    <cfRule type="expression" dxfId="11745" priority="167">
      <formula>AND(IF(OR($Q66=1,$Q66=2),1,0),IF($X66&lt;=20,1,0))</formula>
    </cfRule>
    <cfRule type="expression" dxfId="11744" priority="168">
      <formula>AND(IF($Q66=2,1,0),IF($X66&lt;30,1,0))</formula>
    </cfRule>
    <cfRule type="expression" dxfId="11743" priority="169">
      <formula>AND(IF($Q66=3,1,0),IF($X66&lt;30,1,0))</formula>
    </cfRule>
    <cfRule type="expression" dxfId="11742" priority="170">
      <formula>AND(IF($Q66=3,1,IF($Q66=4,1,0)),IF($F66&lt;=85,1,0))</formula>
    </cfRule>
  </conditionalFormatting>
  <conditionalFormatting sqref="AI66">
    <cfRule type="expression" dxfId="11741" priority="163">
      <formula>AND(IF(OR($Q66=1,$Q66=2),1,0),IF($X66&lt;=20,1,0))</formula>
    </cfRule>
    <cfRule type="expression" dxfId="11740" priority="164">
      <formula>AND(IF($Q66=2,1,0),IF($X66&lt;30,1,0))</formula>
    </cfRule>
    <cfRule type="expression" dxfId="11739" priority="165">
      <formula>AND(IF($Q66=3,1,0),IF($X66&lt;30,1,0))</formula>
    </cfRule>
    <cfRule type="expression" dxfId="11738" priority="166">
      <formula>AND(IF($Q66=3,1,IF($Q66=4,1,0)),IF($F66&lt;=85,1,0))</formula>
    </cfRule>
  </conditionalFormatting>
  <conditionalFormatting sqref="AV67">
    <cfRule type="expression" dxfId="11737" priority="161">
      <formula>AV67="X"</formula>
    </cfRule>
    <cfRule type="expression" dxfId="11736" priority="162">
      <formula>AV67="후보"</formula>
    </cfRule>
  </conditionalFormatting>
  <conditionalFormatting sqref="AC67">
    <cfRule type="cellIs" dxfId="11735" priority="158" operator="greaterThan">
      <formula>0.9</formula>
    </cfRule>
    <cfRule type="cellIs" dxfId="11734" priority="159" operator="greaterThan">
      <formula>0.85</formula>
    </cfRule>
  </conditionalFormatting>
  <conditionalFormatting sqref="N67">
    <cfRule type="cellIs" dxfId="11733" priority="156" operator="greaterThan">
      <formula>0.9</formula>
    </cfRule>
    <cfRule type="cellIs" dxfId="11732" priority="157" operator="greaterThan">
      <formula>0.85</formula>
    </cfRule>
  </conditionalFormatting>
  <conditionalFormatting sqref="E67">
    <cfRule type="expression" dxfId="11731" priority="152">
      <formula>AND(IF(OR($Q67=1,$Q67=2),1,0),IF($X67&lt;=20,1,0))</formula>
    </cfRule>
    <cfRule type="expression" dxfId="11730" priority="153">
      <formula>AND(IF($Q67=2,1,0),IF($X67&lt;30,1,0))</formula>
    </cfRule>
    <cfRule type="expression" dxfId="11729" priority="154">
      <formula>AND(IF($Q67=3,1,0),IF($X67&lt;30,1,0))</formula>
    </cfRule>
    <cfRule type="expression" dxfId="11728" priority="155">
      <formula>AND(IF($Q67=3,1,IF($Q67=4,1,0)),IF($F67&lt;=85,1,0))</formula>
    </cfRule>
  </conditionalFormatting>
  <conditionalFormatting sqref="X67">
    <cfRule type="expression" dxfId="11727" priority="148">
      <formula>AND(IF(OR($Q67=1,$Q67=2),1,0),IF($X67&lt;=20,1,0))</formula>
    </cfRule>
    <cfRule type="expression" dxfId="11726" priority="149">
      <formula>AND(IF($Q67=2,1,0),IF($X67&lt;30,1,0))</formula>
    </cfRule>
    <cfRule type="expression" dxfId="11725" priority="150">
      <formula>AND(IF($Q67=3,1,0),IF($X67&lt;30,1,0))</formula>
    </cfRule>
    <cfRule type="expression" dxfId="11724" priority="151">
      <formula>AND(IF($Q67=3,1,IF($Q67=4,1,0)),IF($F67&lt;=85,1,0))</formula>
    </cfRule>
  </conditionalFormatting>
  <conditionalFormatting sqref="AI67">
    <cfRule type="expression" dxfId="11723" priority="144">
      <formula>AND(IF(OR($Q67=1,$Q67=2),1,0),IF($X67&lt;=20,1,0))</formula>
    </cfRule>
    <cfRule type="expression" dxfId="11722" priority="145">
      <formula>AND(IF($Q67=2,1,0),IF($X67&lt;30,1,0))</formula>
    </cfRule>
    <cfRule type="expression" dxfId="11721" priority="146">
      <formula>AND(IF($Q67=3,1,0),IF($X67&lt;30,1,0))</formula>
    </cfRule>
    <cfRule type="expression" dxfId="11720" priority="147">
      <formula>AND(IF($Q67=3,1,IF($Q67=4,1,0)),IF($F67&lt;=85,1,0))</formula>
    </cfRule>
  </conditionalFormatting>
  <conditionalFormatting sqref="AV68">
    <cfRule type="expression" dxfId="11719" priority="142">
      <formula>AV68="X"</formula>
    </cfRule>
    <cfRule type="expression" dxfId="11718" priority="143">
      <formula>AV68="후보"</formula>
    </cfRule>
  </conditionalFormatting>
  <conditionalFormatting sqref="AC68">
    <cfRule type="cellIs" dxfId="11717" priority="139" operator="greaterThan">
      <formula>0.9</formula>
    </cfRule>
    <cfRule type="cellIs" dxfId="11716" priority="140" operator="greaterThan">
      <formula>0.85</formula>
    </cfRule>
  </conditionalFormatting>
  <conditionalFormatting sqref="N68">
    <cfRule type="cellIs" dxfId="11715" priority="137" operator="greaterThan">
      <formula>0.9</formula>
    </cfRule>
    <cfRule type="cellIs" dxfId="11714" priority="138" operator="greaterThan">
      <formula>0.85</formula>
    </cfRule>
  </conditionalFormatting>
  <conditionalFormatting sqref="E68">
    <cfRule type="expression" dxfId="11713" priority="133">
      <formula>AND(IF(OR($Q68=1,$Q68=2),1,0),IF($X68&lt;=20,1,0))</formula>
    </cfRule>
    <cfRule type="expression" dxfId="11712" priority="134">
      <formula>AND(IF($Q68=2,1,0),IF($X68&lt;30,1,0))</formula>
    </cfRule>
    <cfRule type="expression" dxfId="11711" priority="135">
      <formula>AND(IF($Q68=3,1,0),IF($X68&lt;30,1,0))</formula>
    </cfRule>
    <cfRule type="expression" dxfId="11710" priority="136">
      <formula>AND(IF($Q68=3,1,IF($Q68=4,1,0)),IF($F68&lt;=85,1,0))</formula>
    </cfRule>
  </conditionalFormatting>
  <conditionalFormatting sqref="X68">
    <cfRule type="expression" dxfId="11709" priority="129">
      <formula>AND(IF(OR($Q68=1,$Q68=2),1,0),IF($X68&lt;=20,1,0))</formula>
    </cfRule>
    <cfRule type="expression" dxfId="11708" priority="130">
      <formula>AND(IF($Q68=2,1,0),IF($X68&lt;30,1,0))</formula>
    </cfRule>
    <cfRule type="expression" dxfId="11707" priority="131">
      <formula>AND(IF($Q68=3,1,0),IF($X68&lt;30,1,0))</formula>
    </cfRule>
    <cfRule type="expression" dxfId="11706" priority="132">
      <formula>AND(IF($Q68=3,1,IF($Q68=4,1,0)),IF($F68&lt;=85,1,0))</formula>
    </cfRule>
  </conditionalFormatting>
  <conditionalFormatting sqref="AI68">
    <cfRule type="expression" dxfId="11705" priority="125">
      <formula>AND(IF(OR($Q68=1,$Q68=2),1,0),IF($X68&lt;=20,1,0))</formula>
    </cfRule>
    <cfRule type="expression" dxfId="11704" priority="126">
      <formula>AND(IF($Q68=2,1,0),IF($X68&lt;30,1,0))</formula>
    </cfRule>
    <cfRule type="expression" dxfId="11703" priority="127">
      <formula>AND(IF($Q68=3,1,0),IF($X68&lt;30,1,0))</formula>
    </cfRule>
    <cfRule type="expression" dxfId="11702" priority="128">
      <formula>AND(IF($Q68=3,1,IF($Q68=4,1,0)),IF($F68&lt;=85,1,0))</formula>
    </cfRule>
  </conditionalFormatting>
  <conditionalFormatting sqref="AV69">
    <cfRule type="expression" dxfId="11701" priority="123">
      <formula>AV69="X"</formula>
    </cfRule>
    <cfRule type="expression" dxfId="11700" priority="124">
      <formula>AV69="후보"</formula>
    </cfRule>
  </conditionalFormatting>
  <conditionalFormatting sqref="AC69">
    <cfRule type="cellIs" dxfId="11699" priority="120" operator="greaterThan">
      <formula>0.9</formula>
    </cfRule>
    <cfRule type="cellIs" dxfId="11698" priority="121" operator="greaterThan">
      <formula>0.85</formula>
    </cfRule>
  </conditionalFormatting>
  <conditionalFormatting sqref="N69">
    <cfRule type="cellIs" dxfId="11697" priority="118" operator="greaterThan">
      <formula>0.9</formula>
    </cfRule>
    <cfRule type="cellIs" dxfId="11696" priority="119" operator="greaterThan">
      <formula>0.85</formula>
    </cfRule>
  </conditionalFormatting>
  <conditionalFormatting sqref="E69">
    <cfRule type="expression" dxfId="11695" priority="114">
      <formula>AND(IF(OR($Q69=1,$Q69=2),1,0),IF($X69&lt;=20,1,0))</formula>
    </cfRule>
    <cfRule type="expression" dxfId="11694" priority="115">
      <formula>AND(IF($Q69=2,1,0),IF($X69&lt;30,1,0))</formula>
    </cfRule>
    <cfRule type="expression" dxfId="11693" priority="116">
      <formula>AND(IF($Q69=3,1,0),IF($X69&lt;30,1,0))</formula>
    </cfRule>
    <cfRule type="expression" dxfId="11692" priority="117">
      <formula>AND(IF($Q69=3,1,IF($Q69=4,1,0)),IF($F69&lt;=85,1,0))</formula>
    </cfRule>
  </conditionalFormatting>
  <conditionalFormatting sqref="X69">
    <cfRule type="expression" dxfId="11691" priority="110">
      <formula>AND(IF(OR($Q69=1,$Q69=2),1,0),IF($X69&lt;=20,1,0))</formula>
    </cfRule>
    <cfRule type="expression" dxfId="11690" priority="111">
      <formula>AND(IF($Q69=2,1,0),IF($X69&lt;30,1,0))</formula>
    </cfRule>
    <cfRule type="expression" dxfId="11689" priority="112">
      <formula>AND(IF($Q69=3,1,0),IF($X69&lt;30,1,0))</formula>
    </cfRule>
    <cfRule type="expression" dxfId="11688" priority="113">
      <formula>AND(IF($Q69=3,1,IF($Q69=4,1,0)),IF($F69&lt;=85,1,0))</formula>
    </cfRule>
  </conditionalFormatting>
  <conditionalFormatting sqref="AI69">
    <cfRule type="expression" dxfId="11687" priority="106">
      <formula>AND(IF(OR($Q69=1,$Q69=2),1,0),IF($X69&lt;=20,1,0))</formula>
    </cfRule>
    <cfRule type="expression" dxfId="11686" priority="107">
      <formula>AND(IF($Q69=2,1,0),IF($X69&lt;30,1,0))</formula>
    </cfRule>
    <cfRule type="expression" dxfId="11685" priority="108">
      <formula>AND(IF($Q69=3,1,0),IF($X69&lt;30,1,0))</formula>
    </cfRule>
    <cfRule type="expression" dxfId="11684" priority="109">
      <formula>AND(IF($Q69=3,1,IF($Q69=4,1,0)),IF($F69&lt;=85,1,0))</formula>
    </cfRule>
  </conditionalFormatting>
  <conditionalFormatting sqref="AV70">
    <cfRule type="expression" dxfId="11683" priority="104">
      <formula>AV70="X"</formula>
    </cfRule>
    <cfRule type="expression" dxfId="11682" priority="105">
      <formula>AV70="후보"</formula>
    </cfRule>
  </conditionalFormatting>
  <conditionalFormatting sqref="AC70">
    <cfRule type="cellIs" dxfId="11681" priority="101" operator="greaterThan">
      <formula>0.9</formula>
    </cfRule>
    <cfRule type="cellIs" dxfId="11680" priority="102" operator="greaterThan">
      <formula>0.85</formula>
    </cfRule>
  </conditionalFormatting>
  <conditionalFormatting sqref="N70">
    <cfRule type="cellIs" dxfId="11679" priority="99" operator="greaterThan">
      <formula>0.9</formula>
    </cfRule>
    <cfRule type="cellIs" dxfId="11678" priority="100" operator="greaterThan">
      <formula>0.85</formula>
    </cfRule>
  </conditionalFormatting>
  <conditionalFormatting sqref="E70">
    <cfRule type="expression" dxfId="11677" priority="95">
      <formula>AND(IF(OR($Q70=1,$Q70=2),1,0),IF($X70&lt;=20,1,0))</formula>
    </cfRule>
    <cfRule type="expression" dxfId="11676" priority="96">
      <formula>AND(IF($Q70=2,1,0),IF($X70&lt;30,1,0))</formula>
    </cfRule>
    <cfRule type="expression" dxfId="11675" priority="97">
      <formula>AND(IF($Q70=3,1,0),IF($X70&lt;30,1,0))</formula>
    </cfRule>
    <cfRule type="expression" dxfId="11674" priority="98">
      <formula>AND(IF($Q70=3,1,IF($Q70=4,1,0)),IF($F70&lt;=85,1,0))</formula>
    </cfRule>
  </conditionalFormatting>
  <conditionalFormatting sqref="X70">
    <cfRule type="expression" dxfId="11673" priority="91">
      <formula>AND(IF(OR($Q70=1,$Q70=2),1,0),IF($X70&lt;=20,1,0))</formula>
    </cfRule>
    <cfRule type="expression" dxfId="11672" priority="92">
      <formula>AND(IF($Q70=2,1,0),IF($X70&lt;30,1,0))</formula>
    </cfRule>
    <cfRule type="expression" dxfId="11671" priority="93">
      <formula>AND(IF($Q70=3,1,0),IF($X70&lt;30,1,0))</formula>
    </cfRule>
    <cfRule type="expression" dxfId="11670" priority="94">
      <formula>AND(IF($Q70=3,1,IF($Q70=4,1,0)),IF($F70&lt;=85,1,0))</formula>
    </cfRule>
  </conditionalFormatting>
  <conditionalFormatting sqref="AI70">
    <cfRule type="expression" dxfId="11669" priority="87">
      <formula>AND(IF(OR($Q70=1,$Q70=2),1,0),IF($X70&lt;=20,1,0))</formula>
    </cfRule>
    <cfRule type="expression" dxfId="11668" priority="88">
      <formula>AND(IF($Q70=2,1,0),IF($X70&lt;30,1,0))</formula>
    </cfRule>
    <cfRule type="expression" dxfId="11667" priority="89">
      <formula>AND(IF($Q70=3,1,0),IF($X70&lt;30,1,0))</formula>
    </cfRule>
    <cfRule type="expression" dxfId="11666" priority="90">
      <formula>AND(IF($Q70=3,1,IF($Q70=4,1,0)),IF($F70&lt;=85,1,0))</formula>
    </cfRule>
  </conditionalFormatting>
  <conditionalFormatting sqref="AV71">
    <cfRule type="expression" dxfId="11665" priority="85">
      <formula>AV71="X"</formula>
    </cfRule>
    <cfRule type="expression" dxfId="11664" priority="86">
      <formula>AV71="후보"</formula>
    </cfRule>
  </conditionalFormatting>
  <conditionalFormatting sqref="AC71 N71">
    <cfRule type="cellIs" dxfId="11663" priority="82" operator="greaterThan">
      <formula>0.9</formula>
    </cfRule>
    <cfRule type="cellIs" dxfId="11662" priority="83" operator="greaterThan">
      <formula>0.85</formula>
    </cfRule>
  </conditionalFormatting>
  <conditionalFormatting sqref="AV72">
    <cfRule type="expression" dxfId="11661" priority="80">
      <formula>AV72="X"</formula>
    </cfRule>
    <cfRule type="expression" dxfId="11660" priority="81">
      <formula>AV72="후보"</formula>
    </cfRule>
  </conditionalFormatting>
  <conditionalFormatting sqref="AC72">
    <cfRule type="cellIs" dxfId="11659" priority="77" operator="greaterThan">
      <formula>0.9</formula>
    </cfRule>
    <cfRule type="cellIs" dxfId="11658" priority="78" operator="greaterThan">
      <formula>0.85</formula>
    </cfRule>
  </conditionalFormatting>
  <conditionalFormatting sqref="N72">
    <cfRule type="cellIs" dxfId="11657" priority="75" operator="greaterThan">
      <formula>0.9</formula>
    </cfRule>
    <cfRule type="cellIs" dxfId="11656" priority="76" operator="greaterThan">
      <formula>0.85</formula>
    </cfRule>
  </conditionalFormatting>
  <conditionalFormatting sqref="E72">
    <cfRule type="expression" dxfId="11655" priority="71">
      <formula>AND(IF(OR($Q72=1,$Q72=2),1,0),IF($X72&lt;=20,1,0))</formula>
    </cfRule>
    <cfRule type="expression" dxfId="11654" priority="72">
      <formula>AND(IF($Q72=2,1,0),IF($X72&lt;30,1,0))</formula>
    </cfRule>
    <cfRule type="expression" dxfId="11653" priority="73">
      <formula>AND(IF($Q72=3,1,0),IF($X72&lt;30,1,0))</formula>
    </cfRule>
    <cfRule type="expression" dxfId="11652" priority="74">
      <formula>AND(IF($Q72=3,1,IF($Q72=4,1,0)),IF($F72&lt;=85,1,0))</formula>
    </cfRule>
  </conditionalFormatting>
  <conditionalFormatting sqref="X72">
    <cfRule type="expression" dxfId="11651" priority="67">
      <formula>AND(IF(OR($Q72=1,$Q72=2),1,0),IF($X72&lt;=20,1,0))</formula>
    </cfRule>
    <cfRule type="expression" dxfId="11650" priority="68">
      <formula>AND(IF($Q72=2,1,0),IF($X72&lt;30,1,0))</formula>
    </cfRule>
    <cfRule type="expression" dxfId="11649" priority="69">
      <formula>AND(IF($Q72=3,1,0),IF($X72&lt;30,1,0))</formula>
    </cfRule>
    <cfRule type="expression" dxfId="11648" priority="70">
      <formula>AND(IF($Q72=3,1,IF($Q72=4,1,0)),IF($F72&lt;=85,1,0))</formula>
    </cfRule>
  </conditionalFormatting>
  <conditionalFormatting sqref="AI72">
    <cfRule type="expression" dxfId="11647" priority="63">
      <formula>AND(IF(OR($Q72=1,$Q72=2),1,0),IF($X72&lt;=20,1,0))</formula>
    </cfRule>
    <cfRule type="expression" dxfId="11646" priority="64">
      <formula>AND(IF($Q72=2,1,0),IF($X72&lt;30,1,0))</formula>
    </cfRule>
    <cfRule type="expression" dxfId="11645" priority="65">
      <formula>AND(IF($Q72=3,1,0),IF($X72&lt;30,1,0))</formula>
    </cfRule>
    <cfRule type="expression" dxfId="11644" priority="66">
      <formula>AND(IF($Q72=3,1,IF($Q72=4,1,0)),IF($F72&lt;=85,1,0))</formula>
    </cfRule>
  </conditionalFormatting>
  <conditionalFormatting sqref="AV73">
    <cfRule type="expression" dxfId="11643" priority="61">
      <formula>AV73="X"</formula>
    </cfRule>
    <cfRule type="expression" dxfId="11642" priority="62">
      <formula>AV73="후보"</formula>
    </cfRule>
  </conditionalFormatting>
  <conditionalFormatting sqref="AC73">
    <cfRule type="cellIs" dxfId="11641" priority="58" operator="greaterThan">
      <formula>0.9</formula>
    </cfRule>
    <cfRule type="cellIs" dxfId="11640" priority="59" operator="greaterThan">
      <formula>0.85</formula>
    </cfRule>
  </conditionalFormatting>
  <conditionalFormatting sqref="N73">
    <cfRule type="cellIs" dxfId="11639" priority="56" operator="greaterThan">
      <formula>0.9</formula>
    </cfRule>
    <cfRule type="cellIs" dxfId="11638" priority="57" operator="greaterThan">
      <formula>0.85</formula>
    </cfRule>
  </conditionalFormatting>
  <conditionalFormatting sqref="E73">
    <cfRule type="expression" dxfId="11637" priority="52">
      <formula>AND(IF(OR($Q73=1,$Q73=2),1,0),IF($X73&lt;=20,1,0))</formula>
    </cfRule>
    <cfRule type="expression" dxfId="11636" priority="53">
      <formula>AND(IF($Q73=2,1,0),IF($X73&lt;30,1,0))</formula>
    </cfRule>
    <cfRule type="expression" dxfId="11635" priority="54">
      <formula>AND(IF($Q73=3,1,0),IF($X73&lt;30,1,0))</formula>
    </cfRule>
    <cfRule type="expression" dxfId="11634" priority="55">
      <formula>AND(IF($Q73=3,1,IF($Q73=4,1,0)),IF($F73&lt;=85,1,0))</formula>
    </cfRule>
  </conditionalFormatting>
  <conditionalFormatting sqref="X73">
    <cfRule type="expression" dxfId="11633" priority="48">
      <formula>AND(IF(OR($Q73=1,$Q73=2),1,0),IF($X73&lt;=20,1,0))</formula>
    </cfRule>
    <cfRule type="expression" dxfId="11632" priority="49">
      <formula>AND(IF($Q73=2,1,0),IF($X73&lt;30,1,0))</formula>
    </cfRule>
    <cfRule type="expression" dxfId="11631" priority="50">
      <formula>AND(IF($Q73=3,1,0),IF($X73&lt;30,1,0))</formula>
    </cfRule>
    <cfRule type="expression" dxfId="11630" priority="51">
      <formula>AND(IF($Q73=3,1,IF($Q73=4,1,0)),IF($F73&lt;=85,1,0))</formula>
    </cfRule>
  </conditionalFormatting>
  <conditionalFormatting sqref="AI73">
    <cfRule type="expression" dxfId="11629" priority="44">
      <formula>AND(IF(OR($Q73=1,$Q73=2),1,0),IF($X73&lt;=20,1,0))</formula>
    </cfRule>
    <cfRule type="expression" dxfId="11628" priority="45">
      <formula>AND(IF($Q73=2,1,0),IF($X73&lt;30,1,0))</formula>
    </cfRule>
    <cfRule type="expression" dxfId="11627" priority="46">
      <formula>AND(IF($Q73=3,1,0),IF($X73&lt;30,1,0))</formula>
    </cfRule>
    <cfRule type="expression" dxfId="11626" priority="47">
      <formula>AND(IF($Q73=3,1,IF($Q73=4,1,0)),IF($F73&lt;=85,1,0))</formula>
    </cfRule>
  </conditionalFormatting>
  <conditionalFormatting sqref="AV74">
    <cfRule type="expression" dxfId="11625" priority="42">
      <formula>AV74="X"</formula>
    </cfRule>
    <cfRule type="expression" dxfId="11624" priority="43">
      <formula>AV74="후보"</formula>
    </cfRule>
  </conditionalFormatting>
  <conditionalFormatting sqref="AC74 N74">
    <cfRule type="cellIs" dxfId="11623" priority="39" operator="greaterThan">
      <formula>0.9</formula>
    </cfRule>
    <cfRule type="cellIs" dxfId="11622" priority="40" operator="greaterThan">
      <formula>0.85</formula>
    </cfRule>
  </conditionalFormatting>
  <conditionalFormatting sqref="AV75">
    <cfRule type="expression" dxfId="11621" priority="37">
      <formula>AV75="X"</formula>
    </cfRule>
    <cfRule type="expression" dxfId="11620" priority="38">
      <formula>AV75="후보"</formula>
    </cfRule>
  </conditionalFormatting>
  <conditionalFormatting sqref="AC75">
    <cfRule type="cellIs" dxfId="11619" priority="34" operator="greaterThan">
      <formula>0.9</formula>
    </cfRule>
    <cfRule type="cellIs" dxfId="11618" priority="35" operator="greaterThan">
      <formula>0.85</formula>
    </cfRule>
  </conditionalFormatting>
  <conditionalFormatting sqref="N75">
    <cfRule type="cellIs" dxfId="11617" priority="32" operator="greaterThan">
      <formula>0.9</formula>
    </cfRule>
    <cfRule type="cellIs" dxfId="11616" priority="33" operator="greaterThan">
      <formula>0.85</formula>
    </cfRule>
  </conditionalFormatting>
  <conditionalFormatting sqref="E75">
    <cfRule type="expression" dxfId="11615" priority="28">
      <formula>AND(IF(OR($Q75=1,$Q75=2),1,0),IF($X75&lt;=20,1,0))</formula>
    </cfRule>
    <cfRule type="expression" dxfId="11614" priority="29">
      <formula>AND(IF($Q75=2,1,0),IF($X75&lt;30,1,0))</formula>
    </cfRule>
    <cfRule type="expression" dxfId="11613" priority="30">
      <formula>AND(IF($Q75=3,1,0),IF($X75&lt;30,1,0))</formula>
    </cfRule>
    <cfRule type="expression" dxfId="11612" priority="31">
      <formula>AND(IF($Q75=3,1,IF($Q75=4,1,0)),IF($F75&lt;=85,1,0))</formula>
    </cfRule>
  </conditionalFormatting>
  <conditionalFormatting sqref="X75">
    <cfRule type="expression" dxfId="11611" priority="24">
      <formula>AND(IF(OR($Q75=1,$Q75=2),1,0),IF($X75&lt;=20,1,0))</formula>
    </cfRule>
    <cfRule type="expression" dxfId="11610" priority="25">
      <formula>AND(IF($Q75=2,1,0),IF($X75&lt;30,1,0))</formula>
    </cfRule>
    <cfRule type="expression" dxfId="11609" priority="26">
      <formula>AND(IF($Q75=3,1,0),IF($X75&lt;30,1,0))</formula>
    </cfRule>
    <cfRule type="expression" dxfId="11608" priority="27">
      <formula>AND(IF($Q75=3,1,IF($Q75=4,1,0)),IF($F75&lt;=85,1,0))</formula>
    </cfRule>
  </conditionalFormatting>
  <conditionalFormatting sqref="AI75">
    <cfRule type="expression" dxfId="11607" priority="20">
      <formula>AND(IF(OR($Q75=1,$Q75=2),1,0),IF($X75&lt;=20,1,0))</formula>
    </cfRule>
    <cfRule type="expression" dxfId="11606" priority="21">
      <formula>AND(IF($Q75=2,1,0),IF($X75&lt;30,1,0))</formula>
    </cfRule>
    <cfRule type="expression" dxfId="11605" priority="22">
      <formula>AND(IF($Q75=3,1,0),IF($X75&lt;30,1,0))</formula>
    </cfRule>
    <cfRule type="expression" dxfId="11604" priority="23">
      <formula>AND(IF($Q75=3,1,IF($Q75=4,1,0)),IF($F75&lt;=85,1,0))</formula>
    </cfRule>
  </conditionalFormatting>
  <conditionalFormatting sqref="AV76">
    <cfRule type="expression" dxfId="11603" priority="18">
      <formula>AV76="X"</formula>
    </cfRule>
    <cfRule type="expression" dxfId="11602" priority="19">
      <formula>AV76="후보"</formula>
    </cfRule>
  </conditionalFormatting>
  <conditionalFormatting sqref="AC76">
    <cfRule type="cellIs" dxfId="11601" priority="15" operator="greaterThan">
      <formula>0.9</formula>
    </cfRule>
    <cfRule type="cellIs" dxfId="11600" priority="16" operator="greaterThan">
      <formula>0.85</formula>
    </cfRule>
  </conditionalFormatting>
  <conditionalFormatting sqref="N76">
    <cfRule type="cellIs" dxfId="11599" priority="13" operator="greaterThan">
      <formula>0.9</formula>
    </cfRule>
    <cfRule type="cellIs" dxfId="11598" priority="14" operator="greaterThan">
      <formula>0.85</formula>
    </cfRule>
  </conditionalFormatting>
  <conditionalFormatting sqref="E76">
    <cfRule type="expression" dxfId="11597" priority="9">
      <formula>AND(IF(OR($Q76=1,$Q76=2),1,0),IF($X76&lt;=20,1,0))</formula>
    </cfRule>
    <cfRule type="expression" dxfId="11596" priority="10">
      <formula>AND(IF($Q76=2,1,0),IF($X76&lt;30,1,0))</formula>
    </cfRule>
    <cfRule type="expression" dxfId="11595" priority="11">
      <formula>AND(IF($Q76=3,1,0),IF($X76&lt;30,1,0))</formula>
    </cfRule>
    <cfRule type="expression" dxfId="11594" priority="12">
      <formula>AND(IF($Q76=3,1,IF($Q76=4,1,0)),IF($F76&lt;=85,1,0))</formula>
    </cfRule>
  </conditionalFormatting>
  <conditionalFormatting sqref="X76">
    <cfRule type="expression" dxfId="11593" priority="5">
      <formula>AND(IF(OR($Q76=1,$Q76=2),1,0),IF($X76&lt;=20,1,0))</formula>
    </cfRule>
    <cfRule type="expression" dxfId="11592" priority="6">
      <formula>AND(IF($Q76=2,1,0),IF($X76&lt;30,1,0))</formula>
    </cfRule>
    <cfRule type="expression" dxfId="11591" priority="7">
      <formula>AND(IF($Q76=3,1,0),IF($X76&lt;30,1,0))</formula>
    </cfRule>
    <cfRule type="expression" dxfId="11590" priority="8">
      <formula>AND(IF($Q76=3,1,IF($Q76=4,1,0)),IF($F76&lt;=85,1,0))</formula>
    </cfRule>
  </conditionalFormatting>
  <conditionalFormatting sqref="AI76">
    <cfRule type="expression" dxfId="11589" priority="1">
      <formula>AND(IF(OR($Q76=1,$Q76=2),1,0),IF($X76&lt;=20,1,0))</formula>
    </cfRule>
    <cfRule type="expression" dxfId="11588" priority="2">
      <formula>AND(IF($Q76=2,1,0),IF($X76&lt;30,1,0))</formula>
    </cfRule>
    <cfRule type="expression" dxfId="11587" priority="3">
      <formula>AND(IF($Q76=3,1,0),IF($X76&lt;30,1,0))</formula>
    </cfRule>
    <cfRule type="expression" dxfId="11586" priority="4">
      <formula>AND(IF($Q76=3,1,IF($Q76=4,1,0)),IF($F76&lt;=85,1,0))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>
    <pageSetUpPr fitToPage="1"/>
  </sheetPr>
  <dimension ref="A1:AV4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N40" sqref="N40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5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0" width="9" style="37" customWidth="1"/>
    <col min="51" max="16384" width="9" style="37"/>
  </cols>
  <sheetData>
    <row r="1" spans="1:48" ht="17.25" customHeight="1" x14ac:dyDescent="0.3">
      <c r="A1" s="7" t="str">
        <f>단지추출!A1</f>
        <v>인천광역시 연수구</v>
      </c>
      <c r="I1" s="42" t="s">
        <v>1827</v>
      </c>
      <c r="X1" s="37" t="s">
        <v>5</v>
      </c>
      <c r="Y1" s="37"/>
      <c r="AA1" s="39">
        <f>단지추출!AA1</f>
        <v>70000</v>
      </c>
      <c r="AH1" s="7" t="str">
        <f>A1</f>
        <v>인천광역시 연수구</v>
      </c>
      <c r="AJ1" s="117" t="str">
        <f>A1&amp;" 전체 등급"</f>
        <v>인천광역시 연수구 전체 등급</v>
      </c>
      <c r="AK1" s="118"/>
      <c r="AL1" s="118"/>
      <c r="AM1" s="118"/>
      <c r="AN1" s="119"/>
      <c r="AO1" s="22">
        <f>단지추출!AO1</f>
        <v>80</v>
      </c>
      <c r="AP1" s="22">
        <f>단지추출!AP1</f>
        <v>50000</v>
      </c>
      <c r="AQ1" s="22">
        <f>단지추출!AQ1</f>
        <v>15000</v>
      </c>
      <c r="AR1" s="22">
        <f>단지추출!AR1</f>
        <v>5000</v>
      </c>
      <c r="AS1" s="2"/>
      <c r="AT1" s="2"/>
      <c r="AU1" s="22">
        <f>단지추출!AU1</f>
        <v>300</v>
      </c>
    </row>
    <row r="2" spans="1:48" x14ac:dyDescent="0.3">
      <c r="A2" s="80">
        <f>단지추출!A2</f>
        <v>44197</v>
      </c>
      <c r="W2" s="38"/>
      <c r="X2" s="38" t="s">
        <v>10</v>
      </c>
      <c r="Y2" s="38"/>
      <c r="AA2" s="39">
        <f>단지추출!AA2</f>
        <v>10000</v>
      </c>
      <c r="AH2" s="18" t="str">
        <f>AH1 &amp;" " &amp;A4</f>
        <v>인천광역시 연수구 효자동3가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4" t="s">
        <v>15</v>
      </c>
      <c r="AP2" s="65"/>
      <c r="AQ2" s="66"/>
      <c r="AR2" s="64" t="s">
        <v>16</v>
      </c>
      <c r="AS2" s="66"/>
      <c r="AT2" s="64" t="s">
        <v>17</v>
      </c>
      <c r="AU2" s="66"/>
      <c r="AV2" s="40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1828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106" t="s">
        <v>27</v>
      </c>
      <c r="Z3" s="12" t="s">
        <v>41</v>
      </c>
      <c r="AA3" s="12" t="s">
        <v>42</v>
      </c>
      <c r="AB3" s="12" t="s">
        <v>1828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49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(5억↓)</v>
      </c>
      <c r="AQ3" s="11" t="str">
        <f>"지역평단가
("&amp;AQ1&amp;"↓)"</f>
        <v>지역평단가
(15000↓)</v>
      </c>
      <c r="AR3" s="11" t="str">
        <f>"투자규모★
(갭"&amp;AR1/1000&amp;"천↓)"</f>
        <v>투자규모★
(갭5천↓)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1" t="s">
        <v>18</v>
      </c>
    </row>
    <row r="4" spans="1:48" x14ac:dyDescent="0.3">
      <c r="A4" s="8" t="s">
        <v>1750</v>
      </c>
      <c r="B4" s="76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07"/>
      <c r="R4" s="107"/>
      <c r="S4" s="76"/>
      <c r="T4" s="5"/>
      <c r="U4" s="9"/>
      <c r="W4" s="9"/>
      <c r="X4" s="9"/>
      <c r="Y4" s="91"/>
      <c r="Z4" s="9"/>
      <c r="AA4" s="9"/>
      <c r="AB4" s="9"/>
      <c r="AC4" s="9"/>
      <c r="AD4" s="9"/>
      <c r="AE4" s="76"/>
      <c r="AF4" s="5"/>
      <c r="AH4" s="20"/>
      <c r="AI4" s="108" t="str">
        <f t="shared" si="0"/>
        <v/>
      </c>
      <c r="AJ4" s="76"/>
      <c r="AK4" s="76"/>
      <c r="AL4" s="76"/>
      <c r="AM4" s="76"/>
      <c r="AN4" s="76"/>
      <c r="AO4" s="76"/>
      <c r="AP4" s="76"/>
      <c r="AQ4" s="76"/>
      <c r="AR4" s="76"/>
      <c r="AS4" s="76"/>
      <c r="AT4" s="76"/>
      <c r="AU4" s="76"/>
      <c r="AV4" s="76"/>
    </row>
    <row r="5" spans="1:48" x14ac:dyDescent="0.3">
      <c r="A5" s="9"/>
      <c r="B5" s="76"/>
      <c r="C5" s="6"/>
      <c r="D5" s="9"/>
      <c r="E5" s="14"/>
      <c r="F5" s="85"/>
      <c r="G5" s="9"/>
      <c r="H5" s="9"/>
      <c r="I5" s="9"/>
      <c r="J5" s="9"/>
      <c r="K5" s="9"/>
      <c r="L5" s="9"/>
      <c r="M5" s="9"/>
      <c r="N5" s="9"/>
      <c r="O5" s="90"/>
      <c r="P5" s="90"/>
      <c r="Q5" s="86"/>
      <c r="R5" s="86"/>
      <c r="S5" s="9"/>
      <c r="T5" s="47"/>
      <c r="U5" s="9"/>
      <c r="W5" s="67" t="str">
        <f>$A$4&amp;" "&amp;A6&amp;"("&amp;B6&amp;","&amp;C6&amp;"^)"</f>
        <v>효자동3가 서곡두산('99.09.,535^)</v>
      </c>
      <c r="X5" s="68"/>
      <c r="Y5" s="68"/>
      <c r="Z5" s="68"/>
      <c r="AA5" s="68"/>
      <c r="AB5" s="68"/>
      <c r="AC5" s="68"/>
      <c r="AD5" s="68"/>
      <c r="AE5" s="68"/>
      <c r="AF5" s="69"/>
      <c r="AH5" s="20" t="str">
        <f t="shared" ref="AH5:AH49" si="1">IF(A5="","",A5)</f>
        <v/>
      </c>
      <c r="AI5" s="108" t="str">
        <f t="shared" si="0"/>
        <v/>
      </c>
      <c r="AJ5" s="76"/>
      <c r="AK5" s="76"/>
      <c r="AL5" s="76"/>
      <c r="AM5" s="76"/>
      <c r="AN5" s="76"/>
      <c r="AO5" s="76"/>
      <c r="AP5" s="76"/>
      <c r="AQ5" s="76"/>
      <c r="AR5" s="76"/>
      <c r="AS5" s="76"/>
      <c r="AT5" s="76"/>
      <c r="AU5" s="76"/>
      <c r="AV5" s="76"/>
    </row>
    <row r="6" spans="1:48" x14ac:dyDescent="0.3">
      <c r="A6" s="9" t="s">
        <v>1746</v>
      </c>
      <c r="B6" s="10" t="s">
        <v>1942</v>
      </c>
      <c r="C6" s="87">
        <v>535</v>
      </c>
      <c r="D6" s="85">
        <v>106.6</v>
      </c>
      <c r="E6" s="86">
        <v>32</v>
      </c>
      <c r="F6" s="85">
        <v>84.9</v>
      </c>
      <c r="G6" s="17">
        <v>26</v>
      </c>
      <c r="H6" s="87">
        <v>460</v>
      </c>
      <c r="I6" s="88">
        <v>24000</v>
      </c>
      <c r="J6" s="88" t="s">
        <v>72</v>
      </c>
      <c r="K6" s="88"/>
      <c r="L6" s="88"/>
      <c r="M6" s="89">
        <f>I6-K6</f>
        <v>24000</v>
      </c>
      <c r="N6" s="4">
        <f>IF(ISERROR(K6/I6),"",K6/I6)</f>
        <v>0</v>
      </c>
      <c r="O6" s="90">
        <f>I6/E6</f>
        <v>750</v>
      </c>
      <c r="P6" s="90">
        <f>K6/E6</f>
        <v>0</v>
      </c>
      <c r="Q6" s="76">
        <v>3</v>
      </c>
      <c r="R6" s="76">
        <v>2</v>
      </c>
      <c r="S6" s="76" t="s">
        <v>61</v>
      </c>
      <c r="T6" s="5" t="s">
        <v>466</v>
      </c>
      <c r="U6" s="9"/>
      <c r="W6" s="85">
        <f>D6</f>
        <v>106.6</v>
      </c>
      <c r="X6" s="86">
        <f>E6</f>
        <v>32</v>
      </c>
      <c r="Y6" s="91">
        <f>H6</f>
        <v>460</v>
      </c>
      <c r="Z6" s="89">
        <f>I6</f>
        <v>24000</v>
      </c>
      <c r="AA6" s="89">
        <f>K6</f>
        <v>0</v>
      </c>
      <c r="AB6" s="89">
        <f t="shared" ref="AB6:AD7" si="2">M6</f>
        <v>24000</v>
      </c>
      <c r="AC6" s="4">
        <f t="shared" si="2"/>
        <v>0</v>
      </c>
      <c r="AD6" s="90">
        <f t="shared" si="2"/>
        <v>750</v>
      </c>
      <c r="AE6" s="76" t="str">
        <f>S6</f>
        <v>계</v>
      </c>
      <c r="AF6" s="76" t="str">
        <f>Q6&amp;"/"&amp;R6</f>
        <v>3/2</v>
      </c>
      <c r="AH6" s="20" t="str">
        <f t="shared" si="1"/>
        <v>서곡두산</v>
      </c>
      <c r="AI6" s="86">
        <f t="shared" si="0"/>
        <v>32</v>
      </c>
      <c r="AJ6" s="76" t="str">
        <f>IF(AI6="","",$AJ$2)</f>
        <v>A-</v>
      </c>
      <c r="AK6" s="76" t="s">
        <v>13</v>
      </c>
      <c r="AL6" s="76" t="s">
        <v>62</v>
      </c>
      <c r="AM6" s="76" t="s">
        <v>63</v>
      </c>
      <c r="AN6" s="76" t="str">
        <f>IF(AI6="","",$AN$2)</f>
        <v>C</v>
      </c>
      <c r="AO6" s="76" t="str">
        <f>IF(N6="","",IF(N6&gt;=$AO$1/100,"O","X"))</f>
        <v>X</v>
      </c>
      <c r="AP6" s="76" t="str">
        <f>IF(I6="","",IF(I6&lt;=$AP$1,"O","X"))</f>
        <v>O</v>
      </c>
      <c r="AQ6" s="76" t="str">
        <f>IF(O6="","",IF(O6&lt;=$AQ$1,"O","X"))</f>
        <v>O</v>
      </c>
      <c r="AR6" s="76" t="str">
        <f>IF(M6="","",IF(M6&lt;=$AR$1,"O","X"))</f>
        <v>X</v>
      </c>
      <c r="AS6" s="76" t="s">
        <v>2</v>
      </c>
      <c r="AT6" s="76" t="str">
        <f>IF(OR(F6="",AI6=""),"",IF(AND((F6&lt;=85),(AI6&gt;=15)),"O","X"))</f>
        <v>O</v>
      </c>
      <c r="AU6" s="76" t="str">
        <f>IF(C6="","",IF(C6&gt;=$AU$1,"O","X"))</f>
        <v>O</v>
      </c>
      <c r="AV6" s="76" t="str">
        <f>IF(AO6="","",IF(AND(AO6="O",AP6="O",AR6="O",AT6="O",AU6="O"),"후보","X"))</f>
        <v>X</v>
      </c>
    </row>
    <row r="7" spans="1:48" x14ac:dyDescent="0.3">
      <c r="A7" s="9" t="s">
        <v>1746</v>
      </c>
      <c r="B7" s="10" t="s">
        <v>1942</v>
      </c>
      <c r="C7" s="87">
        <v>535</v>
      </c>
      <c r="D7" s="85">
        <v>106.1</v>
      </c>
      <c r="E7" s="86">
        <v>32</v>
      </c>
      <c r="F7" s="85">
        <v>84.8</v>
      </c>
      <c r="G7" s="17">
        <v>26</v>
      </c>
      <c r="H7" s="87">
        <v>75</v>
      </c>
      <c r="I7" s="88">
        <v>24500</v>
      </c>
      <c r="J7" s="88" t="s">
        <v>172</v>
      </c>
      <c r="K7" s="88"/>
      <c r="L7" s="88"/>
      <c r="M7" s="89">
        <f>I7-K7</f>
        <v>24500</v>
      </c>
      <c r="N7" s="4">
        <f>IF(ISERROR(K7/I7),"",K7/I7)</f>
        <v>0</v>
      </c>
      <c r="O7" s="90">
        <f>I7/E7</f>
        <v>765.625</v>
      </c>
      <c r="P7" s="90">
        <f>K7/E7</f>
        <v>0</v>
      </c>
      <c r="Q7" s="76">
        <v>3</v>
      </c>
      <c r="R7" s="76">
        <v>2</v>
      </c>
      <c r="S7" s="76" t="s">
        <v>61</v>
      </c>
      <c r="T7" s="5" t="s">
        <v>467</v>
      </c>
      <c r="U7" s="9"/>
      <c r="W7" s="85">
        <f>D7</f>
        <v>106.1</v>
      </c>
      <c r="X7" s="86">
        <f>E7</f>
        <v>32</v>
      </c>
      <c r="Y7" s="91">
        <f>H7</f>
        <v>75</v>
      </c>
      <c r="Z7" s="89">
        <f>I7</f>
        <v>24500</v>
      </c>
      <c r="AA7" s="89">
        <f>K7</f>
        <v>0</v>
      </c>
      <c r="AB7" s="89">
        <f t="shared" si="2"/>
        <v>24500</v>
      </c>
      <c r="AC7" s="4">
        <f t="shared" si="2"/>
        <v>0</v>
      </c>
      <c r="AD7" s="90">
        <f t="shared" si="2"/>
        <v>765.625</v>
      </c>
      <c r="AE7" s="76" t="str">
        <f>S7</f>
        <v>계</v>
      </c>
      <c r="AF7" s="76" t="str">
        <f>Q7&amp;"/"&amp;R7</f>
        <v>3/2</v>
      </c>
      <c r="AH7" s="20" t="str">
        <f t="shared" si="1"/>
        <v>서곡두산</v>
      </c>
      <c r="AI7" s="86">
        <f t="shared" si="0"/>
        <v>32</v>
      </c>
      <c r="AJ7" s="76" t="str">
        <f>IF(AI7="","",$AJ$2)</f>
        <v>A-</v>
      </c>
      <c r="AK7" s="76" t="s">
        <v>13</v>
      </c>
      <c r="AL7" s="76" t="s">
        <v>62</v>
      </c>
      <c r="AM7" s="76" t="s">
        <v>63</v>
      </c>
      <c r="AN7" s="76" t="str">
        <f>IF(AI7="","",$AN$2)</f>
        <v>C</v>
      </c>
      <c r="AO7" s="76" t="str">
        <f>IF(N7="","",IF(N7&gt;=$AO$1/100,"O","X"))</f>
        <v>X</v>
      </c>
      <c r="AP7" s="76" t="str">
        <f>IF(I7="","",IF(I7&lt;=$AP$1,"O","X"))</f>
        <v>O</v>
      </c>
      <c r="AQ7" s="76" t="str">
        <f>IF(O7="","",IF(O7&lt;=$AQ$1,"O","X"))</f>
        <v>O</v>
      </c>
      <c r="AR7" s="76" t="str">
        <f>IF(M7="","",IF(M7&lt;=$AR$1,"O","X"))</f>
        <v>X</v>
      </c>
      <c r="AS7" s="76" t="s">
        <v>2</v>
      </c>
      <c r="AT7" s="76" t="str">
        <f>IF(OR(F7="",AI7=""),"",IF(AND((F7&lt;=85),(AI7&gt;=15)),"O","X"))</f>
        <v>O</v>
      </c>
      <c r="AU7" s="76" t="str">
        <f>IF(C7="","",IF(C7&gt;=$AU$1,"O","X"))</f>
        <v>O</v>
      </c>
      <c r="AV7" s="76" t="str">
        <f>IF(AO7="","",IF(AND(AO7="O",AP7="O",AR7="O",AT7="O",AU7="O"),"후보","X"))</f>
        <v>X</v>
      </c>
    </row>
    <row r="8" spans="1:48" x14ac:dyDescent="0.3">
      <c r="A8" s="9"/>
      <c r="B8" s="76"/>
      <c r="C8" s="6"/>
      <c r="D8" s="9"/>
      <c r="E8" s="14"/>
      <c r="F8" s="85"/>
      <c r="G8" s="9"/>
      <c r="H8" s="9"/>
      <c r="I8" s="9"/>
      <c r="J8" s="9"/>
      <c r="K8" s="9"/>
      <c r="L8" s="9"/>
      <c r="M8" s="9"/>
      <c r="N8" s="9"/>
      <c r="O8" s="90"/>
      <c r="P8" s="90"/>
      <c r="Q8" s="86"/>
      <c r="R8" s="86"/>
      <c r="S8" s="9"/>
      <c r="T8" s="47"/>
      <c r="U8" s="9"/>
      <c r="W8" s="67" t="str">
        <f>$A$4&amp;" "&amp;A9&amp;"("&amp;B9&amp;","&amp;C9&amp;"^)"</f>
        <v>효자동3가 코오롱스카이타워('15.10.,513^)</v>
      </c>
      <c r="X8" s="68"/>
      <c r="Y8" s="68"/>
      <c r="Z8" s="68"/>
      <c r="AA8" s="68"/>
      <c r="AB8" s="68"/>
      <c r="AC8" s="68"/>
      <c r="AD8" s="68"/>
      <c r="AE8" s="68"/>
      <c r="AF8" s="69"/>
      <c r="AH8" s="20" t="str">
        <f t="shared" si="1"/>
        <v/>
      </c>
      <c r="AI8" s="108" t="str">
        <f t="shared" si="0"/>
        <v/>
      </c>
      <c r="AJ8" s="76"/>
      <c r="AK8" s="76"/>
      <c r="AL8" s="76"/>
      <c r="AM8" s="76"/>
      <c r="AN8" s="76"/>
      <c r="AO8" s="76"/>
      <c r="AP8" s="76"/>
      <c r="AQ8" s="76"/>
      <c r="AR8" s="76"/>
      <c r="AS8" s="76"/>
      <c r="AT8" s="76"/>
      <c r="AU8" s="76"/>
      <c r="AV8" s="76"/>
    </row>
    <row r="9" spans="1:48" x14ac:dyDescent="0.3">
      <c r="A9" s="9" t="s">
        <v>1752</v>
      </c>
      <c r="B9" s="10" t="s">
        <v>1943</v>
      </c>
      <c r="C9" s="87">
        <v>513</v>
      </c>
      <c r="D9" s="85">
        <v>115.2</v>
      </c>
      <c r="E9" s="86">
        <v>35</v>
      </c>
      <c r="F9" s="85">
        <v>84.2</v>
      </c>
      <c r="G9" s="17">
        <v>25</v>
      </c>
      <c r="H9" s="87">
        <v>378</v>
      </c>
      <c r="I9" s="88"/>
      <c r="J9" s="88"/>
      <c r="K9" s="88"/>
      <c r="L9" s="88"/>
      <c r="M9" s="89">
        <f>I9-K9</f>
        <v>0</v>
      </c>
      <c r="N9" s="4" t="str">
        <f>IF(ISERROR(K9/I9),"",K9/I9)</f>
        <v/>
      </c>
      <c r="O9" s="90">
        <f>I9/E9</f>
        <v>0</v>
      </c>
      <c r="P9" s="90">
        <f>K9/E9</f>
        <v>0</v>
      </c>
      <c r="Q9" s="76">
        <v>3</v>
      </c>
      <c r="R9" s="76">
        <v>2</v>
      </c>
      <c r="S9" s="76" t="s">
        <v>61</v>
      </c>
      <c r="T9" s="5" t="s">
        <v>342</v>
      </c>
      <c r="U9" s="9"/>
      <c r="W9" s="85">
        <f t="shared" ref="W9:X12" si="3">D9</f>
        <v>115.2</v>
      </c>
      <c r="X9" s="86">
        <f t="shared" si="3"/>
        <v>35</v>
      </c>
      <c r="Y9" s="91">
        <f t="shared" ref="Y9:Z12" si="4">H9</f>
        <v>378</v>
      </c>
      <c r="Z9" s="89">
        <f t="shared" si="4"/>
        <v>0</v>
      </c>
      <c r="AA9" s="89">
        <f>K9</f>
        <v>0</v>
      </c>
      <c r="AB9" s="89">
        <f t="shared" ref="AB9:AD12" si="5">M9</f>
        <v>0</v>
      </c>
      <c r="AC9" s="4" t="str">
        <f t="shared" si="5"/>
        <v/>
      </c>
      <c r="AD9" s="90">
        <f t="shared" si="5"/>
        <v>0</v>
      </c>
      <c r="AE9" s="76" t="str">
        <f>S9</f>
        <v>계</v>
      </c>
      <c r="AF9" s="76" t="str">
        <f>Q9&amp;"/"&amp;R9</f>
        <v>3/2</v>
      </c>
      <c r="AH9" s="20" t="str">
        <f t="shared" si="1"/>
        <v>코오롱스카이타워</v>
      </c>
      <c r="AI9" s="86">
        <f t="shared" si="0"/>
        <v>35</v>
      </c>
      <c r="AJ9" s="76" t="str">
        <f>IF(AI9="","",$AJ$2)</f>
        <v>A-</v>
      </c>
      <c r="AK9" s="76" t="s">
        <v>13</v>
      </c>
      <c r="AL9" s="76" t="s">
        <v>62</v>
      </c>
      <c r="AM9" s="76" t="s">
        <v>63</v>
      </c>
      <c r="AN9" s="76" t="str">
        <f>IF(AI9="","",$AN$2)</f>
        <v>C</v>
      </c>
      <c r="AO9" s="76" t="str">
        <f>IF(N9="","",IF(N9&gt;=$AO$1/100,"O","X"))</f>
        <v/>
      </c>
      <c r="AP9" s="76" t="str">
        <f>IF(I9="","",IF(I9&lt;=$AP$1,"O","X"))</f>
        <v/>
      </c>
      <c r="AQ9" s="76" t="str">
        <f>IF(O9="","",IF(O9&lt;=$AQ$1,"O","X"))</f>
        <v>O</v>
      </c>
      <c r="AR9" s="76" t="str">
        <f>IF(M9="","",IF(M9&lt;=$AR$1,"O","X"))</f>
        <v>O</v>
      </c>
      <c r="AS9" s="76" t="s">
        <v>2</v>
      </c>
      <c r="AT9" s="76" t="str">
        <f>IF(OR(F9="",AI9=""),"",IF(AND((F9&lt;=85),(AI9&gt;=15)),"O","X"))</f>
        <v>O</v>
      </c>
      <c r="AU9" s="76" t="str">
        <f>IF(C9="","",IF(C9&gt;=$AU$1,"O","X"))</f>
        <v>O</v>
      </c>
      <c r="AV9" s="76" t="str">
        <f>IF(AO9="","",IF(AND(AO9="O",AP9="O",AR9="O",AT9="O",AU9="O"),"후보","X"))</f>
        <v/>
      </c>
    </row>
    <row r="10" spans="1:48" x14ac:dyDescent="0.3">
      <c r="A10" s="9" t="s">
        <v>1752</v>
      </c>
      <c r="B10" s="10" t="s">
        <v>1943</v>
      </c>
      <c r="C10" s="87">
        <v>513</v>
      </c>
      <c r="D10" s="85">
        <v>115.3</v>
      </c>
      <c r="E10" s="86">
        <v>35</v>
      </c>
      <c r="F10" s="85">
        <v>84.1</v>
      </c>
      <c r="G10" s="17">
        <v>25</v>
      </c>
      <c r="H10" s="87">
        <v>70</v>
      </c>
      <c r="I10" s="88"/>
      <c r="J10" s="88"/>
      <c r="K10" s="88"/>
      <c r="L10" s="88"/>
      <c r="M10" s="89">
        <f>I10-K10</f>
        <v>0</v>
      </c>
      <c r="N10" s="4" t="str">
        <f>IF(ISERROR(K10/I10),"",K10/I10)</f>
        <v/>
      </c>
      <c r="O10" s="90">
        <f>I10/E10</f>
        <v>0</v>
      </c>
      <c r="P10" s="90">
        <f>K10/E10</f>
        <v>0</v>
      </c>
      <c r="Q10" s="76">
        <v>3</v>
      </c>
      <c r="R10" s="76">
        <v>2</v>
      </c>
      <c r="S10" s="76" t="s">
        <v>61</v>
      </c>
      <c r="T10" s="5" t="s">
        <v>343</v>
      </c>
      <c r="U10" s="9"/>
      <c r="W10" s="85">
        <f t="shared" si="3"/>
        <v>115.3</v>
      </c>
      <c r="X10" s="86">
        <f t="shared" si="3"/>
        <v>35</v>
      </c>
      <c r="Y10" s="91">
        <f t="shared" si="4"/>
        <v>70</v>
      </c>
      <c r="Z10" s="89">
        <f t="shared" si="4"/>
        <v>0</v>
      </c>
      <c r="AA10" s="89">
        <f>K10</f>
        <v>0</v>
      </c>
      <c r="AB10" s="89">
        <f t="shared" si="5"/>
        <v>0</v>
      </c>
      <c r="AC10" s="4" t="str">
        <f t="shared" si="5"/>
        <v/>
      </c>
      <c r="AD10" s="90">
        <f t="shared" si="5"/>
        <v>0</v>
      </c>
      <c r="AE10" s="76" t="str">
        <f>S10</f>
        <v>계</v>
      </c>
      <c r="AF10" s="76" t="str">
        <f>Q10&amp;"/"&amp;R10</f>
        <v>3/2</v>
      </c>
      <c r="AH10" s="20" t="str">
        <f t="shared" si="1"/>
        <v>코오롱스카이타워</v>
      </c>
      <c r="AI10" s="86">
        <f t="shared" si="0"/>
        <v>35</v>
      </c>
      <c r="AJ10" s="76" t="str">
        <f>IF(AI10="","",$AJ$2)</f>
        <v>A-</v>
      </c>
      <c r="AK10" s="76" t="s">
        <v>13</v>
      </c>
      <c r="AL10" s="76" t="s">
        <v>62</v>
      </c>
      <c r="AM10" s="76" t="s">
        <v>63</v>
      </c>
      <c r="AN10" s="76" t="str">
        <f>IF(AI10="","",$AN$2)</f>
        <v>C</v>
      </c>
      <c r="AO10" s="76" t="str">
        <f>IF(N10="","",IF(N10&gt;=$AO$1/100,"O","X"))</f>
        <v/>
      </c>
      <c r="AP10" s="76" t="str">
        <f>IF(I10="","",IF(I10&lt;=$AP$1,"O","X"))</f>
        <v/>
      </c>
      <c r="AQ10" s="76" t="str">
        <f>IF(O10="","",IF(O10&lt;=$AQ$1,"O","X"))</f>
        <v>O</v>
      </c>
      <c r="AR10" s="76" t="str">
        <f>IF(M10="","",IF(M10&lt;=$AR$1,"O","X"))</f>
        <v>O</v>
      </c>
      <c r="AS10" s="76" t="s">
        <v>2</v>
      </c>
      <c r="AT10" s="76" t="str">
        <f>IF(OR(F10="",AI10=""),"",IF(AND((F10&lt;=85),(AI10&gt;=15)),"O","X"))</f>
        <v>O</v>
      </c>
      <c r="AU10" s="76" t="str">
        <f>IF(C10="","",IF(C10&gt;=$AU$1,"O","X"))</f>
        <v>O</v>
      </c>
      <c r="AV10" s="76" t="str">
        <f>IF(AO10="","",IF(AND(AO10="O",AP10="O",AR10="O",AT10="O",AU10="O"),"후보","X"))</f>
        <v/>
      </c>
    </row>
    <row r="11" spans="1:48" x14ac:dyDescent="0.3">
      <c r="A11" s="9" t="s">
        <v>1752</v>
      </c>
      <c r="B11" s="10" t="s">
        <v>1943</v>
      </c>
      <c r="C11" s="87">
        <v>513</v>
      </c>
      <c r="D11" s="85">
        <v>115.9</v>
      </c>
      <c r="E11" s="86">
        <v>35</v>
      </c>
      <c r="F11" s="85">
        <v>84.8</v>
      </c>
      <c r="G11" s="17">
        <v>26</v>
      </c>
      <c r="H11" s="87">
        <v>60</v>
      </c>
      <c r="I11" s="88"/>
      <c r="J11" s="88"/>
      <c r="K11" s="88"/>
      <c r="L11" s="88"/>
      <c r="M11" s="89">
        <f>I11-K11</f>
        <v>0</v>
      </c>
      <c r="N11" s="4" t="str">
        <f>IF(ISERROR(K11/I11),"",K11/I11)</f>
        <v/>
      </c>
      <c r="O11" s="90">
        <f>I11/E11</f>
        <v>0</v>
      </c>
      <c r="P11" s="90">
        <f>K11/E11</f>
        <v>0</v>
      </c>
      <c r="Q11" s="76">
        <v>3</v>
      </c>
      <c r="R11" s="76">
        <v>2</v>
      </c>
      <c r="S11" s="76" t="s">
        <v>61</v>
      </c>
      <c r="T11" s="5" t="s">
        <v>416</v>
      </c>
      <c r="U11" s="9"/>
      <c r="W11" s="85">
        <f t="shared" si="3"/>
        <v>115.9</v>
      </c>
      <c r="X11" s="86">
        <f t="shared" si="3"/>
        <v>35</v>
      </c>
      <c r="Y11" s="91">
        <f t="shared" si="4"/>
        <v>60</v>
      </c>
      <c r="Z11" s="89">
        <f t="shared" si="4"/>
        <v>0</v>
      </c>
      <c r="AA11" s="89">
        <f>K11</f>
        <v>0</v>
      </c>
      <c r="AB11" s="89">
        <f t="shared" si="5"/>
        <v>0</v>
      </c>
      <c r="AC11" s="4" t="str">
        <f t="shared" si="5"/>
        <v/>
      </c>
      <c r="AD11" s="90">
        <f t="shared" si="5"/>
        <v>0</v>
      </c>
      <c r="AE11" s="76" t="str">
        <f>S11</f>
        <v>계</v>
      </c>
      <c r="AF11" s="76" t="str">
        <f>Q11&amp;"/"&amp;R11</f>
        <v>3/2</v>
      </c>
      <c r="AH11" s="20" t="str">
        <f t="shared" si="1"/>
        <v>코오롱스카이타워</v>
      </c>
      <c r="AI11" s="86">
        <f t="shared" si="0"/>
        <v>35</v>
      </c>
      <c r="AJ11" s="76" t="str">
        <f>IF(AI11="","",$AJ$2)</f>
        <v>A-</v>
      </c>
      <c r="AK11" s="76" t="s">
        <v>13</v>
      </c>
      <c r="AL11" s="76" t="s">
        <v>62</v>
      </c>
      <c r="AM11" s="76" t="s">
        <v>63</v>
      </c>
      <c r="AN11" s="76" t="str">
        <f>IF(AI11="","",$AN$2)</f>
        <v>C</v>
      </c>
      <c r="AO11" s="76" t="str">
        <f>IF(N11="","",IF(N11&gt;=$AO$1/100,"O","X"))</f>
        <v/>
      </c>
      <c r="AP11" s="76" t="str">
        <f>IF(I11="","",IF(I11&lt;=$AP$1,"O","X"))</f>
        <v/>
      </c>
      <c r="AQ11" s="76" t="str">
        <f>IF(O11="","",IF(O11&lt;=$AQ$1,"O","X"))</f>
        <v>O</v>
      </c>
      <c r="AR11" s="76" t="str">
        <f>IF(M11="","",IF(M11&lt;=$AR$1,"O","X"))</f>
        <v>O</v>
      </c>
      <c r="AS11" s="76" t="s">
        <v>2</v>
      </c>
      <c r="AT11" s="76" t="str">
        <f>IF(OR(F11="",AI11=""),"",IF(AND((F11&lt;=85),(AI11&gt;=15)),"O","X"))</f>
        <v>O</v>
      </c>
      <c r="AU11" s="76" t="str">
        <f>IF(C11="","",IF(C11&gt;=$AU$1,"O","X"))</f>
        <v>O</v>
      </c>
      <c r="AV11" s="76" t="str">
        <f>IF(AO11="","",IF(AND(AO11="O",AP11="O",AR11="O",AT11="O",AU11="O"),"후보","X"))</f>
        <v/>
      </c>
    </row>
    <row r="12" spans="1:48" x14ac:dyDescent="0.3">
      <c r="A12" s="9" t="s">
        <v>1752</v>
      </c>
      <c r="B12" s="10" t="s">
        <v>1943</v>
      </c>
      <c r="C12" s="87">
        <v>513</v>
      </c>
      <c r="D12" s="85">
        <v>172.3</v>
      </c>
      <c r="E12" s="86">
        <v>52</v>
      </c>
      <c r="F12" s="85">
        <v>125.3</v>
      </c>
      <c r="G12" s="17">
        <v>38</v>
      </c>
      <c r="H12" s="87">
        <v>5</v>
      </c>
      <c r="I12" s="88"/>
      <c r="J12" s="88"/>
      <c r="K12" s="88"/>
      <c r="L12" s="88"/>
      <c r="M12" s="89">
        <f>I12-K12</f>
        <v>0</v>
      </c>
      <c r="N12" s="4" t="str">
        <f>IF(ISERROR(K12/I12),"",K12/I12)</f>
        <v/>
      </c>
      <c r="O12" s="90">
        <f>I12/E12</f>
        <v>0</v>
      </c>
      <c r="P12" s="90">
        <f>K12/E12</f>
        <v>0</v>
      </c>
      <c r="Q12" s="76">
        <v>4</v>
      </c>
      <c r="R12" s="76">
        <v>2</v>
      </c>
      <c r="S12" s="76" t="s">
        <v>61</v>
      </c>
      <c r="T12" s="5">
        <v>172</v>
      </c>
      <c r="U12" s="9"/>
      <c r="W12" s="85">
        <f t="shared" si="3"/>
        <v>172.3</v>
      </c>
      <c r="X12" s="86">
        <f t="shared" si="3"/>
        <v>52</v>
      </c>
      <c r="Y12" s="91">
        <f t="shared" si="4"/>
        <v>5</v>
      </c>
      <c r="Z12" s="89">
        <f t="shared" si="4"/>
        <v>0</v>
      </c>
      <c r="AA12" s="89">
        <f>K12</f>
        <v>0</v>
      </c>
      <c r="AB12" s="89">
        <f t="shared" si="5"/>
        <v>0</v>
      </c>
      <c r="AC12" s="4" t="str">
        <f t="shared" si="5"/>
        <v/>
      </c>
      <c r="AD12" s="90">
        <f t="shared" si="5"/>
        <v>0</v>
      </c>
      <c r="AE12" s="76" t="str">
        <f>S12</f>
        <v>계</v>
      </c>
      <c r="AF12" s="76" t="str">
        <f>Q12&amp;"/"&amp;R12</f>
        <v>4/2</v>
      </c>
      <c r="AH12" s="20" t="str">
        <f t="shared" si="1"/>
        <v>코오롱스카이타워</v>
      </c>
      <c r="AI12" s="86">
        <f t="shared" si="0"/>
        <v>52</v>
      </c>
      <c r="AJ12" s="76" t="str">
        <f>IF(AI12="","",$AJ$2)</f>
        <v>A-</v>
      </c>
      <c r="AK12" s="76" t="s">
        <v>13</v>
      </c>
      <c r="AL12" s="76" t="s">
        <v>62</v>
      </c>
      <c r="AM12" s="76" t="s">
        <v>63</v>
      </c>
      <c r="AN12" s="76" t="str">
        <f>IF(AI12="","",$AN$2)</f>
        <v>C</v>
      </c>
      <c r="AO12" s="76" t="str">
        <f>IF(N12="","",IF(N12&gt;=$AO$1/100,"O","X"))</f>
        <v/>
      </c>
      <c r="AP12" s="76" t="str">
        <f>IF(I12="","",IF(I12&lt;=$AP$1,"O","X"))</f>
        <v/>
      </c>
      <c r="AQ12" s="76" t="str">
        <f>IF(O12="","",IF(O12&lt;=$AQ$1,"O","X"))</f>
        <v>O</v>
      </c>
      <c r="AR12" s="76" t="str">
        <f>IF(M12="","",IF(M12&lt;=$AR$1,"O","X"))</f>
        <v>O</v>
      </c>
      <c r="AS12" s="76" t="s">
        <v>2</v>
      </c>
      <c r="AT12" s="76" t="str">
        <f>IF(OR(F12="",AI12=""),"",IF(AND((F12&lt;=85),(AI12&gt;=15)),"O","X"))</f>
        <v>X</v>
      </c>
      <c r="AU12" s="76" t="str">
        <f>IF(C12="","",IF(C12&gt;=$AU$1,"O","X"))</f>
        <v>O</v>
      </c>
      <c r="AV12" s="76" t="str">
        <f>IF(AO12="","",IF(AND(AO12="O",AP12="O",AR12="O",AT12="O",AU12="O"),"후보","X"))</f>
        <v/>
      </c>
    </row>
    <row r="13" spans="1:48" x14ac:dyDescent="0.3">
      <c r="A13" s="9"/>
      <c r="B13" s="76"/>
      <c r="C13" s="6"/>
      <c r="D13" s="9"/>
      <c r="E13" s="14"/>
      <c r="F13" s="85"/>
      <c r="G13" s="9"/>
      <c r="H13" s="9"/>
      <c r="I13" s="9"/>
      <c r="J13" s="9"/>
      <c r="K13" s="9"/>
      <c r="L13" s="9"/>
      <c r="M13" s="9"/>
      <c r="N13" s="9"/>
      <c r="O13" s="90"/>
      <c r="P13" s="90"/>
      <c r="Q13" s="86"/>
      <c r="R13" s="86"/>
      <c r="S13" s="9"/>
      <c r="T13" s="47"/>
      <c r="U13" s="9"/>
      <c r="W13" s="67" t="str">
        <f>$A$4&amp;" "&amp;A14&amp;"("&amp;B14&amp;","&amp;C14&amp;"^)"</f>
        <v>효자동3가 서부신시가지코아루해피트리('18.11.,212^)</v>
      </c>
      <c r="X13" s="68"/>
      <c r="Y13" s="68"/>
      <c r="Z13" s="68"/>
      <c r="AA13" s="68"/>
      <c r="AB13" s="68"/>
      <c r="AC13" s="68"/>
      <c r="AD13" s="68"/>
      <c r="AE13" s="68"/>
      <c r="AF13" s="69"/>
      <c r="AH13" s="20" t="str">
        <f t="shared" si="1"/>
        <v/>
      </c>
      <c r="AI13" s="108" t="str">
        <f t="shared" si="0"/>
        <v/>
      </c>
      <c r="AJ13" s="76"/>
      <c r="AK13" s="76"/>
      <c r="AL13" s="76"/>
      <c r="AM13" s="76"/>
      <c r="AN13" s="76"/>
      <c r="AO13" s="76"/>
      <c r="AP13" s="76"/>
      <c r="AQ13" s="76"/>
      <c r="AR13" s="76"/>
      <c r="AS13" s="76"/>
      <c r="AT13" s="76"/>
      <c r="AU13" s="76"/>
      <c r="AV13" s="76"/>
    </row>
    <row r="14" spans="1:48" x14ac:dyDescent="0.3">
      <c r="A14" s="9" t="s">
        <v>1763</v>
      </c>
      <c r="B14" s="10" t="s">
        <v>1944</v>
      </c>
      <c r="C14" s="87">
        <v>212</v>
      </c>
      <c r="D14" s="85">
        <v>86.5</v>
      </c>
      <c r="E14" s="86">
        <v>26</v>
      </c>
      <c r="F14" s="85">
        <v>59.8</v>
      </c>
      <c r="G14" s="17">
        <v>18</v>
      </c>
      <c r="H14" s="87">
        <v>68</v>
      </c>
      <c r="I14" s="88"/>
      <c r="J14" s="88"/>
      <c r="K14" s="88"/>
      <c r="L14" s="88"/>
      <c r="M14" s="89">
        <f>I14-K14</f>
        <v>0</v>
      </c>
      <c r="N14" s="4" t="str">
        <f>IF(ISERROR(K14/I14),"",K14/I14)</f>
        <v/>
      </c>
      <c r="O14" s="90">
        <f>I14/E14</f>
        <v>0</v>
      </c>
      <c r="P14" s="90">
        <f>K14/E14</f>
        <v>0</v>
      </c>
      <c r="Q14" s="76">
        <v>3</v>
      </c>
      <c r="R14" s="76">
        <v>2</v>
      </c>
      <c r="S14" s="76" t="s">
        <v>61</v>
      </c>
      <c r="T14" s="5">
        <v>86</v>
      </c>
      <c r="U14" s="9"/>
      <c r="W14" s="85">
        <f t="shared" ref="W14:X16" si="6">D14</f>
        <v>86.5</v>
      </c>
      <c r="X14" s="86">
        <f t="shared" si="6"/>
        <v>26</v>
      </c>
      <c r="Y14" s="91">
        <f t="shared" ref="Y14:Z16" si="7">H14</f>
        <v>68</v>
      </c>
      <c r="Z14" s="89">
        <f t="shared" si="7"/>
        <v>0</v>
      </c>
      <c r="AA14" s="89">
        <f>K14</f>
        <v>0</v>
      </c>
      <c r="AB14" s="89">
        <f t="shared" ref="AB14:AD16" si="8">M14</f>
        <v>0</v>
      </c>
      <c r="AC14" s="4" t="str">
        <f t="shared" si="8"/>
        <v/>
      </c>
      <c r="AD14" s="90">
        <f t="shared" si="8"/>
        <v>0</v>
      </c>
      <c r="AE14" s="76" t="str">
        <f>S14</f>
        <v>계</v>
      </c>
      <c r="AF14" s="76" t="str">
        <f>Q14&amp;"/"&amp;R14</f>
        <v>3/2</v>
      </c>
      <c r="AH14" s="20" t="str">
        <f t="shared" si="1"/>
        <v>서부신시가지코아루해피트리</v>
      </c>
      <c r="AI14" s="86">
        <f t="shared" si="0"/>
        <v>26</v>
      </c>
      <c r="AJ14" s="76" t="str">
        <f>IF(AI14="","",$AJ$2)</f>
        <v>A-</v>
      </c>
      <c r="AK14" s="76" t="s">
        <v>13</v>
      </c>
      <c r="AL14" s="76" t="s">
        <v>62</v>
      </c>
      <c r="AM14" s="76" t="s">
        <v>63</v>
      </c>
      <c r="AN14" s="76" t="str">
        <f>IF(AI14="","",$AN$2)</f>
        <v>C</v>
      </c>
      <c r="AO14" s="76" t="str">
        <f>IF(N14="","",IF(N14&gt;=$AO$1/100,"O","X"))</f>
        <v/>
      </c>
      <c r="AP14" s="76" t="str">
        <f>IF(I14="","",IF(I14&lt;=$AP$1,"O","X"))</f>
        <v/>
      </c>
      <c r="AQ14" s="76" t="str">
        <f>IF(O14="","",IF(O14&lt;=$AQ$1,"O","X"))</f>
        <v>O</v>
      </c>
      <c r="AR14" s="76" t="str">
        <f>IF(M14="","",IF(M14&lt;=$AR$1,"O","X"))</f>
        <v>O</v>
      </c>
      <c r="AS14" s="76" t="s">
        <v>2</v>
      </c>
      <c r="AT14" s="76" t="str">
        <f>IF(OR(F14="",AI14=""),"",IF(AND((F14&lt;=85),(AI14&gt;=15)),"O","X"))</f>
        <v>O</v>
      </c>
      <c r="AU14" s="76" t="str">
        <f>IF(C14="","",IF(C14&gt;=$AU$1,"O","X"))</f>
        <v>X</v>
      </c>
      <c r="AV14" s="76" t="str">
        <f>IF(AO14="","",IF(AND(AO14="O",AP14="O",AR14="O",AT14="O",AU14="O"),"후보","X"))</f>
        <v/>
      </c>
    </row>
    <row r="15" spans="1:48" x14ac:dyDescent="0.3">
      <c r="A15" s="9" t="s">
        <v>1763</v>
      </c>
      <c r="B15" s="10" t="s">
        <v>1944</v>
      </c>
      <c r="C15" s="87">
        <v>212</v>
      </c>
      <c r="D15" s="85">
        <v>99.3</v>
      </c>
      <c r="E15" s="86">
        <v>30</v>
      </c>
      <c r="F15" s="85">
        <v>69.3</v>
      </c>
      <c r="G15" s="17">
        <v>21</v>
      </c>
      <c r="H15" s="87">
        <v>72</v>
      </c>
      <c r="I15" s="88"/>
      <c r="J15" s="88"/>
      <c r="K15" s="88"/>
      <c r="L15" s="88"/>
      <c r="M15" s="89">
        <f>I15-K15</f>
        <v>0</v>
      </c>
      <c r="N15" s="4" t="str">
        <f>IF(ISERROR(K15/I15),"",K15/I15)</f>
        <v/>
      </c>
      <c r="O15" s="90">
        <f>I15/E15</f>
        <v>0</v>
      </c>
      <c r="P15" s="90">
        <f>K15/E15</f>
        <v>0</v>
      </c>
      <c r="Q15" s="76">
        <v>3</v>
      </c>
      <c r="R15" s="76">
        <v>2</v>
      </c>
      <c r="S15" s="76" t="s">
        <v>61</v>
      </c>
      <c r="T15" s="5" t="s">
        <v>278</v>
      </c>
      <c r="U15" s="9"/>
      <c r="W15" s="85">
        <f t="shared" si="6"/>
        <v>99.3</v>
      </c>
      <c r="X15" s="86">
        <f t="shared" si="6"/>
        <v>30</v>
      </c>
      <c r="Y15" s="91">
        <f t="shared" si="7"/>
        <v>72</v>
      </c>
      <c r="Z15" s="89">
        <f t="shared" si="7"/>
        <v>0</v>
      </c>
      <c r="AA15" s="89">
        <f>K15</f>
        <v>0</v>
      </c>
      <c r="AB15" s="89">
        <f t="shared" si="8"/>
        <v>0</v>
      </c>
      <c r="AC15" s="4" t="str">
        <f t="shared" si="8"/>
        <v/>
      </c>
      <c r="AD15" s="90">
        <f t="shared" si="8"/>
        <v>0</v>
      </c>
      <c r="AE15" s="76" t="str">
        <f>S15</f>
        <v>계</v>
      </c>
      <c r="AF15" s="76" t="str">
        <f>Q15&amp;"/"&amp;R15</f>
        <v>3/2</v>
      </c>
      <c r="AH15" s="20" t="str">
        <f t="shared" si="1"/>
        <v>서부신시가지코아루해피트리</v>
      </c>
      <c r="AI15" s="86">
        <f t="shared" si="0"/>
        <v>30</v>
      </c>
      <c r="AJ15" s="76" t="str">
        <f>IF(AI15="","",$AJ$2)</f>
        <v>A-</v>
      </c>
      <c r="AK15" s="76" t="s">
        <v>13</v>
      </c>
      <c r="AL15" s="76" t="s">
        <v>62</v>
      </c>
      <c r="AM15" s="76" t="s">
        <v>63</v>
      </c>
      <c r="AN15" s="76" t="str">
        <f>IF(AI15="","",$AN$2)</f>
        <v>C</v>
      </c>
      <c r="AO15" s="76" t="str">
        <f>IF(N15="","",IF(N15&gt;=$AO$1/100,"O","X"))</f>
        <v/>
      </c>
      <c r="AP15" s="76" t="str">
        <f>IF(I15="","",IF(I15&lt;=$AP$1,"O","X"))</f>
        <v/>
      </c>
      <c r="AQ15" s="76" t="str">
        <f>IF(O15="","",IF(O15&lt;=$AQ$1,"O","X"))</f>
        <v>O</v>
      </c>
      <c r="AR15" s="76" t="str">
        <f>IF(M15="","",IF(M15&lt;=$AR$1,"O","X"))</f>
        <v>O</v>
      </c>
      <c r="AS15" s="76" t="s">
        <v>2</v>
      </c>
      <c r="AT15" s="76" t="str">
        <f>IF(OR(F15="",AI15=""),"",IF(AND((F15&lt;=85),(AI15&gt;=15)),"O","X"))</f>
        <v>O</v>
      </c>
      <c r="AU15" s="76" t="str">
        <f>IF(C15="","",IF(C15&gt;=$AU$1,"O","X"))</f>
        <v>X</v>
      </c>
      <c r="AV15" s="76" t="str">
        <f>IF(AO15="","",IF(AND(AO15="O",AP15="O",AR15="O",AT15="O",AU15="O"),"후보","X"))</f>
        <v/>
      </c>
    </row>
    <row r="16" spans="1:48" x14ac:dyDescent="0.3">
      <c r="A16" s="9" t="s">
        <v>1763</v>
      </c>
      <c r="B16" s="10" t="s">
        <v>1944</v>
      </c>
      <c r="C16" s="87">
        <v>212</v>
      </c>
      <c r="D16" s="85">
        <v>100.8</v>
      </c>
      <c r="E16" s="86">
        <v>30</v>
      </c>
      <c r="F16" s="85">
        <v>69.8</v>
      </c>
      <c r="G16" s="17">
        <v>21</v>
      </c>
      <c r="H16" s="87">
        <v>72</v>
      </c>
      <c r="I16" s="88"/>
      <c r="J16" s="88"/>
      <c r="K16" s="88"/>
      <c r="L16" s="88"/>
      <c r="M16" s="89">
        <f>I16-K16</f>
        <v>0</v>
      </c>
      <c r="N16" s="4" t="str">
        <f>IF(ISERROR(K16/I16),"",K16/I16)</f>
        <v/>
      </c>
      <c r="O16" s="90">
        <f>I16/E16</f>
        <v>0</v>
      </c>
      <c r="P16" s="90">
        <f>K16/E16</f>
        <v>0</v>
      </c>
      <c r="Q16" s="76">
        <v>3</v>
      </c>
      <c r="R16" s="76">
        <v>2</v>
      </c>
      <c r="S16" s="76" t="s">
        <v>61</v>
      </c>
      <c r="T16" s="5" t="s">
        <v>460</v>
      </c>
      <c r="U16" s="9"/>
      <c r="W16" s="85">
        <f t="shared" si="6"/>
        <v>100.8</v>
      </c>
      <c r="X16" s="86">
        <f t="shared" si="6"/>
        <v>30</v>
      </c>
      <c r="Y16" s="91">
        <f t="shared" si="7"/>
        <v>72</v>
      </c>
      <c r="Z16" s="89">
        <f t="shared" si="7"/>
        <v>0</v>
      </c>
      <c r="AA16" s="89">
        <f>K16</f>
        <v>0</v>
      </c>
      <c r="AB16" s="89">
        <f t="shared" si="8"/>
        <v>0</v>
      </c>
      <c r="AC16" s="4" t="str">
        <f t="shared" si="8"/>
        <v/>
      </c>
      <c r="AD16" s="90">
        <f t="shared" si="8"/>
        <v>0</v>
      </c>
      <c r="AE16" s="76" t="str">
        <f>S16</f>
        <v>계</v>
      </c>
      <c r="AF16" s="76" t="str">
        <f>Q16&amp;"/"&amp;R16</f>
        <v>3/2</v>
      </c>
      <c r="AH16" s="20" t="str">
        <f t="shared" si="1"/>
        <v>서부신시가지코아루해피트리</v>
      </c>
      <c r="AI16" s="86">
        <f t="shared" si="0"/>
        <v>30</v>
      </c>
      <c r="AJ16" s="76" t="str">
        <f>IF(AI16="","",$AJ$2)</f>
        <v>A-</v>
      </c>
      <c r="AK16" s="76" t="s">
        <v>13</v>
      </c>
      <c r="AL16" s="76" t="s">
        <v>62</v>
      </c>
      <c r="AM16" s="76" t="s">
        <v>63</v>
      </c>
      <c r="AN16" s="76" t="str">
        <f>IF(AI16="","",$AN$2)</f>
        <v>C</v>
      </c>
      <c r="AO16" s="76" t="str">
        <f>IF(N16="","",IF(N16&gt;=$AO$1/100,"O","X"))</f>
        <v/>
      </c>
      <c r="AP16" s="76" t="str">
        <f>IF(I16="","",IF(I16&lt;=$AP$1,"O","X"))</f>
        <v/>
      </c>
      <c r="AQ16" s="76" t="str">
        <f>IF(O16="","",IF(O16&lt;=$AQ$1,"O","X"))</f>
        <v>O</v>
      </c>
      <c r="AR16" s="76" t="str">
        <f>IF(M16="","",IF(M16&lt;=$AR$1,"O","X"))</f>
        <v>O</v>
      </c>
      <c r="AS16" s="76" t="s">
        <v>2</v>
      </c>
      <c r="AT16" s="76" t="str">
        <f>IF(OR(F16="",AI16=""),"",IF(AND((F16&lt;=85),(AI16&gt;=15)),"O","X"))</f>
        <v>O</v>
      </c>
      <c r="AU16" s="76" t="str">
        <f>IF(C16="","",IF(C16&gt;=$AU$1,"O","X"))</f>
        <v>X</v>
      </c>
      <c r="AV16" s="76" t="str">
        <f>IF(AO16="","",IF(AND(AO16="O",AP16="O",AR16="O",AT16="O",AU16="O"),"후보","X"))</f>
        <v/>
      </c>
    </row>
    <row r="17" spans="1:48" x14ac:dyDescent="0.3">
      <c r="A17" s="9"/>
      <c r="B17" s="76"/>
      <c r="C17" s="6"/>
      <c r="D17" s="9"/>
      <c r="E17" s="14"/>
      <c r="F17" s="85"/>
      <c r="G17" s="9"/>
      <c r="H17" s="9"/>
      <c r="I17" s="9"/>
      <c r="J17" s="9"/>
      <c r="K17" s="9"/>
      <c r="L17" s="9"/>
      <c r="M17" s="9"/>
      <c r="N17" s="9"/>
      <c r="O17" s="90"/>
      <c r="P17" s="90"/>
      <c r="Q17" s="86"/>
      <c r="R17" s="86"/>
      <c r="S17" s="9"/>
      <c r="T17" s="47"/>
      <c r="U17" s="9"/>
      <c r="W17" s="67" t="str">
        <f>$A$4&amp;" "&amp;A18&amp;"("&amp;B18&amp;","&amp;C18&amp;"^)"</f>
        <v>효자동3가 청솔('01.04.,593^)</v>
      </c>
      <c r="X17" s="68"/>
      <c r="Y17" s="68"/>
      <c r="Z17" s="68"/>
      <c r="AA17" s="68"/>
      <c r="AB17" s="68"/>
      <c r="AC17" s="68"/>
      <c r="AD17" s="68"/>
      <c r="AE17" s="68"/>
      <c r="AF17" s="69"/>
      <c r="AH17" s="20" t="str">
        <f t="shared" si="1"/>
        <v/>
      </c>
      <c r="AI17" s="108" t="str">
        <f t="shared" si="0"/>
        <v/>
      </c>
      <c r="AJ17" s="76"/>
      <c r="AK17" s="76"/>
      <c r="AL17" s="76"/>
      <c r="AM17" s="76"/>
      <c r="AN17" s="76"/>
      <c r="AO17" s="76"/>
      <c r="AP17" s="76"/>
      <c r="AQ17" s="76"/>
      <c r="AR17" s="76"/>
      <c r="AS17" s="76"/>
      <c r="AT17" s="76"/>
      <c r="AU17" s="76"/>
      <c r="AV17" s="76"/>
    </row>
    <row r="18" spans="1:48" x14ac:dyDescent="0.3">
      <c r="A18" s="9" t="s">
        <v>1768</v>
      </c>
      <c r="B18" s="10" t="s">
        <v>1945</v>
      </c>
      <c r="C18" s="87">
        <v>593</v>
      </c>
      <c r="D18" s="85">
        <v>67.7</v>
      </c>
      <c r="E18" s="86">
        <v>20</v>
      </c>
      <c r="F18" s="85">
        <v>54.8</v>
      </c>
      <c r="G18" s="17">
        <v>17</v>
      </c>
      <c r="H18" s="87">
        <v>593</v>
      </c>
      <c r="I18" s="88">
        <v>10900</v>
      </c>
      <c r="J18" s="88" t="s">
        <v>90</v>
      </c>
      <c r="K18" s="88">
        <v>10000</v>
      </c>
      <c r="L18" s="88" t="s">
        <v>85</v>
      </c>
      <c r="M18" s="89">
        <f>I18-K18</f>
        <v>900</v>
      </c>
      <c r="N18" s="4">
        <f>IF(ISERROR(K18/I18),"",K18/I18)</f>
        <v>0.91743119266055051</v>
      </c>
      <c r="O18" s="90">
        <f>I18/E18</f>
        <v>545</v>
      </c>
      <c r="P18" s="90">
        <f>K18/E18</f>
        <v>500</v>
      </c>
      <c r="Q18" s="76">
        <v>2</v>
      </c>
      <c r="R18" s="76">
        <v>1</v>
      </c>
      <c r="S18" s="76" t="s">
        <v>68</v>
      </c>
      <c r="T18" s="5">
        <v>67</v>
      </c>
      <c r="U18" s="9"/>
      <c r="W18" s="85">
        <f>D18</f>
        <v>67.7</v>
      </c>
      <c r="X18" s="86">
        <f>E18</f>
        <v>20</v>
      </c>
      <c r="Y18" s="91">
        <f>H18</f>
        <v>593</v>
      </c>
      <c r="Z18" s="89">
        <f>I18</f>
        <v>10900</v>
      </c>
      <c r="AA18" s="89">
        <f>K18</f>
        <v>10000</v>
      </c>
      <c r="AB18" s="89">
        <f>M18</f>
        <v>900</v>
      </c>
      <c r="AC18" s="4">
        <f>N18</f>
        <v>0.91743119266055051</v>
      </c>
      <c r="AD18" s="90">
        <f>O18</f>
        <v>545</v>
      </c>
      <c r="AE18" s="76" t="str">
        <f>S18</f>
        <v>복</v>
      </c>
      <c r="AF18" s="76" t="str">
        <f>Q18&amp;"/"&amp;R18</f>
        <v>2/1</v>
      </c>
      <c r="AH18" s="20" t="str">
        <f t="shared" si="1"/>
        <v>청솔</v>
      </c>
      <c r="AI18" s="86">
        <f t="shared" si="0"/>
        <v>20</v>
      </c>
      <c r="AJ18" s="76" t="str">
        <f>IF(AI18="","",$AJ$2)</f>
        <v>A-</v>
      </c>
      <c r="AK18" s="76" t="s">
        <v>13</v>
      </c>
      <c r="AL18" s="76" t="s">
        <v>62</v>
      </c>
      <c r="AM18" s="76" t="s">
        <v>63</v>
      </c>
      <c r="AN18" s="76" t="str">
        <f>IF(AI18="","",$AN$2)</f>
        <v>C</v>
      </c>
      <c r="AO18" s="76" t="str">
        <f>IF(N18="","",IF(N18&gt;=$AO$1/100,"O","X"))</f>
        <v>O</v>
      </c>
      <c r="AP18" s="76" t="str">
        <f>IF(I18="","",IF(I18&lt;=$AP$1,"O","X"))</f>
        <v>O</v>
      </c>
      <c r="AQ18" s="76" t="str">
        <f>IF(O18="","",IF(O18&lt;=$AQ$1,"O","X"))</f>
        <v>O</v>
      </c>
      <c r="AR18" s="76" t="str">
        <f>IF(M18="","",IF(M18&lt;=$AR$1,"O","X"))</f>
        <v>O</v>
      </c>
      <c r="AS18" s="76" t="s">
        <v>2</v>
      </c>
      <c r="AT18" s="76" t="str">
        <f>IF(OR(F18="",AI18=""),"",IF(AND((F18&lt;=85),(AI18&gt;=15)),"O","X"))</f>
        <v>O</v>
      </c>
      <c r="AU18" s="76" t="str">
        <f>IF(C18="","",IF(C18&gt;=$AU$1,"O","X"))</f>
        <v>O</v>
      </c>
      <c r="AV18" s="76" t="str">
        <f>IF(AO18="","",IF(AND(AO18="O",AP18="O",AR18="O",AT18="O",AU18="O"),"후보","X"))</f>
        <v>후보</v>
      </c>
    </row>
    <row r="19" spans="1:48" x14ac:dyDescent="0.3">
      <c r="A19" s="9"/>
      <c r="B19" s="76"/>
      <c r="C19" s="6"/>
      <c r="D19" s="9"/>
      <c r="E19" s="14"/>
      <c r="F19" s="85"/>
      <c r="G19" s="9"/>
      <c r="H19" s="9"/>
      <c r="I19" s="9"/>
      <c r="J19" s="9"/>
      <c r="K19" s="9"/>
      <c r="L19" s="9"/>
      <c r="M19" s="9"/>
      <c r="N19" s="9"/>
      <c r="O19" s="90"/>
      <c r="P19" s="90"/>
      <c r="Q19" s="86"/>
      <c r="R19" s="86"/>
      <c r="S19" s="9"/>
      <c r="T19" s="47"/>
      <c r="U19" s="9"/>
      <c r="W19" s="67" t="str">
        <f>$A$4&amp;" "&amp;A20&amp;"("&amp;B20&amp;","&amp;C20&amp;"^)"</f>
        <v>효자동3가 힐스테이트효자동('17.11.,302^)</v>
      </c>
      <c r="X19" s="68"/>
      <c r="Y19" s="68"/>
      <c r="Z19" s="68"/>
      <c r="AA19" s="68"/>
      <c r="AB19" s="68"/>
      <c r="AC19" s="68"/>
      <c r="AD19" s="68"/>
      <c r="AE19" s="68"/>
      <c r="AF19" s="69"/>
      <c r="AH19" s="20" t="str">
        <f t="shared" si="1"/>
        <v/>
      </c>
      <c r="AI19" s="108" t="str">
        <f t="shared" si="0"/>
        <v/>
      </c>
      <c r="AJ19" s="76"/>
      <c r="AK19" s="76"/>
      <c r="AL19" s="76"/>
      <c r="AM19" s="76"/>
      <c r="AN19" s="76"/>
      <c r="AO19" s="76"/>
      <c r="AP19" s="76"/>
      <c r="AQ19" s="76"/>
      <c r="AR19" s="76"/>
      <c r="AS19" s="76"/>
      <c r="AT19" s="76"/>
      <c r="AU19" s="76"/>
      <c r="AV19" s="76"/>
    </row>
    <row r="20" spans="1:48" x14ac:dyDescent="0.3">
      <c r="A20" s="9" t="s">
        <v>1773</v>
      </c>
      <c r="B20" s="10" t="s">
        <v>1946</v>
      </c>
      <c r="C20" s="87">
        <v>302</v>
      </c>
      <c r="D20" s="85">
        <v>59.1</v>
      </c>
      <c r="E20" s="86">
        <v>18</v>
      </c>
      <c r="F20" s="85">
        <v>43.9</v>
      </c>
      <c r="G20" s="17">
        <v>13</v>
      </c>
      <c r="H20" s="87">
        <v>75</v>
      </c>
      <c r="I20" s="88">
        <v>24000</v>
      </c>
      <c r="J20" s="88" t="s">
        <v>89</v>
      </c>
      <c r="K20" s="88"/>
      <c r="L20" s="88"/>
      <c r="M20" s="89">
        <f>I20-K20</f>
        <v>24000</v>
      </c>
      <c r="N20" s="4">
        <f>IF(ISERROR(K20/I20),"",K20/I20)</f>
        <v>0</v>
      </c>
      <c r="O20" s="90">
        <f>I20/E20</f>
        <v>1333.3333333333333</v>
      </c>
      <c r="P20" s="90">
        <f>K20/E20</f>
        <v>0</v>
      </c>
      <c r="Q20" s="76">
        <v>2</v>
      </c>
      <c r="R20" s="76">
        <v>1</v>
      </c>
      <c r="S20" s="76" t="s">
        <v>61</v>
      </c>
      <c r="T20" s="5">
        <v>59</v>
      </c>
      <c r="U20" s="9"/>
      <c r="W20" s="85">
        <f t="shared" ref="W20:X22" si="9">D20</f>
        <v>59.1</v>
      </c>
      <c r="X20" s="86">
        <f t="shared" si="9"/>
        <v>18</v>
      </c>
      <c r="Y20" s="91">
        <f t="shared" ref="Y20:Z22" si="10">H20</f>
        <v>75</v>
      </c>
      <c r="Z20" s="89">
        <f t="shared" si="10"/>
        <v>24000</v>
      </c>
      <c r="AA20" s="89">
        <f>K20</f>
        <v>0</v>
      </c>
      <c r="AB20" s="89">
        <f t="shared" ref="AB20:AD22" si="11">M20</f>
        <v>24000</v>
      </c>
      <c r="AC20" s="4">
        <f t="shared" si="11"/>
        <v>0</v>
      </c>
      <c r="AD20" s="90">
        <f t="shared" si="11"/>
        <v>1333.3333333333333</v>
      </c>
      <c r="AE20" s="76" t="str">
        <f>S20</f>
        <v>계</v>
      </c>
      <c r="AF20" s="76" t="str">
        <f>Q20&amp;"/"&amp;R20</f>
        <v>2/1</v>
      </c>
      <c r="AH20" s="20" t="str">
        <f t="shared" si="1"/>
        <v>힐스테이트효자동</v>
      </c>
      <c r="AI20" s="86">
        <f t="shared" si="0"/>
        <v>18</v>
      </c>
      <c r="AJ20" s="76" t="str">
        <f>IF(AI20="","",$AJ$2)</f>
        <v>A-</v>
      </c>
      <c r="AK20" s="76" t="s">
        <v>13</v>
      </c>
      <c r="AL20" s="76" t="s">
        <v>62</v>
      </c>
      <c r="AM20" s="76" t="s">
        <v>63</v>
      </c>
      <c r="AN20" s="76" t="str">
        <f>IF(AI20="","",$AN$2)</f>
        <v>C</v>
      </c>
      <c r="AO20" s="76" t="str">
        <f>IF(N20="","",IF(N20&gt;=$AO$1/100,"O","X"))</f>
        <v>X</v>
      </c>
      <c r="AP20" s="76" t="str">
        <f>IF(I20="","",IF(I20&lt;=$AP$1,"O","X"))</f>
        <v>O</v>
      </c>
      <c r="AQ20" s="76" t="str">
        <f>IF(O20="","",IF(O20&lt;=$AQ$1,"O","X"))</f>
        <v>O</v>
      </c>
      <c r="AR20" s="76" t="str">
        <f>IF(M20="","",IF(M20&lt;=$AR$1,"O","X"))</f>
        <v>X</v>
      </c>
      <c r="AS20" s="76" t="s">
        <v>2</v>
      </c>
      <c r="AT20" s="76" t="str">
        <f>IF(OR(F20="",AI20=""),"",IF(AND((F20&lt;=85),(AI20&gt;=15)),"O","X"))</f>
        <v>O</v>
      </c>
      <c r="AU20" s="76" t="str">
        <f>IF(C20="","",IF(C20&gt;=$AU$1,"O","X"))</f>
        <v>O</v>
      </c>
      <c r="AV20" s="76" t="str">
        <f>IF(AO20="","",IF(AND(AO20="O",AP20="O",AR20="O",AT20="O",AU20="O"),"후보","X"))</f>
        <v>X</v>
      </c>
    </row>
    <row r="21" spans="1:48" x14ac:dyDescent="0.3">
      <c r="A21" s="9" t="s">
        <v>1773</v>
      </c>
      <c r="B21" s="10" t="s">
        <v>1946</v>
      </c>
      <c r="C21" s="87">
        <v>302</v>
      </c>
      <c r="D21" s="85">
        <v>110.5</v>
      </c>
      <c r="E21" s="86">
        <v>33</v>
      </c>
      <c r="F21" s="85">
        <v>84</v>
      </c>
      <c r="G21" s="17">
        <v>25</v>
      </c>
      <c r="H21" s="87">
        <v>75</v>
      </c>
      <c r="I21" s="88">
        <v>48000</v>
      </c>
      <c r="J21" s="88" t="s">
        <v>111</v>
      </c>
      <c r="K21" s="88"/>
      <c r="L21" s="88"/>
      <c r="M21" s="89">
        <f>I21-K21</f>
        <v>48000</v>
      </c>
      <c r="N21" s="4">
        <f>IF(ISERROR(K21/I21),"",K21/I21)</f>
        <v>0</v>
      </c>
      <c r="O21" s="90">
        <f>I21/E21</f>
        <v>1454.5454545454545</v>
      </c>
      <c r="P21" s="90">
        <f>K21/E21</f>
        <v>0</v>
      </c>
      <c r="Q21" s="76">
        <v>3</v>
      </c>
      <c r="R21" s="76">
        <v>2</v>
      </c>
      <c r="S21" s="76" t="s">
        <v>61</v>
      </c>
      <c r="T21" s="5" t="s">
        <v>125</v>
      </c>
      <c r="U21" s="9"/>
      <c r="W21" s="85">
        <f t="shared" si="9"/>
        <v>110.5</v>
      </c>
      <c r="X21" s="86">
        <f t="shared" si="9"/>
        <v>33</v>
      </c>
      <c r="Y21" s="91">
        <f t="shared" si="10"/>
        <v>75</v>
      </c>
      <c r="Z21" s="89">
        <f t="shared" si="10"/>
        <v>48000</v>
      </c>
      <c r="AA21" s="89">
        <f>K21</f>
        <v>0</v>
      </c>
      <c r="AB21" s="89">
        <f t="shared" si="11"/>
        <v>48000</v>
      </c>
      <c r="AC21" s="4">
        <f t="shared" si="11"/>
        <v>0</v>
      </c>
      <c r="AD21" s="90">
        <f t="shared" si="11"/>
        <v>1454.5454545454545</v>
      </c>
      <c r="AE21" s="76" t="str">
        <f>S21</f>
        <v>계</v>
      </c>
      <c r="AF21" s="76" t="str">
        <f>Q21&amp;"/"&amp;R21</f>
        <v>3/2</v>
      </c>
      <c r="AH21" s="20" t="str">
        <f t="shared" si="1"/>
        <v>힐스테이트효자동</v>
      </c>
      <c r="AI21" s="86">
        <f t="shared" si="0"/>
        <v>33</v>
      </c>
      <c r="AJ21" s="76" t="str">
        <f>IF(AI21="","",$AJ$2)</f>
        <v>A-</v>
      </c>
      <c r="AK21" s="76" t="s">
        <v>13</v>
      </c>
      <c r="AL21" s="76" t="s">
        <v>62</v>
      </c>
      <c r="AM21" s="76" t="s">
        <v>63</v>
      </c>
      <c r="AN21" s="76" t="str">
        <f>IF(AI21="","",$AN$2)</f>
        <v>C</v>
      </c>
      <c r="AO21" s="76" t="str">
        <f>IF(N21="","",IF(N21&gt;=$AO$1/100,"O","X"))</f>
        <v>X</v>
      </c>
      <c r="AP21" s="76" t="str">
        <f>IF(I21="","",IF(I21&lt;=$AP$1,"O","X"))</f>
        <v>O</v>
      </c>
      <c r="AQ21" s="76" t="str">
        <f>IF(O21="","",IF(O21&lt;=$AQ$1,"O","X"))</f>
        <v>O</v>
      </c>
      <c r="AR21" s="76" t="str">
        <f>IF(M21="","",IF(M21&lt;=$AR$1,"O","X"))</f>
        <v>X</v>
      </c>
      <c r="AS21" s="76" t="s">
        <v>2</v>
      </c>
      <c r="AT21" s="76" t="str">
        <f>IF(OR(F21="",AI21=""),"",IF(AND((F21&lt;=85),(AI21&gt;=15)),"O","X"))</f>
        <v>O</v>
      </c>
      <c r="AU21" s="76" t="str">
        <f>IF(C21="","",IF(C21&gt;=$AU$1,"O","X"))</f>
        <v>O</v>
      </c>
      <c r="AV21" s="76" t="str">
        <f>IF(AO21="","",IF(AND(AO21="O",AP21="O",AR21="O",AT21="O",AU21="O"),"후보","X"))</f>
        <v>X</v>
      </c>
    </row>
    <row r="22" spans="1:48" x14ac:dyDescent="0.3">
      <c r="A22" s="9" t="s">
        <v>1773</v>
      </c>
      <c r="B22" s="10" t="s">
        <v>1946</v>
      </c>
      <c r="C22" s="87">
        <v>302</v>
      </c>
      <c r="D22" s="85">
        <v>111</v>
      </c>
      <c r="E22" s="86">
        <v>34</v>
      </c>
      <c r="F22" s="85">
        <v>84</v>
      </c>
      <c r="G22" s="17">
        <v>25</v>
      </c>
      <c r="H22" s="87">
        <v>152</v>
      </c>
      <c r="I22" s="88">
        <v>46000</v>
      </c>
      <c r="J22" s="88" t="s">
        <v>83</v>
      </c>
      <c r="K22" s="88">
        <v>39000</v>
      </c>
      <c r="L22" s="88" t="s">
        <v>71</v>
      </c>
      <c r="M22" s="89">
        <f>I22-K22</f>
        <v>7000</v>
      </c>
      <c r="N22" s="4">
        <f>IF(ISERROR(K22/I22),"",K22/I22)</f>
        <v>0.84782608695652173</v>
      </c>
      <c r="O22" s="90">
        <f>I22/E22</f>
        <v>1352.9411764705883</v>
      </c>
      <c r="P22" s="90">
        <f>K22/E22</f>
        <v>1147.0588235294117</v>
      </c>
      <c r="Q22" s="76">
        <v>3</v>
      </c>
      <c r="R22" s="76">
        <v>2</v>
      </c>
      <c r="S22" s="76" t="s">
        <v>61</v>
      </c>
      <c r="T22" s="5" t="s">
        <v>220</v>
      </c>
      <c r="U22" s="9"/>
      <c r="W22" s="85">
        <f t="shared" si="9"/>
        <v>111</v>
      </c>
      <c r="X22" s="86">
        <f t="shared" si="9"/>
        <v>34</v>
      </c>
      <c r="Y22" s="91">
        <f t="shared" si="10"/>
        <v>152</v>
      </c>
      <c r="Z22" s="89">
        <f t="shared" si="10"/>
        <v>46000</v>
      </c>
      <c r="AA22" s="89">
        <f>K22</f>
        <v>39000</v>
      </c>
      <c r="AB22" s="89">
        <f t="shared" si="11"/>
        <v>7000</v>
      </c>
      <c r="AC22" s="4">
        <f t="shared" si="11"/>
        <v>0.84782608695652173</v>
      </c>
      <c r="AD22" s="90">
        <f t="shared" si="11"/>
        <v>1352.9411764705883</v>
      </c>
      <c r="AE22" s="76" t="str">
        <f>S22</f>
        <v>계</v>
      </c>
      <c r="AF22" s="76" t="str">
        <f>Q22&amp;"/"&amp;R22</f>
        <v>3/2</v>
      </c>
      <c r="AH22" s="20" t="str">
        <f t="shared" si="1"/>
        <v>힐스테이트효자동</v>
      </c>
      <c r="AI22" s="86">
        <f t="shared" si="0"/>
        <v>34</v>
      </c>
      <c r="AJ22" s="76" t="str">
        <f>IF(AI22="","",$AJ$2)</f>
        <v>A-</v>
      </c>
      <c r="AK22" s="76" t="s">
        <v>13</v>
      </c>
      <c r="AL22" s="76" t="s">
        <v>62</v>
      </c>
      <c r="AM22" s="76" t="s">
        <v>63</v>
      </c>
      <c r="AN22" s="76" t="str">
        <f>IF(AI22="","",$AN$2)</f>
        <v>C</v>
      </c>
      <c r="AO22" s="76" t="str">
        <f>IF(N22="","",IF(N22&gt;=$AO$1/100,"O","X"))</f>
        <v>O</v>
      </c>
      <c r="AP22" s="76" t="str">
        <f>IF(I22="","",IF(I22&lt;=$AP$1,"O","X"))</f>
        <v>O</v>
      </c>
      <c r="AQ22" s="76" t="str">
        <f>IF(O22="","",IF(O22&lt;=$AQ$1,"O","X"))</f>
        <v>O</v>
      </c>
      <c r="AR22" s="76" t="str">
        <f>IF(M22="","",IF(M22&lt;=$AR$1,"O","X"))</f>
        <v>X</v>
      </c>
      <c r="AS22" s="76" t="s">
        <v>2</v>
      </c>
      <c r="AT22" s="76" t="str">
        <f>IF(OR(F22="",AI22=""),"",IF(AND((F22&lt;=85),(AI22&gt;=15)),"O","X"))</f>
        <v>O</v>
      </c>
      <c r="AU22" s="76" t="str">
        <f>IF(C22="","",IF(C22&gt;=$AU$1,"O","X"))</f>
        <v>O</v>
      </c>
      <c r="AV22" s="76" t="str">
        <f>IF(AO22="","",IF(AND(AO22="O",AP22="O",AR22="O",AT22="O",AU22="O"),"후보","X"))</f>
        <v>X</v>
      </c>
    </row>
    <row r="23" spans="1:48" x14ac:dyDescent="0.3">
      <c r="A23" s="9"/>
      <c r="B23" s="76"/>
      <c r="C23" s="6"/>
      <c r="D23" s="9"/>
      <c r="E23" s="14"/>
      <c r="F23" s="85"/>
      <c r="G23" s="9"/>
      <c r="H23" s="9"/>
      <c r="I23" s="9"/>
      <c r="J23" s="9"/>
      <c r="K23" s="9"/>
      <c r="L23" s="9"/>
      <c r="M23" s="9"/>
      <c r="N23" s="9"/>
      <c r="O23" s="90"/>
      <c r="P23" s="90"/>
      <c r="Q23" s="86"/>
      <c r="R23" s="86"/>
      <c r="S23" s="9"/>
      <c r="T23" s="47"/>
      <c r="U23" s="9"/>
      <c r="W23" s="67" t="str">
        <f>$A$4&amp;" "&amp;A24&amp;"("&amp;B24&amp;","&amp;C24&amp;"^)"</f>
        <v>효자동3가 호반베르디움('07.12.,836^)</v>
      </c>
      <c r="X23" s="68"/>
      <c r="Y23" s="68"/>
      <c r="Z23" s="68"/>
      <c r="AA23" s="68"/>
      <c r="AB23" s="68"/>
      <c r="AC23" s="68"/>
      <c r="AD23" s="68"/>
      <c r="AE23" s="68"/>
      <c r="AF23" s="69"/>
      <c r="AH23" s="20" t="str">
        <f t="shared" si="1"/>
        <v/>
      </c>
      <c r="AI23" s="108" t="str">
        <f t="shared" si="0"/>
        <v/>
      </c>
      <c r="AJ23" s="76"/>
      <c r="AK23" s="76"/>
      <c r="AL23" s="76"/>
      <c r="AM23" s="76"/>
      <c r="AN23" s="76"/>
      <c r="AO23" s="76"/>
      <c r="AP23" s="76"/>
      <c r="AQ23" s="76"/>
      <c r="AR23" s="76"/>
      <c r="AS23" s="76"/>
      <c r="AT23" s="76"/>
      <c r="AU23" s="76"/>
      <c r="AV23" s="76"/>
    </row>
    <row r="24" spans="1:48" x14ac:dyDescent="0.3">
      <c r="A24" s="9" t="s">
        <v>1778</v>
      </c>
      <c r="B24" s="10" t="s">
        <v>1947</v>
      </c>
      <c r="C24" s="87">
        <v>836</v>
      </c>
      <c r="D24" s="85">
        <v>112.8</v>
      </c>
      <c r="E24" s="86">
        <v>34</v>
      </c>
      <c r="F24" s="85">
        <v>84.9</v>
      </c>
      <c r="G24" s="17">
        <v>26</v>
      </c>
      <c r="H24" s="87">
        <v>276</v>
      </c>
      <c r="I24" s="88">
        <v>43000</v>
      </c>
      <c r="J24" s="88" t="s">
        <v>83</v>
      </c>
      <c r="K24" s="88">
        <v>38000</v>
      </c>
      <c r="L24" s="88" t="s">
        <v>75</v>
      </c>
      <c r="M24" s="89">
        <f>I24-K24</f>
        <v>5000</v>
      </c>
      <c r="N24" s="4">
        <f>IF(ISERROR(K24/I24),"",K24/I24)</f>
        <v>0.88372093023255816</v>
      </c>
      <c r="O24" s="90">
        <f>I24/E24</f>
        <v>1264.7058823529412</v>
      </c>
      <c r="P24" s="90">
        <f>K24/E24</f>
        <v>1117.6470588235295</v>
      </c>
      <c r="Q24" s="76">
        <v>3</v>
      </c>
      <c r="R24" s="76">
        <v>2</v>
      </c>
      <c r="S24" s="76" t="s">
        <v>61</v>
      </c>
      <c r="T24" s="5" t="s">
        <v>319</v>
      </c>
      <c r="U24" s="9"/>
      <c r="W24" s="85">
        <f t="shared" ref="W24:X26" si="12">D24</f>
        <v>112.8</v>
      </c>
      <c r="X24" s="86">
        <f t="shared" si="12"/>
        <v>34</v>
      </c>
      <c r="Y24" s="91">
        <f t="shared" ref="Y24:Z26" si="13">H24</f>
        <v>276</v>
      </c>
      <c r="Z24" s="89">
        <f t="shared" si="13"/>
        <v>43000</v>
      </c>
      <c r="AA24" s="89">
        <f>K24</f>
        <v>38000</v>
      </c>
      <c r="AB24" s="89">
        <f t="shared" ref="AB24:AD26" si="14">M24</f>
        <v>5000</v>
      </c>
      <c r="AC24" s="4">
        <f t="shared" si="14"/>
        <v>0.88372093023255816</v>
      </c>
      <c r="AD24" s="90">
        <f t="shared" si="14"/>
        <v>1264.7058823529412</v>
      </c>
      <c r="AE24" s="76" t="str">
        <f>S24</f>
        <v>계</v>
      </c>
      <c r="AF24" s="76" t="str">
        <f>Q24&amp;"/"&amp;R24</f>
        <v>3/2</v>
      </c>
      <c r="AH24" s="20" t="str">
        <f t="shared" si="1"/>
        <v>호반베르디움</v>
      </c>
      <c r="AI24" s="86">
        <f t="shared" si="0"/>
        <v>34</v>
      </c>
      <c r="AJ24" s="76" t="str">
        <f>IF(AI24="","",$AJ$2)</f>
        <v>A-</v>
      </c>
      <c r="AK24" s="76" t="s">
        <v>13</v>
      </c>
      <c r="AL24" s="76" t="s">
        <v>62</v>
      </c>
      <c r="AM24" s="76" t="s">
        <v>63</v>
      </c>
      <c r="AN24" s="76" t="str">
        <f>IF(AI24="","",$AN$2)</f>
        <v>C</v>
      </c>
      <c r="AO24" s="76" t="str">
        <f>IF(N24="","",IF(N24&gt;=$AO$1/100,"O","X"))</f>
        <v>O</v>
      </c>
      <c r="AP24" s="76" t="str">
        <f>IF(I24="","",IF(I24&lt;=$AP$1,"O","X"))</f>
        <v>O</v>
      </c>
      <c r="AQ24" s="76" t="str">
        <f>IF(O24="","",IF(O24&lt;=$AQ$1,"O","X"))</f>
        <v>O</v>
      </c>
      <c r="AR24" s="76" t="str">
        <f>IF(M24="","",IF(M24&lt;=$AR$1,"O","X"))</f>
        <v>O</v>
      </c>
      <c r="AS24" s="76" t="s">
        <v>2</v>
      </c>
      <c r="AT24" s="76" t="str">
        <f>IF(OR(F24="",AI24=""),"",IF(AND((F24&lt;=85),(AI24&gt;=15)),"O","X"))</f>
        <v>O</v>
      </c>
      <c r="AU24" s="76" t="str">
        <f>IF(C24="","",IF(C24&gt;=$AU$1,"O","X"))</f>
        <v>O</v>
      </c>
      <c r="AV24" s="76" t="str">
        <f>IF(AO24="","",IF(AND(AO24="O",AP24="O",AR24="O",AT24="O",AU24="O"),"후보","X"))</f>
        <v>후보</v>
      </c>
    </row>
    <row r="25" spans="1:48" x14ac:dyDescent="0.3">
      <c r="A25" s="9" t="s">
        <v>1778</v>
      </c>
      <c r="B25" s="10" t="s">
        <v>1947</v>
      </c>
      <c r="C25" s="87">
        <v>836</v>
      </c>
      <c r="D25" s="85">
        <v>113.1</v>
      </c>
      <c r="E25" s="86">
        <v>34</v>
      </c>
      <c r="F25" s="85">
        <v>84.8</v>
      </c>
      <c r="G25" s="17">
        <v>26</v>
      </c>
      <c r="H25" s="87">
        <v>290</v>
      </c>
      <c r="I25" s="88">
        <v>44200</v>
      </c>
      <c r="J25" s="88" t="s">
        <v>85</v>
      </c>
      <c r="K25" s="88">
        <v>38000</v>
      </c>
      <c r="L25" s="88" t="s">
        <v>181</v>
      </c>
      <c r="M25" s="89">
        <f>I25-K25</f>
        <v>6200</v>
      </c>
      <c r="N25" s="4">
        <f>IF(ISERROR(K25/I25),"",K25/I25)</f>
        <v>0.85972850678733037</v>
      </c>
      <c r="O25" s="90">
        <f>I25/E25</f>
        <v>1300</v>
      </c>
      <c r="P25" s="90">
        <f>K25/E25</f>
        <v>1117.6470588235295</v>
      </c>
      <c r="Q25" s="76">
        <v>3</v>
      </c>
      <c r="R25" s="76">
        <v>2</v>
      </c>
      <c r="S25" s="76" t="s">
        <v>61</v>
      </c>
      <c r="T25" s="5" t="s">
        <v>478</v>
      </c>
      <c r="U25" s="9"/>
      <c r="W25" s="85">
        <f t="shared" si="12"/>
        <v>113.1</v>
      </c>
      <c r="X25" s="86">
        <f t="shared" si="12"/>
        <v>34</v>
      </c>
      <c r="Y25" s="91">
        <f t="shared" si="13"/>
        <v>290</v>
      </c>
      <c r="Z25" s="89">
        <f t="shared" si="13"/>
        <v>44200</v>
      </c>
      <c r="AA25" s="89">
        <f>K25</f>
        <v>38000</v>
      </c>
      <c r="AB25" s="89">
        <f t="shared" si="14"/>
        <v>6200</v>
      </c>
      <c r="AC25" s="4">
        <f t="shared" si="14"/>
        <v>0.85972850678733037</v>
      </c>
      <c r="AD25" s="90">
        <f t="shared" si="14"/>
        <v>1300</v>
      </c>
      <c r="AE25" s="76" t="str">
        <f>S25</f>
        <v>계</v>
      </c>
      <c r="AF25" s="76" t="str">
        <f>Q25&amp;"/"&amp;R25</f>
        <v>3/2</v>
      </c>
      <c r="AH25" s="20" t="str">
        <f t="shared" si="1"/>
        <v>호반베르디움</v>
      </c>
      <c r="AI25" s="86">
        <f t="shared" si="0"/>
        <v>34</v>
      </c>
      <c r="AJ25" s="76" t="str">
        <f>IF(AI25="","",$AJ$2)</f>
        <v>A-</v>
      </c>
      <c r="AK25" s="76" t="s">
        <v>13</v>
      </c>
      <c r="AL25" s="76" t="s">
        <v>62</v>
      </c>
      <c r="AM25" s="76" t="s">
        <v>63</v>
      </c>
      <c r="AN25" s="76" t="str">
        <f>IF(AI25="","",$AN$2)</f>
        <v>C</v>
      </c>
      <c r="AO25" s="76" t="str">
        <f>IF(N25="","",IF(N25&gt;=$AO$1/100,"O","X"))</f>
        <v>O</v>
      </c>
      <c r="AP25" s="76" t="str">
        <f>IF(I25="","",IF(I25&lt;=$AP$1,"O","X"))</f>
        <v>O</v>
      </c>
      <c r="AQ25" s="76" t="str">
        <f>IF(O25="","",IF(O25&lt;=$AQ$1,"O","X"))</f>
        <v>O</v>
      </c>
      <c r="AR25" s="76" t="str">
        <f>IF(M25="","",IF(M25&lt;=$AR$1,"O","X"))</f>
        <v>X</v>
      </c>
      <c r="AS25" s="76" t="s">
        <v>2</v>
      </c>
      <c r="AT25" s="76" t="str">
        <f>IF(OR(F25="",AI25=""),"",IF(AND((F25&lt;=85),(AI25&gt;=15)),"O","X"))</f>
        <v>O</v>
      </c>
      <c r="AU25" s="76" t="str">
        <f>IF(C25="","",IF(C25&gt;=$AU$1,"O","X"))</f>
        <v>O</v>
      </c>
      <c r="AV25" s="76" t="str">
        <f>IF(AO25="","",IF(AND(AO25="O",AP25="O",AR25="O",AT25="O",AU25="O"),"후보","X"))</f>
        <v>X</v>
      </c>
    </row>
    <row r="26" spans="1:48" x14ac:dyDescent="0.3">
      <c r="A26" s="9" t="s">
        <v>1778</v>
      </c>
      <c r="B26" s="10" t="s">
        <v>1947</v>
      </c>
      <c r="C26" s="87">
        <v>836</v>
      </c>
      <c r="D26" s="85">
        <v>114.4</v>
      </c>
      <c r="E26" s="86">
        <v>35</v>
      </c>
      <c r="F26" s="85">
        <v>85</v>
      </c>
      <c r="G26" s="17">
        <v>26</v>
      </c>
      <c r="H26" s="87">
        <v>270</v>
      </c>
      <c r="I26" s="88">
        <v>46000</v>
      </c>
      <c r="J26" s="88" t="s">
        <v>71</v>
      </c>
      <c r="K26" s="88">
        <v>36000</v>
      </c>
      <c r="L26" s="88" t="s">
        <v>89</v>
      </c>
      <c r="M26" s="89">
        <f>I26-K26</f>
        <v>10000</v>
      </c>
      <c r="N26" s="4">
        <f>IF(ISERROR(K26/I26),"",K26/I26)</f>
        <v>0.78260869565217395</v>
      </c>
      <c r="O26" s="90">
        <f>I26/E26</f>
        <v>1314.2857142857142</v>
      </c>
      <c r="P26" s="90">
        <f>K26/E26</f>
        <v>1028.5714285714287</v>
      </c>
      <c r="Q26" s="76">
        <v>3</v>
      </c>
      <c r="R26" s="76">
        <v>2</v>
      </c>
      <c r="S26" s="76" t="s">
        <v>61</v>
      </c>
      <c r="T26" s="5" t="s">
        <v>479</v>
      </c>
      <c r="U26" s="9"/>
      <c r="W26" s="85">
        <f t="shared" si="12"/>
        <v>114.4</v>
      </c>
      <c r="X26" s="86">
        <f t="shared" si="12"/>
        <v>35</v>
      </c>
      <c r="Y26" s="91">
        <f t="shared" si="13"/>
        <v>270</v>
      </c>
      <c r="Z26" s="89">
        <f t="shared" si="13"/>
        <v>46000</v>
      </c>
      <c r="AA26" s="89">
        <f>K26</f>
        <v>36000</v>
      </c>
      <c r="AB26" s="89">
        <f t="shared" si="14"/>
        <v>10000</v>
      </c>
      <c r="AC26" s="4">
        <f t="shared" si="14"/>
        <v>0.78260869565217395</v>
      </c>
      <c r="AD26" s="90">
        <f t="shared" si="14"/>
        <v>1314.2857142857142</v>
      </c>
      <c r="AE26" s="76" t="str">
        <f>S26</f>
        <v>계</v>
      </c>
      <c r="AF26" s="76" t="str">
        <f>Q26&amp;"/"&amp;R26</f>
        <v>3/2</v>
      </c>
      <c r="AH26" s="20" t="str">
        <f t="shared" si="1"/>
        <v>호반베르디움</v>
      </c>
      <c r="AI26" s="86">
        <f t="shared" si="0"/>
        <v>35</v>
      </c>
      <c r="AJ26" s="76" t="str">
        <f>IF(AI26="","",$AJ$2)</f>
        <v>A-</v>
      </c>
      <c r="AK26" s="76" t="s">
        <v>13</v>
      </c>
      <c r="AL26" s="76" t="s">
        <v>62</v>
      </c>
      <c r="AM26" s="76" t="s">
        <v>63</v>
      </c>
      <c r="AN26" s="76" t="str">
        <f>IF(AI26="","",$AN$2)</f>
        <v>C</v>
      </c>
      <c r="AO26" s="76" t="str">
        <f>IF(N26="","",IF(N26&gt;=$AO$1/100,"O","X"))</f>
        <v>X</v>
      </c>
      <c r="AP26" s="76" t="str">
        <f>IF(I26="","",IF(I26&lt;=$AP$1,"O","X"))</f>
        <v>O</v>
      </c>
      <c r="AQ26" s="76" t="str">
        <f>IF(O26="","",IF(O26&lt;=$AQ$1,"O","X"))</f>
        <v>O</v>
      </c>
      <c r="AR26" s="76" t="str">
        <f>IF(M26="","",IF(M26&lt;=$AR$1,"O","X"))</f>
        <v>X</v>
      </c>
      <c r="AS26" s="76" t="s">
        <v>2</v>
      </c>
      <c r="AT26" s="76" t="str">
        <f>IF(OR(F26="",AI26=""),"",IF(AND((F26&lt;=85),(AI26&gt;=15)),"O","X"))</f>
        <v>O</v>
      </c>
      <c r="AU26" s="76" t="str">
        <f>IF(C26="","",IF(C26&gt;=$AU$1,"O","X"))</f>
        <v>O</v>
      </c>
      <c r="AV26" s="76" t="str">
        <f>IF(AO26="","",IF(AND(AO26="O",AP26="O",AR26="O",AT26="O",AU26="O"),"후보","X"))</f>
        <v>X</v>
      </c>
    </row>
    <row r="27" spans="1:48" x14ac:dyDescent="0.3">
      <c r="A27" s="9"/>
      <c r="B27" s="76"/>
      <c r="C27" s="6"/>
      <c r="D27" s="9"/>
      <c r="E27" s="14"/>
      <c r="F27" s="85"/>
      <c r="G27" s="9"/>
      <c r="H27" s="9"/>
      <c r="I27" s="9"/>
      <c r="J27" s="9"/>
      <c r="K27" s="9"/>
      <c r="L27" s="9"/>
      <c r="M27" s="9"/>
      <c r="N27" s="9"/>
      <c r="O27" s="90"/>
      <c r="P27" s="90"/>
      <c r="Q27" s="86"/>
      <c r="R27" s="86"/>
      <c r="S27" s="9"/>
      <c r="T27" s="47"/>
      <c r="U27" s="9"/>
      <c r="W27" s="67" t="str">
        <f>$A$4&amp;" "&amp;A28&amp;"("&amp;B28&amp;","&amp;C28&amp;"^)"</f>
        <v>효자동3가 서곡LG('99.11.,328^)</v>
      </c>
      <c r="X27" s="68"/>
      <c r="Y27" s="68"/>
      <c r="Z27" s="68"/>
      <c r="AA27" s="68"/>
      <c r="AB27" s="68"/>
      <c r="AC27" s="68"/>
      <c r="AD27" s="68"/>
      <c r="AE27" s="68"/>
      <c r="AF27" s="69"/>
      <c r="AH27" s="20" t="str">
        <f t="shared" si="1"/>
        <v/>
      </c>
      <c r="AI27" s="108" t="str">
        <f t="shared" si="0"/>
        <v/>
      </c>
      <c r="AJ27" s="76"/>
      <c r="AK27" s="76"/>
      <c r="AL27" s="76"/>
      <c r="AM27" s="76"/>
      <c r="AN27" s="76"/>
      <c r="AO27" s="76"/>
      <c r="AP27" s="76"/>
      <c r="AQ27" s="76"/>
      <c r="AR27" s="76"/>
      <c r="AS27" s="76"/>
      <c r="AT27" s="76"/>
      <c r="AU27" s="76"/>
      <c r="AV27" s="76"/>
    </row>
    <row r="28" spans="1:48" x14ac:dyDescent="0.3">
      <c r="A28" s="9" t="s">
        <v>1794</v>
      </c>
      <c r="B28" s="10" t="s">
        <v>1948</v>
      </c>
      <c r="C28" s="87">
        <v>328</v>
      </c>
      <c r="D28" s="85">
        <v>125.7</v>
      </c>
      <c r="E28" s="86">
        <v>38</v>
      </c>
      <c r="F28" s="85">
        <v>100.5</v>
      </c>
      <c r="G28" s="17">
        <v>30</v>
      </c>
      <c r="H28" s="87">
        <v>178</v>
      </c>
      <c r="I28" s="88">
        <v>30000</v>
      </c>
      <c r="J28" s="88" t="s">
        <v>181</v>
      </c>
      <c r="K28" s="88"/>
      <c r="L28" s="88"/>
      <c r="M28" s="89">
        <f>I28-K28</f>
        <v>30000</v>
      </c>
      <c r="N28" s="4">
        <f>IF(ISERROR(K28/I28),"",K28/I28)</f>
        <v>0</v>
      </c>
      <c r="O28" s="90">
        <f>I28/E28</f>
        <v>789.47368421052636</v>
      </c>
      <c r="P28" s="90">
        <f>K28/E28</f>
        <v>0</v>
      </c>
      <c r="Q28" s="76">
        <v>3</v>
      </c>
      <c r="R28" s="76">
        <v>2</v>
      </c>
      <c r="S28" s="76" t="s">
        <v>61</v>
      </c>
      <c r="T28" s="5">
        <v>125</v>
      </c>
      <c r="U28" s="9"/>
      <c r="W28" s="85">
        <f>D28</f>
        <v>125.7</v>
      </c>
      <c r="X28" s="86">
        <f>E28</f>
        <v>38</v>
      </c>
      <c r="Y28" s="91">
        <f>H28</f>
        <v>178</v>
      </c>
      <c r="Z28" s="89">
        <f>I28</f>
        <v>30000</v>
      </c>
      <c r="AA28" s="89">
        <f>K28</f>
        <v>0</v>
      </c>
      <c r="AB28" s="89">
        <f t="shared" ref="AB28:AD29" si="15">M28</f>
        <v>30000</v>
      </c>
      <c r="AC28" s="4">
        <f t="shared" si="15"/>
        <v>0</v>
      </c>
      <c r="AD28" s="90">
        <f t="shared" si="15"/>
        <v>789.47368421052636</v>
      </c>
      <c r="AE28" s="76" t="str">
        <f>S28</f>
        <v>계</v>
      </c>
      <c r="AF28" s="76" t="str">
        <f>Q28&amp;"/"&amp;R28</f>
        <v>3/2</v>
      </c>
      <c r="AH28" s="20" t="str">
        <f t="shared" si="1"/>
        <v>서곡LG</v>
      </c>
      <c r="AI28" s="86">
        <f t="shared" si="0"/>
        <v>38</v>
      </c>
      <c r="AJ28" s="76" t="str">
        <f>IF(AI28="","",$AJ$2)</f>
        <v>A-</v>
      </c>
      <c r="AK28" s="76" t="s">
        <v>13</v>
      </c>
      <c r="AL28" s="76" t="s">
        <v>62</v>
      </c>
      <c r="AM28" s="76" t="s">
        <v>63</v>
      </c>
      <c r="AN28" s="76" t="str">
        <f>IF(AI28="","",$AN$2)</f>
        <v>C</v>
      </c>
      <c r="AO28" s="76" t="str">
        <f>IF(N28="","",IF(N28&gt;=$AO$1/100,"O","X"))</f>
        <v>X</v>
      </c>
      <c r="AP28" s="76" t="str">
        <f>IF(I28="","",IF(I28&lt;=$AP$1,"O","X"))</f>
        <v>O</v>
      </c>
      <c r="AQ28" s="76" t="str">
        <f>IF(O28="","",IF(O28&lt;=$AQ$1,"O","X"))</f>
        <v>O</v>
      </c>
      <c r="AR28" s="76" t="str">
        <f>IF(M28="","",IF(M28&lt;=$AR$1,"O","X"))</f>
        <v>X</v>
      </c>
      <c r="AS28" s="76" t="s">
        <v>2</v>
      </c>
      <c r="AT28" s="76" t="str">
        <f>IF(OR(F28="",AI28=""),"",IF(AND((F28&lt;=85),(AI28&gt;=15)),"O","X"))</f>
        <v>X</v>
      </c>
      <c r="AU28" s="76" t="str">
        <f>IF(C28="","",IF(C28&gt;=$AU$1,"O","X"))</f>
        <v>O</v>
      </c>
      <c r="AV28" s="76" t="str">
        <f>IF(AO28="","",IF(AND(AO28="O",AP28="O",AR28="O",AT28="O",AU28="O"),"후보","X"))</f>
        <v>X</v>
      </c>
    </row>
    <row r="29" spans="1:48" x14ac:dyDescent="0.3">
      <c r="A29" s="9" t="s">
        <v>1794</v>
      </c>
      <c r="B29" s="10" t="s">
        <v>1948</v>
      </c>
      <c r="C29" s="87">
        <v>328</v>
      </c>
      <c r="D29" s="85">
        <v>157.19999999999999</v>
      </c>
      <c r="E29" s="86">
        <v>48</v>
      </c>
      <c r="F29" s="85">
        <v>134.4</v>
      </c>
      <c r="G29" s="17">
        <v>41</v>
      </c>
      <c r="H29" s="87">
        <v>150</v>
      </c>
      <c r="I29" s="88">
        <v>35000</v>
      </c>
      <c r="J29" s="88" t="s">
        <v>104</v>
      </c>
      <c r="K29" s="88"/>
      <c r="L29" s="88"/>
      <c r="M29" s="89">
        <f>I29-K29</f>
        <v>35000</v>
      </c>
      <c r="N29" s="4">
        <f>IF(ISERROR(K29/I29),"",K29/I29)</f>
        <v>0</v>
      </c>
      <c r="O29" s="90">
        <f>I29/E29</f>
        <v>729.16666666666663</v>
      </c>
      <c r="P29" s="90">
        <f>K29/E29</f>
        <v>0</v>
      </c>
      <c r="Q29" s="76">
        <v>4</v>
      </c>
      <c r="R29" s="76">
        <v>2</v>
      </c>
      <c r="S29" s="76" t="s">
        <v>61</v>
      </c>
      <c r="T29" s="5">
        <v>157</v>
      </c>
      <c r="U29" s="9"/>
      <c r="W29" s="85">
        <f>D29</f>
        <v>157.19999999999999</v>
      </c>
      <c r="X29" s="86">
        <f>E29</f>
        <v>48</v>
      </c>
      <c r="Y29" s="91">
        <f>H29</f>
        <v>150</v>
      </c>
      <c r="Z29" s="89">
        <f>I29</f>
        <v>35000</v>
      </c>
      <c r="AA29" s="89">
        <f>K29</f>
        <v>0</v>
      </c>
      <c r="AB29" s="89">
        <f t="shared" si="15"/>
        <v>35000</v>
      </c>
      <c r="AC29" s="4">
        <f t="shared" si="15"/>
        <v>0</v>
      </c>
      <c r="AD29" s="90">
        <f t="shared" si="15"/>
        <v>729.16666666666663</v>
      </c>
      <c r="AE29" s="76" t="str">
        <f>S29</f>
        <v>계</v>
      </c>
      <c r="AF29" s="76" t="str">
        <f>Q29&amp;"/"&amp;R29</f>
        <v>4/2</v>
      </c>
      <c r="AH29" s="20" t="str">
        <f t="shared" si="1"/>
        <v>서곡LG</v>
      </c>
      <c r="AI29" s="86">
        <f t="shared" si="0"/>
        <v>48</v>
      </c>
      <c r="AJ29" s="76" t="str">
        <f>IF(AI29="","",$AJ$2)</f>
        <v>A-</v>
      </c>
      <c r="AK29" s="76" t="s">
        <v>13</v>
      </c>
      <c r="AL29" s="76" t="s">
        <v>62</v>
      </c>
      <c r="AM29" s="76" t="s">
        <v>63</v>
      </c>
      <c r="AN29" s="76" t="str">
        <f>IF(AI29="","",$AN$2)</f>
        <v>C</v>
      </c>
      <c r="AO29" s="76" t="str">
        <f>IF(N29="","",IF(N29&gt;=$AO$1/100,"O","X"))</f>
        <v>X</v>
      </c>
      <c r="AP29" s="76" t="str">
        <f>IF(I29="","",IF(I29&lt;=$AP$1,"O","X"))</f>
        <v>O</v>
      </c>
      <c r="AQ29" s="76" t="str">
        <f>IF(O29="","",IF(O29&lt;=$AQ$1,"O","X"))</f>
        <v>O</v>
      </c>
      <c r="AR29" s="76" t="str">
        <f>IF(M29="","",IF(M29&lt;=$AR$1,"O","X"))</f>
        <v>X</v>
      </c>
      <c r="AS29" s="76" t="s">
        <v>2</v>
      </c>
      <c r="AT29" s="76" t="str">
        <f>IF(OR(F29="",AI29=""),"",IF(AND((F29&lt;=85),(AI29&gt;=15)),"O","X"))</f>
        <v>X</v>
      </c>
      <c r="AU29" s="76" t="str">
        <f>IF(C29="","",IF(C29&gt;=$AU$1,"O","X"))</f>
        <v>O</v>
      </c>
      <c r="AV29" s="76" t="str">
        <f>IF(AO29="","",IF(AND(AO29="O",AP29="O",AR29="O",AT29="O",AU29="O"),"후보","X"))</f>
        <v>X</v>
      </c>
    </row>
    <row r="30" spans="1:48" x14ac:dyDescent="0.3">
      <c r="A30" s="9"/>
      <c r="B30" s="76"/>
      <c r="C30" s="6"/>
      <c r="D30" s="9"/>
      <c r="E30" s="14"/>
      <c r="F30" s="85"/>
      <c r="G30" s="9"/>
      <c r="H30" s="9"/>
      <c r="I30" s="9"/>
      <c r="J30" s="9"/>
      <c r="K30" s="9"/>
      <c r="L30" s="9"/>
      <c r="M30" s="9"/>
      <c r="N30" s="9"/>
      <c r="O30" s="90"/>
      <c r="P30" s="90"/>
      <c r="Q30" s="86"/>
      <c r="R30" s="86"/>
      <c r="S30" s="9"/>
      <c r="T30" s="47"/>
      <c r="U30" s="9"/>
      <c r="W30" s="67" t="str">
        <f>$A$4&amp;" "&amp;A31&amp;"("&amp;B31&amp;","&amp;C31&amp;"^)"</f>
        <v>효자동3가 서곡대림('99.10.,438^)</v>
      </c>
      <c r="X30" s="68"/>
      <c r="Y30" s="68"/>
      <c r="Z30" s="68"/>
      <c r="AA30" s="68"/>
      <c r="AB30" s="68"/>
      <c r="AC30" s="68"/>
      <c r="AD30" s="68"/>
      <c r="AE30" s="68"/>
      <c r="AF30" s="69"/>
      <c r="AH30" s="20" t="str">
        <f t="shared" si="1"/>
        <v/>
      </c>
      <c r="AI30" s="108" t="str">
        <f t="shared" si="0"/>
        <v/>
      </c>
      <c r="AJ30" s="76"/>
      <c r="AK30" s="76"/>
      <c r="AL30" s="76"/>
      <c r="AM30" s="76"/>
      <c r="AN30" s="76"/>
      <c r="AO30" s="76"/>
      <c r="AP30" s="76"/>
      <c r="AQ30" s="76"/>
      <c r="AR30" s="76"/>
      <c r="AS30" s="76"/>
      <c r="AT30" s="76"/>
      <c r="AU30" s="76"/>
      <c r="AV30" s="76"/>
    </row>
    <row r="31" spans="1:48" x14ac:dyDescent="0.3">
      <c r="A31" s="9" t="s">
        <v>1799</v>
      </c>
      <c r="B31" s="10" t="s">
        <v>1869</v>
      </c>
      <c r="C31" s="87">
        <v>438</v>
      </c>
      <c r="D31" s="85">
        <v>77.900000000000006</v>
      </c>
      <c r="E31" s="86">
        <v>24</v>
      </c>
      <c r="F31" s="85">
        <v>59.9</v>
      </c>
      <c r="G31" s="17">
        <v>18</v>
      </c>
      <c r="H31" s="87">
        <v>324</v>
      </c>
      <c r="I31" s="88">
        <v>16000</v>
      </c>
      <c r="J31" s="88" t="s">
        <v>75</v>
      </c>
      <c r="K31" s="88">
        <v>15000</v>
      </c>
      <c r="L31" s="88" t="s">
        <v>131</v>
      </c>
      <c r="M31" s="89">
        <f>I31-K31</f>
        <v>1000</v>
      </c>
      <c r="N31" s="4">
        <f>IF(ISERROR(K31/I31),"",K31/I31)</f>
        <v>0.9375</v>
      </c>
      <c r="O31" s="90">
        <f>I31/E31</f>
        <v>666.66666666666663</v>
      </c>
      <c r="P31" s="90">
        <f>K31/E31</f>
        <v>625</v>
      </c>
      <c r="Q31" s="76">
        <v>3</v>
      </c>
      <c r="R31" s="76">
        <v>2</v>
      </c>
      <c r="S31" s="76" t="s">
        <v>61</v>
      </c>
      <c r="T31" s="5">
        <v>77</v>
      </c>
      <c r="U31" s="9"/>
      <c r="W31" s="85">
        <f>D31</f>
        <v>77.900000000000006</v>
      </c>
      <c r="X31" s="86">
        <f>E31</f>
        <v>24</v>
      </c>
      <c r="Y31" s="91">
        <f>H31</f>
        <v>324</v>
      </c>
      <c r="Z31" s="89">
        <f>I31</f>
        <v>16000</v>
      </c>
      <c r="AA31" s="89">
        <f>K31</f>
        <v>15000</v>
      </c>
      <c r="AB31" s="89">
        <f t="shared" ref="AB31:AD32" si="16">M31</f>
        <v>1000</v>
      </c>
      <c r="AC31" s="4">
        <f t="shared" si="16"/>
        <v>0.9375</v>
      </c>
      <c r="AD31" s="90">
        <f t="shared" si="16"/>
        <v>666.66666666666663</v>
      </c>
      <c r="AE31" s="76" t="str">
        <f>S31</f>
        <v>계</v>
      </c>
      <c r="AF31" s="76" t="str">
        <f>Q31&amp;"/"&amp;R31</f>
        <v>3/2</v>
      </c>
      <c r="AH31" s="20" t="str">
        <f t="shared" si="1"/>
        <v>서곡대림</v>
      </c>
      <c r="AI31" s="86">
        <f t="shared" si="0"/>
        <v>24</v>
      </c>
      <c r="AJ31" s="76" t="str">
        <f>IF(AI31="","",$AJ$2)</f>
        <v>A-</v>
      </c>
      <c r="AK31" s="76" t="s">
        <v>13</v>
      </c>
      <c r="AL31" s="76" t="s">
        <v>62</v>
      </c>
      <c r="AM31" s="76" t="s">
        <v>63</v>
      </c>
      <c r="AN31" s="76" t="str">
        <f>IF(AI31="","",$AN$2)</f>
        <v>C</v>
      </c>
      <c r="AO31" s="76" t="str">
        <f>IF(N31="","",IF(N31&gt;=$AO$1/100,"O","X"))</f>
        <v>O</v>
      </c>
      <c r="AP31" s="76" t="str">
        <f>IF(I31="","",IF(I31&lt;=$AP$1,"O","X"))</f>
        <v>O</v>
      </c>
      <c r="AQ31" s="76" t="str">
        <f>IF(O31="","",IF(O31&lt;=$AQ$1,"O","X"))</f>
        <v>O</v>
      </c>
      <c r="AR31" s="76" t="str">
        <f>IF(M31="","",IF(M31&lt;=$AR$1,"O","X"))</f>
        <v>O</v>
      </c>
      <c r="AS31" s="76" t="s">
        <v>2</v>
      </c>
      <c r="AT31" s="76" t="str">
        <f>IF(OR(F31="",AI31=""),"",IF(AND((F31&lt;=85),(AI31&gt;=15)),"O","X"))</f>
        <v>O</v>
      </c>
      <c r="AU31" s="76" t="str">
        <f>IF(C31="","",IF(C31&gt;=$AU$1,"O","X"))</f>
        <v>O</v>
      </c>
      <c r="AV31" s="76" t="str">
        <f>IF(AO31="","",IF(AND(AO31="O",AP31="O",AR31="O",AT31="O",AU31="O"),"후보","X"))</f>
        <v>후보</v>
      </c>
    </row>
    <row r="32" spans="1:48" x14ac:dyDescent="0.3">
      <c r="A32" s="9" t="s">
        <v>1799</v>
      </c>
      <c r="B32" s="10" t="s">
        <v>1869</v>
      </c>
      <c r="C32" s="87">
        <v>438</v>
      </c>
      <c r="D32" s="85">
        <v>79.400000000000006</v>
      </c>
      <c r="E32" s="86">
        <v>24</v>
      </c>
      <c r="F32" s="85">
        <v>59.9</v>
      </c>
      <c r="G32" s="17">
        <v>18</v>
      </c>
      <c r="H32" s="87">
        <v>114</v>
      </c>
      <c r="I32" s="88">
        <v>15500</v>
      </c>
      <c r="J32" s="88" t="s">
        <v>75</v>
      </c>
      <c r="K32" s="88">
        <v>15000</v>
      </c>
      <c r="L32" s="88" t="s">
        <v>85</v>
      </c>
      <c r="M32" s="89">
        <f>I32-K32</f>
        <v>500</v>
      </c>
      <c r="N32" s="4">
        <f>IF(ISERROR(K32/I32),"",K32/I32)</f>
        <v>0.967741935483871</v>
      </c>
      <c r="O32" s="90">
        <f>I32/E32</f>
        <v>645.83333333333337</v>
      </c>
      <c r="P32" s="90">
        <f>K32/E32</f>
        <v>625</v>
      </c>
      <c r="Q32" s="76">
        <v>2</v>
      </c>
      <c r="R32" s="76">
        <v>1</v>
      </c>
      <c r="S32" s="76" t="s">
        <v>61</v>
      </c>
      <c r="T32" s="5">
        <v>79</v>
      </c>
      <c r="U32" s="9"/>
      <c r="W32" s="85">
        <f>D32</f>
        <v>79.400000000000006</v>
      </c>
      <c r="X32" s="86">
        <f>E32</f>
        <v>24</v>
      </c>
      <c r="Y32" s="91">
        <f>H32</f>
        <v>114</v>
      </c>
      <c r="Z32" s="89">
        <f>I32</f>
        <v>15500</v>
      </c>
      <c r="AA32" s="89">
        <f>K32</f>
        <v>15000</v>
      </c>
      <c r="AB32" s="89">
        <f t="shared" si="16"/>
        <v>500</v>
      </c>
      <c r="AC32" s="4">
        <f t="shared" si="16"/>
        <v>0.967741935483871</v>
      </c>
      <c r="AD32" s="90">
        <f t="shared" si="16"/>
        <v>645.83333333333337</v>
      </c>
      <c r="AE32" s="76" t="str">
        <f>S32</f>
        <v>계</v>
      </c>
      <c r="AF32" s="76" t="str">
        <f>Q32&amp;"/"&amp;R32</f>
        <v>2/1</v>
      </c>
      <c r="AH32" s="20" t="str">
        <f t="shared" si="1"/>
        <v>서곡대림</v>
      </c>
      <c r="AI32" s="86">
        <f t="shared" si="0"/>
        <v>24</v>
      </c>
      <c r="AJ32" s="76" t="str">
        <f>IF(AI32="","",$AJ$2)</f>
        <v>A-</v>
      </c>
      <c r="AK32" s="76" t="s">
        <v>13</v>
      </c>
      <c r="AL32" s="76" t="s">
        <v>62</v>
      </c>
      <c r="AM32" s="76" t="s">
        <v>63</v>
      </c>
      <c r="AN32" s="76" t="str">
        <f>IF(AI32="","",$AN$2)</f>
        <v>C</v>
      </c>
      <c r="AO32" s="76" t="str">
        <f>IF(N32="","",IF(N32&gt;=$AO$1/100,"O","X"))</f>
        <v>O</v>
      </c>
      <c r="AP32" s="76" t="str">
        <f>IF(I32="","",IF(I32&lt;=$AP$1,"O","X"))</f>
        <v>O</v>
      </c>
      <c r="AQ32" s="76" t="str">
        <f>IF(O32="","",IF(O32&lt;=$AQ$1,"O","X"))</f>
        <v>O</v>
      </c>
      <c r="AR32" s="76" t="str">
        <f>IF(M32="","",IF(M32&lt;=$AR$1,"O","X"))</f>
        <v>O</v>
      </c>
      <c r="AS32" s="76" t="s">
        <v>2</v>
      </c>
      <c r="AT32" s="76" t="str">
        <f>IF(OR(F32="",AI32=""),"",IF(AND((F32&lt;=85),(AI32&gt;=15)),"O","X"))</f>
        <v>O</v>
      </c>
      <c r="AU32" s="76" t="str">
        <f>IF(C32="","",IF(C32&gt;=$AU$1,"O","X"))</f>
        <v>O</v>
      </c>
      <c r="AV32" s="76" t="str">
        <f>IF(AO32="","",IF(AND(AO32="O",AP32="O",AR32="O",AT32="O",AU32="O"),"후보","X"))</f>
        <v>후보</v>
      </c>
    </row>
    <row r="33" spans="1:48" x14ac:dyDescent="0.3">
      <c r="A33" s="9"/>
      <c r="B33" s="76"/>
      <c r="C33" s="6"/>
      <c r="D33" s="9"/>
      <c r="E33" s="14"/>
      <c r="F33" s="85"/>
      <c r="G33" s="9"/>
      <c r="H33" s="9"/>
      <c r="I33" s="9"/>
      <c r="J33" s="9"/>
      <c r="K33" s="9"/>
      <c r="L33" s="9"/>
      <c r="M33" s="9"/>
      <c r="N33" s="9"/>
      <c r="O33" s="90"/>
      <c r="P33" s="90"/>
      <c r="Q33" s="86"/>
      <c r="R33" s="86"/>
      <c r="S33" s="9"/>
      <c r="T33" s="47"/>
      <c r="U33" s="9"/>
      <c r="W33" s="67" t="str">
        <f>$A$4&amp;" "&amp;A34&amp;"("&amp;B34&amp;","&amp;C34&amp;"^)"</f>
        <v>효자동3가 우미린('07.12.,369^)</v>
      </c>
      <c r="X33" s="68"/>
      <c r="Y33" s="68"/>
      <c r="Z33" s="68"/>
      <c r="AA33" s="68"/>
      <c r="AB33" s="68"/>
      <c r="AC33" s="68"/>
      <c r="AD33" s="68"/>
      <c r="AE33" s="68"/>
      <c r="AF33" s="69"/>
      <c r="AH33" s="20" t="str">
        <f t="shared" si="1"/>
        <v/>
      </c>
      <c r="AI33" s="108" t="str">
        <f t="shared" si="0"/>
        <v/>
      </c>
      <c r="AJ33" s="76"/>
      <c r="AK33" s="76"/>
      <c r="AL33" s="76"/>
      <c r="AM33" s="76"/>
      <c r="AN33" s="76"/>
      <c r="AO33" s="76"/>
      <c r="AP33" s="76"/>
      <c r="AQ33" s="76"/>
      <c r="AR33" s="76"/>
      <c r="AS33" s="76"/>
      <c r="AT33" s="76"/>
      <c r="AU33" s="76"/>
      <c r="AV33" s="76"/>
    </row>
    <row r="34" spans="1:48" x14ac:dyDescent="0.3">
      <c r="A34" s="9" t="s">
        <v>1803</v>
      </c>
      <c r="B34" s="10" t="s">
        <v>1947</v>
      </c>
      <c r="C34" s="87">
        <v>369</v>
      </c>
      <c r="D34" s="85">
        <v>113</v>
      </c>
      <c r="E34" s="86">
        <v>34</v>
      </c>
      <c r="F34" s="85">
        <v>84.9</v>
      </c>
      <c r="G34" s="17">
        <v>26</v>
      </c>
      <c r="H34" s="87">
        <v>64</v>
      </c>
      <c r="I34" s="88">
        <v>49000</v>
      </c>
      <c r="J34" s="88" t="s">
        <v>72</v>
      </c>
      <c r="K34" s="88"/>
      <c r="L34" s="88"/>
      <c r="M34" s="89">
        <f>I34-K34</f>
        <v>49000</v>
      </c>
      <c r="N34" s="4">
        <f>IF(ISERROR(K34/I34),"",K34/I34)</f>
        <v>0</v>
      </c>
      <c r="O34" s="90">
        <f>I34/E34</f>
        <v>1441.1764705882354</v>
      </c>
      <c r="P34" s="90">
        <f>K34/E34</f>
        <v>0</v>
      </c>
      <c r="Q34" s="76">
        <v>3</v>
      </c>
      <c r="R34" s="76">
        <v>2</v>
      </c>
      <c r="S34" s="76" t="s">
        <v>61</v>
      </c>
      <c r="T34" s="5" t="s">
        <v>249</v>
      </c>
      <c r="U34" s="9"/>
      <c r="W34" s="85">
        <f>D34</f>
        <v>113</v>
      </c>
      <c r="X34" s="86">
        <f>E34</f>
        <v>34</v>
      </c>
      <c r="Y34" s="91">
        <f>H34</f>
        <v>64</v>
      </c>
      <c r="Z34" s="89">
        <f>I34</f>
        <v>49000</v>
      </c>
      <c r="AA34" s="89">
        <f>K34</f>
        <v>0</v>
      </c>
      <c r="AB34" s="89">
        <f t="shared" ref="AB34:AD35" si="17">M34</f>
        <v>49000</v>
      </c>
      <c r="AC34" s="4">
        <f t="shared" si="17"/>
        <v>0</v>
      </c>
      <c r="AD34" s="90">
        <f t="shared" si="17"/>
        <v>1441.1764705882354</v>
      </c>
      <c r="AE34" s="76" t="str">
        <f>S34</f>
        <v>계</v>
      </c>
      <c r="AF34" s="76" t="str">
        <f>Q34&amp;"/"&amp;R34</f>
        <v>3/2</v>
      </c>
      <c r="AH34" s="20" t="str">
        <f t="shared" si="1"/>
        <v>우미린</v>
      </c>
      <c r="AI34" s="86">
        <f t="shared" si="0"/>
        <v>34</v>
      </c>
      <c r="AJ34" s="76" t="str">
        <f>IF(AI34="","",$AJ$2)</f>
        <v>A-</v>
      </c>
      <c r="AK34" s="76" t="s">
        <v>13</v>
      </c>
      <c r="AL34" s="76" t="s">
        <v>62</v>
      </c>
      <c r="AM34" s="76" t="s">
        <v>63</v>
      </c>
      <c r="AN34" s="76" t="str">
        <f>IF(AI34="","",$AN$2)</f>
        <v>C</v>
      </c>
      <c r="AO34" s="76" t="str">
        <f>IF(N34="","",IF(N34&gt;=$AO$1/100,"O","X"))</f>
        <v>X</v>
      </c>
      <c r="AP34" s="76" t="str">
        <f>IF(I34="","",IF(I34&lt;=$AP$1,"O","X"))</f>
        <v>O</v>
      </c>
      <c r="AQ34" s="76" t="str">
        <f>IF(O34="","",IF(O34&lt;=$AQ$1,"O","X"))</f>
        <v>O</v>
      </c>
      <c r="AR34" s="76" t="str">
        <f>IF(M34="","",IF(M34&lt;=$AR$1,"O","X"))</f>
        <v>X</v>
      </c>
      <c r="AS34" s="76" t="s">
        <v>2</v>
      </c>
      <c r="AT34" s="76" t="str">
        <f>IF(OR(F34="",AI34=""),"",IF(AND((F34&lt;=85),(AI34&gt;=15)),"O","X"))</f>
        <v>O</v>
      </c>
      <c r="AU34" s="76" t="str">
        <f>IF(C34="","",IF(C34&gt;=$AU$1,"O","X"))</f>
        <v>O</v>
      </c>
      <c r="AV34" s="76" t="str">
        <f>IF(AO34="","",IF(AND(AO34="O",AP34="O",AR34="O",AT34="O",AU34="O"),"후보","X"))</f>
        <v>X</v>
      </c>
    </row>
    <row r="35" spans="1:48" x14ac:dyDescent="0.3">
      <c r="A35" s="9" t="s">
        <v>1803</v>
      </c>
      <c r="B35" s="10" t="s">
        <v>1947</v>
      </c>
      <c r="C35" s="87">
        <v>369</v>
      </c>
      <c r="D35" s="85">
        <v>114</v>
      </c>
      <c r="E35" s="86">
        <v>34</v>
      </c>
      <c r="F35" s="85">
        <v>84.9</v>
      </c>
      <c r="G35" s="17">
        <v>26</v>
      </c>
      <c r="H35" s="87">
        <v>305</v>
      </c>
      <c r="I35" s="88"/>
      <c r="J35" s="88"/>
      <c r="K35" s="88"/>
      <c r="L35" s="88"/>
      <c r="M35" s="89">
        <f>I35-K35</f>
        <v>0</v>
      </c>
      <c r="N35" s="4" t="str">
        <f>IF(ISERROR(K35/I35),"",K35/I35)</f>
        <v/>
      </c>
      <c r="O35" s="90">
        <f>I35/E35</f>
        <v>0</v>
      </c>
      <c r="P35" s="90">
        <f>K35/E35</f>
        <v>0</v>
      </c>
      <c r="Q35" s="76">
        <v>3</v>
      </c>
      <c r="R35" s="76">
        <v>2</v>
      </c>
      <c r="S35" s="76" t="s">
        <v>61</v>
      </c>
      <c r="T35" s="5" t="s">
        <v>484</v>
      </c>
      <c r="U35" s="9"/>
      <c r="W35" s="85">
        <f>D35</f>
        <v>114</v>
      </c>
      <c r="X35" s="86">
        <f>E35</f>
        <v>34</v>
      </c>
      <c r="Y35" s="91">
        <f>H35</f>
        <v>305</v>
      </c>
      <c r="Z35" s="89">
        <f>I35</f>
        <v>0</v>
      </c>
      <c r="AA35" s="89">
        <f>K35</f>
        <v>0</v>
      </c>
      <c r="AB35" s="89">
        <f t="shared" si="17"/>
        <v>0</v>
      </c>
      <c r="AC35" s="4" t="str">
        <f t="shared" si="17"/>
        <v/>
      </c>
      <c r="AD35" s="90">
        <f t="shared" si="17"/>
        <v>0</v>
      </c>
      <c r="AE35" s="76" t="str">
        <f>S35</f>
        <v>계</v>
      </c>
      <c r="AF35" s="76" t="str">
        <f>Q35&amp;"/"&amp;R35</f>
        <v>3/2</v>
      </c>
      <c r="AH35" s="20" t="str">
        <f t="shared" si="1"/>
        <v>우미린</v>
      </c>
      <c r="AI35" s="86">
        <f t="shared" si="0"/>
        <v>34</v>
      </c>
      <c r="AJ35" s="76" t="str">
        <f>IF(AI35="","",$AJ$2)</f>
        <v>A-</v>
      </c>
      <c r="AK35" s="76" t="s">
        <v>13</v>
      </c>
      <c r="AL35" s="76" t="s">
        <v>62</v>
      </c>
      <c r="AM35" s="76" t="s">
        <v>63</v>
      </c>
      <c r="AN35" s="76" t="str">
        <f>IF(AI35="","",$AN$2)</f>
        <v>C</v>
      </c>
      <c r="AO35" s="76" t="str">
        <f>IF(N35="","",IF(N35&gt;=$AO$1/100,"O","X"))</f>
        <v/>
      </c>
      <c r="AP35" s="76" t="str">
        <f>IF(I35="","",IF(I35&lt;=$AP$1,"O","X"))</f>
        <v/>
      </c>
      <c r="AQ35" s="76" t="str">
        <f>IF(O35="","",IF(O35&lt;=$AQ$1,"O","X"))</f>
        <v>O</v>
      </c>
      <c r="AR35" s="76" t="str">
        <f>IF(M35="","",IF(M35&lt;=$AR$1,"O","X"))</f>
        <v>O</v>
      </c>
      <c r="AS35" s="76" t="s">
        <v>2</v>
      </c>
      <c r="AT35" s="76" t="str">
        <f>IF(OR(F35="",AI35=""),"",IF(AND((F35&lt;=85),(AI35&gt;=15)),"O","X"))</f>
        <v>O</v>
      </c>
      <c r="AU35" s="76" t="str">
        <f>IF(C35="","",IF(C35&gt;=$AU$1,"O","X"))</f>
        <v>O</v>
      </c>
      <c r="AV35" s="76" t="str">
        <f>IF(AO35="","",IF(AND(AO35="O",AP35="O",AR35="O",AT35="O",AU35="O"),"후보","X"))</f>
        <v/>
      </c>
    </row>
    <row r="36" spans="1:48" x14ac:dyDescent="0.3">
      <c r="A36" s="9"/>
      <c r="B36" s="76"/>
      <c r="C36" s="6"/>
      <c r="D36" s="9"/>
      <c r="E36" s="14"/>
      <c r="F36" s="85"/>
      <c r="G36" s="9"/>
      <c r="H36" s="9"/>
      <c r="I36" s="9"/>
      <c r="J36" s="9"/>
      <c r="K36" s="9"/>
      <c r="L36" s="9"/>
      <c r="M36" s="9"/>
      <c r="N36" s="9"/>
      <c r="O36" s="90"/>
      <c r="P36" s="90"/>
      <c r="Q36" s="86"/>
      <c r="R36" s="86"/>
      <c r="S36" s="9"/>
      <c r="T36" s="47"/>
      <c r="U36" s="9"/>
      <c r="W36" s="67" t="str">
        <f>$A$4&amp;" "&amp;A37&amp;"("&amp;B37&amp;","&amp;C37&amp;"^)"</f>
        <v>효자동3가 서곡주공('00.03.,766^)</v>
      </c>
      <c r="X36" s="68"/>
      <c r="Y36" s="68"/>
      <c r="Z36" s="68"/>
      <c r="AA36" s="68"/>
      <c r="AB36" s="68"/>
      <c r="AC36" s="68"/>
      <c r="AD36" s="68"/>
      <c r="AE36" s="68"/>
      <c r="AF36" s="69"/>
      <c r="AH36" s="20" t="str">
        <f t="shared" si="1"/>
        <v/>
      </c>
      <c r="AI36" s="108" t="str">
        <f t="shared" si="0"/>
        <v/>
      </c>
      <c r="AJ36" s="76"/>
      <c r="AK36" s="76"/>
      <c r="AL36" s="76"/>
      <c r="AM36" s="76"/>
      <c r="AN36" s="76"/>
      <c r="AO36" s="76"/>
      <c r="AP36" s="76"/>
      <c r="AQ36" s="76"/>
      <c r="AR36" s="76"/>
      <c r="AS36" s="76"/>
      <c r="AT36" s="76"/>
      <c r="AU36" s="76"/>
      <c r="AV36" s="76"/>
    </row>
    <row r="37" spans="1:48" x14ac:dyDescent="0.3">
      <c r="A37" s="9" t="s">
        <v>1807</v>
      </c>
      <c r="B37" s="10" t="s">
        <v>1835</v>
      </c>
      <c r="C37" s="87">
        <v>766</v>
      </c>
      <c r="D37" s="85">
        <v>80.400000000000006</v>
      </c>
      <c r="E37" s="86">
        <v>24</v>
      </c>
      <c r="F37" s="85">
        <v>59.9</v>
      </c>
      <c r="G37" s="17">
        <v>18</v>
      </c>
      <c r="H37" s="87">
        <v>691</v>
      </c>
      <c r="I37" s="88">
        <v>16000</v>
      </c>
      <c r="J37" s="88" t="s">
        <v>84</v>
      </c>
      <c r="K37" s="88">
        <v>15000</v>
      </c>
      <c r="L37" s="88" t="s">
        <v>75</v>
      </c>
      <c r="M37" s="89">
        <f>I37-K37</f>
        <v>1000</v>
      </c>
      <c r="N37" s="4">
        <f>IF(ISERROR(K37/I37),"",K37/I37)</f>
        <v>0.9375</v>
      </c>
      <c r="O37" s="90">
        <f>I37/E37</f>
        <v>666.66666666666663</v>
      </c>
      <c r="P37" s="90">
        <f>K37/E37</f>
        <v>625</v>
      </c>
      <c r="Q37" s="76">
        <v>3</v>
      </c>
      <c r="R37" s="76">
        <v>1</v>
      </c>
      <c r="S37" s="76" t="s">
        <v>61</v>
      </c>
      <c r="T37" s="5" t="s">
        <v>132</v>
      </c>
      <c r="U37" s="9"/>
      <c r="W37" s="85">
        <f>D37</f>
        <v>80.400000000000006</v>
      </c>
      <c r="X37" s="86">
        <f>E37</f>
        <v>24</v>
      </c>
      <c r="Y37" s="91">
        <f>H37</f>
        <v>691</v>
      </c>
      <c r="Z37" s="89">
        <f>I37</f>
        <v>16000</v>
      </c>
      <c r="AA37" s="89">
        <f>K37</f>
        <v>15000</v>
      </c>
      <c r="AB37" s="89">
        <f t="shared" ref="AB37:AD38" si="18">M37</f>
        <v>1000</v>
      </c>
      <c r="AC37" s="4">
        <f t="shared" si="18"/>
        <v>0.9375</v>
      </c>
      <c r="AD37" s="90">
        <f t="shared" si="18"/>
        <v>666.66666666666663</v>
      </c>
      <c r="AE37" s="76" t="str">
        <f>S37</f>
        <v>계</v>
      </c>
      <c r="AF37" s="76" t="str">
        <f>Q37&amp;"/"&amp;R37</f>
        <v>3/1</v>
      </c>
      <c r="AH37" s="20" t="str">
        <f t="shared" si="1"/>
        <v>서곡주공</v>
      </c>
      <c r="AI37" s="86">
        <f t="shared" si="0"/>
        <v>24</v>
      </c>
      <c r="AJ37" s="76" t="str">
        <f>IF(AI37="","",$AJ$2)</f>
        <v>A-</v>
      </c>
      <c r="AK37" s="76" t="s">
        <v>13</v>
      </c>
      <c r="AL37" s="76" t="s">
        <v>62</v>
      </c>
      <c r="AM37" s="76" t="s">
        <v>63</v>
      </c>
      <c r="AN37" s="76" t="str">
        <f>IF(AI37="","",$AN$2)</f>
        <v>C</v>
      </c>
      <c r="AO37" s="76" t="str">
        <f>IF(N37="","",IF(N37&gt;=$AO$1/100,"O","X"))</f>
        <v>O</v>
      </c>
      <c r="AP37" s="76" t="str">
        <f>IF(I37="","",IF(I37&lt;=$AP$1,"O","X"))</f>
        <v>O</v>
      </c>
      <c r="AQ37" s="76" t="str">
        <f>IF(O37="","",IF(O37&lt;=$AQ$1,"O","X"))</f>
        <v>O</v>
      </c>
      <c r="AR37" s="76" t="str">
        <f>IF(M37="","",IF(M37&lt;=$AR$1,"O","X"))</f>
        <v>O</v>
      </c>
      <c r="AS37" s="76" t="s">
        <v>2</v>
      </c>
      <c r="AT37" s="76" t="str">
        <f>IF(OR(F37="",AI37=""),"",IF(AND((F37&lt;=85),(AI37&gt;=15)),"O","X"))</f>
        <v>O</v>
      </c>
      <c r="AU37" s="76" t="str">
        <f>IF(C37="","",IF(C37&gt;=$AU$1,"O","X"))</f>
        <v>O</v>
      </c>
      <c r="AV37" s="76" t="str">
        <f>IF(AO37="","",IF(AND(AO37="O",AP37="O",AR37="O",AT37="O",AU37="O"),"후보","X"))</f>
        <v>후보</v>
      </c>
    </row>
    <row r="38" spans="1:48" x14ac:dyDescent="0.3">
      <c r="A38" s="9" t="s">
        <v>1807</v>
      </c>
      <c r="B38" s="10" t="s">
        <v>1835</v>
      </c>
      <c r="C38" s="87">
        <v>766</v>
      </c>
      <c r="D38" s="85">
        <v>80.400000000000006</v>
      </c>
      <c r="E38" s="86">
        <v>24</v>
      </c>
      <c r="F38" s="85">
        <v>59.9</v>
      </c>
      <c r="G38" s="17">
        <v>18</v>
      </c>
      <c r="H38" s="87">
        <v>75</v>
      </c>
      <c r="I38" s="88">
        <v>16000</v>
      </c>
      <c r="J38" s="88" t="s">
        <v>84</v>
      </c>
      <c r="K38" s="88">
        <v>15000</v>
      </c>
      <c r="L38" s="88" t="s">
        <v>75</v>
      </c>
      <c r="M38" s="89">
        <f>I38-K38</f>
        <v>1000</v>
      </c>
      <c r="N38" s="4">
        <f>IF(ISERROR(K38/I38),"",K38/I38)</f>
        <v>0.9375</v>
      </c>
      <c r="O38" s="90">
        <f>I38/E38</f>
        <v>666.66666666666663</v>
      </c>
      <c r="P38" s="90">
        <f>K38/E38</f>
        <v>625</v>
      </c>
      <c r="Q38" s="76">
        <v>3</v>
      </c>
      <c r="R38" s="76">
        <v>1</v>
      </c>
      <c r="S38" s="76" t="s">
        <v>61</v>
      </c>
      <c r="T38" s="5" t="s">
        <v>133</v>
      </c>
      <c r="U38" s="9"/>
      <c r="W38" s="85">
        <f>D38</f>
        <v>80.400000000000006</v>
      </c>
      <c r="X38" s="86">
        <f>E38</f>
        <v>24</v>
      </c>
      <c r="Y38" s="91">
        <f>H38</f>
        <v>75</v>
      </c>
      <c r="Z38" s="89">
        <f>I38</f>
        <v>16000</v>
      </c>
      <c r="AA38" s="89">
        <f>K38</f>
        <v>15000</v>
      </c>
      <c r="AB38" s="89">
        <f t="shared" si="18"/>
        <v>1000</v>
      </c>
      <c r="AC38" s="4">
        <f t="shared" si="18"/>
        <v>0.9375</v>
      </c>
      <c r="AD38" s="90">
        <f t="shared" si="18"/>
        <v>666.66666666666663</v>
      </c>
      <c r="AE38" s="76" t="str">
        <f>S38</f>
        <v>계</v>
      </c>
      <c r="AF38" s="76" t="str">
        <f>Q38&amp;"/"&amp;R38</f>
        <v>3/1</v>
      </c>
      <c r="AH38" s="20" t="str">
        <f t="shared" si="1"/>
        <v>서곡주공</v>
      </c>
      <c r="AI38" s="86">
        <f t="shared" si="0"/>
        <v>24</v>
      </c>
      <c r="AJ38" s="76" t="str">
        <f>IF(AI38="","",$AJ$2)</f>
        <v>A-</v>
      </c>
      <c r="AK38" s="76" t="s">
        <v>13</v>
      </c>
      <c r="AL38" s="76" t="s">
        <v>62</v>
      </c>
      <c r="AM38" s="76" t="s">
        <v>63</v>
      </c>
      <c r="AN38" s="76" t="str">
        <f>IF(AI38="","",$AN$2)</f>
        <v>C</v>
      </c>
      <c r="AO38" s="76" t="str">
        <f>IF(N38="","",IF(N38&gt;=$AO$1/100,"O","X"))</f>
        <v>O</v>
      </c>
      <c r="AP38" s="76" t="str">
        <f>IF(I38="","",IF(I38&lt;=$AP$1,"O","X"))</f>
        <v>O</v>
      </c>
      <c r="AQ38" s="76" t="str">
        <f>IF(O38="","",IF(O38&lt;=$AQ$1,"O","X"))</f>
        <v>O</v>
      </c>
      <c r="AR38" s="76" t="str">
        <f>IF(M38="","",IF(M38&lt;=$AR$1,"O","X"))</f>
        <v>O</v>
      </c>
      <c r="AS38" s="76" t="s">
        <v>2</v>
      </c>
      <c r="AT38" s="76" t="str">
        <f>IF(OR(F38="",AI38=""),"",IF(AND((F38&lt;=85),(AI38&gt;=15)),"O","X"))</f>
        <v>O</v>
      </c>
      <c r="AU38" s="76" t="str">
        <f>IF(C38="","",IF(C38&gt;=$AU$1,"O","X"))</f>
        <v>O</v>
      </c>
      <c r="AV38" s="76" t="str">
        <f>IF(AO38="","",IF(AND(AO38="O",AP38="O",AR38="O",AT38="O",AU38="O"),"후보","X"))</f>
        <v>후보</v>
      </c>
    </row>
    <row r="39" spans="1:48" x14ac:dyDescent="0.3">
      <c r="A39" s="9"/>
      <c r="B39" s="76"/>
      <c r="C39" s="6"/>
      <c r="D39" s="9"/>
      <c r="E39" s="14"/>
      <c r="F39" s="85"/>
      <c r="G39" s="9"/>
      <c r="H39" s="9"/>
      <c r="I39" s="9"/>
      <c r="J39" s="9"/>
      <c r="K39" s="9"/>
      <c r="L39" s="9"/>
      <c r="M39" s="9"/>
      <c r="N39" s="9"/>
      <c r="O39" s="90"/>
      <c r="P39" s="90"/>
      <c r="Q39" s="86"/>
      <c r="R39" s="86"/>
      <c r="S39" s="9"/>
      <c r="T39" s="47"/>
      <c r="U39" s="9"/>
      <c r="W39" s="67" t="str">
        <f>$A$4&amp;" "&amp;A40&amp;"("&amp;B40&amp;","&amp;C40&amp;"^)"</f>
        <v>효자동3가 서곡현대('99.06.,323^)</v>
      </c>
      <c r="X39" s="68"/>
      <c r="Y39" s="68"/>
      <c r="Z39" s="68"/>
      <c r="AA39" s="68"/>
      <c r="AB39" s="68"/>
      <c r="AC39" s="68"/>
      <c r="AD39" s="68"/>
      <c r="AE39" s="68"/>
      <c r="AF39" s="69"/>
      <c r="AH39" s="20" t="str">
        <f t="shared" si="1"/>
        <v/>
      </c>
      <c r="AI39" s="108" t="str">
        <f t="shared" si="0"/>
        <v/>
      </c>
      <c r="AJ39" s="76"/>
      <c r="AK39" s="76"/>
      <c r="AL39" s="76"/>
      <c r="AM39" s="76"/>
      <c r="AN39" s="76"/>
      <c r="AO39" s="76"/>
      <c r="AP39" s="76"/>
      <c r="AQ39" s="76"/>
      <c r="AR39" s="76"/>
      <c r="AS39" s="76"/>
      <c r="AT39" s="76"/>
      <c r="AU39" s="76"/>
      <c r="AV39" s="76"/>
    </row>
    <row r="40" spans="1:48" x14ac:dyDescent="0.3">
      <c r="A40" s="9" t="s">
        <v>1811</v>
      </c>
      <c r="B40" s="10" t="s">
        <v>1949</v>
      </c>
      <c r="C40" s="87">
        <v>323</v>
      </c>
      <c r="D40" s="85">
        <v>112.8</v>
      </c>
      <c r="E40" s="86">
        <v>34</v>
      </c>
      <c r="F40" s="85">
        <v>100</v>
      </c>
      <c r="G40" s="17">
        <v>30</v>
      </c>
      <c r="H40" s="87">
        <v>167</v>
      </c>
      <c r="I40" s="88">
        <v>32000</v>
      </c>
      <c r="J40" s="88" t="s">
        <v>75</v>
      </c>
      <c r="K40" s="88"/>
      <c r="L40" s="88"/>
      <c r="M40" s="89">
        <f>I40-K40</f>
        <v>32000</v>
      </c>
      <c r="N40" s="4">
        <f>IF(ISERROR(K40/I40),"",K40/I40)</f>
        <v>0</v>
      </c>
      <c r="O40" s="90">
        <f>I40/E40</f>
        <v>941.17647058823525</v>
      </c>
      <c r="P40" s="90">
        <f>K40/E40</f>
        <v>0</v>
      </c>
      <c r="Q40" s="76">
        <v>3</v>
      </c>
      <c r="R40" s="76">
        <v>2</v>
      </c>
      <c r="S40" s="76" t="s">
        <v>61</v>
      </c>
      <c r="T40" s="5">
        <v>112</v>
      </c>
      <c r="U40" s="9"/>
      <c r="W40" s="85">
        <f>D40</f>
        <v>112.8</v>
      </c>
      <c r="X40" s="86">
        <f>E40</f>
        <v>34</v>
      </c>
      <c r="Y40" s="91">
        <f>H40</f>
        <v>167</v>
      </c>
      <c r="Z40" s="89">
        <f>I40</f>
        <v>32000</v>
      </c>
      <c r="AA40" s="89">
        <f>K40</f>
        <v>0</v>
      </c>
      <c r="AB40" s="89">
        <f t="shared" ref="AB40:AD41" si="19">M40</f>
        <v>32000</v>
      </c>
      <c r="AC40" s="4">
        <f t="shared" si="19"/>
        <v>0</v>
      </c>
      <c r="AD40" s="90">
        <f t="shared" si="19"/>
        <v>941.17647058823525</v>
      </c>
      <c r="AE40" s="76" t="str">
        <f>S40</f>
        <v>계</v>
      </c>
      <c r="AF40" s="76" t="str">
        <f>Q40&amp;"/"&amp;R40</f>
        <v>3/2</v>
      </c>
      <c r="AH40" s="20" t="str">
        <f t="shared" si="1"/>
        <v>서곡현대</v>
      </c>
      <c r="AI40" s="86">
        <f t="shared" si="0"/>
        <v>34</v>
      </c>
      <c r="AJ40" s="76" t="str">
        <f>IF(AI40="","",$AJ$2)</f>
        <v>A-</v>
      </c>
      <c r="AK40" s="76" t="s">
        <v>13</v>
      </c>
      <c r="AL40" s="76" t="s">
        <v>62</v>
      </c>
      <c r="AM40" s="76" t="s">
        <v>63</v>
      </c>
      <c r="AN40" s="76" t="str">
        <f>IF(AI40="","",$AN$2)</f>
        <v>C</v>
      </c>
      <c r="AO40" s="76" t="str">
        <f>IF(N40="","",IF(N40&gt;=$AO$1/100,"O","X"))</f>
        <v>X</v>
      </c>
      <c r="AP40" s="76" t="str">
        <f>IF(I40="","",IF(I40&lt;=$AP$1,"O","X"))</f>
        <v>O</v>
      </c>
      <c r="AQ40" s="76" t="str">
        <f>IF(O40="","",IF(O40&lt;=$AQ$1,"O","X"))</f>
        <v>O</v>
      </c>
      <c r="AR40" s="76" t="str">
        <f>IF(M40="","",IF(M40&lt;=$AR$1,"O","X"))</f>
        <v>X</v>
      </c>
      <c r="AS40" s="76" t="s">
        <v>2</v>
      </c>
      <c r="AT40" s="76" t="str">
        <f>IF(OR(F40="",AI40=""),"",IF(AND((F40&lt;=85),(AI40&gt;=15)),"O","X"))</f>
        <v>X</v>
      </c>
      <c r="AU40" s="76" t="str">
        <f>IF(C40="","",IF(C40&gt;=$AU$1,"O","X"))</f>
        <v>O</v>
      </c>
      <c r="AV40" s="76" t="str">
        <f>IF(AO40="","",IF(AND(AO40="O",AP40="O",AR40="O",AT40="O",AU40="O"),"후보","X"))</f>
        <v>X</v>
      </c>
    </row>
    <row r="41" spans="1:48" x14ac:dyDescent="0.3">
      <c r="A41" s="9" t="s">
        <v>1811</v>
      </c>
      <c r="B41" s="10" t="s">
        <v>1949</v>
      </c>
      <c r="C41" s="87">
        <v>323</v>
      </c>
      <c r="D41" s="85">
        <v>152.1</v>
      </c>
      <c r="E41" s="86">
        <v>46</v>
      </c>
      <c r="F41" s="85">
        <v>134.80000000000001</v>
      </c>
      <c r="G41" s="17">
        <v>41</v>
      </c>
      <c r="H41" s="87">
        <v>156</v>
      </c>
      <c r="I41" s="88">
        <v>38000</v>
      </c>
      <c r="J41" s="88" t="s">
        <v>71</v>
      </c>
      <c r="K41" s="88"/>
      <c r="L41" s="88"/>
      <c r="M41" s="89">
        <f>I41-K41</f>
        <v>38000</v>
      </c>
      <c r="N41" s="4">
        <f>IF(ISERROR(K41/I41),"",K41/I41)</f>
        <v>0</v>
      </c>
      <c r="O41" s="90">
        <f>I41/E41</f>
        <v>826.08695652173913</v>
      </c>
      <c r="P41" s="90">
        <f>K41/E41</f>
        <v>0</v>
      </c>
      <c r="Q41" s="76">
        <v>4</v>
      </c>
      <c r="R41" s="76">
        <v>2</v>
      </c>
      <c r="S41" s="76" t="s">
        <v>61</v>
      </c>
      <c r="T41" s="5">
        <v>152</v>
      </c>
      <c r="U41" s="9"/>
      <c r="W41" s="85">
        <f>D41</f>
        <v>152.1</v>
      </c>
      <c r="X41" s="86">
        <f>E41</f>
        <v>46</v>
      </c>
      <c r="Y41" s="91">
        <f>H41</f>
        <v>156</v>
      </c>
      <c r="Z41" s="89">
        <f>I41</f>
        <v>38000</v>
      </c>
      <c r="AA41" s="89">
        <f>K41</f>
        <v>0</v>
      </c>
      <c r="AB41" s="89">
        <f t="shared" si="19"/>
        <v>38000</v>
      </c>
      <c r="AC41" s="4">
        <f t="shared" si="19"/>
        <v>0</v>
      </c>
      <c r="AD41" s="90">
        <f t="shared" si="19"/>
        <v>826.08695652173913</v>
      </c>
      <c r="AE41" s="76" t="str">
        <f>S41</f>
        <v>계</v>
      </c>
      <c r="AF41" s="76" t="str">
        <f>Q41&amp;"/"&amp;R41</f>
        <v>4/2</v>
      </c>
      <c r="AH41" s="20" t="str">
        <f t="shared" si="1"/>
        <v>서곡현대</v>
      </c>
      <c r="AI41" s="86">
        <f t="shared" si="0"/>
        <v>46</v>
      </c>
      <c r="AJ41" s="76" t="str">
        <f>IF(AI41="","",$AJ$2)</f>
        <v>A-</v>
      </c>
      <c r="AK41" s="76" t="s">
        <v>13</v>
      </c>
      <c r="AL41" s="76" t="s">
        <v>62</v>
      </c>
      <c r="AM41" s="76" t="s">
        <v>63</v>
      </c>
      <c r="AN41" s="76" t="str">
        <f>IF(AI41="","",$AN$2)</f>
        <v>C</v>
      </c>
      <c r="AO41" s="76" t="str">
        <f>IF(N41="","",IF(N41&gt;=$AO$1/100,"O","X"))</f>
        <v>X</v>
      </c>
      <c r="AP41" s="76" t="str">
        <f>IF(I41="","",IF(I41&lt;=$AP$1,"O","X"))</f>
        <v>O</v>
      </c>
      <c r="AQ41" s="76" t="str">
        <f>IF(O41="","",IF(O41&lt;=$AQ$1,"O","X"))</f>
        <v>O</v>
      </c>
      <c r="AR41" s="76" t="str">
        <f>IF(M41="","",IF(M41&lt;=$AR$1,"O","X"))</f>
        <v>X</v>
      </c>
      <c r="AS41" s="76" t="s">
        <v>2</v>
      </c>
      <c r="AT41" s="76" t="str">
        <f>IF(OR(F41="",AI41=""),"",IF(AND((F41&lt;=85),(AI41&gt;=15)),"O","X"))</f>
        <v>X</v>
      </c>
      <c r="AU41" s="76" t="str">
        <f>IF(C41="","",IF(C41&gt;=$AU$1,"O","X"))</f>
        <v>O</v>
      </c>
      <c r="AV41" s="76" t="str">
        <f>IF(AO41="","",IF(AND(AO41="O",AP41="O",AR41="O",AT41="O",AU41="O"),"후보","X"))</f>
        <v>X</v>
      </c>
    </row>
    <row r="42" spans="1:48" x14ac:dyDescent="0.3">
      <c r="A42" s="9"/>
      <c r="B42" s="76"/>
      <c r="C42" s="6"/>
      <c r="D42" s="9"/>
      <c r="E42" s="14"/>
      <c r="F42" s="85"/>
      <c r="G42" s="9"/>
      <c r="H42" s="9"/>
      <c r="I42" s="9"/>
      <c r="J42" s="9"/>
      <c r="K42" s="9"/>
      <c r="L42" s="9"/>
      <c r="M42" s="9"/>
      <c r="N42" s="9"/>
      <c r="O42" s="90"/>
      <c r="P42" s="90"/>
      <c r="Q42" s="86"/>
      <c r="R42" s="86"/>
      <c r="S42" s="9"/>
      <c r="T42" s="47"/>
      <c r="U42" s="9"/>
      <c r="W42" s="67" t="str">
        <f>$A$4&amp;" "&amp;A43&amp;"("&amp;B43&amp;","&amp;C43&amp;"^)"</f>
        <v>효자동3가 서부신시가지아이파크('07.12.,622^)</v>
      </c>
      <c r="X42" s="68"/>
      <c r="Y42" s="68"/>
      <c r="Z42" s="68"/>
      <c r="AA42" s="68"/>
      <c r="AB42" s="68"/>
      <c r="AC42" s="68"/>
      <c r="AD42" s="68"/>
      <c r="AE42" s="68"/>
      <c r="AF42" s="69"/>
      <c r="AH42" s="20" t="str">
        <f t="shared" si="1"/>
        <v/>
      </c>
      <c r="AI42" s="108" t="str">
        <f t="shared" si="0"/>
        <v/>
      </c>
      <c r="AJ42" s="76"/>
      <c r="AK42" s="76"/>
      <c r="AL42" s="76"/>
      <c r="AM42" s="76"/>
      <c r="AN42" s="76"/>
      <c r="AO42" s="76"/>
      <c r="AP42" s="76"/>
      <c r="AQ42" s="76"/>
      <c r="AR42" s="76"/>
      <c r="AS42" s="76"/>
      <c r="AT42" s="76"/>
      <c r="AU42" s="76"/>
      <c r="AV42" s="76"/>
    </row>
    <row r="43" spans="1:48" x14ac:dyDescent="0.3">
      <c r="A43" s="9" t="s">
        <v>1816</v>
      </c>
      <c r="B43" s="10" t="s">
        <v>1947</v>
      </c>
      <c r="C43" s="87">
        <v>622</v>
      </c>
      <c r="D43" s="85">
        <v>132.30000000000001</v>
      </c>
      <c r="E43" s="86">
        <v>40</v>
      </c>
      <c r="F43" s="85">
        <v>101.9</v>
      </c>
      <c r="G43" s="17">
        <v>31</v>
      </c>
      <c r="H43" s="87">
        <v>326</v>
      </c>
      <c r="I43" s="88"/>
      <c r="J43" s="88"/>
      <c r="K43" s="88"/>
      <c r="L43" s="88"/>
      <c r="M43" s="89">
        <f t="shared" ref="M43:M49" si="20">I43-K43</f>
        <v>0</v>
      </c>
      <c r="N43" s="4" t="str">
        <f t="shared" ref="N43:N49" si="21">IF(ISERROR(K43/I43),"",K43/I43)</f>
        <v/>
      </c>
      <c r="O43" s="90">
        <f t="shared" ref="O43:O49" si="22">I43/E43</f>
        <v>0</v>
      </c>
      <c r="P43" s="90">
        <f t="shared" ref="P43:P49" si="23">K43/E43</f>
        <v>0</v>
      </c>
      <c r="Q43" s="76">
        <v>3</v>
      </c>
      <c r="R43" s="76">
        <v>2</v>
      </c>
      <c r="S43" s="76" t="s">
        <v>61</v>
      </c>
      <c r="T43" s="5">
        <v>132</v>
      </c>
      <c r="U43" s="9"/>
      <c r="W43" s="85">
        <f t="shared" ref="W43:X49" si="24">D43</f>
        <v>132.30000000000001</v>
      </c>
      <c r="X43" s="86">
        <f t="shared" si="24"/>
        <v>40</v>
      </c>
      <c r="Y43" s="91">
        <f t="shared" ref="Y43:Z49" si="25">H43</f>
        <v>326</v>
      </c>
      <c r="Z43" s="89">
        <f t="shared" si="25"/>
        <v>0</v>
      </c>
      <c r="AA43" s="89">
        <f t="shared" ref="AA43:AA49" si="26">K43</f>
        <v>0</v>
      </c>
      <c r="AB43" s="89">
        <f t="shared" ref="AB43:AD49" si="27">M43</f>
        <v>0</v>
      </c>
      <c r="AC43" s="4" t="str">
        <f t="shared" si="27"/>
        <v/>
      </c>
      <c r="AD43" s="90">
        <f t="shared" si="27"/>
        <v>0</v>
      </c>
      <c r="AE43" s="76" t="str">
        <f t="shared" ref="AE43:AE49" si="28">S43</f>
        <v>계</v>
      </c>
      <c r="AF43" s="76" t="str">
        <f t="shared" ref="AF43:AF49" si="29">Q43&amp;"/"&amp;R43</f>
        <v>3/2</v>
      </c>
      <c r="AH43" s="20" t="str">
        <f t="shared" si="1"/>
        <v>서부신시가지아이파크</v>
      </c>
      <c r="AI43" s="86">
        <f t="shared" si="0"/>
        <v>40</v>
      </c>
      <c r="AJ43" s="76" t="str">
        <f t="shared" ref="AJ43:AJ49" si="30">IF(AI43="","",$AJ$2)</f>
        <v>A-</v>
      </c>
      <c r="AK43" s="76" t="s">
        <v>13</v>
      </c>
      <c r="AL43" s="76" t="s">
        <v>62</v>
      </c>
      <c r="AM43" s="76" t="s">
        <v>63</v>
      </c>
      <c r="AN43" s="76" t="str">
        <f t="shared" ref="AN43:AN49" si="31">IF(AI43="","",$AN$2)</f>
        <v>C</v>
      </c>
      <c r="AO43" s="76" t="str">
        <f t="shared" ref="AO43:AO49" si="32">IF(N43="","",IF(N43&gt;=$AO$1/100,"O","X"))</f>
        <v/>
      </c>
      <c r="AP43" s="76" t="str">
        <f t="shared" ref="AP43:AP49" si="33">IF(I43="","",IF(I43&lt;=$AP$1,"O","X"))</f>
        <v/>
      </c>
      <c r="AQ43" s="76" t="str">
        <f t="shared" ref="AQ43:AQ49" si="34">IF(O43="","",IF(O43&lt;=$AQ$1,"O","X"))</f>
        <v>O</v>
      </c>
      <c r="AR43" s="76" t="str">
        <f t="shared" ref="AR43:AR49" si="35">IF(M43="","",IF(M43&lt;=$AR$1,"O","X"))</f>
        <v>O</v>
      </c>
      <c r="AS43" s="76" t="s">
        <v>2</v>
      </c>
      <c r="AT43" s="76" t="str">
        <f t="shared" ref="AT43:AT49" si="36">IF(OR(F43="",AI43=""),"",IF(AND((F43&lt;=85),(AI43&gt;=15)),"O","X"))</f>
        <v>X</v>
      </c>
      <c r="AU43" s="76" t="str">
        <f t="shared" ref="AU43:AU49" si="37">IF(C43="","",IF(C43&gt;=$AU$1,"O","X"))</f>
        <v>O</v>
      </c>
      <c r="AV43" s="76" t="str">
        <f t="shared" ref="AV43:AV49" si="38">IF(AO43="","",IF(AND(AO43="O",AP43="O",AR43="O",AT43="O",AU43="O"),"후보","X"))</f>
        <v/>
      </c>
    </row>
    <row r="44" spans="1:48" x14ac:dyDescent="0.3">
      <c r="A44" s="9" t="s">
        <v>1816</v>
      </c>
      <c r="B44" s="10" t="s">
        <v>1947</v>
      </c>
      <c r="C44" s="87">
        <v>622</v>
      </c>
      <c r="D44" s="85">
        <v>156</v>
      </c>
      <c r="E44" s="86">
        <v>47</v>
      </c>
      <c r="F44" s="85">
        <v>121.1</v>
      </c>
      <c r="G44" s="17">
        <v>37</v>
      </c>
      <c r="H44" s="87">
        <v>127</v>
      </c>
      <c r="I44" s="88">
        <v>95000</v>
      </c>
      <c r="J44" s="88" t="s">
        <v>72</v>
      </c>
      <c r="K44" s="88"/>
      <c r="L44" s="88"/>
      <c r="M44" s="89">
        <f t="shared" si="20"/>
        <v>95000</v>
      </c>
      <c r="N44" s="4">
        <f t="shared" si="21"/>
        <v>0</v>
      </c>
      <c r="O44" s="90">
        <f t="shared" si="22"/>
        <v>2021.2765957446809</v>
      </c>
      <c r="P44" s="90">
        <f t="shared" si="23"/>
        <v>0</v>
      </c>
      <c r="Q44" s="76">
        <v>4</v>
      </c>
      <c r="R44" s="76">
        <v>2</v>
      </c>
      <c r="S44" s="76" t="s">
        <v>61</v>
      </c>
      <c r="T44" s="5" t="s">
        <v>489</v>
      </c>
      <c r="U44" s="9"/>
      <c r="W44" s="85">
        <f t="shared" si="24"/>
        <v>156</v>
      </c>
      <c r="X44" s="86">
        <f t="shared" si="24"/>
        <v>47</v>
      </c>
      <c r="Y44" s="91">
        <f t="shared" si="25"/>
        <v>127</v>
      </c>
      <c r="Z44" s="89">
        <f t="shared" si="25"/>
        <v>95000</v>
      </c>
      <c r="AA44" s="89">
        <f t="shared" si="26"/>
        <v>0</v>
      </c>
      <c r="AB44" s="89">
        <f t="shared" si="27"/>
        <v>95000</v>
      </c>
      <c r="AC44" s="4">
        <f t="shared" si="27"/>
        <v>0</v>
      </c>
      <c r="AD44" s="90">
        <f t="shared" si="27"/>
        <v>2021.2765957446809</v>
      </c>
      <c r="AE44" s="76" t="str">
        <f t="shared" si="28"/>
        <v>계</v>
      </c>
      <c r="AF44" s="76" t="str">
        <f t="shared" si="29"/>
        <v>4/2</v>
      </c>
      <c r="AH44" s="20" t="str">
        <f t="shared" si="1"/>
        <v>서부신시가지아이파크</v>
      </c>
      <c r="AI44" s="86">
        <f t="shared" si="0"/>
        <v>47</v>
      </c>
      <c r="AJ44" s="76" t="str">
        <f t="shared" si="30"/>
        <v>A-</v>
      </c>
      <c r="AK44" s="76" t="s">
        <v>13</v>
      </c>
      <c r="AL44" s="76" t="s">
        <v>62</v>
      </c>
      <c r="AM44" s="76" t="s">
        <v>63</v>
      </c>
      <c r="AN44" s="76" t="str">
        <f t="shared" si="31"/>
        <v>C</v>
      </c>
      <c r="AO44" s="76" t="str">
        <f t="shared" si="32"/>
        <v>X</v>
      </c>
      <c r="AP44" s="76" t="str">
        <f t="shared" si="33"/>
        <v>X</v>
      </c>
      <c r="AQ44" s="76" t="str">
        <f t="shared" si="34"/>
        <v>O</v>
      </c>
      <c r="AR44" s="76" t="str">
        <f t="shared" si="35"/>
        <v>X</v>
      </c>
      <c r="AS44" s="76" t="s">
        <v>2</v>
      </c>
      <c r="AT44" s="76" t="str">
        <f t="shared" si="36"/>
        <v>X</v>
      </c>
      <c r="AU44" s="76" t="str">
        <f t="shared" si="37"/>
        <v>O</v>
      </c>
      <c r="AV44" s="76" t="str">
        <f t="shared" si="38"/>
        <v>X</v>
      </c>
    </row>
    <row r="45" spans="1:48" x14ac:dyDescent="0.3">
      <c r="A45" s="9" t="s">
        <v>1816</v>
      </c>
      <c r="B45" s="10" t="s">
        <v>1947</v>
      </c>
      <c r="C45" s="87">
        <v>622</v>
      </c>
      <c r="D45" s="85">
        <v>156</v>
      </c>
      <c r="E45" s="86">
        <v>47</v>
      </c>
      <c r="F45" s="85">
        <v>121.1</v>
      </c>
      <c r="G45" s="17">
        <v>37</v>
      </c>
      <c r="H45" s="87">
        <v>19</v>
      </c>
      <c r="I45" s="88">
        <v>95000</v>
      </c>
      <c r="J45" s="88" t="s">
        <v>72</v>
      </c>
      <c r="K45" s="88"/>
      <c r="L45" s="88"/>
      <c r="M45" s="89">
        <f t="shared" si="20"/>
        <v>95000</v>
      </c>
      <c r="N45" s="4">
        <f t="shared" si="21"/>
        <v>0</v>
      </c>
      <c r="O45" s="90">
        <f t="shared" si="22"/>
        <v>2021.2765957446809</v>
      </c>
      <c r="P45" s="90">
        <f t="shared" si="23"/>
        <v>0</v>
      </c>
      <c r="Q45" s="76">
        <v>4</v>
      </c>
      <c r="R45" s="76">
        <v>2</v>
      </c>
      <c r="S45" s="76" t="s">
        <v>61</v>
      </c>
      <c r="T45" s="5" t="s">
        <v>255</v>
      </c>
      <c r="U45" s="9"/>
      <c r="W45" s="85">
        <f t="shared" si="24"/>
        <v>156</v>
      </c>
      <c r="X45" s="86">
        <f t="shared" si="24"/>
        <v>47</v>
      </c>
      <c r="Y45" s="91">
        <f t="shared" si="25"/>
        <v>19</v>
      </c>
      <c r="Z45" s="89">
        <f t="shared" si="25"/>
        <v>95000</v>
      </c>
      <c r="AA45" s="89">
        <f t="shared" si="26"/>
        <v>0</v>
      </c>
      <c r="AB45" s="89">
        <f t="shared" si="27"/>
        <v>95000</v>
      </c>
      <c r="AC45" s="4">
        <f t="shared" si="27"/>
        <v>0</v>
      </c>
      <c r="AD45" s="90">
        <f t="shared" si="27"/>
        <v>2021.2765957446809</v>
      </c>
      <c r="AE45" s="76" t="str">
        <f t="shared" si="28"/>
        <v>계</v>
      </c>
      <c r="AF45" s="76" t="str">
        <f t="shared" si="29"/>
        <v>4/2</v>
      </c>
      <c r="AH45" s="20" t="str">
        <f t="shared" si="1"/>
        <v>서부신시가지아이파크</v>
      </c>
      <c r="AI45" s="86">
        <f t="shared" si="0"/>
        <v>47</v>
      </c>
      <c r="AJ45" s="76" t="str">
        <f t="shared" si="30"/>
        <v>A-</v>
      </c>
      <c r="AK45" s="76" t="s">
        <v>13</v>
      </c>
      <c r="AL45" s="76" t="s">
        <v>62</v>
      </c>
      <c r="AM45" s="76" t="s">
        <v>63</v>
      </c>
      <c r="AN45" s="76" t="str">
        <f t="shared" si="31"/>
        <v>C</v>
      </c>
      <c r="AO45" s="76" t="str">
        <f t="shared" si="32"/>
        <v>X</v>
      </c>
      <c r="AP45" s="76" t="str">
        <f t="shared" si="33"/>
        <v>X</v>
      </c>
      <c r="AQ45" s="76" t="str">
        <f t="shared" si="34"/>
        <v>O</v>
      </c>
      <c r="AR45" s="76" t="str">
        <f t="shared" si="35"/>
        <v>X</v>
      </c>
      <c r="AS45" s="76" t="s">
        <v>2</v>
      </c>
      <c r="AT45" s="76" t="str">
        <f t="shared" si="36"/>
        <v>X</v>
      </c>
      <c r="AU45" s="76" t="str">
        <f t="shared" si="37"/>
        <v>O</v>
      </c>
      <c r="AV45" s="76" t="str">
        <f t="shared" si="38"/>
        <v>X</v>
      </c>
    </row>
    <row r="46" spans="1:48" x14ac:dyDescent="0.3">
      <c r="A46" s="9" t="s">
        <v>1816</v>
      </c>
      <c r="B46" s="10" t="s">
        <v>1947</v>
      </c>
      <c r="C46" s="87">
        <v>622</v>
      </c>
      <c r="D46" s="85">
        <v>169.4</v>
      </c>
      <c r="E46" s="86">
        <v>51</v>
      </c>
      <c r="F46" s="85">
        <v>135</v>
      </c>
      <c r="G46" s="17">
        <v>41</v>
      </c>
      <c r="H46" s="87">
        <v>106</v>
      </c>
      <c r="I46" s="88">
        <v>110000</v>
      </c>
      <c r="J46" s="88" t="s">
        <v>71</v>
      </c>
      <c r="K46" s="88">
        <v>70000</v>
      </c>
      <c r="L46" s="88" t="s">
        <v>71</v>
      </c>
      <c r="M46" s="89">
        <f t="shared" si="20"/>
        <v>40000</v>
      </c>
      <c r="N46" s="4">
        <f t="shared" si="21"/>
        <v>0.63636363636363635</v>
      </c>
      <c r="O46" s="90">
        <f t="shared" si="22"/>
        <v>2156.8627450980393</v>
      </c>
      <c r="P46" s="90">
        <f t="shared" si="23"/>
        <v>1372.5490196078431</v>
      </c>
      <c r="Q46" s="76">
        <v>4</v>
      </c>
      <c r="R46" s="76">
        <v>2</v>
      </c>
      <c r="S46" s="76" t="s">
        <v>61</v>
      </c>
      <c r="T46" s="5">
        <v>169</v>
      </c>
      <c r="U46" s="9"/>
      <c r="W46" s="85">
        <f t="shared" si="24"/>
        <v>169.4</v>
      </c>
      <c r="X46" s="86">
        <f t="shared" si="24"/>
        <v>51</v>
      </c>
      <c r="Y46" s="91">
        <f t="shared" si="25"/>
        <v>106</v>
      </c>
      <c r="Z46" s="89">
        <f t="shared" si="25"/>
        <v>110000</v>
      </c>
      <c r="AA46" s="89">
        <f t="shared" si="26"/>
        <v>70000</v>
      </c>
      <c r="AB46" s="89">
        <f t="shared" si="27"/>
        <v>40000</v>
      </c>
      <c r="AC46" s="4">
        <f t="shared" si="27"/>
        <v>0.63636363636363635</v>
      </c>
      <c r="AD46" s="90">
        <f t="shared" si="27"/>
        <v>2156.8627450980393</v>
      </c>
      <c r="AE46" s="76" t="str">
        <f t="shared" si="28"/>
        <v>계</v>
      </c>
      <c r="AF46" s="76" t="str">
        <f t="shared" si="29"/>
        <v>4/2</v>
      </c>
      <c r="AH46" s="20" t="str">
        <f t="shared" si="1"/>
        <v>서부신시가지아이파크</v>
      </c>
      <c r="AI46" s="86">
        <f t="shared" si="0"/>
        <v>51</v>
      </c>
      <c r="AJ46" s="76" t="str">
        <f t="shared" si="30"/>
        <v>A-</v>
      </c>
      <c r="AK46" s="76" t="s">
        <v>13</v>
      </c>
      <c r="AL46" s="76" t="s">
        <v>62</v>
      </c>
      <c r="AM46" s="76" t="s">
        <v>63</v>
      </c>
      <c r="AN46" s="76" t="str">
        <f t="shared" si="31"/>
        <v>C</v>
      </c>
      <c r="AO46" s="76" t="str">
        <f t="shared" si="32"/>
        <v>X</v>
      </c>
      <c r="AP46" s="76" t="str">
        <f t="shared" si="33"/>
        <v>X</v>
      </c>
      <c r="AQ46" s="76" t="str">
        <f t="shared" si="34"/>
        <v>O</v>
      </c>
      <c r="AR46" s="76" t="str">
        <f t="shared" si="35"/>
        <v>X</v>
      </c>
      <c r="AS46" s="76" t="s">
        <v>2</v>
      </c>
      <c r="AT46" s="76" t="str">
        <f t="shared" si="36"/>
        <v>X</v>
      </c>
      <c r="AU46" s="76" t="str">
        <f t="shared" si="37"/>
        <v>O</v>
      </c>
      <c r="AV46" s="76" t="str">
        <f t="shared" si="38"/>
        <v>X</v>
      </c>
    </row>
    <row r="47" spans="1:48" x14ac:dyDescent="0.3">
      <c r="A47" s="9" t="s">
        <v>1816</v>
      </c>
      <c r="B47" s="10" t="s">
        <v>1947</v>
      </c>
      <c r="C47" s="87">
        <v>622</v>
      </c>
      <c r="D47" s="85">
        <v>187.2</v>
      </c>
      <c r="E47" s="86">
        <v>57</v>
      </c>
      <c r="F47" s="85">
        <v>142.30000000000001</v>
      </c>
      <c r="G47" s="17">
        <v>43</v>
      </c>
      <c r="H47" s="87">
        <v>36</v>
      </c>
      <c r="I47" s="88"/>
      <c r="J47" s="88"/>
      <c r="K47" s="88"/>
      <c r="L47" s="88"/>
      <c r="M47" s="89">
        <f t="shared" si="20"/>
        <v>0</v>
      </c>
      <c r="N47" s="4" t="str">
        <f t="shared" si="21"/>
        <v/>
      </c>
      <c r="O47" s="90">
        <f t="shared" si="22"/>
        <v>0</v>
      </c>
      <c r="P47" s="90">
        <f t="shared" si="23"/>
        <v>0</v>
      </c>
      <c r="Q47" s="76">
        <v>4</v>
      </c>
      <c r="R47" s="76">
        <v>2</v>
      </c>
      <c r="S47" s="76" t="s">
        <v>61</v>
      </c>
      <c r="T47" s="5">
        <v>187</v>
      </c>
      <c r="U47" s="9"/>
      <c r="W47" s="85">
        <f t="shared" si="24"/>
        <v>187.2</v>
      </c>
      <c r="X47" s="86">
        <f t="shared" si="24"/>
        <v>57</v>
      </c>
      <c r="Y47" s="91">
        <f t="shared" si="25"/>
        <v>36</v>
      </c>
      <c r="Z47" s="89">
        <f t="shared" si="25"/>
        <v>0</v>
      </c>
      <c r="AA47" s="89">
        <f t="shared" si="26"/>
        <v>0</v>
      </c>
      <c r="AB47" s="89">
        <f t="shared" si="27"/>
        <v>0</v>
      </c>
      <c r="AC47" s="4" t="str">
        <f t="shared" si="27"/>
        <v/>
      </c>
      <c r="AD47" s="90">
        <f t="shared" si="27"/>
        <v>0</v>
      </c>
      <c r="AE47" s="76" t="str">
        <f t="shared" si="28"/>
        <v>계</v>
      </c>
      <c r="AF47" s="76" t="str">
        <f t="shared" si="29"/>
        <v>4/2</v>
      </c>
      <c r="AH47" s="20" t="str">
        <f t="shared" si="1"/>
        <v>서부신시가지아이파크</v>
      </c>
      <c r="AI47" s="86">
        <f t="shared" si="0"/>
        <v>57</v>
      </c>
      <c r="AJ47" s="76" t="str">
        <f t="shared" si="30"/>
        <v>A-</v>
      </c>
      <c r="AK47" s="76" t="s">
        <v>13</v>
      </c>
      <c r="AL47" s="76" t="s">
        <v>62</v>
      </c>
      <c r="AM47" s="76" t="s">
        <v>63</v>
      </c>
      <c r="AN47" s="76" t="str">
        <f t="shared" si="31"/>
        <v>C</v>
      </c>
      <c r="AO47" s="76" t="str">
        <f t="shared" si="32"/>
        <v/>
      </c>
      <c r="AP47" s="76" t="str">
        <f t="shared" si="33"/>
        <v/>
      </c>
      <c r="AQ47" s="76" t="str">
        <f t="shared" si="34"/>
        <v>O</v>
      </c>
      <c r="AR47" s="76" t="str">
        <f t="shared" si="35"/>
        <v>O</v>
      </c>
      <c r="AS47" s="76" t="s">
        <v>2</v>
      </c>
      <c r="AT47" s="76" t="str">
        <f t="shared" si="36"/>
        <v>X</v>
      </c>
      <c r="AU47" s="76" t="str">
        <f t="shared" si="37"/>
        <v>O</v>
      </c>
      <c r="AV47" s="76" t="str">
        <f t="shared" si="38"/>
        <v/>
      </c>
    </row>
    <row r="48" spans="1:48" x14ac:dyDescent="0.3">
      <c r="A48" s="9" t="s">
        <v>1816</v>
      </c>
      <c r="B48" s="10" t="s">
        <v>1947</v>
      </c>
      <c r="C48" s="87">
        <v>622</v>
      </c>
      <c r="D48" s="85">
        <v>271.39999999999998</v>
      </c>
      <c r="E48" s="86">
        <v>82</v>
      </c>
      <c r="F48" s="85">
        <v>216.4</v>
      </c>
      <c r="G48" s="17">
        <v>65</v>
      </c>
      <c r="H48" s="87">
        <v>6</v>
      </c>
      <c r="I48" s="88"/>
      <c r="J48" s="88"/>
      <c r="K48" s="88"/>
      <c r="L48" s="88"/>
      <c r="M48" s="89">
        <f t="shared" si="20"/>
        <v>0</v>
      </c>
      <c r="N48" s="4" t="str">
        <f t="shared" si="21"/>
        <v/>
      </c>
      <c r="O48" s="90">
        <f t="shared" si="22"/>
        <v>0</v>
      </c>
      <c r="P48" s="90">
        <f t="shared" si="23"/>
        <v>0</v>
      </c>
      <c r="Q48" s="76">
        <v>4</v>
      </c>
      <c r="R48" s="76">
        <v>3</v>
      </c>
      <c r="S48" s="76" t="s">
        <v>61</v>
      </c>
      <c r="T48" s="5" t="s">
        <v>490</v>
      </c>
      <c r="U48" s="9"/>
      <c r="W48" s="85">
        <f t="shared" si="24"/>
        <v>271.39999999999998</v>
      </c>
      <c r="X48" s="86">
        <f t="shared" si="24"/>
        <v>82</v>
      </c>
      <c r="Y48" s="91">
        <f t="shared" si="25"/>
        <v>6</v>
      </c>
      <c r="Z48" s="89">
        <f t="shared" si="25"/>
        <v>0</v>
      </c>
      <c r="AA48" s="89">
        <f t="shared" si="26"/>
        <v>0</v>
      </c>
      <c r="AB48" s="89">
        <f t="shared" si="27"/>
        <v>0</v>
      </c>
      <c r="AC48" s="4" t="str">
        <f t="shared" si="27"/>
        <v/>
      </c>
      <c r="AD48" s="90">
        <f t="shared" si="27"/>
        <v>0</v>
      </c>
      <c r="AE48" s="76" t="str">
        <f t="shared" si="28"/>
        <v>계</v>
      </c>
      <c r="AF48" s="76" t="str">
        <f t="shared" si="29"/>
        <v>4/3</v>
      </c>
      <c r="AH48" s="20" t="str">
        <f t="shared" si="1"/>
        <v>서부신시가지아이파크</v>
      </c>
      <c r="AI48" s="86">
        <f t="shared" si="0"/>
        <v>82</v>
      </c>
      <c r="AJ48" s="76" t="str">
        <f t="shared" si="30"/>
        <v>A-</v>
      </c>
      <c r="AK48" s="76" t="s">
        <v>13</v>
      </c>
      <c r="AL48" s="76" t="s">
        <v>62</v>
      </c>
      <c r="AM48" s="76" t="s">
        <v>63</v>
      </c>
      <c r="AN48" s="76" t="str">
        <f t="shared" si="31"/>
        <v>C</v>
      </c>
      <c r="AO48" s="76" t="str">
        <f t="shared" si="32"/>
        <v/>
      </c>
      <c r="AP48" s="76" t="str">
        <f t="shared" si="33"/>
        <v/>
      </c>
      <c r="AQ48" s="76" t="str">
        <f t="shared" si="34"/>
        <v>O</v>
      </c>
      <c r="AR48" s="76" t="str">
        <f t="shared" si="35"/>
        <v>O</v>
      </c>
      <c r="AS48" s="76" t="s">
        <v>2</v>
      </c>
      <c r="AT48" s="76" t="str">
        <f t="shared" si="36"/>
        <v>X</v>
      </c>
      <c r="AU48" s="76" t="str">
        <f t="shared" si="37"/>
        <v>O</v>
      </c>
      <c r="AV48" s="76" t="str">
        <f t="shared" si="38"/>
        <v/>
      </c>
    </row>
    <row r="49" spans="1:48" x14ac:dyDescent="0.3">
      <c r="A49" s="9" t="s">
        <v>1816</v>
      </c>
      <c r="B49" s="10" t="s">
        <v>1947</v>
      </c>
      <c r="C49" s="87">
        <v>622</v>
      </c>
      <c r="D49" s="85">
        <v>273.89999999999998</v>
      </c>
      <c r="E49" s="86">
        <v>83</v>
      </c>
      <c r="F49" s="85">
        <v>215.6</v>
      </c>
      <c r="G49" s="17">
        <v>65</v>
      </c>
      <c r="H49" s="87">
        <v>2</v>
      </c>
      <c r="I49" s="88"/>
      <c r="J49" s="88"/>
      <c r="K49" s="88"/>
      <c r="L49" s="88"/>
      <c r="M49" s="89">
        <f t="shared" si="20"/>
        <v>0</v>
      </c>
      <c r="N49" s="4" t="str">
        <f t="shared" si="21"/>
        <v/>
      </c>
      <c r="O49" s="90">
        <f t="shared" si="22"/>
        <v>0</v>
      </c>
      <c r="P49" s="90">
        <f t="shared" si="23"/>
        <v>0</v>
      </c>
      <c r="Q49" s="76">
        <v>5</v>
      </c>
      <c r="R49" s="76">
        <v>3</v>
      </c>
      <c r="S49" s="76" t="s">
        <v>61</v>
      </c>
      <c r="T49" s="5" t="s">
        <v>491</v>
      </c>
      <c r="U49" s="9"/>
      <c r="W49" s="85">
        <f t="shared" si="24"/>
        <v>273.89999999999998</v>
      </c>
      <c r="X49" s="86">
        <f t="shared" si="24"/>
        <v>83</v>
      </c>
      <c r="Y49" s="91">
        <f t="shared" si="25"/>
        <v>2</v>
      </c>
      <c r="Z49" s="89">
        <f t="shared" si="25"/>
        <v>0</v>
      </c>
      <c r="AA49" s="89">
        <f t="shared" si="26"/>
        <v>0</v>
      </c>
      <c r="AB49" s="89">
        <f t="shared" si="27"/>
        <v>0</v>
      </c>
      <c r="AC49" s="4" t="str">
        <f t="shared" si="27"/>
        <v/>
      </c>
      <c r="AD49" s="90">
        <f t="shared" si="27"/>
        <v>0</v>
      </c>
      <c r="AE49" s="76" t="str">
        <f t="shared" si="28"/>
        <v>계</v>
      </c>
      <c r="AF49" s="76" t="str">
        <f t="shared" si="29"/>
        <v>5/3</v>
      </c>
      <c r="AH49" s="20" t="str">
        <f t="shared" si="1"/>
        <v>서부신시가지아이파크</v>
      </c>
      <c r="AI49" s="86">
        <f t="shared" si="0"/>
        <v>83</v>
      </c>
      <c r="AJ49" s="76" t="str">
        <f t="shared" si="30"/>
        <v>A-</v>
      </c>
      <c r="AK49" s="76" t="s">
        <v>13</v>
      </c>
      <c r="AL49" s="76" t="s">
        <v>62</v>
      </c>
      <c r="AM49" s="76" t="s">
        <v>63</v>
      </c>
      <c r="AN49" s="76" t="str">
        <f t="shared" si="31"/>
        <v>C</v>
      </c>
      <c r="AO49" s="76" t="str">
        <f t="shared" si="32"/>
        <v/>
      </c>
      <c r="AP49" s="76" t="str">
        <f t="shared" si="33"/>
        <v/>
      </c>
      <c r="AQ49" s="76" t="str">
        <f t="shared" si="34"/>
        <v>O</v>
      </c>
      <c r="AR49" s="76" t="str">
        <f t="shared" si="35"/>
        <v>O</v>
      </c>
      <c r="AS49" s="76" t="s">
        <v>2</v>
      </c>
      <c r="AT49" s="76" t="str">
        <f t="shared" si="36"/>
        <v>X</v>
      </c>
      <c r="AU49" s="76" t="str">
        <f t="shared" si="37"/>
        <v>O</v>
      </c>
      <c r="AV49" s="76" t="str">
        <f t="shared" si="38"/>
        <v/>
      </c>
    </row>
  </sheetData>
  <mergeCells count="1">
    <mergeCell ref="AJ1:AN1"/>
  </mergeCells>
  <phoneticPr fontId="2" type="noConversion"/>
  <conditionalFormatting sqref="AV4:AV6">
    <cfRule type="expression" dxfId="11585" priority="683">
      <formula>AV4="X"</formula>
    </cfRule>
    <cfRule type="expression" dxfId="11584" priority="684">
      <formula>AV4="후보"</formula>
    </cfRule>
  </conditionalFormatting>
  <conditionalFormatting sqref="AC1:AC2 AC4:AC6 N4:N5">
    <cfRule type="cellIs" dxfId="11583" priority="680" operator="greaterThan">
      <formula>0.9</formula>
    </cfRule>
    <cfRule type="cellIs" dxfId="11582" priority="681" operator="greaterThan">
      <formula>0.85</formula>
    </cfRule>
  </conditionalFormatting>
  <conditionalFormatting sqref="N1:N2">
    <cfRule type="cellIs" dxfId="11581" priority="678" operator="greaterThan">
      <formula>0.9</formula>
    </cfRule>
    <cfRule type="cellIs" dxfId="11580" priority="679" operator="greaterThan">
      <formula>0.85</formula>
    </cfRule>
  </conditionalFormatting>
  <conditionalFormatting sqref="N6">
    <cfRule type="cellIs" dxfId="11579" priority="676" operator="greaterThan">
      <formula>0.9</formula>
    </cfRule>
    <cfRule type="cellIs" dxfId="11578" priority="677" operator="greaterThan">
      <formula>0.85</formula>
    </cfRule>
  </conditionalFormatting>
  <conditionalFormatting sqref="E6">
    <cfRule type="expression" dxfId="11577" priority="672">
      <formula>AND(IF(OR($Q6=1,$Q6=2),1,0),IF($X6&lt;=20,1,0))</formula>
    </cfRule>
    <cfRule type="expression" dxfId="11576" priority="673">
      <formula>AND(IF($Q6=2,1,0),IF($X6&lt;30,1,0))</formula>
    </cfRule>
    <cfRule type="expression" dxfId="11575" priority="674">
      <formula>AND(IF($Q6=3,1,0),IF($X6&lt;30,1,0))</formula>
    </cfRule>
    <cfRule type="expression" dxfId="11574" priority="675">
      <formula>AND(IF($Q6=3,1,IF($Q6=4,1,0)),IF($F6&lt;=85,1,0))</formula>
    </cfRule>
  </conditionalFormatting>
  <conditionalFormatting sqref="X6">
    <cfRule type="expression" dxfId="11573" priority="668">
      <formula>AND(IF(OR($Q6=1,$Q6=2),1,0),IF($X6&lt;=20,1,0))</formula>
    </cfRule>
    <cfRule type="expression" dxfId="11572" priority="669">
      <formula>AND(IF($Q6=2,1,0),IF($X6&lt;30,1,0))</formula>
    </cfRule>
    <cfRule type="expression" dxfId="11571" priority="670">
      <formula>AND(IF($Q6=3,1,0),IF($X6&lt;30,1,0))</formula>
    </cfRule>
    <cfRule type="expression" dxfId="11570" priority="671">
      <formula>AND(IF($Q6=3,1,IF($Q6=4,1,0)),IF($F6&lt;=85,1,0))</formula>
    </cfRule>
  </conditionalFormatting>
  <conditionalFormatting sqref="AI6">
    <cfRule type="expression" dxfId="11569" priority="664">
      <formula>AND(IF(OR($Q6=1,$Q6=2),1,0),IF($X6&lt;=20,1,0))</formula>
    </cfRule>
    <cfRule type="expression" dxfId="11568" priority="665">
      <formula>AND(IF($Q6=2,1,0),IF($X6&lt;30,1,0))</formula>
    </cfRule>
    <cfRule type="expression" dxfId="11567" priority="666">
      <formula>AND(IF($Q6=3,1,0),IF($X6&lt;30,1,0))</formula>
    </cfRule>
    <cfRule type="expression" dxfId="11566" priority="667">
      <formula>AND(IF($Q6=3,1,IF($Q6=4,1,0)),IF($F6&lt;=85,1,0))</formula>
    </cfRule>
  </conditionalFormatting>
  <conditionalFormatting sqref="AV7">
    <cfRule type="expression" dxfId="11565" priority="662">
      <formula>AV7="X"</formula>
    </cfRule>
    <cfRule type="expression" dxfId="11564" priority="663">
      <formula>AV7="후보"</formula>
    </cfRule>
  </conditionalFormatting>
  <conditionalFormatting sqref="AC7">
    <cfRule type="cellIs" dxfId="11563" priority="659" operator="greaterThan">
      <formula>0.9</formula>
    </cfRule>
    <cfRule type="cellIs" dxfId="11562" priority="660" operator="greaterThan">
      <formula>0.85</formula>
    </cfRule>
  </conditionalFormatting>
  <conditionalFormatting sqref="N7">
    <cfRule type="cellIs" dxfId="11561" priority="657" operator="greaterThan">
      <formula>0.9</formula>
    </cfRule>
    <cfRule type="cellIs" dxfId="11560" priority="658" operator="greaterThan">
      <formula>0.85</formula>
    </cfRule>
  </conditionalFormatting>
  <conditionalFormatting sqref="E7">
    <cfRule type="expression" dxfId="11559" priority="653">
      <formula>AND(IF(OR($Q7=1,$Q7=2),1,0),IF($X7&lt;=20,1,0))</formula>
    </cfRule>
    <cfRule type="expression" dxfId="11558" priority="654">
      <formula>AND(IF($Q7=2,1,0),IF($X7&lt;30,1,0))</formula>
    </cfRule>
    <cfRule type="expression" dxfId="11557" priority="655">
      <formula>AND(IF($Q7=3,1,0),IF($X7&lt;30,1,0))</formula>
    </cfRule>
    <cfRule type="expression" dxfId="11556" priority="656">
      <formula>AND(IF($Q7=3,1,IF($Q7=4,1,0)),IF($F7&lt;=85,1,0))</formula>
    </cfRule>
  </conditionalFormatting>
  <conditionalFormatting sqref="X7">
    <cfRule type="expression" dxfId="11555" priority="649">
      <formula>AND(IF(OR($Q7=1,$Q7=2),1,0),IF($X7&lt;=20,1,0))</formula>
    </cfRule>
    <cfRule type="expression" dxfId="11554" priority="650">
      <formula>AND(IF($Q7=2,1,0),IF($X7&lt;30,1,0))</formula>
    </cfRule>
    <cfRule type="expression" dxfId="11553" priority="651">
      <formula>AND(IF($Q7=3,1,0),IF($X7&lt;30,1,0))</formula>
    </cfRule>
    <cfRule type="expression" dxfId="11552" priority="652">
      <formula>AND(IF($Q7=3,1,IF($Q7=4,1,0)),IF($F7&lt;=85,1,0))</formula>
    </cfRule>
  </conditionalFormatting>
  <conditionalFormatting sqref="AI7">
    <cfRule type="expression" dxfId="11551" priority="645">
      <formula>AND(IF(OR($Q7=1,$Q7=2),1,0),IF($X7&lt;=20,1,0))</formula>
    </cfRule>
    <cfRule type="expression" dxfId="11550" priority="646">
      <formula>AND(IF($Q7=2,1,0),IF($X7&lt;30,1,0))</formula>
    </cfRule>
    <cfRule type="expression" dxfId="11549" priority="647">
      <formula>AND(IF($Q7=3,1,0),IF($X7&lt;30,1,0))</formula>
    </cfRule>
    <cfRule type="expression" dxfId="11548" priority="648">
      <formula>AND(IF($Q7=3,1,IF($Q7=4,1,0)),IF($F7&lt;=85,1,0))</formula>
    </cfRule>
  </conditionalFormatting>
  <conditionalFormatting sqref="AV8">
    <cfRule type="expression" dxfId="11547" priority="643">
      <formula>AV8="X"</formula>
    </cfRule>
    <cfRule type="expression" dxfId="11546" priority="644">
      <formula>AV8="후보"</formula>
    </cfRule>
  </conditionalFormatting>
  <conditionalFormatting sqref="AC8 N8">
    <cfRule type="cellIs" dxfId="11545" priority="640" operator="greaterThan">
      <formula>0.9</formula>
    </cfRule>
    <cfRule type="cellIs" dxfId="11544" priority="641" operator="greaterThan">
      <formula>0.85</formula>
    </cfRule>
  </conditionalFormatting>
  <conditionalFormatting sqref="AV9">
    <cfRule type="expression" dxfId="11543" priority="638">
      <formula>AV9="X"</formula>
    </cfRule>
    <cfRule type="expression" dxfId="11542" priority="639">
      <formula>AV9="후보"</formula>
    </cfRule>
  </conditionalFormatting>
  <conditionalFormatting sqref="AC9">
    <cfRule type="cellIs" dxfId="11541" priority="635" operator="greaterThan">
      <formula>0.9</formula>
    </cfRule>
    <cfRule type="cellIs" dxfId="11540" priority="636" operator="greaterThan">
      <formula>0.85</formula>
    </cfRule>
  </conditionalFormatting>
  <conditionalFormatting sqref="N9">
    <cfRule type="cellIs" dxfId="11539" priority="633" operator="greaterThan">
      <formula>0.9</formula>
    </cfRule>
    <cfRule type="cellIs" dxfId="11538" priority="634" operator="greaterThan">
      <formula>0.85</formula>
    </cfRule>
  </conditionalFormatting>
  <conditionalFormatting sqref="E9">
    <cfRule type="expression" dxfId="11537" priority="629">
      <formula>AND(IF(OR($Q9=1,$Q9=2),1,0),IF($X9&lt;=20,1,0))</formula>
    </cfRule>
    <cfRule type="expression" dxfId="11536" priority="630">
      <formula>AND(IF($Q9=2,1,0),IF($X9&lt;30,1,0))</formula>
    </cfRule>
    <cfRule type="expression" dxfId="11535" priority="631">
      <formula>AND(IF($Q9=3,1,0),IF($X9&lt;30,1,0))</formula>
    </cfRule>
    <cfRule type="expression" dxfId="11534" priority="632">
      <formula>AND(IF($Q9=3,1,IF($Q9=4,1,0)),IF($F9&lt;=85,1,0))</formula>
    </cfRule>
  </conditionalFormatting>
  <conditionalFormatting sqref="X9">
    <cfRule type="expression" dxfId="11533" priority="625">
      <formula>AND(IF(OR($Q9=1,$Q9=2),1,0),IF($X9&lt;=20,1,0))</formula>
    </cfRule>
    <cfRule type="expression" dxfId="11532" priority="626">
      <formula>AND(IF($Q9=2,1,0),IF($X9&lt;30,1,0))</formula>
    </cfRule>
    <cfRule type="expression" dxfId="11531" priority="627">
      <formula>AND(IF($Q9=3,1,0),IF($X9&lt;30,1,0))</formula>
    </cfRule>
    <cfRule type="expression" dxfId="11530" priority="628">
      <formula>AND(IF($Q9=3,1,IF($Q9=4,1,0)),IF($F9&lt;=85,1,0))</formula>
    </cfRule>
  </conditionalFormatting>
  <conditionalFormatting sqref="AI9">
    <cfRule type="expression" dxfId="11529" priority="621">
      <formula>AND(IF(OR($Q9=1,$Q9=2),1,0),IF($X9&lt;=20,1,0))</formula>
    </cfRule>
    <cfRule type="expression" dxfId="11528" priority="622">
      <formula>AND(IF($Q9=2,1,0),IF($X9&lt;30,1,0))</formula>
    </cfRule>
    <cfRule type="expression" dxfId="11527" priority="623">
      <formula>AND(IF($Q9=3,1,0),IF($X9&lt;30,1,0))</formula>
    </cfRule>
    <cfRule type="expression" dxfId="11526" priority="624">
      <formula>AND(IF($Q9=3,1,IF($Q9=4,1,0)),IF($F9&lt;=85,1,0))</formula>
    </cfRule>
  </conditionalFormatting>
  <conditionalFormatting sqref="AV10">
    <cfRule type="expression" dxfId="11525" priority="619">
      <formula>AV10="X"</formula>
    </cfRule>
    <cfRule type="expression" dxfId="11524" priority="620">
      <formula>AV10="후보"</formula>
    </cfRule>
  </conditionalFormatting>
  <conditionalFormatting sqref="AC10">
    <cfRule type="cellIs" dxfId="11523" priority="616" operator="greaterThan">
      <formula>0.9</formula>
    </cfRule>
    <cfRule type="cellIs" dxfId="11522" priority="617" operator="greaterThan">
      <formula>0.85</formula>
    </cfRule>
  </conditionalFormatting>
  <conditionalFormatting sqref="N10">
    <cfRule type="cellIs" dxfId="11521" priority="614" operator="greaterThan">
      <formula>0.9</formula>
    </cfRule>
    <cfRule type="cellIs" dxfId="11520" priority="615" operator="greaterThan">
      <formula>0.85</formula>
    </cfRule>
  </conditionalFormatting>
  <conditionalFormatting sqref="E10">
    <cfRule type="expression" dxfId="11519" priority="610">
      <formula>AND(IF(OR($Q10=1,$Q10=2),1,0),IF($X10&lt;=20,1,0))</formula>
    </cfRule>
    <cfRule type="expression" dxfId="11518" priority="611">
      <formula>AND(IF($Q10=2,1,0),IF($X10&lt;30,1,0))</formula>
    </cfRule>
    <cfRule type="expression" dxfId="11517" priority="612">
      <formula>AND(IF($Q10=3,1,0),IF($X10&lt;30,1,0))</formula>
    </cfRule>
    <cfRule type="expression" dxfId="11516" priority="613">
      <formula>AND(IF($Q10=3,1,IF($Q10=4,1,0)),IF($F10&lt;=85,1,0))</formula>
    </cfRule>
  </conditionalFormatting>
  <conditionalFormatting sqref="X10">
    <cfRule type="expression" dxfId="11515" priority="606">
      <formula>AND(IF(OR($Q10=1,$Q10=2),1,0),IF($X10&lt;=20,1,0))</formula>
    </cfRule>
    <cfRule type="expression" dxfId="11514" priority="607">
      <formula>AND(IF($Q10=2,1,0),IF($X10&lt;30,1,0))</formula>
    </cfRule>
    <cfRule type="expression" dxfId="11513" priority="608">
      <formula>AND(IF($Q10=3,1,0),IF($X10&lt;30,1,0))</formula>
    </cfRule>
    <cfRule type="expression" dxfId="11512" priority="609">
      <formula>AND(IF($Q10=3,1,IF($Q10=4,1,0)),IF($F10&lt;=85,1,0))</formula>
    </cfRule>
  </conditionalFormatting>
  <conditionalFormatting sqref="AI10">
    <cfRule type="expression" dxfId="11511" priority="602">
      <formula>AND(IF(OR($Q10=1,$Q10=2),1,0),IF($X10&lt;=20,1,0))</formula>
    </cfRule>
    <cfRule type="expression" dxfId="11510" priority="603">
      <formula>AND(IF($Q10=2,1,0),IF($X10&lt;30,1,0))</formula>
    </cfRule>
    <cfRule type="expression" dxfId="11509" priority="604">
      <formula>AND(IF($Q10=3,1,0),IF($X10&lt;30,1,0))</formula>
    </cfRule>
    <cfRule type="expression" dxfId="11508" priority="605">
      <formula>AND(IF($Q10=3,1,IF($Q10=4,1,0)),IF($F10&lt;=85,1,0))</formula>
    </cfRule>
  </conditionalFormatting>
  <conditionalFormatting sqref="AV11">
    <cfRule type="expression" dxfId="11507" priority="600">
      <formula>AV11="X"</formula>
    </cfRule>
    <cfRule type="expression" dxfId="11506" priority="601">
      <formula>AV11="후보"</formula>
    </cfRule>
  </conditionalFormatting>
  <conditionalFormatting sqref="AC11">
    <cfRule type="cellIs" dxfId="11505" priority="597" operator="greaterThan">
      <formula>0.9</formula>
    </cfRule>
    <cfRule type="cellIs" dxfId="11504" priority="598" operator="greaterThan">
      <formula>0.85</formula>
    </cfRule>
  </conditionalFormatting>
  <conditionalFormatting sqref="N11">
    <cfRule type="cellIs" dxfId="11503" priority="595" operator="greaterThan">
      <formula>0.9</formula>
    </cfRule>
    <cfRule type="cellIs" dxfId="11502" priority="596" operator="greaterThan">
      <formula>0.85</formula>
    </cfRule>
  </conditionalFormatting>
  <conditionalFormatting sqref="E11">
    <cfRule type="expression" dxfId="11501" priority="591">
      <formula>AND(IF(OR($Q11=1,$Q11=2),1,0),IF($X11&lt;=20,1,0))</formula>
    </cfRule>
    <cfRule type="expression" dxfId="11500" priority="592">
      <formula>AND(IF($Q11=2,1,0),IF($X11&lt;30,1,0))</formula>
    </cfRule>
    <cfRule type="expression" dxfId="11499" priority="593">
      <formula>AND(IF($Q11=3,1,0),IF($X11&lt;30,1,0))</formula>
    </cfRule>
    <cfRule type="expression" dxfId="11498" priority="594">
      <formula>AND(IF($Q11=3,1,IF($Q11=4,1,0)),IF($F11&lt;=85,1,0))</formula>
    </cfRule>
  </conditionalFormatting>
  <conditionalFormatting sqref="X11">
    <cfRule type="expression" dxfId="11497" priority="587">
      <formula>AND(IF(OR($Q11=1,$Q11=2),1,0),IF($X11&lt;=20,1,0))</formula>
    </cfRule>
    <cfRule type="expression" dxfId="11496" priority="588">
      <formula>AND(IF($Q11=2,1,0),IF($X11&lt;30,1,0))</formula>
    </cfRule>
    <cfRule type="expression" dxfId="11495" priority="589">
      <formula>AND(IF($Q11=3,1,0),IF($X11&lt;30,1,0))</formula>
    </cfRule>
    <cfRule type="expression" dxfId="11494" priority="590">
      <formula>AND(IF($Q11=3,1,IF($Q11=4,1,0)),IF($F11&lt;=85,1,0))</formula>
    </cfRule>
  </conditionalFormatting>
  <conditionalFormatting sqref="AI11">
    <cfRule type="expression" dxfId="11493" priority="583">
      <formula>AND(IF(OR($Q11=1,$Q11=2),1,0),IF($X11&lt;=20,1,0))</formula>
    </cfRule>
    <cfRule type="expression" dxfId="11492" priority="584">
      <formula>AND(IF($Q11=2,1,0),IF($X11&lt;30,1,0))</formula>
    </cfRule>
    <cfRule type="expression" dxfId="11491" priority="585">
      <formula>AND(IF($Q11=3,1,0),IF($X11&lt;30,1,0))</formula>
    </cfRule>
    <cfRule type="expression" dxfId="11490" priority="586">
      <formula>AND(IF($Q11=3,1,IF($Q11=4,1,0)),IF($F11&lt;=85,1,0))</formula>
    </cfRule>
  </conditionalFormatting>
  <conditionalFormatting sqref="AV12">
    <cfRule type="expression" dxfId="11489" priority="581">
      <formula>AV12="X"</formula>
    </cfRule>
    <cfRule type="expression" dxfId="11488" priority="582">
      <formula>AV12="후보"</formula>
    </cfRule>
  </conditionalFormatting>
  <conditionalFormatting sqref="AC12">
    <cfRule type="cellIs" dxfId="11487" priority="578" operator="greaterThan">
      <formula>0.9</formula>
    </cfRule>
    <cfRule type="cellIs" dxfId="11486" priority="579" operator="greaterThan">
      <formula>0.85</formula>
    </cfRule>
  </conditionalFormatting>
  <conditionalFormatting sqref="N12">
    <cfRule type="cellIs" dxfId="11485" priority="576" operator="greaterThan">
      <formula>0.9</formula>
    </cfRule>
    <cfRule type="cellIs" dxfId="11484" priority="577" operator="greaterThan">
      <formula>0.85</formula>
    </cfRule>
  </conditionalFormatting>
  <conditionalFormatting sqref="E12">
    <cfRule type="expression" dxfId="11483" priority="572">
      <formula>AND(IF(OR($Q12=1,$Q12=2),1,0),IF($X12&lt;=20,1,0))</formula>
    </cfRule>
    <cfRule type="expression" dxfId="11482" priority="573">
      <formula>AND(IF($Q12=2,1,0),IF($X12&lt;30,1,0))</formula>
    </cfRule>
    <cfRule type="expression" dxfId="11481" priority="574">
      <formula>AND(IF($Q12=3,1,0),IF($X12&lt;30,1,0))</formula>
    </cfRule>
    <cfRule type="expression" dxfId="11480" priority="575">
      <formula>AND(IF($Q12=3,1,IF($Q12=4,1,0)),IF($F12&lt;=85,1,0))</formula>
    </cfRule>
  </conditionalFormatting>
  <conditionalFormatting sqref="X12">
    <cfRule type="expression" dxfId="11479" priority="568">
      <formula>AND(IF(OR($Q12=1,$Q12=2),1,0),IF($X12&lt;=20,1,0))</formula>
    </cfRule>
    <cfRule type="expression" dxfId="11478" priority="569">
      <formula>AND(IF($Q12=2,1,0),IF($X12&lt;30,1,0))</formula>
    </cfRule>
    <cfRule type="expression" dxfId="11477" priority="570">
      <formula>AND(IF($Q12=3,1,0),IF($X12&lt;30,1,0))</formula>
    </cfRule>
    <cfRule type="expression" dxfId="11476" priority="571">
      <formula>AND(IF($Q12=3,1,IF($Q12=4,1,0)),IF($F12&lt;=85,1,0))</formula>
    </cfRule>
  </conditionalFormatting>
  <conditionalFormatting sqref="AI12">
    <cfRule type="expression" dxfId="11475" priority="564">
      <formula>AND(IF(OR($Q12=1,$Q12=2),1,0),IF($X12&lt;=20,1,0))</formula>
    </cfRule>
    <cfRule type="expression" dxfId="11474" priority="565">
      <formula>AND(IF($Q12=2,1,0),IF($X12&lt;30,1,0))</formula>
    </cfRule>
    <cfRule type="expression" dxfId="11473" priority="566">
      <formula>AND(IF($Q12=3,1,0),IF($X12&lt;30,1,0))</formula>
    </cfRule>
    <cfRule type="expression" dxfId="11472" priority="567">
      <formula>AND(IF($Q12=3,1,IF($Q12=4,1,0)),IF($F12&lt;=85,1,0))</formula>
    </cfRule>
  </conditionalFormatting>
  <conditionalFormatting sqref="AV13">
    <cfRule type="expression" dxfId="11471" priority="562">
      <formula>AV13="X"</formula>
    </cfRule>
    <cfRule type="expression" dxfId="11470" priority="563">
      <formula>AV13="후보"</formula>
    </cfRule>
  </conditionalFormatting>
  <conditionalFormatting sqref="AC13 N13">
    <cfRule type="cellIs" dxfId="11469" priority="559" operator="greaterThan">
      <formula>0.9</formula>
    </cfRule>
    <cfRule type="cellIs" dxfId="11468" priority="560" operator="greaterThan">
      <formula>0.85</formula>
    </cfRule>
  </conditionalFormatting>
  <conditionalFormatting sqref="AV14">
    <cfRule type="expression" dxfId="11467" priority="557">
      <formula>AV14="X"</formula>
    </cfRule>
    <cfRule type="expression" dxfId="11466" priority="558">
      <formula>AV14="후보"</formula>
    </cfRule>
  </conditionalFormatting>
  <conditionalFormatting sqref="AC14">
    <cfRule type="cellIs" dxfId="11465" priority="554" operator="greaterThan">
      <formula>0.9</formula>
    </cfRule>
    <cfRule type="cellIs" dxfId="11464" priority="555" operator="greaterThan">
      <formula>0.85</formula>
    </cfRule>
  </conditionalFormatting>
  <conditionalFormatting sqref="N14">
    <cfRule type="cellIs" dxfId="11463" priority="552" operator="greaterThan">
      <formula>0.9</formula>
    </cfRule>
    <cfRule type="cellIs" dxfId="11462" priority="553" operator="greaterThan">
      <formula>0.85</formula>
    </cfRule>
  </conditionalFormatting>
  <conditionalFormatting sqref="E14">
    <cfRule type="expression" dxfId="11461" priority="548">
      <formula>AND(IF(OR($Q14=1,$Q14=2),1,0),IF($X14&lt;=20,1,0))</formula>
    </cfRule>
    <cfRule type="expression" dxfId="11460" priority="549">
      <formula>AND(IF($Q14=2,1,0),IF($X14&lt;30,1,0))</formula>
    </cfRule>
    <cfRule type="expression" dxfId="11459" priority="550">
      <formula>AND(IF($Q14=3,1,0),IF($X14&lt;30,1,0))</formula>
    </cfRule>
    <cfRule type="expression" dxfId="11458" priority="551">
      <formula>AND(IF($Q14=3,1,IF($Q14=4,1,0)),IF($F14&lt;=85,1,0))</formula>
    </cfRule>
  </conditionalFormatting>
  <conditionalFormatting sqref="X14">
    <cfRule type="expression" dxfId="11457" priority="544">
      <formula>AND(IF(OR($Q14=1,$Q14=2),1,0),IF($X14&lt;=20,1,0))</formula>
    </cfRule>
    <cfRule type="expression" dxfId="11456" priority="545">
      <formula>AND(IF($Q14=2,1,0),IF($X14&lt;30,1,0))</formula>
    </cfRule>
    <cfRule type="expression" dxfId="11455" priority="546">
      <formula>AND(IF($Q14=3,1,0),IF($X14&lt;30,1,0))</formula>
    </cfRule>
    <cfRule type="expression" dxfId="11454" priority="547">
      <formula>AND(IF($Q14=3,1,IF($Q14=4,1,0)),IF($F14&lt;=85,1,0))</formula>
    </cfRule>
  </conditionalFormatting>
  <conditionalFormatting sqref="AI14">
    <cfRule type="expression" dxfId="11453" priority="540">
      <formula>AND(IF(OR($Q14=1,$Q14=2),1,0),IF($X14&lt;=20,1,0))</formula>
    </cfRule>
    <cfRule type="expression" dxfId="11452" priority="541">
      <formula>AND(IF($Q14=2,1,0),IF($X14&lt;30,1,0))</formula>
    </cfRule>
    <cfRule type="expression" dxfId="11451" priority="542">
      <formula>AND(IF($Q14=3,1,0),IF($X14&lt;30,1,0))</formula>
    </cfRule>
    <cfRule type="expression" dxfId="11450" priority="543">
      <formula>AND(IF($Q14=3,1,IF($Q14=4,1,0)),IF($F14&lt;=85,1,0))</formula>
    </cfRule>
  </conditionalFormatting>
  <conditionalFormatting sqref="AV15">
    <cfRule type="expression" dxfId="11449" priority="538">
      <formula>AV15="X"</formula>
    </cfRule>
    <cfRule type="expression" dxfId="11448" priority="539">
      <formula>AV15="후보"</formula>
    </cfRule>
  </conditionalFormatting>
  <conditionalFormatting sqref="AC15">
    <cfRule type="cellIs" dxfId="11447" priority="535" operator="greaterThan">
      <formula>0.9</formula>
    </cfRule>
    <cfRule type="cellIs" dxfId="11446" priority="536" operator="greaterThan">
      <formula>0.85</formula>
    </cfRule>
  </conditionalFormatting>
  <conditionalFormatting sqref="N15">
    <cfRule type="cellIs" dxfId="11445" priority="533" operator="greaterThan">
      <formula>0.9</formula>
    </cfRule>
    <cfRule type="cellIs" dxfId="11444" priority="534" operator="greaterThan">
      <formula>0.85</formula>
    </cfRule>
  </conditionalFormatting>
  <conditionalFormatting sqref="E15">
    <cfRule type="expression" dxfId="11443" priority="529">
      <formula>AND(IF(OR($Q15=1,$Q15=2),1,0),IF($X15&lt;=20,1,0))</formula>
    </cfRule>
    <cfRule type="expression" dxfId="11442" priority="530">
      <formula>AND(IF($Q15=2,1,0),IF($X15&lt;30,1,0))</formula>
    </cfRule>
    <cfRule type="expression" dxfId="11441" priority="531">
      <formula>AND(IF($Q15=3,1,0),IF($X15&lt;30,1,0))</formula>
    </cfRule>
    <cfRule type="expression" dxfId="11440" priority="532">
      <formula>AND(IF($Q15=3,1,IF($Q15=4,1,0)),IF($F15&lt;=85,1,0))</formula>
    </cfRule>
  </conditionalFormatting>
  <conditionalFormatting sqref="X15">
    <cfRule type="expression" dxfId="11439" priority="525">
      <formula>AND(IF(OR($Q15=1,$Q15=2),1,0),IF($X15&lt;=20,1,0))</formula>
    </cfRule>
    <cfRule type="expression" dxfId="11438" priority="526">
      <formula>AND(IF($Q15=2,1,0),IF($X15&lt;30,1,0))</formula>
    </cfRule>
    <cfRule type="expression" dxfId="11437" priority="527">
      <formula>AND(IF($Q15=3,1,0),IF($X15&lt;30,1,0))</formula>
    </cfRule>
    <cfRule type="expression" dxfId="11436" priority="528">
      <formula>AND(IF($Q15=3,1,IF($Q15=4,1,0)),IF($F15&lt;=85,1,0))</formula>
    </cfRule>
  </conditionalFormatting>
  <conditionalFormatting sqref="AI15">
    <cfRule type="expression" dxfId="11435" priority="521">
      <formula>AND(IF(OR($Q15=1,$Q15=2),1,0),IF($X15&lt;=20,1,0))</formula>
    </cfRule>
    <cfRule type="expression" dxfId="11434" priority="522">
      <formula>AND(IF($Q15=2,1,0),IF($X15&lt;30,1,0))</formula>
    </cfRule>
    <cfRule type="expression" dxfId="11433" priority="523">
      <formula>AND(IF($Q15=3,1,0),IF($X15&lt;30,1,0))</formula>
    </cfRule>
    <cfRule type="expression" dxfId="11432" priority="524">
      <formula>AND(IF($Q15=3,1,IF($Q15=4,1,0)),IF($F15&lt;=85,1,0))</formula>
    </cfRule>
  </conditionalFormatting>
  <conditionalFormatting sqref="AV16">
    <cfRule type="expression" dxfId="11431" priority="519">
      <formula>AV16="X"</formula>
    </cfRule>
    <cfRule type="expression" dxfId="11430" priority="520">
      <formula>AV16="후보"</formula>
    </cfRule>
  </conditionalFormatting>
  <conditionalFormatting sqref="AC16">
    <cfRule type="cellIs" dxfId="11429" priority="516" operator="greaterThan">
      <formula>0.9</formula>
    </cfRule>
    <cfRule type="cellIs" dxfId="11428" priority="517" operator="greaterThan">
      <formula>0.85</formula>
    </cfRule>
  </conditionalFormatting>
  <conditionalFormatting sqref="N16">
    <cfRule type="cellIs" dxfId="11427" priority="514" operator="greaterThan">
      <formula>0.9</formula>
    </cfRule>
    <cfRule type="cellIs" dxfId="11426" priority="515" operator="greaterThan">
      <formula>0.85</formula>
    </cfRule>
  </conditionalFormatting>
  <conditionalFormatting sqref="E16">
    <cfRule type="expression" dxfId="11425" priority="510">
      <formula>AND(IF(OR($Q16=1,$Q16=2),1,0),IF($X16&lt;=20,1,0))</formula>
    </cfRule>
    <cfRule type="expression" dxfId="11424" priority="511">
      <formula>AND(IF($Q16=2,1,0),IF($X16&lt;30,1,0))</formula>
    </cfRule>
    <cfRule type="expression" dxfId="11423" priority="512">
      <formula>AND(IF($Q16=3,1,0),IF($X16&lt;30,1,0))</formula>
    </cfRule>
    <cfRule type="expression" dxfId="11422" priority="513">
      <formula>AND(IF($Q16=3,1,IF($Q16=4,1,0)),IF($F16&lt;=85,1,0))</formula>
    </cfRule>
  </conditionalFormatting>
  <conditionalFormatting sqref="X16">
    <cfRule type="expression" dxfId="11421" priority="506">
      <formula>AND(IF(OR($Q16=1,$Q16=2),1,0),IF($X16&lt;=20,1,0))</formula>
    </cfRule>
    <cfRule type="expression" dxfId="11420" priority="507">
      <formula>AND(IF($Q16=2,1,0),IF($X16&lt;30,1,0))</formula>
    </cfRule>
    <cfRule type="expression" dxfId="11419" priority="508">
      <formula>AND(IF($Q16=3,1,0),IF($X16&lt;30,1,0))</formula>
    </cfRule>
    <cfRule type="expression" dxfId="11418" priority="509">
      <formula>AND(IF($Q16=3,1,IF($Q16=4,1,0)),IF($F16&lt;=85,1,0))</formula>
    </cfRule>
  </conditionalFormatting>
  <conditionalFormatting sqref="AI16">
    <cfRule type="expression" dxfId="11417" priority="502">
      <formula>AND(IF(OR($Q16=1,$Q16=2),1,0),IF($X16&lt;=20,1,0))</formula>
    </cfRule>
    <cfRule type="expression" dxfId="11416" priority="503">
      <formula>AND(IF($Q16=2,1,0),IF($X16&lt;30,1,0))</formula>
    </cfRule>
    <cfRule type="expression" dxfId="11415" priority="504">
      <formula>AND(IF($Q16=3,1,0),IF($X16&lt;30,1,0))</formula>
    </cfRule>
    <cfRule type="expression" dxfId="11414" priority="505">
      <formula>AND(IF($Q16=3,1,IF($Q16=4,1,0)),IF($F16&lt;=85,1,0))</formula>
    </cfRule>
  </conditionalFormatting>
  <conditionalFormatting sqref="AV17">
    <cfRule type="expression" dxfId="11413" priority="500">
      <formula>AV17="X"</formula>
    </cfRule>
    <cfRule type="expression" dxfId="11412" priority="501">
      <formula>AV17="후보"</formula>
    </cfRule>
  </conditionalFormatting>
  <conditionalFormatting sqref="AC17 N17">
    <cfRule type="cellIs" dxfId="11411" priority="497" operator="greaterThan">
      <formula>0.9</formula>
    </cfRule>
    <cfRule type="cellIs" dxfId="11410" priority="498" operator="greaterThan">
      <formula>0.85</formula>
    </cfRule>
  </conditionalFormatting>
  <conditionalFormatting sqref="AV18">
    <cfRule type="expression" dxfId="11409" priority="495">
      <formula>AV18="X"</formula>
    </cfRule>
    <cfRule type="expression" dxfId="11408" priority="496">
      <formula>AV18="후보"</formula>
    </cfRule>
  </conditionalFormatting>
  <conditionalFormatting sqref="AC18">
    <cfRule type="cellIs" dxfId="11407" priority="492" operator="greaterThan">
      <formula>0.9</formula>
    </cfRule>
    <cfRule type="cellIs" dxfId="11406" priority="493" operator="greaterThan">
      <formula>0.85</formula>
    </cfRule>
  </conditionalFormatting>
  <conditionalFormatting sqref="N18">
    <cfRule type="cellIs" dxfId="11405" priority="490" operator="greaterThan">
      <formula>0.9</formula>
    </cfRule>
    <cfRule type="cellIs" dxfId="11404" priority="491" operator="greaterThan">
      <formula>0.85</formula>
    </cfRule>
  </conditionalFormatting>
  <conditionalFormatting sqref="E18">
    <cfRule type="expression" dxfId="11403" priority="486">
      <formula>AND(IF(OR($Q18=1,$Q18=2),1,0),IF($X18&lt;=20,1,0))</formula>
    </cfRule>
    <cfRule type="expression" dxfId="11402" priority="487">
      <formula>AND(IF($Q18=2,1,0),IF($X18&lt;30,1,0))</formula>
    </cfRule>
    <cfRule type="expression" dxfId="11401" priority="488">
      <formula>AND(IF($Q18=3,1,0),IF($X18&lt;30,1,0))</formula>
    </cfRule>
    <cfRule type="expression" dxfId="11400" priority="489">
      <formula>AND(IF($Q18=3,1,IF($Q18=4,1,0)),IF($F18&lt;=85,1,0))</formula>
    </cfRule>
  </conditionalFormatting>
  <conditionalFormatting sqref="X18">
    <cfRule type="expression" dxfId="11399" priority="482">
      <formula>AND(IF(OR($Q18=1,$Q18=2),1,0),IF($X18&lt;=20,1,0))</formula>
    </cfRule>
    <cfRule type="expression" dxfId="11398" priority="483">
      <formula>AND(IF($Q18=2,1,0),IF($X18&lt;30,1,0))</formula>
    </cfRule>
    <cfRule type="expression" dxfId="11397" priority="484">
      <formula>AND(IF($Q18=3,1,0),IF($X18&lt;30,1,0))</formula>
    </cfRule>
    <cfRule type="expression" dxfId="11396" priority="485">
      <formula>AND(IF($Q18=3,1,IF($Q18=4,1,0)),IF($F18&lt;=85,1,0))</formula>
    </cfRule>
  </conditionalFormatting>
  <conditionalFormatting sqref="AI18">
    <cfRule type="expression" dxfId="11395" priority="478">
      <formula>AND(IF(OR($Q18=1,$Q18=2),1,0),IF($X18&lt;=20,1,0))</formula>
    </cfRule>
    <cfRule type="expression" dxfId="11394" priority="479">
      <formula>AND(IF($Q18=2,1,0),IF($X18&lt;30,1,0))</formula>
    </cfRule>
    <cfRule type="expression" dxfId="11393" priority="480">
      <formula>AND(IF($Q18=3,1,0),IF($X18&lt;30,1,0))</formula>
    </cfRule>
    <cfRule type="expression" dxfId="11392" priority="481">
      <formula>AND(IF($Q18=3,1,IF($Q18=4,1,0)),IF($F18&lt;=85,1,0))</formula>
    </cfRule>
  </conditionalFormatting>
  <conditionalFormatting sqref="AV19">
    <cfRule type="expression" dxfId="11391" priority="476">
      <formula>AV19="X"</formula>
    </cfRule>
    <cfRule type="expression" dxfId="11390" priority="477">
      <formula>AV19="후보"</formula>
    </cfRule>
  </conditionalFormatting>
  <conditionalFormatting sqref="AC19 N19">
    <cfRule type="cellIs" dxfId="11389" priority="473" operator="greaterThan">
      <formula>0.9</formula>
    </cfRule>
    <cfRule type="cellIs" dxfId="11388" priority="474" operator="greaterThan">
      <formula>0.85</formula>
    </cfRule>
  </conditionalFormatting>
  <conditionalFormatting sqref="AV20">
    <cfRule type="expression" dxfId="11387" priority="471">
      <formula>AV20="X"</formula>
    </cfRule>
    <cfRule type="expression" dxfId="11386" priority="472">
      <formula>AV20="후보"</formula>
    </cfRule>
  </conditionalFormatting>
  <conditionalFormatting sqref="AC20">
    <cfRule type="cellIs" dxfId="11385" priority="468" operator="greaterThan">
      <formula>0.9</formula>
    </cfRule>
    <cfRule type="cellIs" dxfId="11384" priority="469" operator="greaterThan">
      <formula>0.85</formula>
    </cfRule>
  </conditionalFormatting>
  <conditionalFormatting sqref="N20">
    <cfRule type="cellIs" dxfId="11383" priority="466" operator="greaterThan">
      <formula>0.9</formula>
    </cfRule>
    <cfRule type="cellIs" dxfId="11382" priority="467" operator="greaterThan">
      <formula>0.85</formula>
    </cfRule>
  </conditionalFormatting>
  <conditionalFormatting sqref="E20">
    <cfRule type="expression" dxfId="11381" priority="462">
      <formula>AND(IF(OR($Q20=1,$Q20=2),1,0),IF($X20&lt;=20,1,0))</formula>
    </cfRule>
    <cfRule type="expression" dxfId="11380" priority="463">
      <formula>AND(IF($Q20=2,1,0),IF($X20&lt;30,1,0))</formula>
    </cfRule>
    <cfRule type="expression" dxfId="11379" priority="464">
      <formula>AND(IF($Q20=3,1,0),IF($X20&lt;30,1,0))</formula>
    </cfRule>
    <cfRule type="expression" dxfId="11378" priority="465">
      <formula>AND(IF($Q20=3,1,IF($Q20=4,1,0)),IF($F20&lt;=85,1,0))</formula>
    </cfRule>
  </conditionalFormatting>
  <conditionalFormatting sqref="X20">
    <cfRule type="expression" dxfId="11377" priority="458">
      <formula>AND(IF(OR($Q20=1,$Q20=2),1,0),IF($X20&lt;=20,1,0))</formula>
    </cfRule>
    <cfRule type="expression" dxfId="11376" priority="459">
      <formula>AND(IF($Q20=2,1,0),IF($X20&lt;30,1,0))</formula>
    </cfRule>
    <cfRule type="expression" dxfId="11375" priority="460">
      <formula>AND(IF($Q20=3,1,0),IF($X20&lt;30,1,0))</formula>
    </cfRule>
    <cfRule type="expression" dxfId="11374" priority="461">
      <formula>AND(IF($Q20=3,1,IF($Q20=4,1,0)),IF($F20&lt;=85,1,0))</formula>
    </cfRule>
  </conditionalFormatting>
  <conditionalFormatting sqref="AI20">
    <cfRule type="expression" dxfId="11373" priority="454">
      <formula>AND(IF(OR($Q20=1,$Q20=2),1,0),IF($X20&lt;=20,1,0))</formula>
    </cfRule>
    <cfRule type="expression" dxfId="11372" priority="455">
      <formula>AND(IF($Q20=2,1,0),IF($X20&lt;30,1,0))</formula>
    </cfRule>
    <cfRule type="expression" dxfId="11371" priority="456">
      <formula>AND(IF($Q20=3,1,0),IF($X20&lt;30,1,0))</formula>
    </cfRule>
    <cfRule type="expression" dxfId="11370" priority="457">
      <formula>AND(IF($Q20=3,1,IF($Q20=4,1,0)),IF($F20&lt;=85,1,0))</formula>
    </cfRule>
  </conditionalFormatting>
  <conditionalFormatting sqref="AV21">
    <cfRule type="expression" dxfId="11369" priority="452">
      <formula>AV21="X"</formula>
    </cfRule>
    <cfRule type="expression" dxfId="11368" priority="453">
      <formula>AV21="후보"</formula>
    </cfRule>
  </conditionalFormatting>
  <conditionalFormatting sqref="AC21">
    <cfRule type="cellIs" dxfId="11367" priority="449" operator="greaterThan">
      <formula>0.9</formula>
    </cfRule>
    <cfRule type="cellIs" dxfId="11366" priority="450" operator="greaterThan">
      <formula>0.85</formula>
    </cfRule>
  </conditionalFormatting>
  <conditionalFormatting sqref="N21">
    <cfRule type="cellIs" dxfId="11365" priority="447" operator="greaterThan">
      <formula>0.9</formula>
    </cfRule>
    <cfRule type="cellIs" dxfId="11364" priority="448" operator="greaterThan">
      <formula>0.85</formula>
    </cfRule>
  </conditionalFormatting>
  <conditionalFormatting sqref="E21">
    <cfRule type="expression" dxfId="11363" priority="443">
      <formula>AND(IF(OR($Q21=1,$Q21=2),1,0),IF($X21&lt;=20,1,0))</formula>
    </cfRule>
    <cfRule type="expression" dxfId="11362" priority="444">
      <formula>AND(IF($Q21=2,1,0),IF($X21&lt;30,1,0))</formula>
    </cfRule>
    <cfRule type="expression" dxfId="11361" priority="445">
      <formula>AND(IF($Q21=3,1,0),IF($X21&lt;30,1,0))</formula>
    </cfRule>
    <cfRule type="expression" dxfId="11360" priority="446">
      <formula>AND(IF($Q21=3,1,IF($Q21=4,1,0)),IF($F21&lt;=85,1,0))</formula>
    </cfRule>
  </conditionalFormatting>
  <conditionalFormatting sqref="X21">
    <cfRule type="expression" dxfId="11359" priority="439">
      <formula>AND(IF(OR($Q21=1,$Q21=2),1,0),IF($X21&lt;=20,1,0))</formula>
    </cfRule>
    <cfRule type="expression" dxfId="11358" priority="440">
      <formula>AND(IF($Q21=2,1,0),IF($X21&lt;30,1,0))</formula>
    </cfRule>
    <cfRule type="expression" dxfId="11357" priority="441">
      <formula>AND(IF($Q21=3,1,0),IF($X21&lt;30,1,0))</formula>
    </cfRule>
    <cfRule type="expression" dxfId="11356" priority="442">
      <formula>AND(IF($Q21=3,1,IF($Q21=4,1,0)),IF($F21&lt;=85,1,0))</formula>
    </cfRule>
  </conditionalFormatting>
  <conditionalFormatting sqref="AI21">
    <cfRule type="expression" dxfId="11355" priority="435">
      <formula>AND(IF(OR($Q21=1,$Q21=2),1,0),IF($X21&lt;=20,1,0))</formula>
    </cfRule>
    <cfRule type="expression" dxfId="11354" priority="436">
      <formula>AND(IF($Q21=2,1,0),IF($X21&lt;30,1,0))</formula>
    </cfRule>
    <cfRule type="expression" dxfId="11353" priority="437">
      <formula>AND(IF($Q21=3,1,0),IF($X21&lt;30,1,0))</formula>
    </cfRule>
    <cfRule type="expression" dxfId="11352" priority="438">
      <formula>AND(IF($Q21=3,1,IF($Q21=4,1,0)),IF($F21&lt;=85,1,0))</formula>
    </cfRule>
  </conditionalFormatting>
  <conditionalFormatting sqref="AV22">
    <cfRule type="expression" dxfId="11351" priority="433">
      <formula>AV22="X"</formula>
    </cfRule>
    <cfRule type="expression" dxfId="11350" priority="434">
      <formula>AV22="후보"</formula>
    </cfRule>
  </conditionalFormatting>
  <conditionalFormatting sqref="AC22">
    <cfRule type="cellIs" dxfId="11349" priority="430" operator="greaterThan">
      <formula>0.9</formula>
    </cfRule>
    <cfRule type="cellIs" dxfId="11348" priority="431" operator="greaterThan">
      <formula>0.85</formula>
    </cfRule>
  </conditionalFormatting>
  <conditionalFormatting sqref="N22">
    <cfRule type="cellIs" dxfId="11347" priority="428" operator="greaterThan">
      <formula>0.9</formula>
    </cfRule>
    <cfRule type="cellIs" dxfId="11346" priority="429" operator="greaterThan">
      <formula>0.85</formula>
    </cfRule>
  </conditionalFormatting>
  <conditionalFormatting sqref="E22">
    <cfRule type="expression" dxfId="11345" priority="424">
      <formula>AND(IF(OR($Q22=1,$Q22=2),1,0),IF($X22&lt;=20,1,0))</formula>
    </cfRule>
    <cfRule type="expression" dxfId="11344" priority="425">
      <formula>AND(IF($Q22=2,1,0),IF($X22&lt;30,1,0))</formula>
    </cfRule>
    <cfRule type="expression" dxfId="11343" priority="426">
      <formula>AND(IF($Q22=3,1,0),IF($X22&lt;30,1,0))</formula>
    </cfRule>
    <cfRule type="expression" dxfId="11342" priority="427">
      <formula>AND(IF($Q22=3,1,IF($Q22=4,1,0)),IF($F22&lt;=85,1,0))</formula>
    </cfRule>
  </conditionalFormatting>
  <conditionalFormatting sqref="X22">
    <cfRule type="expression" dxfId="11341" priority="420">
      <formula>AND(IF(OR($Q22=1,$Q22=2),1,0),IF($X22&lt;=20,1,0))</formula>
    </cfRule>
    <cfRule type="expression" dxfId="11340" priority="421">
      <formula>AND(IF($Q22=2,1,0),IF($X22&lt;30,1,0))</formula>
    </cfRule>
    <cfRule type="expression" dxfId="11339" priority="422">
      <formula>AND(IF($Q22=3,1,0),IF($X22&lt;30,1,0))</formula>
    </cfRule>
    <cfRule type="expression" dxfId="11338" priority="423">
      <formula>AND(IF($Q22=3,1,IF($Q22=4,1,0)),IF($F22&lt;=85,1,0))</formula>
    </cfRule>
  </conditionalFormatting>
  <conditionalFormatting sqref="AI22">
    <cfRule type="expression" dxfId="11337" priority="416">
      <formula>AND(IF(OR($Q22=1,$Q22=2),1,0),IF($X22&lt;=20,1,0))</formula>
    </cfRule>
    <cfRule type="expression" dxfId="11336" priority="417">
      <formula>AND(IF($Q22=2,1,0),IF($X22&lt;30,1,0))</formula>
    </cfRule>
    <cfRule type="expression" dxfId="11335" priority="418">
      <formula>AND(IF($Q22=3,1,0),IF($X22&lt;30,1,0))</formula>
    </cfRule>
    <cfRule type="expression" dxfId="11334" priority="419">
      <formula>AND(IF($Q22=3,1,IF($Q22=4,1,0)),IF($F22&lt;=85,1,0))</formula>
    </cfRule>
  </conditionalFormatting>
  <conditionalFormatting sqref="AV23">
    <cfRule type="expression" dxfId="11333" priority="414">
      <formula>AV23="X"</formula>
    </cfRule>
    <cfRule type="expression" dxfId="11332" priority="415">
      <formula>AV23="후보"</formula>
    </cfRule>
  </conditionalFormatting>
  <conditionalFormatting sqref="AC23 N23">
    <cfRule type="cellIs" dxfId="11331" priority="411" operator="greaterThan">
      <formula>0.9</formula>
    </cfRule>
    <cfRule type="cellIs" dxfId="11330" priority="412" operator="greaterThan">
      <formula>0.85</formula>
    </cfRule>
  </conditionalFormatting>
  <conditionalFormatting sqref="AV24">
    <cfRule type="expression" dxfId="11329" priority="409">
      <formula>AV24="X"</formula>
    </cfRule>
    <cfRule type="expression" dxfId="11328" priority="410">
      <formula>AV24="후보"</formula>
    </cfRule>
  </conditionalFormatting>
  <conditionalFormatting sqref="AC24">
    <cfRule type="cellIs" dxfId="11327" priority="406" operator="greaterThan">
      <formula>0.9</formula>
    </cfRule>
    <cfRule type="cellIs" dxfId="11326" priority="407" operator="greaterThan">
      <formula>0.85</formula>
    </cfRule>
  </conditionalFormatting>
  <conditionalFormatting sqref="N24">
    <cfRule type="cellIs" dxfId="11325" priority="404" operator="greaterThan">
      <formula>0.9</formula>
    </cfRule>
    <cfRule type="cellIs" dxfId="11324" priority="405" operator="greaterThan">
      <formula>0.85</formula>
    </cfRule>
  </conditionalFormatting>
  <conditionalFormatting sqref="E24">
    <cfRule type="expression" dxfId="11323" priority="400">
      <formula>AND(IF(OR($Q24=1,$Q24=2),1,0),IF($X24&lt;=20,1,0))</formula>
    </cfRule>
    <cfRule type="expression" dxfId="11322" priority="401">
      <formula>AND(IF($Q24=2,1,0),IF($X24&lt;30,1,0))</formula>
    </cfRule>
    <cfRule type="expression" dxfId="11321" priority="402">
      <formula>AND(IF($Q24=3,1,0),IF($X24&lt;30,1,0))</formula>
    </cfRule>
    <cfRule type="expression" dxfId="11320" priority="403">
      <formula>AND(IF($Q24=3,1,IF($Q24=4,1,0)),IF($F24&lt;=85,1,0))</formula>
    </cfRule>
  </conditionalFormatting>
  <conditionalFormatting sqref="X24">
    <cfRule type="expression" dxfId="11319" priority="396">
      <formula>AND(IF(OR($Q24=1,$Q24=2),1,0),IF($X24&lt;=20,1,0))</formula>
    </cfRule>
    <cfRule type="expression" dxfId="11318" priority="397">
      <formula>AND(IF($Q24=2,1,0),IF($X24&lt;30,1,0))</formula>
    </cfRule>
    <cfRule type="expression" dxfId="11317" priority="398">
      <formula>AND(IF($Q24=3,1,0),IF($X24&lt;30,1,0))</formula>
    </cfRule>
    <cfRule type="expression" dxfId="11316" priority="399">
      <formula>AND(IF($Q24=3,1,IF($Q24=4,1,0)),IF($F24&lt;=85,1,0))</formula>
    </cfRule>
  </conditionalFormatting>
  <conditionalFormatting sqref="AI24">
    <cfRule type="expression" dxfId="11315" priority="392">
      <formula>AND(IF(OR($Q24=1,$Q24=2),1,0),IF($X24&lt;=20,1,0))</formula>
    </cfRule>
    <cfRule type="expression" dxfId="11314" priority="393">
      <formula>AND(IF($Q24=2,1,0),IF($X24&lt;30,1,0))</formula>
    </cfRule>
    <cfRule type="expression" dxfId="11313" priority="394">
      <formula>AND(IF($Q24=3,1,0),IF($X24&lt;30,1,0))</formula>
    </cfRule>
    <cfRule type="expression" dxfId="11312" priority="395">
      <formula>AND(IF($Q24=3,1,IF($Q24=4,1,0)),IF($F24&lt;=85,1,0))</formula>
    </cfRule>
  </conditionalFormatting>
  <conditionalFormatting sqref="AV25">
    <cfRule type="expression" dxfId="11311" priority="390">
      <formula>AV25="X"</formula>
    </cfRule>
    <cfRule type="expression" dxfId="11310" priority="391">
      <formula>AV25="후보"</formula>
    </cfRule>
  </conditionalFormatting>
  <conditionalFormatting sqref="AC25">
    <cfRule type="cellIs" dxfId="11309" priority="387" operator="greaterThan">
      <formula>0.9</formula>
    </cfRule>
    <cfRule type="cellIs" dxfId="11308" priority="388" operator="greaterThan">
      <formula>0.85</formula>
    </cfRule>
  </conditionalFormatting>
  <conditionalFormatting sqref="N25">
    <cfRule type="cellIs" dxfId="11307" priority="385" operator="greaterThan">
      <formula>0.9</formula>
    </cfRule>
    <cfRule type="cellIs" dxfId="11306" priority="386" operator="greaterThan">
      <formula>0.85</formula>
    </cfRule>
  </conditionalFormatting>
  <conditionalFormatting sqref="E25">
    <cfRule type="expression" dxfId="11305" priority="381">
      <formula>AND(IF(OR($Q25=1,$Q25=2),1,0),IF($X25&lt;=20,1,0))</formula>
    </cfRule>
    <cfRule type="expression" dxfId="11304" priority="382">
      <formula>AND(IF($Q25=2,1,0),IF($X25&lt;30,1,0))</formula>
    </cfRule>
    <cfRule type="expression" dxfId="11303" priority="383">
      <formula>AND(IF($Q25=3,1,0),IF($X25&lt;30,1,0))</formula>
    </cfRule>
    <cfRule type="expression" dxfId="11302" priority="384">
      <formula>AND(IF($Q25=3,1,IF($Q25=4,1,0)),IF($F25&lt;=85,1,0))</formula>
    </cfRule>
  </conditionalFormatting>
  <conditionalFormatting sqref="X25">
    <cfRule type="expression" dxfId="11301" priority="377">
      <formula>AND(IF(OR($Q25=1,$Q25=2),1,0),IF($X25&lt;=20,1,0))</formula>
    </cfRule>
    <cfRule type="expression" dxfId="11300" priority="378">
      <formula>AND(IF($Q25=2,1,0),IF($X25&lt;30,1,0))</formula>
    </cfRule>
    <cfRule type="expression" dxfId="11299" priority="379">
      <formula>AND(IF($Q25=3,1,0),IF($X25&lt;30,1,0))</formula>
    </cfRule>
    <cfRule type="expression" dxfId="11298" priority="380">
      <formula>AND(IF($Q25=3,1,IF($Q25=4,1,0)),IF($F25&lt;=85,1,0))</formula>
    </cfRule>
  </conditionalFormatting>
  <conditionalFormatting sqref="AI25">
    <cfRule type="expression" dxfId="11297" priority="373">
      <formula>AND(IF(OR($Q25=1,$Q25=2),1,0),IF($X25&lt;=20,1,0))</formula>
    </cfRule>
    <cfRule type="expression" dxfId="11296" priority="374">
      <formula>AND(IF($Q25=2,1,0),IF($X25&lt;30,1,0))</formula>
    </cfRule>
    <cfRule type="expression" dxfId="11295" priority="375">
      <formula>AND(IF($Q25=3,1,0),IF($X25&lt;30,1,0))</formula>
    </cfRule>
    <cfRule type="expression" dxfId="11294" priority="376">
      <formula>AND(IF($Q25=3,1,IF($Q25=4,1,0)),IF($F25&lt;=85,1,0))</formula>
    </cfRule>
  </conditionalFormatting>
  <conditionalFormatting sqref="AV26">
    <cfRule type="expression" dxfId="11293" priority="371">
      <formula>AV26="X"</formula>
    </cfRule>
    <cfRule type="expression" dxfId="11292" priority="372">
      <formula>AV26="후보"</formula>
    </cfRule>
  </conditionalFormatting>
  <conditionalFormatting sqref="AC26">
    <cfRule type="cellIs" dxfId="11291" priority="368" operator="greaterThan">
      <formula>0.9</formula>
    </cfRule>
    <cfRule type="cellIs" dxfId="11290" priority="369" operator="greaterThan">
      <formula>0.85</formula>
    </cfRule>
  </conditionalFormatting>
  <conditionalFormatting sqref="N26">
    <cfRule type="cellIs" dxfId="11289" priority="366" operator="greaterThan">
      <formula>0.9</formula>
    </cfRule>
    <cfRule type="cellIs" dxfId="11288" priority="367" operator="greaterThan">
      <formula>0.85</formula>
    </cfRule>
  </conditionalFormatting>
  <conditionalFormatting sqref="E26">
    <cfRule type="expression" dxfId="11287" priority="362">
      <formula>AND(IF(OR($Q26=1,$Q26=2),1,0),IF($X26&lt;=20,1,0))</formula>
    </cfRule>
    <cfRule type="expression" dxfId="11286" priority="363">
      <formula>AND(IF($Q26=2,1,0),IF($X26&lt;30,1,0))</formula>
    </cfRule>
    <cfRule type="expression" dxfId="11285" priority="364">
      <formula>AND(IF($Q26=3,1,0),IF($X26&lt;30,1,0))</formula>
    </cfRule>
    <cfRule type="expression" dxfId="11284" priority="365">
      <formula>AND(IF($Q26=3,1,IF($Q26=4,1,0)),IF($F26&lt;=85,1,0))</formula>
    </cfRule>
  </conditionalFormatting>
  <conditionalFormatting sqref="X26">
    <cfRule type="expression" dxfId="11283" priority="358">
      <formula>AND(IF(OR($Q26=1,$Q26=2),1,0),IF($X26&lt;=20,1,0))</formula>
    </cfRule>
    <cfRule type="expression" dxfId="11282" priority="359">
      <formula>AND(IF($Q26=2,1,0),IF($X26&lt;30,1,0))</formula>
    </cfRule>
    <cfRule type="expression" dxfId="11281" priority="360">
      <formula>AND(IF($Q26=3,1,0),IF($X26&lt;30,1,0))</formula>
    </cfRule>
    <cfRule type="expression" dxfId="11280" priority="361">
      <formula>AND(IF($Q26=3,1,IF($Q26=4,1,0)),IF($F26&lt;=85,1,0))</formula>
    </cfRule>
  </conditionalFormatting>
  <conditionalFormatting sqref="AI26">
    <cfRule type="expression" dxfId="11279" priority="354">
      <formula>AND(IF(OR($Q26=1,$Q26=2),1,0),IF($X26&lt;=20,1,0))</formula>
    </cfRule>
    <cfRule type="expression" dxfId="11278" priority="355">
      <formula>AND(IF($Q26=2,1,0),IF($X26&lt;30,1,0))</formula>
    </cfRule>
    <cfRule type="expression" dxfId="11277" priority="356">
      <formula>AND(IF($Q26=3,1,0),IF($X26&lt;30,1,0))</formula>
    </cfRule>
    <cfRule type="expression" dxfId="11276" priority="357">
      <formula>AND(IF($Q26=3,1,IF($Q26=4,1,0)),IF($F26&lt;=85,1,0))</formula>
    </cfRule>
  </conditionalFormatting>
  <conditionalFormatting sqref="AV27">
    <cfRule type="expression" dxfId="11275" priority="352">
      <formula>AV27="X"</formula>
    </cfRule>
    <cfRule type="expression" dxfId="11274" priority="353">
      <formula>AV27="후보"</formula>
    </cfRule>
  </conditionalFormatting>
  <conditionalFormatting sqref="AC27 N27">
    <cfRule type="cellIs" dxfId="11273" priority="349" operator="greaterThan">
      <formula>0.9</formula>
    </cfRule>
    <cfRule type="cellIs" dxfId="11272" priority="350" operator="greaterThan">
      <formula>0.85</formula>
    </cfRule>
  </conditionalFormatting>
  <conditionalFormatting sqref="AV28">
    <cfRule type="expression" dxfId="11271" priority="347">
      <formula>AV28="X"</formula>
    </cfRule>
    <cfRule type="expression" dxfId="11270" priority="348">
      <formula>AV28="후보"</formula>
    </cfRule>
  </conditionalFormatting>
  <conditionalFormatting sqref="AC28">
    <cfRule type="cellIs" dxfId="11269" priority="344" operator="greaterThan">
      <formula>0.9</formula>
    </cfRule>
    <cfRule type="cellIs" dxfId="11268" priority="345" operator="greaterThan">
      <formula>0.85</formula>
    </cfRule>
  </conditionalFormatting>
  <conditionalFormatting sqref="N28">
    <cfRule type="cellIs" dxfId="11267" priority="342" operator="greaterThan">
      <formula>0.9</formula>
    </cfRule>
    <cfRule type="cellIs" dxfId="11266" priority="343" operator="greaterThan">
      <formula>0.85</formula>
    </cfRule>
  </conditionalFormatting>
  <conditionalFormatting sqref="E28">
    <cfRule type="expression" dxfId="11265" priority="338">
      <formula>AND(IF(OR($Q28=1,$Q28=2),1,0),IF($X28&lt;=20,1,0))</formula>
    </cfRule>
    <cfRule type="expression" dxfId="11264" priority="339">
      <formula>AND(IF($Q28=2,1,0),IF($X28&lt;30,1,0))</formula>
    </cfRule>
    <cfRule type="expression" dxfId="11263" priority="340">
      <formula>AND(IF($Q28=3,1,0),IF($X28&lt;30,1,0))</formula>
    </cfRule>
    <cfRule type="expression" dxfId="11262" priority="341">
      <formula>AND(IF($Q28=3,1,IF($Q28=4,1,0)),IF($F28&lt;=85,1,0))</formula>
    </cfRule>
  </conditionalFormatting>
  <conditionalFormatting sqref="X28">
    <cfRule type="expression" dxfId="11261" priority="334">
      <formula>AND(IF(OR($Q28=1,$Q28=2),1,0),IF($X28&lt;=20,1,0))</formula>
    </cfRule>
    <cfRule type="expression" dxfId="11260" priority="335">
      <formula>AND(IF($Q28=2,1,0),IF($X28&lt;30,1,0))</formula>
    </cfRule>
    <cfRule type="expression" dxfId="11259" priority="336">
      <formula>AND(IF($Q28=3,1,0),IF($X28&lt;30,1,0))</formula>
    </cfRule>
    <cfRule type="expression" dxfId="11258" priority="337">
      <formula>AND(IF($Q28=3,1,IF($Q28=4,1,0)),IF($F28&lt;=85,1,0))</formula>
    </cfRule>
  </conditionalFormatting>
  <conditionalFormatting sqref="AI28">
    <cfRule type="expression" dxfId="11257" priority="330">
      <formula>AND(IF(OR($Q28=1,$Q28=2),1,0),IF($X28&lt;=20,1,0))</formula>
    </cfRule>
    <cfRule type="expression" dxfId="11256" priority="331">
      <formula>AND(IF($Q28=2,1,0),IF($X28&lt;30,1,0))</formula>
    </cfRule>
    <cfRule type="expression" dxfId="11255" priority="332">
      <formula>AND(IF($Q28=3,1,0),IF($X28&lt;30,1,0))</formula>
    </cfRule>
    <cfRule type="expression" dxfId="11254" priority="333">
      <formula>AND(IF($Q28=3,1,IF($Q28=4,1,0)),IF($F28&lt;=85,1,0))</formula>
    </cfRule>
  </conditionalFormatting>
  <conditionalFormatting sqref="AV29">
    <cfRule type="expression" dxfId="11253" priority="328">
      <formula>AV29="X"</formula>
    </cfRule>
    <cfRule type="expression" dxfId="11252" priority="329">
      <formula>AV29="후보"</formula>
    </cfRule>
  </conditionalFormatting>
  <conditionalFormatting sqref="AC29">
    <cfRule type="cellIs" dxfId="11251" priority="325" operator="greaterThan">
      <formula>0.9</formula>
    </cfRule>
    <cfRule type="cellIs" dxfId="11250" priority="326" operator="greaterThan">
      <formula>0.85</formula>
    </cfRule>
  </conditionalFormatting>
  <conditionalFormatting sqref="N29">
    <cfRule type="cellIs" dxfId="11249" priority="323" operator="greaterThan">
      <formula>0.9</formula>
    </cfRule>
    <cfRule type="cellIs" dxfId="11248" priority="324" operator="greaterThan">
      <formula>0.85</formula>
    </cfRule>
  </conditionalFormatting>
  <conditionalFormatting sqref="E29">
    <cfRule type="expression" dxfId="11247" priority="319">
      <formula>AND(IF(OR($Q29=1,$Q29=2),1,0),IF($X29&lt;=20,1,0))</formula>
    </cfRule>
    <cfRule type="expression" dxfId="11246" priority="320">
      <formula>AND(IF($Q29=2,1,0),IF($X29&lt;30,1,0))</formula>
    </cfRule>
    <cfRule type="expression" dxfId="11245" priority="321">
      <formula>AND(IF($Q29=3,1,0),IF($X29&lt;30,1,0))</formula>
    </cfRule>
    <cfRule type="expression" dxfId="11244" priority="322">
      <formula>AND(IF($Q29=3,1,IF($Q29=4,1,0)),IF($F29&lt;=85,1,0))</formula>
    </cfRule>
  </conditionalFormatting>
  <conditionalFormatting sqref="X29">
    <cfRule type="expression" dxfId="11243" priority="315">
      <formula>AND(IF(OR($Q29=1,$Q29=2),1,0),IF($X29&lt;=20,1,0))</formula>
    </cfRule>
    <cfRule type="expression" dxfId="11242" priority="316">
      <formula>AND(IF($Q29=2,1,0),IF($X29&lt;30,1,0))</formula>
    </cfRule>
    <cfRule type="expression" dxfId="11241" priority="317">
      <formula>AND(IF($Q29=3,1,0),IF($X29&lt;30,1,0))</formula>
    </cfRule>
    <cfRule type="expression" dxfId="11240" priority="318">
      <formula>AND(IF($Q29=3,1,IF($Q29=4,1,0)),IF($F29&lt;=85,1,0))</formula>
    </cfRule>
  </conditionalFormatting>
  <conditionalFormatting sqref="AI29">
    <cfRule type="expression" dxfId="11239" priority="311">
      <formula>AND(IF(OR($Q29=1,$Q29=2),1,0),IF($X29&lt;=20,1,0))</formula>
    </cfRule>
    <cfRule type="expression" dxfId="11238" priority="312">
      <formula>AND(IF($Q29=2,1,0),IF($X29&lt;30,1,0))</formula>
    </cfRule>
    <cfRule type="expression" dxfId="11237" priority="313">
      <formula>AND(IF($Q29=3,1,0),IF($X29&lt;30,1,0))</formula>
    </cfRule>
    <cfRule type="expression" dxfId="11236" priority="314">
      <formula>AND(IF($Q29=3,1,IF($Q29=4,1,0)),IF($F29&lt;=85,1,0))</formula>
    </cfRule>
  </conditionalFormatting>
  <conditionalFormatting sqref="AV30">
    <cfRule type="expression" dxfId="11235" priority="309">
      <formula>AV30="X"</formula>
    </cfRule>
    <cfRule type="expression" dxfId="11234" priority="310">
      <formula>AV30="후보"</formula>
    </cfRule>
  </conditionalFormatting>
  <conditionalFormatting sqref="AC30 N30">
    <cfRule type="cellIs" dxfId="11233" priority="306" operator="greaterThan">
      <formula>0.9</formula>
    </cfRule>
    <cfRule type="cellIs" dxfId="11232" priority="307" operator="greaterThan">
      <formula>0.85</formula>
    </cfRule>
  </conditionalFormatting>
  <conditionalFormatting sqref="AV31">
    <cfRule type="expression" dxfId="11231" priority="304">
      <formula>AV31="X"</formula>
    </cfRule>
    <cfRule type="expression" dxfId="11230" priority="305">
      <formula>AV31="후보"</formula>
    </cfRule>
  </conditionalFormatting>
  <conditionalFormatting sqref="AC31">
    <cfRule type="cellIs" dxfId="11229" priority="301" operator="greaterThan">
      <formula>0.9</formula>
    </cfRule>
    <cfRule type="cellIs" dxfId="11228" priority="302" operator="greaterThan">
      <formula>0.85</formula>
    </cfRule>
  </conditionalFormatting>
  <conditionalFormatting sqref="N31">
    <cfRule type="cellIs" dxfId="11227" priority="299" operator="greaterThan">
      <formula>0.9</formula>
    </cfRule>
    <cfRule type="cellIs" dxfId="11226" priority="300" operator="greaterThan">
      <formula>0.85</formula>
    </cfRule>
  </conditionalFormatting>
  <conditionalFormatting sqref="E31">
    <cfRule type="expression" dxfId="11225" priority="295">
      <formula>AND(IF(OR($Q31=1,$Q31=2),1,0),IF($X31&lt;=20,1,0))</formula>
    </cfRule>
    <cfRule type="expression" dxfId="11224" priority="296">
      <formula>AND(IF($Q31=2,1,0),IF($X31&lt;30,1,0))</formula>
    </cfRule>
    <cfRule type="expression" dxfId="11223" priority="297">
      <formula>AND(IF($Q31=3,1,0),IF($X31&lt;30,1,0))</formula>
    </cfRule>
    <cfRule type="expression" dxfId="11222" priority="298">
      <formula>AND(IF($Q31=3,1,IF($Q31=4,1,0)),IF($F31&lt;=85,1,0))</formula>
    </cfRule>
  </conditionalFormatting>
  <conditionalFormatting sqref="X31">
    <cfRule type="expression" dxfId="11221" priority="291">
      <formula>AND(IF(OR($Q31=1,$Q31=2),1,0),IF($X31&lt;=20,1,0))</formula>
    </cfRule>
    <cfRule type="expression" dxfId="11220" priority="292">
      <formula>AND(IF($Q31=2,1,0),IF($X31&lt;30,1,0))</formula>
    </cfRule>
    <cfRule type="expression" dxfId="11219" priority="293">
      <formula>AND(IF($Q31=3,1,0),IF($X31&lt;30,1,0))</formula>
    </cfRule>
    <cfRule type="expression" dxfId="11218" priority="294">
      <formula>AND(IF($Q31=3,1,IF($Q31=4,1,0)),IF($F31&lt;=85,1,0))</formula>
    </cfRule>
  </conditionalFormatting>
  <conditionalFormatting sqref="AI31">
    <cfRule type="expression" dxfId="11217" priority="287">
      <formula>AND(IF(OR($Q31=1,$Q31=2),1,0),IF($X31&lt;=20,1,0))</formula>
    </cfRule>
    <cfRule type="expression" dxfId="11216" priority="288">
      <formula>AND(IF($Q31=2,1,0),IF($X31&lt;30,1,0))</formula>
    </cfRule>
    <cfRule type="expression" dxfId="11215" priority="289">
      <formula>AND(IF($Q31=3,1,0),IF($X31&lt;30,1,0))</formula>
    </cfRule>
    <cfRule type="expression" dxfId="11214" priority="290">
      <formula>AND(IF($Q31=3,1,IF($Q31=4,1,0)),IF($F31&lt;=85,1,0))</formula>
    </cfRule>
  </conditionalFormatting>
  <conditionalFormatting sqref="AV32">
    <cfRule type="expression" dxfId="11213" priority="285">
      <formula>AV32="X"</formula>
    </cfRule>
    <cfRule type="expression" dxfId="11212" priority="286">
      <formula>AV32="후보"</formula>
    </cfRule>
  </conditionalFormatting>
  <conditionalFormatting sqref="AC32">
    <cfRule type="cellIs" dxfId="11211" priority="282" operator="greaterThan">
      <formula>0.9</formula>
    </cfRule>
    <cfRule type="cellIs" dxfId="11210" priority="283" operator="greaterThan">
      <formula>0.85</formula>
    </cfRule>
  </conditionalFormatting>
  <conditionalFormatting sqref="N32">
    <cfRule type="cellIs" dxfId="11209" priority="280" operator="greaterThan">
      <formula>0.9</formula>
    </cfRule>
    <cfRule type="cellIs" dxfId="11208" priority="281" operator="greaterThan">
      <formula>0.85</formula>
    </cfRule>
  </conditionalFormatting>
  <conditionalFormatting sqref="E32">
    <cfRule type="expression" dxfId="11207" priority="276">
      <formula>AND(IF(OR($Q32=1,$Q32=2),1,0),IF($X32&lt;=20,1,0))</formula>
    </cfRule>
    <cfRule type="expression" dxfId="11206" priority="277">
      <formula>AND(IF($Q32=2,1,0),IF($X32&lt;30,1,0))</formula>
    </cfRule>
    <cfRule type="expression" dxfId="11205" priority="278">
      <formula>AND(IF($Q32=3,1,0),IF($X32&lt;30,1,0))</formula>
    </cfRule>
    <cfRule type="expression" dxfId="11204" priority="279">
      <formula>AND(IF($Q32=3,1,IF($Q32=4,1,0)),IF($F32&lt;=85,1,0))</formula>
    </cfRule>
  </conditionalFormatting>
  <conditionalFormatting sqref="X32">
    <cfRule type="expression" dxfId="11203" priority="272">
      <formula>AND(IF(OR($Q32=1,$Q32=2),1,0),IF($X32&lt;=20,1,0))</formula>
    </cfRule>
    <cfRule type="expression" dxfId="11202" priority="273">
      <formula>AND(IF($Q32=2,1,0),IF($X32&lt;30,1,0))</formula>
    </cfRule>
    <cfRule type="expression" dxfId="11201" priority="274">
      <formula>AND(IF($Q32=3,1,0),IF($X32&lt;30,1,0))</formula>
    </cfRule>
    <cfRule type="expression" dxfId="11200" priority="275">
      <formula>AND(IF($Q32=3,1,IF($Q32=4,1,0)),IF($F32&lt;=85,1,0))</formula>
    </cfRule>
  </conditionalFormatting>
  <conditionalFormatting sqref="AI32">
    <cfRule type="expression" dxfId="11199" priority="268">
      <formula>AND(IF(OR($Q32=1,$Q32=2),1,0),IF($X32&lt;=20,1,0))</formula>
    </cfRule>
    <cfRule type="expression" dxfId="11198" priority="269">
      <formula>AND(IF($Q32=2,1,0),IF($X32&lt;30,1,0))</formula>
    </cfRule>
    <cfRule type="expression" dxfId="11197" priority="270">
      <formula>AND(IF($Q32=3,1,0),IF($X32&lt;30,1,0))</formula>
    </cfRule>
    <cfRule type="expression" dxfId="11196" priority="271">
      <formula>AND(IF($Q32=3,1,IF($Q32=4,1,0)),IF($F32&lt;=85,1,0))</formula>
    </cfRule>
  </conditionalFormatting>
  <conditionalFormatting sqref="AV33">
    <cfRule type="expression" dxfId="11195" priority="266">
      <formula>AV33="X"</formula>
    </cfRule>
    <cfRule type="expression" dxfId="11194" priority="267">
      <formula>AV33="후보"</formula>
    </cfRule>
  </conditionalFormatting>
  <conditionalFormatting sqref="AC33 N33">
    <cfRule type="cellIs" dxfId="11193" priority="263" operator="greaterThan">
      <formula>0.9</formula>
    </cfRule>
    <cfRule type="cellIs" dxfId="11192" priority="264" operator="greaterThan">
      <formula>0.85</formula>
    </cfRule>
  </conditionalFormatting>
  <conditionalFormatting sqref="AV34">
    <cfRule type="expression" dxfId="11191" priority="261">
      <formula>AV34="X"</formula>
    </cfRule>
    <cfRule type="expression" dxfId="11190" priority="262">
      <formula>AV34="후보"</formula>
    </cfRule>
  </conditionalFormatting>
  <conditionalFormatting sqref="AC34">
    <cfRule type="cellIs" dxfId="11189" priority="258" operator="greaterThan">
      <formula>0.9</formula>
    </cfRule>
    <cfRule type="cellIs" dxfId="11188" priority="259" operator="greaterThan">
      <formula>0.85</formula>
    </cfRule>
  </conditionalFormatting>
  <conditionalFormatting sqref="N34">
    <cfRule type="cellIs" dxfId="11187" priority="256" operator="greaterThan">
      <formula>0.9</formula>
    </cfRule>
    <cfRule type="cellIs" dxfId="11186" priority="257" operator="greaterThan">
      <formula>0.85</formula>
    </cfRule>
  </conditionalFormatting>
  <conditionalFormatting sqref="E34">
    <cfRule type="expression" dxfId="11185" priority="252">
      <formula>AND(IF(OR($Q34=1,$Q34=2),1,0),IF($X34&lt;=20,1,0))</formula>
    </cfRule>
    <cfRule type="expression" dxfId="11184" priority="253">
      <formula>AND(IF($Q34=2,1,0),IF($X34&lt;30,1,0))</formula>
    </cfRule>
    <cfRule type="expression" dxfId="11183" priority="254">
      <formula>AND(IF($Q34=3,1,0),IF($X34&lt;30,1,0))</formula>
    </cfRule>
    <cfRule type="expression" dxfId="11182" priority="255">
      <formula>AND(IF($Q34=3,1,IF($Q34=4,1,0)),IF($F34&lt;=85,1,0))</formula>
    </cfRule>
  </conditionalFormatting>
  <conditionalFormatting sqref="X34">
    <cfRule type="expression" dxfId="11181" priority="248">
      <formula>AND(IF(OR($Q34=1,$Q34=2),1,0),IF($X34&lt;=20,1,0))</formula>
    </cfRule>
    <cfRule type="expression" dxfId="11180" priority="249">
      <formula>AND(IF($Q34=2,1,0),IF($X34&lt;30,1,0))</formula>
    </cfRule>
    <cfRule type="expression" dxfId="11179" priority="250">
      <formula>AND(IF($Q34=3,1,0),IF($X34&lt;30,1,0))</formula>
    </cfRule>
    <cfRule type="expression" dxfId="11178" priority="251">
      <formula>AND(IF($Q34=3,1,IF($Q34=4,1,0)),IF($F34&lt;=85,1,0))</formula>
    </cfRule>
  </conditionalFormatting>
  <conditionalFormatting sqref="AI34">
    <cfRule type="expression" dxfId="11177" priority="244">
      <formula>AND(IF(OR($Q34=1,$Q34=2),1,0),IF($X34&lt;=20,1,0))</formula>
    </cfRule>
    <cfRule type="expression" dxfId="11176" priority="245">
      <formula>AND(IF($Q34=2,1,0),IF($X34&lt;30,1,0))</formula>
    </cfRule>
    <cfRule type="expression" dxfId="11175" priority="246">
      <formula>AND(IF($Q34=3,1,0),IF($X34&lt;30,1,0))</formula>
    </cfRule>
    <cfRule type="expression" dxfId="11174" priority="247">
      <formula>AND(IF($Q34=3,1,IF($Q34=4,1,0)),IF($F34&lt;=85,1,0))</formula>
    </cfRule>
  </conditionalFormatting>
  <conditionalFormatting sqref="AV35">
    <cfRule type="expression" dxfId="11173" priority="242">
      <formula>AV35="X"</formula>
    </cfRule>
    <cfRule type="expression" dxfId="11172" priority="243">
      <formula>AV35="후보"</formula>
    </cfRule>
  </conditionalFormatting>
  <conditionalFormatting sqref="AC35">
    <cfRule type="cellIs" dxfId="11171" priority="239" operator="greaterThan">
      <formula>0.9</formula>
    </cfRule>
    <cfRule type="cellIs" dxfId="11170" priority="240" operator="greaterThan">
      <formula>0.85</formula>
    </cfRule>
  </conditionalFormatting>
  <conditionalFormatting sqref="N35">
    <cfRule type="cellIs" dxfId="11169" priority="237" operator="greaterThan">
      <formula>0.9</formula>
    </cfRule>
    <cfRule type="cellIs" dxfId="11168" priority="238" operator="greaterThan">
      <formula>0.85</formula>
    </cfRule>
  </conditionalFormatting>
  <conditionalFormatting sqref="E35">
    <cfRule type="expression" dxfId="11167" priority="233">
      <formula>AND(IF(OR($Q35=1,$Q35=2),1,0),IF($X35&lt;=20,1,0))</formula>
    </cfRule>
    <cfRule type="expression" dxfId="11166" priority="234">
      <formula>AND(IF($Q35=2,1,0),IF($X35&lt;30,1,0))</formula>
    </cfRule>
    <cfRule type="expression" dxfId="11165" priority="235">
      <formula>AND(IF($Q35=3,1,0),IF($X35&lt;30,1,0))</formula>
    </cfRule>
    <cfRule type="expression" dxfId="11164" priority="236">
      <formula>AND(IF($Q35=3,1,IF($Q35=4,1,0)),IF($F35&lt;=85,1,0))</formula>
    </cfRule>
  </conditionalFormatting>
  <conditionalFormatting sqref="X35">
    <cfRule type="expression" dxfId="11163" priority="229">
      <formula>AND(IF(OR($Q35=1,$Q35=2),1,0),IF($X35&lt;=20,1,0))</formula>
    </cfRule>
    <cfRule type="expression" dxfId="11162" priority="230">
      <formula>AND(IF($Q35=2,1,0),IF($X35&lt;30,1,0))</formula>
    </cfRule>
    <cfRule type="expression" dxfId="11161" priority="231">
      <formula>AND(IF($Q35=3,1,0),IF($X35&lt;30,1,0))</formula>
    </cfRule>
    <cfRule type="expression" dxfId="11160" priority="232">
      <formula>AND(IF($Q35=3,1,IF($Q35=4,1,0)),IF($F35&lt;=85,1,0))</formula>
    </cfRule>
  </conditionalFormatting>
  <conditionalFormatting sqref="AI35">
    <cfRule type="expression" dxfId="11159" priority="225">
      <formula>AND(IF(OR($Q35=1,$Q35=2),1,0),IF($X35&lt;=20,1,0))</formula>
    </cfRule>
    <cfRule type="expression" dxfId="11158" priority="226">
      <formula>AND(IF($Q35=2,1,0),IF($X35&lt;30,1,0))</formula>
    </cfRule>
    <cfRule type="expression" dxfId="11157" priority="227">
      <formula>AND(IF($Q35=3,1,0),IF($X35&lt;30,1,0))</formula>
    </cfRule>
    <cfRule type="expression" dxfId="11156" priority="228">
      <formula>AND(IF($Q35=3,1,IF($Q35=4,1,0)),IF($F35&lt;=85,1,0))</formula>
    </cfRule>
  </conditionalFormatting>
  <conditionalFormatting sqref="AV36">
    <cfRule type="expression" dxfId="11155" priority="223">
      <formula>AV36="X"</formula>
    </cfRule>
    <cfRule type="expression" dxfId="11154" priority="224">
      <formula>AV36="후보"</formula>
    </cfRule>
  </conditionalFormatting>
  <conditionalFormatting sqref="AC36 N36">
    <cfRule type="cellIs" dxfId="11153" priority="220" operator="greaterThan">
      <formula>0.9</formula>
    </cfRule>
    <cfRule type="cellIs" dxfId="11152" priority="221" operator="greaterThan">
      <formula>0.85</formula>
    </cfRule>
  </conditionalFormatting>
  <conditionalFormatting sqref="AV37">
    <cfRule type="expression" dxfId="11151" priority="218">
      <formula>AV37="X"</formula>
    </cfRule>
    <cfRule type="expression" dxfId="11150" priority="219">
      <formula>AV37="후보"</formula>
    </cfRule>
  </conditionalFormatting>
  <conditionalFormatting sqref="AC37">
    <cfRule type="cellIs" dxfId="11149" priority="215" operator="greaterThan">
      <formula>0.9</formula>
    </cfRule>
    <cfRule type="cellIs" dxfId="11148" priority="216" operator="greaterThan">
      <formula>0.85</formula>
    </cfRule>
  </conditionalFormatting>
  <conditionalFormatting sqref="N37">
    <cfRule type="cellIs" dxfId="11147" priority="213" operator="greaterThan">
      <formula>0.9</formula>
    </cfRule>
    <cfRule type="cellIs" dxfId="11146" priority="214" operator="greaterThan">
      <formula>0.85</formula>
    </cfRule>
  </conditionalFormatting>
  <conditionalFormatting sqref="E37">
    <cfRule type="expression" dxfId="11145" priority="209">
      <formula>AND(IF(OR($Q37=1,$Q37=2),1,0),IF($X37&lt;=20,1,0))</formula>
    </cfRule>
    <cfRule type="expression" dxfId="11144" priority="210">
      <formula>AND(IF($Q37=2,1,0),IF($X37&lt;30,1,0))</formula>
    </cfRule>
    <cfRule type="expression" dxfId="11143" priority="211">
      <formula>AND(IF($Q37=3,1,0),IF($X37&lt;30,1,0))</formula>
    </cfRule>
    <cfRule type="expression" dxfId="11142" priority="212">
      <formula>AND(IF($Q37=3,1,IF($Q37=4,1,0)),IF($F37&lt;=85,1,0))</formula>
    </cfRule>
  </conditionalFormatting>
  <conditionalFormatting sqref="X37">
    <cfRule type="expression" dxfId="11141" priority="205">
      <formula>AND(IF(OR($Q37=1,$Q37=2),1,0),IF($X37&lt;=20,1,0))</formula>
    </cfRule>
    <cfRule type="expression" dxfId="11140" priority="206">
      <formula>AND(IF($Q37=2,1,0),IF($X37&lt;30,1,0))</formula>
    </cfRule>
    <cfRule type="expression" dxfId="11139" priority="207">
      <formula>AND(IF($Q37=3,1,0),IF($X37&lt;30,1,0))</formula>
    </cfRule>
    <cfRule type="expression" dxfId="11138" priority="208">
      <formula>AND(IF($Q37=3,1,IF($Q37=4,1,0)),IF($F37&lt;=85,1,0))</formula>
    </cfRule>
  </conditionalFormatting>
  <conditionalFormatting sqref="AI37">
    <cfRule type="expression" dxfId="11137" priority="201">
      <formula>AND(IF(OR($Q37=1,$Q37=2),1,0),IF($X37&lt;=20,1,0))</formula>
    </cfRule>
    <cfRule type="expression" dxfId="11136" priority="202">
      <formula>AND(IF($Q37=2,1,0),IF($X37&lt;30,1,0))</formula>
    </cfRule>
    <cfRule type="expression" dxfId="11135" priority="203">
      <formula>AND(IF($Q37=3,1,0),IF($X37&lt;30,1,0))</formula>
    </cfRule>
    <cfRule type="expression" dxfId="11134" priority="204">
      <formula>AND(IF($Q37=3,1,IF($Q37=4,1,0)),IF($F37&lt;=85,1,0))</formula>
    </cfRule>
  </conditionalFormatting>
  <conditionalFormatting sqref="AV38">
    <cfRule type="expression" dxfId="11133" priority="199">
      <formula>AV38="X"</formula>
    </cfRule>
    <cfRule type="expression" dxfId="11132" priority="200">
      <formula>AV38="후보"</formula>
    </cfRule>
  </conditionalFormatting>
  <conditionalFormatting sqref="AC38">
    <cfRule type="cellIs" dxfId="11131" priority="196" operator="greaterThan">
      <formula>0.9</formula>
    </cfRule>
    <cfRule type="cellIs" dxfId="11130" priority="197" operator="greaterThan">
      <formula>0.85</formula>
    </cfRule>
  </conditionalFormatting>
  <conditionalFormatting sqref="N38">
    <cfRule type="cellIs" dxfId="11129" priority="194" operator="greaterThan">
      <formula>0.9</formula>
    </cfRule>
    <cfRule type="cellIs" dxfId="11128" priority="195" operator="greaterThan">
      <formula>0.85</formula>
    </cfRule>
  </conditionalFormatting>
  <conditionalFormatting sqref="E38">
    <cfRule type="expression" dxfId="11127" priority="190">
      <formula>AND(IF(OR($Q38=1,$Q38=2),1,0),IF($X38&lt;=20,1,0))</formula>
    </cfRule>
    <cfRule type="expression" dxfId="11126" priority="191">
      <formula>AND(IF($Q38=2,1,0),IF($X38&lt;30,1,0))</formula>
    </cfRule>
    <cfRule type="expression" dxfId="11125" priority="192">
      <formula>AND(IF($Q38=3,1,0),IF($X38&lt;30,1,0))</formula>
    </cfRule>
    <cfRule type="expression" dxfId="11124" priority="193">
      <formula>AND(IF($Q38=3,1,IF($Q38=4,1,0)),IF($F38&lt;=85,1,0))</formula>
    </cfRule>
  </conditionalFormatting>
  <conditionalFormatting sqref="X38">
    <cfRule type="expression" dxfId="11123" priority="186">
      <formula>AND(IF(OR($Q38=1,$Q38=2),1,0),IF($X38&lt;=20,1,0))</formula>
    </cfRule>
    <cfRule type="expression" dxfId="11122" priority="187">
      <formula>AND(IF($Q38=2,1,0),IF($X38&lt;30,1,0))</formula>
    </cfRule>
    <cfRule type="expression" dxfId="11121" priority="188">
      <formula>AND(IF($Q38=3,1,0),IF($X38&lt;30,1,0))</formula>
    </cfRule>
    <cfRule type="expression" dxfId="11120" priority="189">
      <formula>AND(IF($Q38=3,1,IF($Q38=4,1,0)),IF($F38&lt;=85,1,0))</formula>
    </cfRule>
  </conditionalFormatting>
  <conditionalFormatting sqref="AI38">
    <cfRule type="expression" dxfId="11119" priority="182">
      <formula>AND(IF(OR($Q38=1,$Q38=2),1,0),IF($X38&lt;=20,1,0))</formula>
    </cfRule>
    <cfRule type="expression" dxfId="11118" priority="183">
      <formula>AND(IF($Q38=2,1,0),IF($X38&lt;30,1,0))</formula>
    </cfRule>
    <cfRule type="expression" dxfId="11117" priority="184">
      <formula>AND(IF($Q38=3,1,0),IF($X38&lt;30,1,0))</formula>
    </cfRule>
    <cfRule type="expression" dxfId="11116" priority="185">
      <formula>AND(IF($Q38=3,1,IF($Q38=4,1,0)),IF($F38&lt;=85,1,0))</formula>
    </cfRule>
  </conditionalFormatting>
  <conditionalFormatting sqref="AV39">
    <cfRule type="expression" dxfId="11115" priority="180">
      <formula>AV39="X"</formula>
    </cfRule>
    <cfRule type="expression" dxfId="11114" priority="181">
      <formula>AV39="후보"</formula>
    </cfRule>
  </conditionalFormatting>
  <conditionalFormatting sqref="AC39 N39">
    <cfRule type="cellIs" dxfId="11113" priority="177" operator="greaterThan">
      <formula>0.9</formula>
    </cfRule>
    <cfRule type="cellIs" dxfId="11112" priority="178" operator="greaterThan">
      <formula>0.85</formula>
    </cfRule>
  </conditionalFormatting>
  <conditionalFormatting sqref="AV40">
    <cfRule type="expression" dxfId="11111" priority="175">
      <formula>AV40="X"</formula>
    </cfRule>
    <cfRule type="expression" dxfId="11110" priority="176">
      <formula>AV40="후보"</formula>
    </cfRule>
  </conditionalFormatting>
  <conditionalFormatting sqref="AC40">
    <cfRule type="cellIs" dxfId="11109" priority="172" operator="greaterThan">
      <formula>0.9</formula>
    </cfRule>
    <cfRule type="cellIs" dxfId="11108" priority="173" operator="greaterThan">
      <formula>0.85</formula>
    </cfRule>
  </conditionalFormatting>
  <conditionalFormatting sqref="N40">
    <cfRule type="cellIs" dxfId="11107" priority="170" operator="greaterThan">
      <formula>0.9</formula>
    </cfRule>
    <cfRule type="cellIs" dxfId="11106" priority="171" operator="greaterThan">
      <formula>0.85</formula>
    </cfRule>
  </conditionalFormatting>
  <conditionalFormatting sqref="E40">
    <cfRule type="expression" dxfId="11105" priority="166">
      <formula>AND(IF(OR($Q40=1,$Q40=2),1,0),IF($X40&lt;=20,1,0))</formula>
    </cfRule>
    <cfRule type="expression" dxfId="11104" priority="167">
      <formula>AND(IF($Q40=2,1,0),IF($X40&lt;30,1,0))</formula>
    </cfRule>
    <cfRule type="expression" dxfId="11103" priority="168">
      <formula>AND(IF($Q40=3,1,0),IF($X40&lt;30,1,0))</formula>
    </cfRule>
    <cfRule type="expression" dxfId="11102" priority="169">
      <formula>AND(IF($Q40=3,1,IF($Q40=4,1,0)),IF($F40&lt;=85,1,0))</formula>
    </cfRule>
  </conditionalFormatting>
  <conditionalFormatting sqref="X40">
    <cfRule type="expression" dxfId="11101" priority="162">
      <formula>AND(IF(OR($Q40=1,$Q40=2),1,0),IF($X40&lt;=20,1,0))</formula>
    </cfRule>
    <cfRule type="expression" dxfId="11100" priority="163">
      <formula>AND(IF($Q40=2,1,0),IF($X40&lt;30,1,0))</formula>
    </cfRule>
    <cfRule type="expression" dxfId="11099" priority="164">
      <formula>AND(IF($Q40=3,1,0),IF($X40&lt;30,1,0))</formula>
    </cfRule>
    <cfRule type="expression" dxfId="11098" priority="165">
      <formula>AND(IF($Q40=3,1,IF($Q40=4,1,0)),IF($F40&lt;=85,1,0))</formula>
    </cfRule>
  </conditionalFormatting>
  <conditionalFormatting sqref="AI40">
    <cfRule type="expression" dxfId="11097" priority="158">
      <formula>AND(IF(OR($Q40=1,$Q40=2),1,0),IF($X40&lt;=20,1,0))</formula>
    </cfRule>
    <cfRule type="expression" dxfId="11096" priority="159">
      <formula>AND(IF($Q40=2,1,0),IF($X40&lt;30,1,0))</formula>
    </cfRule>
    <cfRule type="expression" dxfId="11095" priority="160">
      <formula>AND(IF($Q40=3,1,0),IF($X40&lt;30,1,0))</formula>
    </cfRule>
    <cfRule type="expression" dxfId="11094" priority="161">
      <formula>AND(IF($Q40=3,1,IF($Q40=4,1,0)),IF($F40&lt;=85,1,0))</formula>
    </cfRule>
  </conditionalFormatting>
  <conditionalFormatting sqref="AV41">
    <cfRule type="expression" dxfId="11093" priority="156">
      <formula>AV41="X"</formula>
    </cfRule>
    <cfRule type="expression" dxfId="11092" priority="157">
      <formula>AV41="후보"</formula>
    </cfRule>
  </conditionalFormatting>
  <conditionalFormatting sqref="AC41">
    <cfRule type="cellIs" dxfId="11091" priority="153" operator="greaterThan">
      <formula>0.9</formula>
    </cfRule>
    <cfRule type="cellIs" dxfId="11090" priority="154" operator="greaterThan">
      <formula>0.85</formula>
    </cfRule>
  </conditionalFormatting>
  <conditionalFormatting sqref="N41">
    <cfRule type="cellIs" dxfId="11089" priority="151" operator="greaterThan">
      <formula>0.9</formula>
    </cfRule>
    <cfRule type="cellIs" dxfId="11088" priority="152" operator="greaterThan">
      <formula>0.85</formula>
    </cfRule>
  </conditionalFormatting>
  <conditionalFormatting sqref="E41">
    <cfRule type="expression" dxfId="11087" priority="147">
      <formula>AND(IF(OR($Q41=1,$Q41=2),1,0),IF($X41&lt;=20,1,0))</formula>
    </cfRule>
    <cfRule type="expression" dxfId="11086" priority="148">
      <formula>AND(IF($Q41=2,1,0),IF($X41&lt;30,1,0))</formula>
    </cfRule>
    <cfRule type="expression" dxfId="11085" priority="149">
      <formula>AND(IF($Q41=3,1,0),IF($X41&lt;30,1,0))</formula>
    </cfRule>
    <cfRule type="expression" dxfId="11084" priority="150">
      <formula>AND(IF($Q41=3,1,IF($Q41=4,1,0)),IF($F41&lt;=85,1,0))</formula>
    </cfRule>
  </conditionalFormatting>
  <conditionalFormatting sqref="X41">
    <cfRule type="expression" dxfId="11083" priority="143">
      <formula>AND(IF(OR($Q41=1,$Q41=2),1,0),IF($X41&lt;=20,1,0))</formula>
    </cfRule>
    <cfRule type="expression" dxfId="11082" priority="144">
      <formula>AND(IF($Q41=2,1,0),IF($X41&lt;30,1,0))</formula>
    </cfRule>
    <cfRule type="expression" dxfId="11081" priority="145">
      <formula>AND(IF($Q41=3,1,0),IF($X41&lt;30,1,0))</formula>
    </cfRule>
    <cfRule type="expression" dxfId="11080" priority="146">
      <formula>AND(IF($Q41=3,1,IF($Q41=4,1,0)),IF($F41&lt;=85,1,0))</formula>
    </cfRule>
  </conditionalFormatting>
  <conditionalFormatting sqref="AI41">
    <cfRule type="expression" dxfId="11079" priority="139">
      <formula>AND(IF(OR($Q41=1,$Q41=2),1,0),IF($X41&lt;=20,1,0))</formula>
    </cfRule>
    <cfRule type="expression" dxfId="11078" priority="140">
      <formula>AND(IF($Q41=2,1,0),IF($X41&lt;30,1,0))</formula>
    </cfRule>
    <cfRule type="expression" dxfId="11077" priority="141">
      <formula>AND(IF($Q41=3,1,0),IF($X41&lt;30,1,0))</formula>
    </cfRule>
    <cfRule type="expression" dxfId="11076" priority="142">
      <formula>AND(IF($Q41=3,1,IF($Q41=4,1,0)),IF($F41&lt;=85,1,0))</formula>
    </cfRule>
  </conditionalFormatting>
  <conditionalFormatting sqref="AV42">
    <cfRule type="expression" dxfId="11075" priority="137">
      <formula>AV42="X"</formula>
    </cfRule>
    <cfRule type="expression" dxfId="11074" priority="138">
      <formula>AV42="후보"</formula>
    </cfRule>
  </conditionalFormatting>
  <conditionalFormatting sqref="AC42 N42">
    <cfRule type="cellIs" dxfId="11073" priority="134" operator="greaterThan">
      <formula>0.9</formula>
    </cfRule>
    <cfRule type="cellIs" dxfId="11072" priority="135" operator="greaterThan">
      <formula>0.85</formula>
    </cfRule>
  </conditionalFormatting>
  <conditionalFormatting sqref="AV43">
    <cfRule type="expression" dxfId="11071" priority="132">
      <formula>AV43="X"</formula>
    </cfRule>
    <cfRule type="expression" dxfId="11070" priority="133">
      <formula>AV43="후보"</formula>
    </cfRule>
  </conditionalFormatting>
  <conditionalFormatting sqref="AC43">
    <cfRule type="cellIs" dxfId="11069" priority="129" operator="greaterThan">
      <formula>0.9</formula>
    </cfRule>
    <cfRule type="cellIs" dxfId="11068" priority="130" operator="greaterThan">
      <formula>0.85</formula>
    </cfRule>
  </conditionalFormatting>
  <conditionalFormatting sqref="N43">
    <cfRule type="cellIs" dxfId="11067" priority="127" operator="greaterThan">
      <formula>0.9</formula>
    </cfRule>
    <cfRule type="cellIs" dxfId="11066" priority="128" operator="greaterThan">
      <formula>0.85</formula>
    </cfRule>
  </conditionalFormatting>
  <conditionalFormatting sqref="E43">
    <cfRule type="expression" dxfId="11065" priority="123">
      <formula>AND(IF(OR($Q43=1,$Q43=2),1,0),IF($X43&lt;=20,1,0))</formula>
    </cfRule>
    <cfRule type="expression" dxfId="11064" priority="124">
      <formula>AND(IF($Q43=2,1,0),IF($X43&lt;30,1,0))</formula>
    </cfRule>
    <cfRule type="expression" dxfId="11063" priority="125">
      <formula>AND(IF($Q43=3,1,0),IF($X43&lt;30,1,0))</formula>
    </cfRule>
    <cfRule type="expression" dxfId="11062" priority="126">
      <formula>AND(IF($Q43=3,1,IF($Q43=4,1,0)),IF($F43&lt;=85,1,0))</formula>
    </cfRule>
  </conditionalFormatting>
  <conditionalFormatting sqref="X43">
    <cfRule type="expression" dxfId="11061" priority="119">
      <formula>AND(IF(OR($Q43=1,$Q43=2),1,0),IF($X43&lt;=20,1,0))</formula>
    </cfRule>
    <cfRule type="expression" dxfId="11060" priority="120">
      <formula>AND(IF($Q43=2,1,0),IF($X43&lt;30,1,0))</formula>
    </cfRule>
    <cfRule type="expression" dxfId="11059" priority="121">
      <formula>AND(IF($Q43=3,1,0),IF($X43&lt;30,1,0))</formula>
    </cfRule>
    <cfRule type="expression" dxfId="11058" priority="122">
      <formula>AND(IF($Q43=3,1,IF($Q43=4,1,0)),IF($F43&lt;=85,1,0))</formula>
    </cfRule>
  </conditionalFormatting>
  <conditionalFormatting sqref="AI43">
    <cfRule type="expression" dxfId="11057" priority="115">
      <formula>AND(IF(OR($Q43=1,$Q43=2),1,0),IF($X43&lt;=20,1,0))</formula>
    </cfRule>
    <cfRule type="expression" dxfId="11056" priority="116">
      <formula>AND(IF($Q43=2,1,0),IF($X43&lt;30,1,0))</formula>
    </cfRule>
    <cfRule type="expression" dxfId="11055" priority="117">
      <formula>AND(IF($Q43=3,1,0),IF($X43&lt;30,1,0))</formula>
    </cfRule>
    <cfRule type="expression" dxfId="11054" priority="118">
      <formula>AND(IF($Q43=3,1,IF($Q43=4,1,0)),IF($F43&lt;=85,1,0))</formula>
    </cfRule>
  </conditionalFormatting>
  <conditionalFormatting sqref="AV44">
    <cfRule type="expression" dxfId="11053" priority="113">
      <formula>AV44="X"</formula>
    </cfRule>
    <cfRule type="expression" dxfId="11052" priority="114">
      <formula>AV44="후보"</formula>
    </cfRule>
  </conditionalFormatting>
  <conditionalFormatting sqref="AC44">
    <cfRule type="cellIs" dxfId="11051" priority="110" operator="greaterThan">
      <formula>0.9</formula>
    </cfRule>
    <cfRule type="cellIs" dxfId="11050" priority="111" operator="greaterThan">
      <formula>0.85</formula>
    </cfRule>
  </conditionalFormatting>
  <conditionalFormatting sqref="N44">
    <cfRule type="cellIs" dxfId="11049" priority="108" operator="greaterThan">
      <formula>0.9</formula>
    </cfRule>
    <cfRule type="cellIs" dxfId="11048" priority="109" operator="greaterThan">
      <formula>0.85</formula>
    </cfRule>
  </conditionalFormatting>
  <conditionalFormatting sqref="E44">
    <cfRule type="expression" dxfId="11047" priority="104">
      <formula>AND(IF(OR($Q44=1,$Q44=2),1,0),IF($X44&lt;=20,1,0))</formula>
    </cfRule>
    <cfRule type="expression" dxfId="11046" priority="105">
      <formula>AND(IF($Q44=2,1,0),IF($X44&lt;30,1,0))</formula>
    </cfRule>
    <cfRule type="expression" dxfId="11045" priority="106">
      <formula>AND(IF($Q44=3,1,0),IF($X44&lt;30,1,0))</formula>
    </cfRule>
    <cfRule type="expression" dxfId="11044" priority="107">
      <formula>AND(IF($Q44=3,1,IF($Q44=4,1,0)),IF($F44&lt;=85,1,0))</formula>
    </cfRule>
  </conditionalFormatting>
  <conditionalFormatting sqref="X44">
    <cfRule type="expression" dxfId="11043" priority="100">
      <formula>AND(IF(OR($Q44=1,$Q44=2),1,0),IF($X44&lt;=20,1,0))</formula>
    </cfRule>
    <cfRule type="expression" dxfId="11042" priority="101">
      <formula>AND(IF($Q44=2,1,0),IF($X44&lt;30,1,0))</formula>
    </cfRule>
    <cfRule type="expression" dxfId="11041" priority="102">
      <formula>AND(IF($Q44=3,1,0),IF($X44&lt;30,1,0))</formula>
    </cfRule>
    <cfRule type="expression" dxfId="11040" priority="103">
      <formula>AND(IF($Q44=3,1,IF($Q44=4,1,0)),IF($F44&lt;=85,1,0))</formula>
    </cfRule>
  </conditionalFormatting>
  <conditionalFormatting sqref="AI44">
    <cfRule type="expression" dxfId="11039" priority="96">
      <formula>AND(IF(OR($Q44=1,$Q44=2),1,0),IF($X44&lt;=20,1,0))</formula>
    </cfRule>
    <cfRule type="expression" dxfId="11038" priority="97">
      <formula>AND(IF($Q44=2,1,0),IF($X44&lt;30,1,0))</formula>
    </cfRule>
    <cfRule type="expression" dxfId="11037" priority="98">
      <formula>AND(IF($Q44=3,1,0),IF($X44&lt;30,1,0))</formula>
    </cfRule>
    <cfRule type="expression" dxfId="11036" priority="99">
      <formula>AND(IF($Q44=3,1,IF($Q44=4,1,0)),IF($F44&lt;=85,1,0))</formula>
    </cfRule>
  </conditionalFormatting>
  <conditionalFormatting sqref="AV45">
    <cfRule type="expression" dxfId="11035" priority="94">
      <formula>AV45="X"</formula>
    </cfRule>
    <cfRule type="expression" dxfId="11034" priority="95">
      <formula>AV45="후보"</formula>
    </cfRule>
  </conditionalFormatting>
  <conditionalFormatting sqref="AC45">
    <cfRule type="cellIs" dxfId="11033" priority="91" operator="greaterThan">
      <formula>0.9</formula>
    </cfRule>
    <cfRule type="cellIs" dxfId="11032" priority="92" operator="greaterThan">
      <formula>0.85</formula>
    </cfRule>
  </conditionalFormatting>
  <conditionalFormatting sqref="N45">
    <cfRule type="cellIs" dxfId="11031" priority="89" operator="greaterThan">
      <formula>0.9</formula>
    </cfRule>
    <cfRule type="cellIs" dxfId="11030" priority="90" operator="greaterThan">
      <formula>0.85</formula>
    </cfRule>
  </conditionalFormatting>
  <conditionalFormatting sqref="E45">
    <cfRule type="expression" dxfId="11029" priority="85">
      <formula>AND(IF(OR($Q45=1,$Q45=2),1,0),IF($X45&lt;=20,1,0))</formula>
    </cfRule>
    <cfRule type="expression" dxfId="11028" priority="86">
      <formula>AND(IF($Q45=2,1,0),IF($X45&lt;30,1,0))</formula>
    </cfRule>
    <cfRule type="expression" dxfId="11027" priority="87">
      <formula>AND(IF($Q45=3,1,0),IF($X45&lt;30,1,0))</formula>
    </cfRule>
    <cfRule type="expression" dxfId="11026" priority="88">
      <formula>AND(IF($Q45=3,1,IF($Q45=4,1,0)),IF($F45&lt;=85,1,0))</formula>
    </cfRule>
  </conditionalFormatting>
  <conditionalFormatting sqref="X45">
    <cfRule type="expression" dxfId="11025" priority="81">
      <formula>AND(IF(OR($Q45=1,$Q45=2),1,0),IF($X45&lt;=20,1,0))</formula>
    </cfRule>
    <cfRule type="expression" dxfId="11024" priority="82">
      <formula>AND(IF($Q45=2,1,0),IF($X45&lt;30,1,0))</formula>
    </cfRule>
    <cfRule type="expression" dxfId="11023" priority="83">
      <formula>AND(IF($Q45=3,1,0),IF($X45&lt;30,1,0))</formula>
    </cfRule>
    <cfRule type="expression" dxfId="11022" priority="84">
      <formula>AND(IF($Q45=3,1,IF($Q45=4,1,0)),IF($F45&lt;=85,1,0))</formula>
    </cfRule>
  </conditionalFormatting>
  <conditionalFormatting sqref="AI45">
    <cfRule type="expression" dxfId="11021" priority="77">
      <formula>AND(IF(OR($Q45=1,$Q45=2),1,0),IF($X45&lt;=20,1,0))</formula>
    </cfRule>
    <cfRule type="expression" dxfId="11020" priority="78">
      <formula>AND(IF($Q45=2,1,0),IF($X45&lt;30,1,0))</formula>
    </cfRule>
    <cfRule type="expression" dxfId="11019" priority="79">
      <formula>AND(IF($Q45=3,1,0),IF($X45&lt;30,1,0))</formula>
    </cfRule>
    <cfRule type="expression" dxfId="11018" priority="80">
      <formula>AND(IF($Q45=3,1,IF($Q45=4,1,0)),IF($F45&lt;=85,1,0))</formula>
    </cfRule>
  </conditionalFormatting>
  <conditionalFormatting sqref="AV46">
    <cfRule type="expression" dxfId="11017" priority="75">
      <formula>AV46="X"</formula>
    </cfRule>
    <cfRule type="expression" dxfId="11016" priority="76">
      <formula>AV46="후보"</formula>
    </cfRule>
  </conditionalFormatting>
  <conditionalFormatting sqref="AC46">
    <cfRule type="cellIs" dxfId="11015" priority="72" operator="greaterThan">
      <formula>0.9</formula>
    </cfRule>
    <cfRule type="cellIs" dxfId="11014" priority="73" operator="greaterThan">
      <formula>0.85</formula>
    </cfRule>
  </conditionalFormatting>
  <conditionalFormatting sqref="N46">
    <cfRule type="cellIs" dxfId="11013" priority="70" operator="greaterThan">
      <formula>0.9</formula>
    </cfRule>
    <cfRule type="cellIs" dxfId="11012" priority="71" operator="greaterThan">
      <formula>0.85</formula>
    </cfRule>
  </conditionalFormatting>
  <conditionalFormatting sqref="E46">
    <cfRule type="expression" dxfId="11011" priority="66">
      <formula>AND(IF(OR($Q46=1,$Q46=2),1,0),IF($X46&lt;=20,1,0))</formula>
    </cfRule>
    <cfRule type="expression" dxfId="11010" priority="67">
      <formula>AND(IF($Q46=2,1,0),IF($X46&lt;30,1,0))</formula>
    </cfRule>
    <cfRule type="expression" dxfId="11009" priority="68">
      <formula>AND(IF($Q46=3,1,0),IF($X46&lt;30,1,0))</formula>
    </cfRule>
    <cfRule type="expression" dxfId="11008" priority="69">
      <formula>AND(IF($Q46=3,1,IF($Q46=4,1,0)),IF($F46&lt;=85,1,0))</formula>
    </cfRule>
  </conditionalFormatting>
  <conditionalFormatting sqref="X46">
    <cfRule type="expression" dxfId="11007" priority="62">
      <formula>AND(IF(OR($Q46=1,$Q46=2),1,0),IF($X46&lt;=20,1,0))</formula>
    </cfRule>
    <cfRule type="expression" dxfId="11006" priority="63">
      <formula>AND(IF($Q46=2,1,0),IF($X46&lt;30,1,0))</formula>
    </cfRule>
    <cfRule type="expression" dxfId="11005" priority="64">
      <formula>AND(IF($Q46=3,1,0),IF($X46&lt;30,1,0))</formula>
    </cfRule>
    <cfRule type="expression" dxfId="11004" priority="65">
      <formula>AND(IF($Q46=3,1,IF($Q46=4,1,0)),IF($F46&lt;=85,1,0))</formula>
    </cfRule>
  </conditionalFormatting>
  <conditionalFormatting sqref="AI46">
    <cfRule type="expression" dxfId="11003" priority="58">
      <formula>AND(IF(OR($Q46=1,$Q46=2),1,0),IF($X46&lt;=20,1,0))</formula>
    </cfRule>
    <cfRule type="expression" dxfId="11002" priority="59">
      <formula>AND(IF($Q46=2,1,0),IF($X46&lt;30,1,0))</formula>
    </cfRule>
    <cfRule type="expression" dxfId="11001" priority="60">
      <formula>AND(IF($Q46=3,1,0),IF($X46&lt;30,1,0))</formula>
    </cfRule>
    <cfRule type="expression" dxfId="11000" priority="61">
      <formula>AND(IF($Q46=3,1,IF($Q46=4,1,0)),IF($F46&lt;=85,1,0))</formula>
    </cfRule>
  </conditionalFormatting>
  <conditionalFormatting sqref="AV47">
    <cfRule type="expression" dxfId="10999" priority="56">
      <formula>AV47="X"</formula>
    </cfRule>
    <cfRule type="expression" dxfId="10998" priority="57">
      <formula>AV47="후보"</formula>
    </cfRule>
  </conditionalFormatting>
  <conditionalFormatting sqref="AC47">
    <cfRule type="cellIs" dxfId="10997" priority="53" operator="greaterThan">
      <formula>0.9</formula>
    </cfRule>
    <cfRule type="cellIs" dxfId="10996" priority="54" operator="greaterThan">
      <formula>0.85</formula>
    </cfRule>
  </conditionalFormatting>
  <conditionalFormatting sqref="N47">
    <cfRule type="cellIs" dxfId="10995" priority="51" operator="greaterThan">
      <formula>0.9</formula>
    </cfRule>
    <cfRule type="cellIs" dxfId="10994" priority="52" operator="greaterThan">
      <formula>0.85</formula>
    </cfRule>
  </conditionalFormatting>
  <conditionalFormatting sqref="E47">
    <cfRule type="expression" dxfId="10993" priority="47">
      <formula>AND(IF(OR($Q47=1,$Q47=2),1,0),IF($X47&lt;=20,1,0))</formula>
    </cfRule>
    <cfRule type="expression" dxfId="10992" priority="48">
      <formula>AND(IF($Q47=2,1,0),IF($X47&lt;30,1,0))</formula>
    </cfRule>
    <cfRule type="expression" dxfId="10991" priority="49">
      <formula>AND(IF($Q47=3,1,0),IF($X47&lt;30,1,0))</formula>
    </cfRule>
    <cfRule type="expression" dxfId="10990" priority="50">
      <formula>AND(IF($Q47=3,1,IF($Q47=4,1,0)),IF($F47&lt;=85,1,0))</formula>
    </cfRule>
  </conditionalFormatting>
  <conditionalFormatting sqref="X47">
    <cfRule type="expression" dxfId="10989" priority="43">
      <formula>AND(IF(OR($Q47=1,$Q47=2),1,0),IF($X47&lt;=20,1,0))</formula>
    </cfRule>
    <cfRule type="expression" dxfId="10988" priority="44">
      <formula>AND(IF($Q47=2,1,0),IF($X47&lt;30,1,0))</formula>
    </cfRule>
    <cfRule type="expression" dxfId="10987" priority="45">
      <formula>AND(IF($Q47=3,1,0),IF($X47&lt;30,1,0))</formula>
    </cfRule>
    <cfRule type="expression" dxfId="10986" priority="46">
      <formula>AND(IF($Q47=3,1,IF($Q47=4,1,0)),IF($F47&lt;=85,1,0))</formula>
    </cfRule>
  </conditionalFormatting>
  <conditionalFormatting sqref="AI47">
    <cfRule type="expression" dxfId="10985" priority="39">
      <formula>AND(IF(OR($Q47=1,$Q47=2),1,0),IF($X47&lt;=20,1,0))</formula>
    </cfRule>
    <cfRule type="expression" dxfId="10984" priority="40">
      <formula>AND(IF($Q47=2,1,0),IF($X47&lt;30,1,0))</formula>
    </cfRule>
    <cfRule type="expression" dxfId="10983" priority="41">
      <formula>AND(IF($Q47=3,1,0),IF($X47&lt;30,1,0))</formula>
    </cfRule>
    <cfRule type="expression" dxfId="10982" priority="42">
      <formula>AND(IF($Q47=3,1,IF($Q47=4,1,0)),IF($F47&lt;=85,1,0))</formula>
    </cfRule>
  </conditionalFormatting>
  <conditionalFormatting sqref="AV48">
    <cfRule type="expression" dxfId="10981" priority="37">
      <formula>AV48="X"</formula>
    </cfRule>
    <cfRule type="expression" dxfId="10980" priority="38">
      <formula>AV48="후보"</formula>
    </cfRule>
  </conditionalFormatting>
  <conditionalFormatting sqref="AC48">
    <cfRule type="cellIs" dxfId="10979" priority="34" operator="greaterThan">
      <formula>0.9</formula>
    </cfRule>
    <cfRule type="cellIs" dxfId="10978" priority="35" operator="greaterThan">
      <formula>0.85</formula>
    </cfRule>
  </conditionalFormatting>
  <conditionalFormatting sqref="N48">
    <cfRule type="cellIs" dxfId="10977" priority="32" operator="greaterThan">
      <formula>0.9</formula>
    </cfRule>
    <cfRule type="cellIs" dxfId="10976" priority="33" operator="greaterThan">
      <formula>0.85</formula>
    </cfRule>
  </conditionalFormatting>
  <conditionalFormatting sqref="E48">
    <cfRule type="expression" dxfId="10975" priority="28">
      <formula>AND(IF(OR($Q48=1,$Q48=2),1,0),IF($X48&lt;=20,1,0))</formula>
    </cfRule>
    <cfRule type="expression" dxfId="10974" priority="29">
      <formula>AND(IF($Q48=2,1,0),IF($X48&lt;30,1,0))</formula>
    </cfRule>
    <cfRule type="expression" dxfId="10973" priority="30">
      <formula>AND(IF($Q48=3,1,0),IF($X48&lt;30,1,0))</formula>
    </cfRule>
    <cfRule type="expression" dxfId="10972" priority="31">
      <formula>AND(IF($Q48=3,1,IF($Q48=4,1,0)),IF($F48&lt;=85,1,0))</formula>
    </cfRule>
  </conditionalFormatting>
  <conditionalFormatting sqref="X48">
    <cfRule type="expression" dxfId="10971" priority="24">
      <formula>AND(IF(OR($Q48=1,$Q48=2),1,0),IF($X48&lt;=20,1,0))</formula>
    </cfRule>
    <cfRule type="expression" dxfId="10970" priority="25">
      <formula>AND(IF($Q48=2,1,0),IF($X48&lt;30,1,0))</formula>
    </cfRule>
    <cfRule type="expression" dxfId="10969" priority="26">
      <formula>AND(IF($Q48=3,1,0),IF($X48&lt;30,1,0))</formula>
    </cfRule>
    <cfRule type="expression" dxfId="10968" priority="27">
      <formula>AND(IF($Q48=3,1,IF($Q48=4,1,0)),IF($F48&lt;=85,1,0))</formula>
    </cfRule>
  </conditionalFormatting>
  <conditionalFormatting sqref="AI48">
    <cfRule type="expression" dxfId="10967" priority="20">
      <formula>AND(IF(OR($Q48=1,$Q48=2),1,0),IF($X48&lt;=20,1,0))</formula>
    </cfRule>
    <cfRule type="expression" dxfId="10966" priority="21">
      <formula>AND(IF($Q48=2,1,0),IF($X48&lt;30,1,0))</formula>
    </cfRule>
    <cfRule type="expression" dxfId="10965" priority="22">
      <formula>AND(IF($Q48=3,1,0),IF($X48&lt;30,1,0))</formula>
    </cfRule>
    <cfRule type="expression" dxfId="10964" priority="23">
      <formula>AND(IF($Q48=3,1,IF($Q48=4,1,0)),IF($F48&lt;=85,1,0))</formula>
    </cfRule>
  </conditionalFormatting>
  <conditionalFormatting sqref="AV49">
    <cfRule type="expression" dxfId="10963" priority="18">
      <formula>AV49="X"</formula>
    </cfRule>
    <cfRule type="expression" dxfId="10962" priority="19">
      <formula>AV49="후보"</formula>
    </cfRule>
  </conditionalFormatting>
  <conditionalFormatting sqref="AC49">
    <cfRule type="cellIs" dxfId="10961" priority="15" operator="greaterThan">
      <formula>0.9</formula>
    </cfRule>
    <cfRule type="cellIs" dxfId="10960" priority="16" operator="greaterThan">
      <formula>0.85</formula>
    </cfRule>
  </conditionalFormatting>
  <conditionalFormatting sqref="N49">
    <cfRule type="cellIs" dxfId="10959" priority="13" operator="greaterThan">
      <formula>0.9</formula>
    </cfRule>
    <cfRule type="cellIs" dxfId="10958" priority="14" operator="greaterThan">
      <formula>0.85</formula>
    </cfRule>
  </conditionalFormatting>
  <conditionalFormatting sqref="E49">
    <cfRule type="expression" dxfId="10957" priority="9">
      <formula>AND(IF(OR($Q49=1,$Q49=2),1,0),IF($X49&lt;=20,1,0))</formula>
    </cfRule>
    <cfRule type="expression" dxfId="10956" priority="10">
      <formula>AND(IF($Q49=2,1,0),IF($X49&lt;30,1,0))</formula>
    </cfRule>
    <cfRule type="expression" dxfId="10955" priority="11">
      <formula>AND(IF($Q49=3,1,0),IF($X49&lt;30,1,0))</formula>
    </cfRule>
    <cfRule type="expression" dxfId="10954" priority="12">
      <formula>AND(IF($Q49=3,1,IF($Q49=4,1,0)),IF($F49&lt;=85,1,0))</formula>
    </cfRule>
  </conditionalFormatting>
  <conditionalFormatting sqref="X49">
    <cfRule type="expression" dxfId="10953" priority="5">
      <formula>AND(IF(OR($Q49=1,$Q49=2),1,0),IF($X49&lt;=20,1,0))</formula>
    </cfRule>
    <cfRule type="expression" dxfId="10952" priority="6">
      <formula>AND(IF($Q49=2,1,0),IF($X49&lt;30,1,0))</formula>
    </cfRule>
    <cfRule type="expression" dxfId="10951" priority="7">
      <formula>AND(IF($Q49=3,1,0),IF($X49&lt;30,1,0))</formula>
    </cfRule>
    <cfRule type="expression" dxfId="10950" priority="8">
      <formula>AND(IF($Q49=3,1,IF($Q49=4,1,0)),IF($F49&lt;=85,1,0))</formula>
    </cfRule>
  </conditionalFormatting>
  <conditionalFormatting sqref="AI49">
    <cfRule type="expression" dxfId="10949" priority="1">
      <formula>AND(IF(OR($Q49=1,$Q49=2),1,0),IF($X49&lt;=20,1,0))</formula>
    </cfRule>
    <cfRule type="expression" dxfId="10948" priority="2">
      <formula>AND(IF($Q49=2,1,0),IF($X49&lt;30,1,0))</formula>
    </cfRule>
    <cfRule type="expression" dxfId="10947" priority="3">
      <formula>AND(IF($Q49=3,1,0),IF($X49&lt;30,1,0))</formula>
    </cfRule>
    <cfRule type="expression" dxfId="10946" priority="4">
      <formula>AND(IF($Q49=3,1,IF($Q49=4,1,0)),IF($F49&lt;=85,1,0))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4" sqref="A13:XFD14"/>
      <selection pane="topRight" activeCell="A14" sqref="A13:XFD14"/>
      <selection pane="bottomLeft" activeCell="A14" sqref="A13:XFD14"/>
      <selection pane="bottomRight" activeCell="B27" sqref="B27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5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0" width="9" style="37" customWidth="1"/>
    <col min="51" max="16384" width="9" style="37"/>
  </cols>
  <sheetData>
    <row r="1" spans="1:48" ht="17.25" customHeight="1" x14ac:dyDescent="0.3">
      <c r="A1" s="7" t="str">
        <f>단지추출!A1</f>
        <v>인천광역시 연수구</v>
      </c>
      <c r="I1" s="42" t="s">
        <v>1827</v>
      </c>
      <c r="X1" s="37" t="s">
        <v>5</v>
      </c>
      <c r="Y1" s="37"/>
      <c r="AA1" s="39">
        <f>단지추출!AA1</f>
        <v>70000</v>
      </c>
      <c r="AH1" s="7" t="str">
        <f>A1</f>
        <v>인천광역시 연수구</v>
      </c>
      <c r="AJ1" s="117" t="str">
        <f>A1&amp;" 전체 등급"</f>
        <v>인천광역시 연수구 전체 등급</v>
      </c>
      <c r="AK1" s="118"/>
      <c r="AL1" s="118"/>
      <c r="AM1" s="118"/>
      <c r="AN1" s="119"/>
      <c r="AO1" s="22">
        <f>단지추출!AO1</f>
        <v>80</v>
      </c>
      <c r="AP1" s="22">
        <f>단지추출!AP1</f>
        <v>50000</v>
      </c>
      <c r="AQ1" s="22">
        <f>단지추출!AQ1</f>
        <v>15000</v>
      </c>
      <c r="AR1" s="22">
        <f>단지추출!AR1</f>
        <v>5000</v>
      </c>
      <c r="AS1" s="2"/>
      <c r="AT1" s="2"/>
      <c r="AU1" s="22">
        <f>단지추출!AU1</f>
        <v>300</v>
      </c>
    </row>
    <row r="2" spans="1:48" x14ac:dyDescent="0.3">
      <c r="A2" s="80">
        <f>단지추출!A2</f>
        <v>44197</v>
      </c>
      <c r="W2" s="38"/>
      <c r="X2" s="38" t="s">
        <v>10</v>
      </c>
      <c r="Y2" s="38"/>
      <c r="AA2" s="39">
        <f>단지추출!AA2</f>
        <v>10000</v>
      </c>
      <c r="AH2" s="18" t="str">
        <f>AH1 &amp;" " &amp;A4</f>
        <v>인천광역시 연수구 동명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4" t="s">
        <v>15</v>
      </c>
      <c r="AP2" s="65"/>
      <c r="AQ2" s="66"/>
      <c r="AR2" s="64" t="s">
        <v>16</v>
      </c>
      <c r="AS2" s="66"/>
      <c r="AT2" s="64" t="s">
        <v>17</v>
      </c>
      <c r="AU2" s="66"/>
      <c r="AV2" s="40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1828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106" t="s">
        <v>27</v>
      </c>
      <c r="Z3" s="12" t="s">
        <v>41</v>
      </c>
      <c r="AA3" s="12" t="s">
        <v>42</v>
      </c>
      <c r="AB3" s="12" t="s">
        <v>1828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(5억↓)</v>
      </c>
      <c r="AQ3" s="11" t="str">
        <f>"지역평단가
("&amp;AQ1&amp;"↓)"</f>
        <v>지역평단가
(15000↓)</v>
      </c>
      <c r="AR3" s="11" t="str">
        <f>"투자규모★
(갭"&amp;AR1/1000&amp;"천↓)"</f>
        <v>투자규모★
(갭5천↓)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1" t="s">
        <v>18</v>
      </c>
    </row>
    <row r="4" spans="1:48" x14ac:dyDescent="0.3">
      <c r="A4" s="8" t="s">
        <v>1950</v>
      </c>
      <c r="B4" s="76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07"/>
      <c r="R4" s="107"/>
      <c r="S4" s="76"/>
      <c r="T4" s="5"/>
      <c r="U4" s="9"/>
      <c r="W4" s="9"/>
      <c r="X4" s="9"/>
      <c r="Y4" s="91"/>
      <c r="Z4" s="9"/>
      <c r="AA4" s="9"/>
      <c r="AB4" s="9"/>
      <c r="AC4" s="9"/>
      <c r="AD4" s="9"/>
      <c r="AE4" s="76"/>
      <c r="AF4" s="5"/>
      <c r="AH4" s="20"/>
      <c r="AI4" s="108" t="str">
        <f>IF(E4="","",E4)</f>
        <v/>
      </c>
      <c r="AJ4" s="76"/>
      <c r="AK4" s="76"/>
      <c r="AL4" s="76"/>
      <c r="AM4" s="76"/>
      <c r="AN4" s="76"/>
      <c r="AO4" s="76"/>
      <c r="AP4" s="76"/>
      <c r="AQ4" s="76"/>
      <c r="AR4" s="76"/>
      <c r="AS4" s="76"/>
      <c r="AT4" s="76"/>
      <c r="AU4" s="76"/>
      <c r="AV4" s="76"/>
    </row>
    <row r="5" spans="1:48" x14ac:dyDescent="0.3">
      <c r="A5" s="9"/>
      <c r="B5" s="76"/>
      <c r="C5" s="6"/>
      <c r="D5" s="9"/>
      <c r="E5" s="14"/>
      <c r="F5" s="85"/>
      <c r="G5" s="9"/>
      <c r="H5" s="9"/>
      <c r="I5" s="9"/>
      <c r="J5" s="9"/>
      <c r="K5" s="9"/>
      <c r="L5" s="9"/>
      <c r="M5" s="9"/>
      <c r="N5" s="9"/>
      <c r="O5" s="90"/>
      <c r="P5" s="90"/>
      <c r="Q5" s="86"/>
      <c r="R5" s="86"/>
      <c r="S5" s="9"/>
      <c r="T5" s="47"/>
      <c r="U5" s="9"/>
      <c r="W5" s="67" t="str">
        <f>$A$4&amp;" "&amp;A6&amp;"("&amp;B6&amp;","&amp;C6&amp;"^)"</f>
        <v>동명 단지명('19.04,905^)</v>
      </c>
      <c r="X5" s="68"/>
      <c r="Y5" s="68"/>
      <c r="Z5" s="68"/>
      <c r="AA5" s="68"/>
      <c r="AB5" s="68"/>
      <c r="AC5" s="68"/>
      <c r="AD5" s="68"/>
      <c r="AE5" s="68"/>
      <c r="AF5" s="69"/>
      <c r="AH5" s="20" t="str">
        <f>IF(A5="","",A5)</f>
        <v/>
      </c>
      <c r="AI5" s="108" t="str">
        <f>IF(E5="","",E5)</f>
        <v/>
      </c>
      <c r="AJ5" s="76"/>
      <c r="AK5" s="76"/>
      <c r="AL5" s="76"/>
      <c r="AM5" s="76"/>
      <c r="AN5" s="76"/>
      <c r="AO5" s="76"/>
      <c r="AP5" s="76"/>
      <c r="AQ5" s="76"/>
      <c r="AR5" s="76"/>
      <c r="AS5" s="76"/>
      <c r="AT5" s="76"/>
      <c r="AU5" s="76"/>
      <c r="AV5" s="76"/>
    </row>
    <row r="6" spans="1:48" x14ac:dyDescent="0.3">
      <c r="A6" s="9" t="s">
        <v>20</v>
      </c>
      <c r="B6" s="10" t="s">
        <v>1951</v>
      </c>
      <c r="C6" s="87">
        <v>905</v>
      </c>
      <c r="D6" s="85">
        <v>79.3</v>
      </c>
      <c r="E6" s="86">
        <v>24</v>
      </c>
      <c r="F6" s="85">
        <v>59.8</v>
      </c>
      <c r="G6" s="17">
        <v>18</v>
      </c>
      <c r="H6" s="87">
        <v>240</v>
      </c>
      <c r="I6" s="88"/>
      <c r="J6" s="88"/>
      <c r="K6" s="88"/>
      <c r="L6" s="88"/>
      <c r="M6" s="89">
        <f>I6-K6</f>
        <v>0</v>
      </c>
      <c r="N6" s="4" t="str">
        <f>IF(ISERROR(K6/I6),"",K6/I6)</f>
        <v/>
      </c>
      <c r="O6" s="90">
        <f>I6/E6</f>
        <v>0</v>
      </c>
      <c r="P6" s="90">
        <f>K6/E6</f>
        <v>0</v>
      </c>
      <c r="Q6" s="76">
        <v>3</v>
      </c>
      <c r="R6" s="76">
        <v>2</v>
      </c>
      <c r="S6" s="76" t="s">
        <v>61</v>
      </c>
      <c r="T6" s="5">
        <v>79</v>
      </c>
      <c r="U6" s="9"/>
      <c r="W6" s="85">
        <f>D6</f>
        <v>79.3</v>
      </c>
      <c r="X6" s="86">
        <f>E6</f>
        <v>24</v>
      </c>
      <c r="Y6" s="91">
        <f>H6</f>
        <v>240</v>
      </c>
      <c r="Z6" s="89">
        <f>I6</f>
        <v>0</v>
      </c>
      <c r="AA6" s="89">
        <f>K6</f>
        <v>0</v>
      </c>
      <c r="AB6" s="89">
        <f>M6</f>
        <v>0</v>
      </c>
      <c r="AC6" s="4" t="str">
        <f>N6</f>
        <v/>
      </c>
      <c r="AD6" s="90">
        <f>O6</f>
        <v>0</v>
      </c>
      <c r="AE6" s="76" t="str">
        <f>S6</f>
        <v>계</v>
      </c>
      <c r="AF6" s="76" t="str">
        <f>Q6&amp;"/"&amp;R6</f>
        <v>3/2</v>
      </c>
      <c r="AH6" s="20" t="str">
        <f>IF(A6="","",A6)</f>
        <v>단지명</v>
      </c>
      <c r="AI6" s="86">
        <f>IF(E6="","",E6)</f>
        <v>24</v>
      </c>
      <c r="AJ6" s="76" t="str">
        <f>IF(AI6="","",$AJ$2)</f>
        <v>A-</v>
      </c>
      <c r="AK6" s="76" t="s">
        <v>13</v>
      </c>
      <c r="AL6" s="76" t="s">
        <v>62</v>
      </c>
      <c r="AM6" s="76" t="s">
        <v>63</v>
      </c>
      <c r="AN6" s="76" t="str">
        <f>IF(AI6="","",$AN$2)</f>
        <v>C</v>
      </c>
      <c r="AO6" s="76" t="str">
        <f>IF(N6="","",IF(N6&gt;=$AO$1/100,"O","X"))</f>
        <v/>
      </c>
      <c r="AP6" s="76" t="str">
        <f>IF(I6="","",IF(I6&lt;=$AP$1,"O","X"))</f>
        <v/>
      </c>
      <c r="AQ6" s="76" t="str">
        <f>IF(O6="","",IF(O6&lt;=$AQ$1,"O","X"))</f>
        <v>O</v>
      </c>
      <c r="AR6" s="76" t="str">
        <f>IF(M6="","",IF(M6&lt;=$AR$1,"O","X"))</f>
        <v>O</v>
      </c>
      <c r="AS6" s="76" t="s">
        <v>2</v>
      </c>
      <c r="AT6" s="76" t="str">
        <f>IF(OR(F6="",AI6=""),"",IF(AND((F6&lt;=85),(AI6&gt;=15)),"O","X"))</f>
        <v>O</v>
      </c>
      <c r="AU6" s="76" t="str">
        <f>IF(C6="","",IF(C6&gt;=$AU$1,"O","X"))</f>
        <v>O</v>
      </c>
      <c r="AV6" s="76" t="str">
        <f>IF(AO6="","",IF(AND(AO6="O",AP6="O",AR6="O",AT6="O",AU6="O"),"후보","X"))</f>
        <v/>
      </c>
    </row>
  </sheetData>
  <mergeCells count="1">
    <mergeCell ref="AJ1:AN1"/>
  </mergeCells>
  <phoneticPr fontId="2" type="noConversion"/>
  <conditionalFormatting sqref="AV4:AV6">
    <cfRule type="expression" dxfId="10945" priority="5349">
      <formula>AV4="X"</formula>
    </cfRule>
    <cfRule type="expression" dxfId="10944" priority="5350">
      <formula>AV4="후보"</formula>
    </cfRule>
  </conditionalFormatting>
  <conditionalFormatting sqref="AC1:AC2 AC4:AC6 N4:N5">
    <cfRule type="cellIs" dxfId="10943" priority="5346" operator="greaterThan">
      <formula>0.9</formula>
    </cfRule>
    <cfRule type="cellIs" dxfId="10942" priority="5347" operator="greaterThan">
      <formula>0.85</formula>
    </cfRule>
  </conditionalFormatting>
  <conditionalFormatting sqref="N1:N2">
    <cfRule type="cellIs" dxfId="10941" priority="5344" operator="greaterThan">
      <formula>0.9</formula>
    </cfRule>
    <cfRule type="cellIs" dxfId="10940" priority="5345" operator="greaterThan">
      <formula>0.85</formula>
    </cfRule>
  </conditionalFormatting>
  <conditionalFormatting sqref="N6">
    <cfRule type="cellIs" dxfId="10939" priority="17" operator="greaterThan">
      <formula>0.9</formula>
    </cfRule>
    <cfRule type="cellIs" dxfId="10938" priority="18" operator="greaterThan">
      <formula>0.85</formula>
    </cfRule>
  </conditionalFormatting>
  <conditionalFormatting sqref="E6">
    <cfRule type="expression" dxfId="10937" priority="9">
      <formula>AND(IF(OR($Q6=1,$Q6=2),1,0),IF($X6&lt;=20,1,0))</formula>
    </cfRule>
    <cfRule type="expression" dxfId="10936" priority="10">
      <formula>AND(IF($Q6=2,1,0),IF($X6&lt;30,1,0))</formula>
    </cfRule>
    <cfRule type="expression" dxfId="10935" priority="11">
      <formula>AND(IF($Q6=3,1,0),IF($X6&lt;30,1,0))</formula>
    </cfRule>
    <cfRule type="expression" dxfId="10934" priority="12">
      <formula>AND(IF($Q6=3,1,IF($Q6=4,1,0)),IF($F6&lt;=85,1,0))</formula>
    </cfRule>
  </conditionalFormatting>
  <conditionalFormatting sqref="X6">
    <cfRule type="expression" dxfId="10933" priority="5">
      <formula>AND(IF(OR($Q6=1,$Q6=2),1,0),IF($X6&lt;=20,1,0))</formula>
    </cfRule>
    <cfRule type="expression" dxfId="10932" priority="6">
      <formula>AND(IF($Q6=2,1,0),IF($X6&lt;30,1,0))</formula>
    </cfRule>
    <cfRule type="expression" dxfId="10931" priority="7">
      <formula>AND(IF($Q6=3,1,0),IF($X6&lt;30,1,0))</formula>
    </cfRule>
    <cfRule type="expression" dxfId="10930" priority="8">
      <formula>AND(IF($Q6=3,1,IF($Q6=4,1,0)),IF($F6&lt;=85,1,0))</formula>
    </cfRule>
  </conditionalFormatting>
  <conditionalFormatting sqref="AI6">
    <cfRule type="expression" dxfId="10929" priority="1">
      <formula>AND(IF(OR($Q6=1,$Q6=2),1,0),IF($X6&lt;=20,1,0))</formula>
    </cfRule>
    <cfRule type="expression" dxfId="10928" priority="2">
      <formula>AND(IF($Q6=2,1,0),IF($X6&lt;30,1,0))</formula>
    </cfRule>
    <cfRule type="expression" dxfId="10927" priority="3">
      <formula>AND(IF($Q6=3,1,0),IF($X6&lt;30,1,0))</formula>
    </cfRule>
    <cfRule type="expression" dxfId="10926" priority="4">
      <formula>AND(IF($Q6=3,1,IF($Q6=4,1,0)),IF($F6&lt;=85,1,0))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21</vt:i4>
      </vt:variant>
      <vt:variant>
        <vt:lpstr>이름이 지정된 범위</vt:lpstr>
      </vt:variant>
      <vt:variant>
        <vt:i4>36</vt:i4>
      </vt:variant>
    </vt:vector>
  </HeadingPairs>
  <TitlesOfParts>
    <vt:vector size="57" baseType="lpstr">
      <vt:lpstr>단지추출</vt:lpstr>
      <vt:lpstr>단지추출_가격표용</vt:lpstr>
      <vt:lpstr>동별가격표</vt:lpstr>
      <vt:lpstr>정보입력(KB)</vt:lpstr>
      <vt:lpstr>정보입력</vt:lpstr>
      <vt:lpstr>동서학동</vt:lpstr>
      <vt:lpstr>삼천동1가</vt:lpstr>
      <vt:lpstr>서서학동</vt:lpstr>
      <vt:lpstr>서신동</vt:lpstr>
      <vt:lpstr>서완산동2가</vt:lpstr>
      <vt:lpstr>중노송동</vt:lpstr>
      <vt:lpstr>중인동</vt:lpstr>
      <vt:lpstr>중화산동1가</vt:lpstr>
      <vt:lpstr>중화산동2가</vt:lpstr>
      <vt:lpstr>태평동</vt:lpstr>
      <vt:lpstr>평화동1가</vt:lpstr>
      <vt:lpstr>평화동2가</vt:lpstr>
      <vt:lpstr>효자동1가</vt:lpstr>
      <vt:lpstr>효자동2가</vt:lpstr>
      <vt:lpstr>효자동3가</vt:lpstr>
      <vt:lpstr>양식</vt:lpstr>
      <vt:lpstr>단지추출!Print_Area</vt:lpstr>
      <vt:lpstr>단지추출_가격표용!Print_Area</vt:lpstr>
      <vt:lpstr>동서학동!Print_Area</vt:lpstr>
      <vt:lpstr>삼천동1가!Print_Area</vt:lpstr>
      <vt:lpstr>서서학동!Print_Area</vt:lpstr>
      <vt:lpstr>서신동!Print_Area</vt:lpstr>
      <vt:lpstr>서완산동2가!Print_Area</vt:lpstr>
      <vt:lpstr>양식!Print_Area</vt:lpstr>
      <vt:lpstr>중노송동!Print_Area</vt:lpstr>
      <vt:lpstr>중인동!Print_Area</vt:lpstr>
      <vt:lpstr>중화산동1가!Print_Area</vt:lpstr>
      <vt:lpstr>중화산동2가!Print_Area</vt:lpstr>
      <vt:lpstr>태평동!Print_Area</vt:lpstr>
      <vt:lpstr>평화동1가!Print_Area</vt:lpstr>
      <vt:lpstr>평화동2가!Print_Area</vt:lpstr>
      <vt:lpstr>효자동1가!Print_Area</vt:lpstr>
      <vt:lpstr>효자동2가!Print_Area</vt:lpstr>
      <vt:lpstr>효자동3가!Print_Area</vt:lpstr>
      <vt:lpstr>단지추출!Print_Titles</vt:lpstr>
      <vt:lpstr>단지추출_가격표용!Print_Titles</vt:lpstr>
      <vt:lpstr>동서학동!Print_Titles</vt:lpstr>
      <vt:lpstr>삼천동1가!Print_Titles</vt:lpstr>
      <vt:lpstr>서서학동!Print_Titles</vt:lpstr>
      <vt:lpstr>서신동!Print_Titles</vt:lpstr>
      <vt:lpstr>서완산동2가!Print_Titles</vt:lpstr>
      <vt:lpstr>양식!Print_Titles</vt:lpstr>
      <vt:lpstr>중노송동!Print_Titles</vt:lpstr>
      <vt:lpstr>중인동!Print_Titles</vt:lpstr>
      <vt:lpstr>중화산동1가!Print_Titles</vt:lpstr>
      <vt:lpstr>중화산동2가!Print_Titles</vt:lpstr>
      <vt:lpstr>태평동!Print_Titles</vt:lpstr>
      <vt:lpstr>평화동1가!Print_Titles</vt:lpstr>
      <vt:lpstr>평화동2가!Print_Titles</vt:lpstr>
      <vt:lpstr>효자동1가!Print_Titles</vt:lpstr>
      <vt:lpstr>효자동2가!Print_Titles</vt:lpstr>
      <vt:lpstr>효자동3가!Print_Titles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엑셀시세표</dc:title>
  <dc:creator>유진아빠7</dc:creator>
  <cp:lastModifiedBy>MinsuKwon</cp:lastModifiedBy>
  <cp:lastPrinted>2018-04-28T10:52:41Z</cp:lastPrinted>
  <dcterms:created xsi:type="dcterms:W3CDTF">2017-12-04T07:49:55Z</dcterms:created>
  <dcterms:modified xsi:type="dcterms:W3CDTF">2022-03-17T13:49:00Z</dcterms:modified>
</cp:coreProperties>
</file>